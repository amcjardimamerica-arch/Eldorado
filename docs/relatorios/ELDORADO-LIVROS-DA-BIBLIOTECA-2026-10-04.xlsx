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Livros" sheetId="2" state="visible" r:id="rId4"/>
    <sheet name="Perdas 48h" sheetId="3" state="visible" r:id="rId5"/>
    <sheet name="Resumo" sheetId="4" state="visible" r:id="rId6"/>
  </sheets>
  <definedNames>
    <definedName function="false" hidden="true" localSheetId="1" name="_xlnm._FilterDatabase" vbProcedure="false">Livros!$A$1:$BS$2206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<sst xmlns="http://schemas.openxmlformats.org/spreadsheetml/2006/main" count="59324" uniqueCount="13843">
  <si>
    <t xml:space="preserve">ELDORADO — Livros da Biblioteca (fonte de atualização do sistema) · 04/10/2026</t>
  </si>
  <si>
    <t xml:space="preserve">Cada linha da aba Livros é um livro (a memória de um programa: edições, prazos, valores, condições). As colunas cinza-escuro são o que o sistema sabe hoje.</t>
  </si>
  <si>
    <t xml:space="preserve">PREENCHER: só as colunas de cabeçalho AZUL e fundo azul-claro (a partir de 'ATUALIZAR — veredito'), texto em azul. Uma linha por livro; não altere as colunas do sistema.</t>
  </si>
  <si>
    <t xml:space="preserve">Meta: deixar cada livro em OURO — série de edições em 2 anos distintos com documento oficial (edital, regulamento, cronograma, ata), ou regime permanente documentado — ou declará-lo INAPLICÁVEL com prova.</t>
  </si>
  <si>
    <t xml:space="preserve">Regra do leitor documental: notícia é indício; cada item vale só com valor + trecho literal + documento (URL do arquivo) + página.</t>
  </si>
  <si>
    <t xml:space="preserve">Veredito: ouro | ouro_regime | inaplicavel | pendente. Edição: ano, início e fim da inscrição (AAAA-MM-DD) e o documento.</t>
  </si>
  <si>
    <t xml:space="preserve">Aba 'Perdas 48h': livros que sumiram e dados perdidos nas últimas 48 h, com os valores de antes — restaurar ou confirmar a exclusão.</t>
  </si>
  <si>
    <t xml:space="preserve">Exemplo de preenchimento na linha 3 da aba Livros (exemplo — apague antes de importar).</t>
  </si>
  <si>
    <t xml:space="preserve">id</t>
  </si>
  <si>
    <t xml:space="preserve">nome</t>
  </si>
  <si>
    <t xml:space="preserve">programa</t>
  </si>
  <si>
    <t xml:space="preserve">órgão</t>
  </si>
  <si>
    <t xml:space="preserve">UF</t>
  </si>
  <si>
    <t xml:space="preserve">geo</t>
  </si>
  <si>
    <t xml:space="preserve">município</t>
  </si>
  <si>
    <t xml:space="preserve">esfera</t>
  </si>
  <si>
    <t xml:space="preserve">área</t>
  </si>
  <si>
    <t xml:space="preserve">família</t>
  </si>
  <si>
    <t xml:space="preserve">tipo</t>
  </si>
  <si>
    <t xml:space="preserve">público</t>
  </si>
  <si>
    <t xml:space="preserve">iniciativa</t>
  </si>
  <si>
    <t xml:space="preserve">página atual</t>
  </si>
  <si>
    <t xml:space="preserve">site oficial (esteira)</t>
  </si>
  <si>
    <t xml:space="preserve">selo do livro</t>
  </si>
  <si>
    <t xml:space="preserve">via do selo</t>
  </si>
  <si>
    <t xml:space="preserve">estrela (esteira)</t>
  </si>
  <si>
    <t xml:space="preserve">estante</t>
  </si>
  <si>
    <t xml:space="preserve">nota da rede</t>
  </si>
  <si>
    <t xml:space="preserve">nº edições</t>
  </si>
  <si>
    <t xml:space="preserve">anos das edições</t>
  </si>
  <si>
    <t xml:space="preserve">última edição — início</t>
  </si>
  <si>
    <t xml:space="preserve">última edição — fim</t>
  </si>
  <si>
    <t xml:space="preserve">última edição — página</t>
  </si>
  <si>
    <t xml:space="preserve">próxima data prevista</t>
  </si>
  <si>
    <t xml:space="preserve">regime do prazo</t>
  </si>
  <si>
    <t xml:space="preserve">certeza do prazo</t>
  </si>
  <si>
    <t xml:space="preserve">12 resolvidos</t>
  </si>
  <si>
    <t xml:space="preserve">12 faltando</t>
  </si>
  <si>
    <t xml:space="preserve">Objeto — situação</t>
  </si>
  <si>
    <t xml:space="preserve">Objeto — valor</t>
  </si>
  <si>
    <t xml:space="preserve">Prazo de inscrição — situação</t>
  </si>
  <si>
    <t xml:space="preserve">Prazo de inscrição — valor</t>
  </si>
  <si>
    <t xml:space="preserve">Resultado — situação</t>
  </si>
  <si>
    <t xml:space="preserve">Resultado — valor</t>
  </si>
  <si>
    <t xml:space="preserve">Prazo de recurso — situação</t>
  </si>
  <si>
    <t xml:space="preserve">Prazo de recurso — valor</t>
  </si>
  <si>
    <t xml:space="preserve">Valor — situação</t>
  </si>
  <si>
    <t xml:space="preserve">Valor — valor</t>
  </si>
  <si>
    <t xml:space="preserve">Órgão / financiador — situação</t>
  </si>
  <si>
    <t xml:space="preserve">Órgão / financiador — valor</t>
  </si>
  <si>
    <t xml:space="preserve">Território — situação</t>
  </si>
  <si>
    <t xml:space="preserve">Território — valor</t>
  </si>
  <si>
    <t xml:space="preserve">Esfera — situação</t>
  </si>
  <si>
    <t xml:space="preserve">Esfera — valor</t>
  </si>
  <si>
    <t xml:space="preserve">Requisitos — situação</t>
  </si>
  <si>
    <t xml:space="preserve">Requisitos — valor</t>
  </si>
  <si>
    <t xml:space="preserve">Anexos — situação</t>
  </si>
  <si>
    <t xml:space="preserve">Anexos — valor</t>
  </si>
  <si>
    <t xml:space="preserve">Destinação — situação</t>
  </si>
  <si>
    <t xml:space="preserve">Destinação — valor</t>
  </si>
  <si>
    <t xml:space="preserve">Área de atuação — situação</t>
  </si>
  <si>
    <t xml:space="preserve">Área de atuação — valor</t>
  </si>
  <si>
    <t xml:space="preserve">pareceres (último)</t>
  </si>
  <si>
    <t xml:space="preserve">coleta — classificação/observação</t>
  </si>
  <si>
    <t xml:space="preserve">decisão anterior (validação)</t>
  </si>
  <si>
    <t xml:space="preserve">ATUALIZAR — veredito</t>
  </si>
  <si>
    <t xml:space="preserve">ATUALIZAR — site oficial confirmado</t>
  </si>
  <si>
    <t xml:space="preserve">ATUALIZAR — edição A: ano</t>
  </si>
  <si>
    <t xml:space="preserve">ATUALIZAR — edição A: início</t>
  </si>
  <si>
    <t xml:space="preserve">ATUALIZAR — edição A: fim</t>
  </si>
  <si>
    <t xml:space="preserve">ATUALIZAR — edição A: documento</t>
  </si>
  <si>
    <t xml:space="preserve">ATUALIZAR — edição B: ano</t>
  </si>
  <si>
    <t xml:space="preserve">ATUALIZAR — edição B: início</t>
  </si>
  <si>
    <t xml:space="preserve">ATUALIZAR — edição B: fim</t>
  </si>
  <si>
    <t xml:space="preserve">ATUALIZAR — edição B: documento</t>
  </si>
  <si>
    <t xml:space="preserve">ATUALIZAR — itens preenchidos (item: valor | trecho | documento | página)</t>
  </si>
  <si>
    <t xml:space="preserve">ATUALIZAR — itens dispensados (item: motivo)</t>
  </si>
  <si>
    <t xml:space="preserve">ATUALIZAR — inaplicável: tipo e prova</t>
  </si>
  <si>
    <t xml:space="preserve">ATUALIZAR — observação</t>
  </si>
  <si>
    <t xml:space="preserve">(exemplo)</t>
  </si>
  <si>
    <t xml:space="preserve">Edital PNAB — Goiânia</t>
  </si>
  <si>
    <t xml:space="preserve">PNAB</t>
  </si>
  <si>
    <t xml:space="preserve">GO</t>
  </si>
  <si>
    <t xml:space="preserve">Goiânia</t>
  </si>
  <si>
    <t xml:space="preserve">ouro</t>
  </si>
  <si>
    <t xml:space="preserve">https://www.goiania.go.gov.br/secult/</t>
  </si>
  <si>
    <t xml:space="preserve">2025</t>
  </si>
  <si>
    <t xml:space="preserve">2025-03-24</t>
  </si>
  <si>
    <t xml:space="preserve">2025-04-25</t>
  </si>
  <si>
    <t xml:space="preserve">https://.../edital-2025.pdf</t>
  </si>
  <si>
    <t xml:space="preserve">2026</t>
  </si>
  <si>
    <t xml:space="preserve">2026-03-10</t>
  </si>
  <si>
    <t xml:space="preserve">2026-04-10</t>
  </si>
  <si>
    <t xml:space="preserve">https://.../edital-2026.pdf</t>
  </si>
  <si>
    <t xml:space="preserve">Valor: R$ 50.000 | 'o valor total é de R$ 50.000' | https://.../edital-2026.pdf | 3</t>
  </si>
  <si>
    <t xml:space="preserve">Prazo de recurso: o edital não prevê recurso</t>
  </si>
  <si>
    <t xml:space="preserve">lido no edital</t>
  </si>
  <si>
    <t xml:space="preserve">op-2ca18cdbee02</t>
  </si>
  <si>
    <t xml:space="preserve">Dia de Doar abre inscrições para edital que oferece R$ 2,4 mil a campanhas comunitárias — Brasil</t>
  </si>
  <si>
    <t xml:space="preserve">Dia de Doar abre inscrições para edital que oferece R$ 2,4 mil a campanhas comunitárias</t>
  </si>
  <si>
    <t xml:space="preserve">Observatório do Terceiro Setor — editais</t>
  </si>
  <si>
    <t xml:space="preserve">BR</t>
  </si>
  <si>
    <t xml:space="preserve">Brasil</t>
  </si>
  <si>
    <t xml:space="preserve">Assistência social</t>
  </si>
  <si>
    <t xml:space="preserve">Oportunidade com seleção</t>
  </si>
  <si>
    <t xml:space="preserve">repositorio_de_oportunidade</t>
  </si>
  <si>
    <t xml:space="preserve">['OSC e associações']</t>
  </si>
  <si>
    <t xml:space="preserve">{'valor': 'iniciativa_privada', 'fundamento': 'Movimento por uma Cultura de Doação / ABCR (sociedade civil) com recurso próprio.', 'em': '2026-10-02'}</t>
  </si>
  <si>
    <t xml:space="preserve">https://www.gov.br/mserasa/pt-br</t>
  </si>
  <si>
    <t xml:space="preserve">prata</t>
  </si>
  <si>
    <t xml:space="preserve">fila_prata</t>
  </si>
  <si>
    <t xml:space="preserve">2025, 2026</t>
  </si>
  <si>
    <t xml:space="preserve">Prazo de recurso, Requisitos</t>
  </si>
  <si>
    <t xml:space="preserve">informado (Piloto - Interceptador, 2026-10-01)</t>
  </si>
  <si>
    <t xml:space="preserve">apoiar 40 campanhas comunitárias ou coalizões</t>
  </si>
  <si>
    <t xml:space="preserve">dispensado</t>
  </si>
  <si>
    <t xml:space="preserve">dispensado pelo edital</t>
  </si>
  <si>
    <t xml:space="preserve">2024-10-24</t>
  </si>
  <si>
    <t xml:space="preserve">R$ 40 mil para apoiar 40 campanhas comunitárias, cada uma recebendo R$ 1.000</t>
  </si>
  <si>
    <t xml:space="preserve">informado (Parecer 238 (02/10), 2026-10-03)</t>
  </si>
  <si>
    <t xml:space="preserve">Dia de Doar</t>
  </si>
  <si>
    <t xml:space="preserve">nacional</t>
  </si>
  <si>
    <t xml:space="preserve">estadual</t>
  </si>
  <si>
    <t xml:space="preserve">https://inclusaosocial.com/edital-do-dia-de-doar-apoiara-campanhas-comunitarias/</t>
  </si>
  <si>
    <t xml:space="preserve">elegível · fomento</t>
  </si>
  <si>
    <t xml:space="preserve">arquivada_encerrada — </t>
  </si>
  <si>
    <t xml:space="preserve">{'observacao': 'Edições anteriores achadas em Busca web e página oficial do financiador, leitura de 03/10/2026 (conferidas por leitura).'}</t>
  </si>
  <si>
    <t xml:space="preserve">não lida ainda</t>
  </si>
  <si>
    <t xml:space="preserve">op-2d6b198ea3b4</t>
  </si>
  <si>
    <t xml:space="preserve">Instituto Impactarte abre edital para projetos de impacto social com apoio de até R$ 150 mil — Brasil</t>
  </si>
  <si>
    <t xml:space="preserve">Instituto Impactarte abre edital para projetos de impacto social com apoio de até R$ 150 mil</t>
  </si>
  <si>
    <t xml:space="preserve">Instituto Impactarte</t>
  </si>
  <si>
    <t xml:space="preserve">Geral</t>
  </si>
  <si>
    <t xml:space="preserve">{'valor': 'iniciativa_privada', 'fundamento': 'Instituto familiar privado (fundadores da família Figueiredo), recurso próprio.', 'em': '2026-10-02'}</t>
  </si>
  <si>
    <t xml:space="preserve">https://impactarte.com.br/</t>
  </si>
  <si>
    <t xml:space="preserve">bronze</t>
  </si>
  <si>
    <t xml:space="preserve">fila_bronze</t>
  </si>
  <si>
    <t xml:space="preserve">2026, cont</t>
  </si>
  <si>
    <t xml:space="preserve">2026-01-01</t>
  </si>
  <si>
    <t xml:space="preserve">contínuo</t>
  </si>
  <si>
    <t xml:space="preserve">{'inicio': '2026-01-01', 'fim': 'contínuo'}</t>
  </si>
  <si>
    <t xml:space="preserve">informado (motor plat-observatorio-3setor, 2026-10-01)</t>
  </si>
  <si>
    <t xml:space="preserve">projetos de impacto social com apoio de até R$ 150 mil</t>
  </si>
  <si>
    <t xml:space="preserve">2026-01-01 a 2026-12-31</t>
  </si>
  <si>
    <t xml:space="preserve">informado (motor plat-observatorio-3setor, 2026-10-03)</t>
  </si>
  <si>
    <t xml:space="preserve">não informado no edital</t>
  </si>
  <si>
    <t xml:space="preserve">R$ 150 mil por iniciativa</t>
  </si>
  <si>
    <t xml:space="preserve">privada</t>
  </si>
  <si>
    <t xml:space="preserve">CNPJ ativo, pelo menos três anos de existência comprovada, constituídas como associação pr</t>
  </si>
  <si>
    <t xml:space="preserve">informado (motor plat-observatorio-3setor, 2026-10-04)</t>
  </si>
  <si>
    <t xml:space="preserve">Formulário 'Cadastrar organização' e 'Leia o Regulamento' (botões; regulamento não aberto)</t>
  </si>
  <si>
    <t xml:space="preserve">valida_aberta — </t>
  </si>
  <si>
    <t xml:space="preserve">{'observacao': "Site oficial impactarte.org.br: 'investimos continuamente em organizacoes da sociedade civil'; cadastro-proponente sem datas de abertura/encerramento; nenhuma pagina de edital datado 2023-2026 encontrada; menu so tem Cadastro de Organizacoes e Regulamento | não verificado: texto/data do Regulamento (link 'Leia o Regulamento' na home); pagina 'Quem Apoiamos' (organizacoes ja apoiada</t>
  </si>
  <si>
    <t xml:space="preserve">op-89f2538b8946</t>
  </si>
  <si>
    <t xml:space="preserve">ICA — Protocolo Luso-Brasileiro de Coprodução Cinematográfica 2026: 350 mil € para longas Brasil–Portugal (até… — Internacional</t>
  </si>
  <si>
    <t xml:space="preserve">ICA — Protocolo Luso-Brasileiro de Coprodução Cinematográfica 2026: 350 mil € para longas Brasil–Portugal (até 175 mil € por filme)</t>
  </si>
  <si>
    <t xml:space="preserve">INT</t>
  </si>
  <si>
    <t xml:space="preserve">Internacional</t>
  </si>
  <si>
    <t xml:space="preserve">Cultura</t>
  </si>
  <si>
    <t xml:space="preserve">Internacionais</t>
  </si>
  <si>
    <t xml:space="preserve">https://ica-ip.pt/pt/concursos/2025/</t>
  </si>
  <si>
    <t xml:space="preserve">2024, 2025, 2026</t>
  </si>
  <si>
    <t xml:space="preserve">2026-05-07</t>
  </si>
  <si>
    <t xml:space="preserve">2026-09-30</t>
  </si>
  <si>
    <t xml:space="preserve">https://ica-ip.pt/pt/concursos/protocolo-luso-brasileiro/2026/protocolo-luso-brasileiro/</t>
  </si>
  <si>
    <t xml:space="preserve">Prazo de recurso</t>
  </si>
  <si>
    <t xml:space="preserve">informado (esteira prata (coleta dos 3 anos — internacional (12 critérios, v3)), 2026-10-04)</t>
  </si>
  <si>
    <t xml:space="preserve">Apoio a coproduções luso-brasileiras de longas-metragens (ficção, documentário e animação) com base no Protocolo ICA–ANCINE</t>
  </si>
  <si>
    <t xml:space="preserve">2026: 07/05 a 30/09; 2025: 06/05 a 12/09; 2024: 03/06 a 19/09</t>
  </si>
  <si>
    <t xml:space="preserve">Decisão por Comissão de Seleção bilateral; página mostra 'Ponto de situação' (2024 concluído; 2025 com projeto de decisão e proposta de classificação)</t>
  </si>
  <si>
    <t xml:space="preserve">350.000,00 € por edição, máximo de 175.000,00 € por projeto</t>
  </si>
  <si>
    <t xml:space="preserve">ICA — Instituto do Cinema e do Audiovisual (Portugal), em protocolo com a ANCINE</t>
  </si>
  <si>
    <t xml:space="preserve">Portugal–Brasil (coprodução bilateral)</t>
  </si>
  <si>
    <t xml:space="preserve">Internacional (acordo bilateral de Estados)</t>
  </si>
  <si>
    <t xml:space="preserve">Candidatura pelo produtor minoritário português registrado no ICA (e, no Brasil, pelo produtor minoritário brasileiro junto à ANCINE); obras: longa de ficção, documentário ou animação; coprodutor minoritário com pelo menos 20%</t>
  </si>
  <si>
    <t xml:space="preserve">Protocolo Luso-Brasileiro; Declaração sob compromisso de honra (modelos A e B); Regulamento ICA; Acordo de coprodução Portugal–Brasil; orçamentos (ficção, documentário, animação); montagem financeira</t>
  </si>
  <si>
    <t xml:space="preserve">Cofinanciamento de ao menos 4 filmes por ano (2 minoritariamente brasileiros e 2 minoritariamente portugueses)</t>
  </si>
  <si>
    <t xml:space="preserve">Cinema e audiovisual</t>
  </si>
  <si>
    <t xml:space="preserve">fora_da_abrangencia — </t>
  </si>
  <si>
    <t xml:space="preserve">{'observacao': 'Edição de 2023 não localizada na página oficial (URL do mesmo padrão devolve a página genérica de Apoios). Elegibilidade: candidatura feita pelo produtor minoritário PORTUGUÊS registrado no ICA; do lado brasileiro, pelo produtor brasileiro junto à ANCINE — não é chamada para OSC.'}</t>
  </si>
  <si>
    <t xml:space="preserve">op-e646a4e960c3</t>
  </si>
  <si>
    <t xml:space="preserve">Fundo Baobá — Programa de Aceleração do Desenvolvimento de Lideranças Femininas Negras: Marielle Franco — Brasil</t>
  </si>
  <si>
    <t xml:space="preserve">Fundo Baobá — Programa de Aceleração do Desenvolvimento de Lideranças Femininas Negras: Marielle Franco</t>
  </si>
  <si>
    <t xml:space="preserve">Fundo Baobá</t>
  </si>
  <si>
    <t xml:space="preserve">{'valor': 'iniciativa_privada', 'fundamento': 'Fundo Baobá (fundo filantrópico privado) publica e aporta recurso próprio/doado.', 'em': '2026-10-02'}</t>
  </si>
  <si>
    <t xml:space="preserve">https://editais.baoba.org.br/programa-marielle-franco-2</t>
  </si>
  <si>
    <t xml:space="preserve">2026-09-14</t>
  </si>
  <si>
    <t xml:space="preserve">2026-10-19</t>
  </si>
  <si>
    <t xml:space="preserve">{'inicio': '2026-09-14', 'fim': '2026-10-19'}</t>
  </si>
  <si>
    <t xml:space="preserve">informado (Semente dos motores 24–39 (estudo de 03/10), 2026-10-04)</t>
  </si>
  <si>
    <t xml:space="preserve">Programa Marielle Franco – Edital de Apoio Individual (2ª edição)</t>
  </si>
  <si>
    <t xml:space="preserve">2025-09-11 a 2025-10-14</t>
  </si>
  <si>
    <t xml:space="preserve">informado (motor plat-gife, 2026-10-04)</t>
  </si>
  <si>
    <t xml:space="preserve">11/01/2027, após 19h, no site do Fundo Baobá</t>
  </si>
  <si>
    <t xml:space="preserve">bolsa mensal de R$ 3.500,00 por 18 meses (30 selecionadas)</t>
  </si>
  <si>
    <t xml:space="preserve">Fundo Baobá para Equidade Racial (apoio Ford Foundation, Instituto Ibirapitanga, Open Society Foundations)</t>
  </si>
  <si>
    <t xml:space="preserve">Nacional, instituições brasileiras</t>
  </si>
  <si>
    <t xml:space="preserve">Privada/filantrópica (fundo independente)</t>
  </si>
  <si>
    <t xml:space="preserve">Diretoria e membresia com 85% ou mais de mulheres negras; atuação há pelo menos dois anos</t>
  </si>
  <si>
    <t xml:space="preserve">https://baoba.org.br/home/programa-marielle-franco-apoio-individual/</t>
  </si>
  <si>
    <t xml:space="preserve">Categorias de despesa, incl. fortalecimento institucional (R$ 150 mil); vedados aluguel, r</t>
  </si>
  <si>
    <t xml:space="preserve">Equidade racial, direitos da população negra, lideranças femininas negras</t>
  </si>
  <si>
    <t xml:space="preserve">{'observacao': 'VERIFICADO em Fundo Baobá (site oficial, API WordPress, 03/10/2026): a(s) edição(ões) anterior(es) achada(s) é/são anterior(es) à janela de 3 anos (03/10/2023) — 2023-10-01: Edital Ayá — coletivo (1ª edição do Programa Marielle Franco). Sem edição datada dentro da janela.'}</t>
  </si>
  <si>
    <t xml:space="preserve">op-081d588151c4</t>
  </si>
  <si>
    <t xml:space="preserve">Aviso de Chamamento Público — Goiás / Goiânia</t>
  </si>
  <si>
    <t xml:space="preserve">Aviso de Chamamento Público</t>
  </si>
  <si>
    <t xml:space="preserve">SMS Goiânia - parceria com entidade de saúde</t>
  </si>
  <si>
    <t xml:space="preserve">Estado</t>
  </si>
  <si>
    <t xml:space="preserve">Saúde</t>
  </si>
  <si>
    <t xml:space="preserve">{'valor': 'poder_publico', 'fundamento': 'Instituto federal (MEC), recurso do FNDE/PNAE.', 'em': '2026-10-02'}</t>
  </si>
  <si>
    <t xml:space="preserve">https://licitacoes.agencia.baciaspcj.org.br/licitacao</t>
  </si>
  <si>
    <t xml:space="preserve">https://saude.goiania.go.gov.br/editas-de-chamamento-publico/aviso-de-chamamento-publico-3</t>
  </si>
  <si>
    <t xml:space="preserve">Prazo de inscrição, Resultado, Prazo de recurso, Valor, Requisitos, Anexos</t>
  </si>
  <si>
    <t xml:space="preserve">informado (Piloto - Interceptador (estudo), 2026-10-01)</t>
  </si>
  <si>
    <t xml:space="preserve">credenciamento de pessoas jurídicas interessadas em participar, de forma complementar, do Sistema Único de Saúde do Município de Goiânia para prestação dos serviços ambulatoriais, de apoio diagnóstico</t>
  </si>
  <si>
    <t xml:space="preserve">Secretaria Municipal de Saúde</t>
  </si>
  <si>
    <t xml:space="preserve">municipal</t>
  </si>
  <si>
    <t xml:space="preserve">fora do escopo · convenio</t>
  </si>
  <si>
    <t xml:space="preserve">saude</t>
  </si>
  <si>
    <t xml:space="preserve">descartada — </t>
  </si>
  <si>
    <t xml:space="preserve">{'observacao': 'Não coletado nesta rodada: sem série oficial identificada nas fontes consultadas (goias.gov.br, Prefeitura de Goiânia, Senador Canedo, Anápolis, PNCP). Próximo passo: Diário Oficial do município/estado e site do órgão.'}</t>
  </si>
  <si>
    <t xml:space="preserve">op-41bced747fb0</t>
  </si>
  <si>
    <t xml:space="preserve">Prêmio LED Globo 2027 abre inscrições com R$ 1,2 milhão em premiação — Brasil</t>
  </si>
  <si>
    <t xml:space="preserve">Prêmio LED Globo 2027 abre inscrições com R$ 1,2 milhão em premiação</t>
  </si>
  <si>
    <t xml:space="preserve">https://observatorio3setor.org.br/premio-led-globo-2027-abre-inscricoes-com-r-12-milhao-em-premiacao</t>
  </si>
  <si>
    <t xml:space="preserve">projetos de educação</t>
  </si>
  <si>
    <t xml:space="preserve">2026-09-02 a 2026-09-09</t>
  </si>
  <si>
    <t xml:space="preserve">R$ 1,2 milhão</t>
  </si>
  <si>
    <t xml:space="preserve">Movimento LED – Luz na Educação, da Globo e da Fundação Roberto Marinho</t>
  </si>
  <si>
    <t xml:space="preserve">elegível · premio</t>
  </si>
  <si>
    <t xml:space="preserve">educacao</t>
  </si>
  <si>
    <t xml:space="preserve">op-0d2ab7638fd7</t>
  </si>
  <si>
    <t xml:space="preserve">Prêmio nacional da Enap oferece até R$ 20 mil para iniciativas que protegem crianças e adolescentes em situaçã… — Brasil</t>
  </si>
  <si>
    <t xml:space="preserve">Prêmio nacional da Enap oferece até R$ 20 mil para iniciativas que protegem crianças e adolescentes em situação de rua</t>
  </si>
  <si>
    <t xml:space="preserve">Criança e adolescente</t>
  </si>
  <si>
    <t xml:space="preserve">['Crianças e adolescentes']</t>
  </si>
  <si>
    <t xml:space="preserve">{'valor': 'poder_publico', 'fundamento': 'SNDCA/MDHC e Enap (União) publicam e pagam com recurso federal.', 'em': '2026-10-02'}</t>
  </si>
  <si>
    <t xml:space="preserve">https://www2.enap.gov.br/educacao-e-capacitacao/programa-de-aperfeicoamento-para-carreiras/premios/concurso-premio-mdhc/</t>
  </si>
  <si>
    <t xml:space="preserve">farol</t>
  </si>
  <si>
    <t xml:space="preserve">2026-10-13</t>
  </si>
  <si>
    <t xml:space="preserve">https://enap.gov.br/educacao-e-capacitacao/programa-de-aperfeicoamento-para-carreiras/premios/concurso-premio-mdhc/</t>
  </si>
  <si>
    <t xml:space="preserve">{'inicio': None, 'fim': '2026-10-13'}</t>
  </si>
  <si>
    <t xml:space="preserve">informado (motor agregadores · observatorio-3setor, 2026-10-03)</t>
  </si>
  <si>
    <t xml:space="preserve">1º Prêmio Nacional de Proteção Integral de Crianças e Adolescentes em Situação de Rua</t>
  </si>
  <si>
    <t xml:space="preserve">até 13/10/2026</t>
  </si>
  <si>
    <t xml:space="preserve">preliminar 20/11/2026; definitivo até 30/11/2026</t>
  </si>
  <si>
    <t xml:space="preserve">23 a 25/11/2026</t>
  </si>
  <si>
    <t xml:space="preserve">Por categoria: 1º R$ 20 mil; 2º R$ 10 mil; 3º R$ 5 mil</t>
  </si>
  <si>
    <t xml:space="preserve">informado (Piloto - Interceptador, 2026-10-03)</t>
  </si>
  <si>
    <t xml:space="preserve">ENAP</t>
  </si>
  <si>
    <t xml:space="preserve">federal</t>
  </si>
  <si>
    <t xml:space="preserve">Categoria III aberta a práticas de OSC, movimentos, coletivos e redes comunitárias</t>
  </si>
  <si>
    <t xml:space="preserve">Edital Enap nº 224, de 28/07/2026 (https://repositorio.enap.gov.br/handle/1/9934)</t>
  </si>
  <si>
    <t xml:space="preserve">fora do escopo · premio</t>
  </si>
  <si>
    <t xml:space="preserve">Criança e adolescente em situação de rua</t>
  </si>
  <si>
    <t xml:space="preserve">op-554a802f5fc0</t>
  </si>
  <si>
    <t xml:space="preserve">Goiás Social — Conselho da Juventude abre amanhã as inscrições para seleção de organizações da sociedade civil… — Goiás</t>
  </si>
  <si>
    <t xml:space="preserve">Goiás Social — Conselho da Juventude abre amanhã as inscrições para seleção de organizações da sociedade civil e eleição da mesa diretora</t>
  </si>
  <si>
    <t xml:space="preserve">Goiás Social</t>
  </si>
  <si>
    <t xml:space="preserve">['OSC e associações', 'Crianças e adolescentes']</t>
  </si>
  <si>
    <t xml:space="preserve">{'valor': 'poder_publico', 'fundamento': 'A SEDS/GO publica o edital e paga com recurso estadual, por termo de colaboração (Lei 13.019).', 'em': '2026-10-02'}</t>
  </si>
  <si>
    <t xml:space="preserve">https://goias.gov.br/social/wp-content/uploads/sites/24/2026/09/SEI_95571621_Edital.pdf</t>
  </si>
  <si>
    <t xml:space="preserve">https://goias.gov.br/social/edital-de-chamamento-publico-001-2026-socioeducativo/</t>
  </si>
  <si>
    <t xml:space="preserve">2026-10-16</t>
  </si>
  <si>
    <t xml:space="preserve">{'inicio': '2026-09-14', 'fim': '2026-10-16'}</t>
  </si>
  <si>
    <t xml:space="preserve">informado (Piloto - Interceptador, 2026-10-02)</t>
  </si>
  <si>
    <t xml:space="preserve">seleção de Organização da Sociedade Civil – OSC para celebração de Termo de Colaboração de</t>
  </si>
  <si>
    <t xml:space="preserve">14/09/2026 a 16/10/2026</t>
  </si>
  <si>
    <t xml:space="preserve">Preliminar 26–27/10/2026; definitivo até 16/11/2026</t>
  </si>
  <si>
    <t xml:space="preserve">28/10/2026 a 03/11/2026</t>
  </si>
  <si>
    <t xml:space="preserve">Lote I R$ 8.641.792,18; Lote II R$ 4.258.987,15</t>
  </si>
  <si>
    <t xml:space="preserve">SECRETARIA DE ESTADO DE DESENVOLVIMENTO SOCIAL – SEDS</t>
  </si>
  <si>
    <t xml:space="preserve">Objetivos estatutários compatíveis, experiência prévia, requisitos legais da Lei 13.019</t>
  </si>
  <si>
    <t xml:space="preserve">3 anexo(s)</t>
  </si>
  <si>
    <t xml:space="preserve">elegível · convenio</t>
  </si>
  <si>
    <t xml:space="preserve">assistencia_social</t>
  </si>
  <si>
    <t xml:space="preserve">op-062ff40a5ba0</t>
  </si>
  <si>
    <t xml:space="preserve">Fundação Maria Emília abre edital com apoio de até R$ 1 milhão para projetos em saúde e educação — Brasil</t>
  </si>
  <si>
    <t xml:space="preserve">Fundação Maria Emília abre edital com apoio de até R$ 1 milhão para projetos em saúde e educação</t>
  </si>
  <si>
    <t xml:space="preserve">Fundação Maria Emília Pedreira Freire De Carvalho</t>
  </si>
  <si>
    <t xml:space="preserve">{'valor': 'iniciativa_privada', 'fundamento': 'Fundação privada (CNPJ 03.103.667/0001-08) publica e financia com recurso próprio.', 'em': '2026-10-02'}</t>
  </si>
  <si>
    <t xml:space="preserve">https://mariaemilia.org.br/wp-content/uploads/2026/08/Edital-FME-Transforma-2026.pdf</t>
  </si>
  <si>
    <t xml:space="preserve">2026-08-24</t>
  </si>
  <si>
    <t xml:space="preserve">2026-10-30</t>
  </si>
  <si>
    <t xml:space="preserve">https://mariaemilia.org.br/edital-fme-transforma/</t>
  </si>
  <si>
    <t xml:space="preserve">{'inicio': '2026-08-24', 'fim': '2026-10-30'}</t>
  </si>
  <si>
    <t xml:space="preserve">informado (motor abcr, 2026-10-01)</t>
  </si>
  <si>
    <t xml:space="preserve">projetos nas áreas de Saúde e Educação que contribuam para a produção de conhecimento, o d</t>
  </si>
  <si>
    <t xml:space="preserve">informado (motor abcr, 2026-10-03)</t>
  </si>
  <si>
    <t xml:space="preserve">24/08/2026 a 30/10/2026, 23h59</t>
  </si>
  <si>
    <t xml:space="preserve">até 180 dias corridos após o encerramento</t>
  </si>
  <si>
    <t xml:space="preserve">dispensado pelo tipo</t>
  </si>
  <si>
    <t xml:space="preserve">Faixa 1 até R$ 100 mil; Faixa 2 R$ 100.001 a R$ 500 mil; Faixa 3 R$ 500.001 a R$ 1 milhão</t>
  </si>
  <si>
    <t xml:space="preserve">PJ sem fins lucrativos constituída há 2+ anos ou PF com experiência; coordenador doutor; p</t>
  </si>
  <si>
    <t xml:space="preserve">2 anexo(s)</t>
  </si>
  <si>
    <t xml:space="preserve">fora do escopo · fomento</t>
  </si>
  <si>
    <t xml:space="preserve">{'observacao': 'VERIFICADO no site da Fundação Maria Emília (206 itens, API, 03/10/2026): o FME Transforma (2026) não tem edição anterior com o mesmo nome; o Edital 01/2023 (saúde, publicado em 31/08/2023) é provável antecessor mas é outro programa e não foi contado como série.'}</t>
  </si>
  <si>
    <t xml:space="preserve">op-cee4db2736a0</t>
  </si>
  <si>
    <t xml:space="preserve">Grupo Equatorial abre chamada com mais de R$ 61 milhões para projetos de eficiência energética — Brasil</t>
  </si>
  <si>
    <t xml:space="preserve">Grupo Equatorial abre chamada com mais de R$ 61 milhões para projetos de eficiência energética</t>
  </si>
  <si>
    <t xml:space="preserve">Meio ambiente</t>
  </si>
  <si>
    <t xml:space="preserve">{'valor': 'mista', 'fundamento': 'Empresa concessionária seleciona; recurso é o percentual obrigatório da receita operacional destinado ao PEE regulado pela ANEEL.', 'em': '2026-10-02'}</t>
  </si>
  <si>
    <t xml:space="preserve">https://equatorial.gestaocpp.com.br/uploads/landing/11111111-1111-1111-1111-111111111111/747d7203-1ac0-4d7f-91c8-ae479f9872c3.pdf</t>
  </si>
  <si>
    <t xml:space="preserve">2026-08-17</t>
  </si>
  <si>
    <t xml:space="preserve">2026-11-09</t>
  </si>
  <si>
    <t xml:space="preserve">{'inicio': '2026-08-17', 'fim': '2026-11-09'}</t>
  </si>
  <si>
    <t xml:space="preserve">projetos de eficiência energética</t>
  </si>
  <si>
    <t xml:space="preserve">informado (motor plat-observatorio-3setor, 2026-10-02)</t>
  </si>
  <si>
    <t xml:space="preserve">17/08/2026 a 09/11/2026</t>
  </si>
  <si>
    <t xml:space="preserve">2025-12-23</t>
  </si>
  <si>
    <t xml:space="preserve">21/12/2026 a 29/12/2026</t>
  </si>
  <si>
    <t xml:space="preserve">mais de R$ 61 milhões</t>
  </si>
  <si>
    <t xml:space="preserve">Grupo Equatorial</t>
  </si>
  <si>
    <t xml:space="preserve">null</t>
  </si>
  <si>
    <t xml:space="preserve">documento ou exigência</t>
  </si>
  <si>
    <t xml:space="preserve">eficiência energética</t>
  </si>
  <si>
    <t xml:space="preserve">op-dc31be2631f4</t>
  </si>
  <si>
    <t xml:space="preserve">Edital Alimento no Prato oferece até R$ 800 mil para projetos de agricultura urbana — Brasil</t>
  </si>
  <si>
    <t xml:space="preserve">Edital Alimento no Prato oferece até R$ 800 mil para projetos de agricultura urbana</t>
  </si>
  <si>
    <t xml:space="preserve">https://observatorio3setor.org.br/edital-alimento-no-prato-oferece-ate-r-800-mil-para-projetos-de-agricultura-urbana</t>
  </si>
  <si>
    <t xml:space="preserve">Resultado, Prazo de recurso, Área de atuação</t>
  </si>
  <si>
    <t xml:space="preserve">concessão de apoio da Administração Pública para a execução de projetos voltados a fortalecer e ampliar iniciativas coletivas de Agricultura Urbana e Periurbana</t>
  </si>
  <si>
    <t xml:space="preserve">2026-01-01 a 2026-03-31</t>
  </si>
  <si>
    <t xml:space="preserve">até R$ 800 mil</t>
  </si>
  <si>
    <t xml:space="preserve">MINISTÉRIO DO DESENVOLVIMENTO AGRÁRIO E AGRICULTURA FAMILIAR</t>
  </si>
  <si>
    <t xml:space="preserve">apresentar proposta seguindo o roteiro disponibilizado pela Administração Pública, ser organização da sociedade civil interessada em celebrar termo de fomento</t>
  </si>
  <si>
    <t xml:space="preserve">1 anexo(s)</t>
  </si>
  <si>
    <t xml:space="preserve">op-0e162fb94284</t>
  </si>
  <si>
    <t xml:space="preserve">Camargo Fellowship 2027–2028 — residência no Mediterrâneo francês (Cassis) — Internacional</t>
  </si>
  <si>
    <t xml:space="preserve">Camargo Fellowship 2027–2028 — residência no Mediterrâneo francês (Cassis)</t>
  </si>
  <si>
    <t xml:space="preserve">https://investigacion.pucp.edu.pe/convocatorias/the-camargo-foundation-camargo-fellowship-2027-2028-for-artists-scholars-and-thinkers/</t>
  </si>
  <si>
    <t xml:space="preserve">2026-07-02</t>
  </si>
  <si>
    <t xml:space="preserve">2026-10-05</t>
  </si>
  <si>
    <t xml:space="preserve">https://camargofoundation.org/fr/camargo-fellowship-2026-2027</t>
  </si>
  <si>
    <t xml:space="preserve">{'inicio': '2026-07-06', 'fim': '2026-10-01'}</t>
  </si>
  <si>
    <t xml:space="preserve">Resultado</t>
  </si>
  <si>
    <t xml:space="preserve">Residência de 10 semanas de pesquisa, experimentação e reflexão para artistas, pesquisadores e pensadores em meio de carreira (outono 2027 e primavera 2028)</t>
  </si>
  <si>
    <t xml:space="preserve">Chamada aberta de 02/07 a '31 de setembro' de 2026 (sic), prorrogada até 05/10/2026 00h CET por falha técnica da plataforma</t>
  </si>
  <si>
    <t xml:space="preserve">regulamento privado não é obrigado a ter fase de recurso (a Lei 13.019 rege parcerias com a administração pública, não patrocínio privado)</t>
  </si>
  <si>
    <t xml:space="preserve">informado (motor agregadores · farolcultural, 2026-10-01)</t>
  </si>
  <si>
    <t xml:space="preserve">una asignación de 350 euros por semana (3.500 euros por toda la duración de la residencia)</t>
  </si>
  <si>
    <t xml:space="preserve">Fondation Camargo (Cassis, França), criada em 1971 por Jerome Hill</t>
  </si>
  <si>
    <t xml:space="preserve">França (residência presencial em Cassis); candidatos do mundo todo</t>
  </si>
  <si>
    <t xml:space="preserve">Internacional (fundação privada)</t>
  </si>
  <si>
    <t xml:space="preserve">Artistas, pesquisadores e pensadores estabelecidos ou em meio de carreira; equipes de até 3 pessoas; tradutores profissionais também elegíveis; inscrição só pela plataforma online (Submittable)</t>
  </si>
  <si>
    <t xml:space="preserve">Guia GUIDELINES_27-28 Camargo Fellowship e formulário online (Submittable)</t>
  </si>
  <si>
    <t xml:space="preserve">Residência de 10 semanas com condições de acolhimento e bolsa (valores no guia)</t>
  </si>
  <si>
    <t xml:space="preserve">Artes, pesquisa e humanidades (residência interdisciplinar)</t>
  </si>
  <si>
    <t xml:space="preserve">{'observacao': 'Prazo original 1º/10/2026 (DGARTES) prorrogado para 5/10 pelo site oficial. Edições anteriores não aparecem na página de candidatura; procurar no arquivo da Fundação Camargo. Público: artistas e pesquisadores individuais (equipes até 3) — não é chamada para OSC. Página oficial: esta é a última chamada pública; a partir de jul/2027 seleção experimental sem chamada aberta.'}</t>
  </si>
  <si>
    <t xml:space="preserve">op-7e5874e81d84</t>
  </si>
  <si>
    <t xml:space="preserve">Secult Goiás lança edital para levar produção artística goiana ao Rio de Janeiro — Goiás</t>
  </si>
  <si>
    <t xml:space="preserve">Secult Goiás lança edital para levar produção artística goiana ao Rio de Janeiro</t>
  </si>
  <si>
    <t xml:space="preserve">Secult Goiás</t>
  </si>
  <si>
    <t xml:space="preserve">['Artistas e produtores culturais']</t>
  </si>
  <si>
    <t xml:space="preserve">{'valor': 'mista', 'fundamento': 'Publica a Secult Goiás com recurso público da PNAB, em parceria com o Instituto Futuros (privado) para a programação do Petrobras Futuros.', 'em': '2026-10-02'}</t>
  </si>
  <si>
    <t xml:space="preserve">https://goias.gov.br/cultura/secult-goias-lanca-edital-para-levar-producao-artistica-goiana-ao-rio-de-janeiro/</t>
  </si>
  <si>
    <t xml:space="preserve">2026-09-29</t>
  </si>
  <si>
    <t xml:space="preserve">2026-10-29</t>
  </si>
  <si>
    <t xml:space="preserve">{'inicio': '2026-09-29', 'fim': '2026-10-29'}</t>
  </si>
  <si>
    <t xml:space="preserve">Resultado, Prazo de recurso</t>
  </si>
  <si>
    <t xml:space="preserve">informado (motor plat-secult-go, 2026-10-01)</t>
  </si>
  <si>
    <t xml:space="preserve">Levar produção artística goiana ao Rio de Janeiro</t>
  </si>
  <si>
    <t xml:space="preserve">informado (motor plat-secult-go, 2026-10-04)</t>
  </si>
  <si>
    <t xml:space="preserve">29/09 a 29/10/2026, pela plataforma Baru 2.0</t>
  </si>
  <si>
    <t xml:space="preserve">R$ 1 milhão no total: 4 projetos de música R$ 50 mil, 2 de artes cênicas R$ 250 mil, 1 de</t>
  </si>
  <si>
    <t xml:space="preserve">informado (motor plat-secult-go, 2026-10-02)</t>
  </si>
  <si>
    <t xml:space="preserve">artistas e produtores goianos de música, artes cênicas e artes visuais</t>
  </si>
  <si>
    <t xml:space="preserve">edital na página da Secult; inscrição na Baru 2.0</t>
  </si>
  <si>
    <t xml:space="preserve">Ocupação/programação cultural no Petrobras Futuros (RJ)</t>
  </si>
  <si>
    <t xml:space="preserve">cultura</t>
  </si>
  <si>
    <t xml:space="preserve">{'observacao': 'VERIFICADO em 03/10/2026 (imprensa e Agência Goiás, 29/09/2026): Edital Ocupa Goiás – Brasilidades &amp; Futuros 2027 (Secult-GO), R$ 1 milhão, 7 projetos de artistas e produtores culturais goianos para o Rio de Janeiro, inscrições de 29/09 a 29/10/2026 na plataforma Baru 2.0; edição anterior não localizada.'}</t>
  </si>
  <si>
    <t xml:space="preserve">op-ac8135a515e8</t>
  </si>
  <si>
    <t xml:space="preserve">Karibu foundation abre inscricoes para iniciativas do sul global com bolsas de ate us 20 mil — Brasil</t>
  </si>
  <si>
    <t xml:space="preserve">Karibu foundation abre inscricoes para iniciativas do sul global com bolsas de ate us 20 mil</t>
  </si>
  <si>
    <t xml:space="preserve">Educação</t>
  </si>
  <si>
    <t xml:space="preserve">https://observatorio3setor.org.br/karibu-foundation-abre-inscricoes-para-iniciativas-do-sul-global-com-bolsas-de-ate-us-20-mil/</t>
  </si>
  <si>
    <t xml:space="preserve">Prazo de recurso, Valor, Território, Requisitos, Anexos, Destinação</t>
  </si>
  <si>
    <t xml:space="preserve">projetos de formação e articulação pelo direito à moradia</t>
  </si>
  <si>
    <t xml:space="preserve">2026-01-01 a 2026-01-31</t>
  </si>
  <si>
    <t xml:space="preserve">Fundo Nacional de Solidariedade</t>
  </si>
  <si>
    <t xml:space="preserve">direitos</t>
  </si>
  <si>
    <t xml:space="preserve">op-1aa6b7c21701</t>
  </si>
  <si>
    <t xml:space="preserve">Edital Ambev 2026: R$ 67M para Cultura e Esporte — Brasil</t>
  </si>
  <si>
    <t xml:space="preserve">Edital Ambev 2026: R$ 67M para Cultura e Esporte</t>
  </si>
  <si>
    <t xml:space="preserve">{'valor': 'mista', 'fundamento': 'Empresa privada (AMBEV) seleciona projetos e aporta recurso de renúncia fiscal estadual (ICMS).', 'em': '2026-10-02'}</t>
  </si>
  <si>
    <t xml:space="preserve">https://comitedeculturasc.org/editais/edital-ambev-brasilidades-2026-2026</t>
  </si>
  <si>
    <t xml:space="preserve">2025-11-11</t>
  </si>
  <si>
    <t xml:space="preserve">{'inicio': '2025-11-11', 'fim': '2026-09-30'}</t>
  </si>
  <si>
    <t xml:space="preserve">Objeto, Prazo de inscrição, Resultado, Prazo de recurso, Valor, Órgão / financiador, Território, Esfera, Requisitos, Anexos, Destinação, Área de atuação</t>
  </si>
  <si>
    <t xml:space="preserve">op-46a22e7fa04d</t>
  </si>
  <si>
    <t xml:space="preserve">Edital de Seleção Pública de Projetos 2026 do Fundo Positivo - O Fundo Positivo, em parceria com o Ministério … — Brasil</t>
  </si>
  <si>
    <t xml:space="preserve">Edital  de Seleção Pública de Projetos  2026  do Fundo Positivo - O Fundo Positivo, em parceria com o Ministério  da  Saúde, abriu  edital  para apoiar  organiz</t>
  </si>
  <si>
    <t xml:space="preserve">Motor do Piloto — busca aberta no terceiro setor</t>
  </si>
  <si>
    <t xml:space="preserve">https://duckduckgo.com/l?uddg=https%3A%2F%2Fgife.org.br%2Fconfira%2Da%2Dselecao%2Dde%2Deditais%2Dcom%2Dinscricoes%2Dabertas%2Dneste%2Dinicio%2Dde%2Dano%2F&amp;rut=ba06a35c3c324786627a851f5adae9dcf3bba62ced2a860561915b567e319960</t>
  </si>
  <si>
    <t xml:space="preserve">apoio na construção de soluções voltadas ao enfrentamento da crise climática e à preservação da vida, dos territórios e da natureza para as presentes e futuras gerações</t>
  </si>
  <si>
    <t xml:space="preserve">2026-07-15 a 2026-08-21</t>
  </si>
  <si>
    <t xml:space="preserve">até R$ 2.580.000,00</t>
  </si>
  <si>
    <t xml:space="preserve">Fundo Brasil de Direitos Humanos</t>
  </si>
  <si>
    <t xml:space="preserve">AM</t>
  </si>
  <si>
    <t xml:space="preserve">organizações de povos indígenas, quilombolas e comunidades tradicionais que atuam na defesa dos direitos territoriais, d</t>
  </si>
  <si>
    <t xml:space="preserve">op-1d732030c24f</t>
  </si>
  <si>
    <t xml:space="preserve">O Chamamento Público nº 002/2026, destinado à seleção de projetos culturais para execução de oficinas de músic… — Brasil</t>
  </si>
  <si>
    <t xml:space="preserve">o Chamamento Público nº 002/2026, destinado à seleção de projetos culturais para execução de oficinas de música, mediante celebração de Termo de Execução Cultur</t>
  </si>
  <si>
    <t xml:space="preserve">{'valor': 'poder_publico', 'fundamento': 'Município de Olindina/BA publica; recurso federal da PNAB.', 'em': '2026-10-02'}</t>
  </si>
  <si>
    <t xml:space="preserve">https://buscarlicitacao.com.br/licitacao/ba/olindina/13647854000106-1-000074/2026/edital-de-chamamento-publico-no-029-2026</t>
  </si>
  <si>
    <t xml:space="preserve">Prazo de inscrição, Resultado, Prazo de recurso</t>
  </si>
  <si>
    <t xml:space="preserve">informado (motor pncp, 2026-10-01)</t>
  </si>
  <si>
    <t xml:space="preserve">seleção de projetos culturais para execução de oficinas de música, mediante celebração de</t>
  </si>
  <si>
    <t xml:space="preserve">R$ 34.992,00</t>
  </si>
  <si>
    <t xml:space="preserve">MUNICIPIO DE OLINDINA</t>
  </si>
  <si>
    <t xml:space="preserve">BA</t>
  </si>
  <si>
    <t xml:space="preserve">Certidão de regularidade fiscal federalVálida na data da sessão, Certificado de regularida</t>
  </si>
  <si>
    <t xml:space="preserve">4 anexo(s)</t>
  </si>
  <si>
    <t xml:space="preserve">valida_fora_abrangencia — </t>
  </si>
  <si>
    <t xml:space="preserve">op-c79c9e33ec6b</t>
  </si>
  <si>
    <t xml:space="preserve">Chamamento público publicado no Diário Oficial em 28/08/2026 — Goiás / Pinhais</t>
  </si>
  <si>
    <t xml:space="preserve">Diário Oficial de Pinhais (PR) 2026-08-28 — "chamamento público" "organizações da sociedade civil"</t>
  </si>
  <si>
    <t xml:space="preserve">MINISTÉRIO DA CULTURA</t>
  </si>
  <si>
    <t xml:space="preserve">Pinhais</t>
  </si>
  <si>
    <t xml:space="preserve">{'valor': 'poder_publico', 'fundamento': 'publicado por ente/órgão público (classificação pelo órgão e pelo tipo; a confirmar na fonte)', 'em': '2026-10-02'}</t>
  </si>
  <si>
    <t xml:space="preserve">https://catalao.go.gov.br/producao/public/index.php/avisos/edital-de-chamamento-publico/chamamento-publico-politica-nacional-aldir-blanc-de-fomento-a-cultura-pnab</t>
  </si>
  <si>
    <t xml:space="preserve">Prazo de inscrição, Resultado, Prazo de recurso, Requisitos</t>
  </si>
  <si>
    <t xml:space="preserve">informado (motor querido-diario, 2026-10-03)</t>
  </si>
  <si>
    <t xml:space="preserve">fomento à execução de ações culturais</t>
  </si>
  <si>
    <t xml:space="preserve">informado (motor querido-diario, 2026-10-01)</t>
  </si>
  <si>
    <t xml:space="preserve">R$591.740,18</t>
  </si>
  <si>
    <t xml:space="preserve">Prefeitura Municipal de Catalão</t>
  </si>
  <si>
    <t xml:space="preserve">pendente — </t>
  </si>
  <si>
    <t xml:space="preserve">op-721dd3592abc</t>
  </si>
  <si>
    <t xml:space="preserve">Formalização de parceria através de Termo de Colaboração, com Organizações da Sociedade Civil (OSC), para aten… — Rio Grande do Sul</t>
  </si>
  <si>
    <t xml:space="preserve">Formalização de parceria através de Termo de Colaboração, com Organizações da Sociedade Civil (OSC), para atender até 30 (trinta) crianças na faixa etária de 0 </t>
  </si>
  <si>
    <t xml:space="preserve">RS</t>
  </si>
  <si>
    <t xml:space="preserve">https://pncp.gov.br/app/editais/98661366000106/2026/575</t>
  </si>
  <si>
    <t xml:space="preserve">2026-11-12</t>
  </si>
  <si>
    <t xml:space="preserve">Resultado, Prazo de recurso, Valor, Requisitos</t>
  </si>
  <si>
    <t xml:space="preserve">informado (Parecer 238 (02/10), 2026-10-02)</t>
  </si>
  <si>
    <t xml:space="preserve">Formalização de parceria através de Termo de Colaboração, com Organizações da Sociedade Civil (OSC), para atender até 30 (trinta) crianças na faixa etária de 0 (zero) a 4</t>
  </si>
  <si>
    <t xml:space="preserve">MUNICIPIO DE VERA CRUZ</t>
  </si>
  <si>
    <t xml:space="preserve">Termo de Colaboração (Lei 13.019/2014)</t>
  </si>
  <si>
    <t xml:space="preserve">Educação infantil</t>
  </si>
  <si>
    <t xml:space="preserve">{'observacao': 'VERIFICADO no PNCP (03/10/2026): busca por CNPJ do órgão em 3 anos não achou edição anterior com o mesmo objeto; livro sem série prévia (bronze legítimo). Previsão só após a próxima edição.'}</t>
  </si>
  <si>
    <t xml:space="preserve">op-ca8d792fd7ea</t>
  </si>
  <si>
    <t xml:space="preserve">Seleção de projetos culturais para fomento à execução de ações culturais com recursos da política nacional ald… — Minas Gerais</t>
  </si>
  <si>
    <t xml:space="preserve">SELEÇÃO DE PROJETOS CULTURAIS PARA FOMENTO À EXECUÇÃO DE AÇÕES CULTURAIS COM RECURSOS DA POLÍTICA NACIONAL ALDIR BLANC DE FOMENTO À CULTURA-PNAB LEI N 14.399202</t>
  </si>
  <si>
    <t xml:space="preserve">MG</t>
  </si>
  <si>
    <t xml:space="preserve">https://www.confins.mg.gov.br/portal/editais/0/1/643/</t>
  </si>
  <si>
    <t xml:space="preserve">https://pncp.gov.br/app/editais/01006232000110/2026/72</t>
  </si>
  <si>
    <t xml:space="preserve">{'inicio': '2026-10-05', 'fim': '2026-10-16'}</t>
  </si>
  <si>
    <t xml:space="preserve">informado (Parecer 238 (02/10), 2026-10-04)</t>
  </si>
  <si>
    <t xml:space="preserve">SELEÇÃO DE PROJETOS CULTURAIS PARA FOMENTO À EXECUÇÃO DE AÇÕES CULTURAIS COM RECURSOS DA POLÍTICA NACIONAL ALDIR BLANC DE FOMENTO À CULTURA-PNAB LEI N 14.3992022</t>
  </si>
  <si>
    <t xml:space="preserve">informado (motor pncp, 2026-10-04)</t>
  </si>
  <si>
    <t xml:space="preserve">Resultado preliminar do mérito em 2026-10-21</t>
  </si>
  <si>
    <t xml:space="preserve">2026-10-22 a 2026-10-26</t>
  </si>
  <si>
    <t xml:space="preserve">R$ 63.500,00 para 10 projetos</t>
  </si>
  <si>
    <t xml:space="preserve">PNCP - Portal Nacional de Contratações Públicas</t>
  </si>
  <si>
    <t xml:space="preserve">municipal (recurso federal PNAB)</t>
  </si>
  <si>
    <t xml:space="preserve">Residir/ser sediado em Confins e projeto enquadrado em categoria do item 2.6; cotas afirma</t>
  </si>
  <si>
    <t xml:space="preserve">Apoio financeiro a projetos culturais (PNAB)</t>
  </si>
  <si>
    <t xml:space="preserve">op-067ec11a3133</t>
  </si>
  <si>
    <t xml:space="preserve">Itaberaí — Edital seleciona projetos de Itaberaí (GO) para receberem recursos de prestação pecuniária — Goiás</t>
  </si>
  <si>
    <t xml:space="preserve">Itaberaí — Edital seleciona projetos de Itaberaí (GO) para receberem recursos de prestação pecuniária</t>
  </si>
  <si>
    <t xml:space="preserve">Conselho Nacional de Justiça (republicação)</t>
  </si>
  <si>
    <t xml:space="preserve">https://www.tjgo.jus.br/images/docs/CCS/editalitaberai.pdf</t>
  </si>
  <si>
    <t xml:space="preserve">2027-08-18</t>
  </si>
  <si>
    <t xml:space="preserve">{'inicio': None, 'fim': '2027-08-18'}</t>
  </si>
  <si>
    <t xml:space="preserve">Resultado, Requisitos, Área de atuação</t>
  </si>
  <si>
    <t xml:space="preserve">informado (Motor 11 — CNJ (prestações pecuniárias) — histórico de 3 ano, 2026-10-03)</t>
  </si>
  <si>
    <t xml:space="preserve">informado (motor judiciario-cnj-tjgo, 2026-10-02)</t>
  </si>
  <si>
    <t xml:space="preserve">a escolha é ato do juízo/MP, sem classificação entre concorrentes</t>
  </si>
  <si>
    <t xml:space="preserve">o valor é o da prestação ou do acordo, fixado no processo; o edital da vara/MP, quando houver, só indica a faixa</t>
  </si>
  <si>
    <t xml:space="preserve">https://www.cnj.jus.br/edital-seleciona-projetos-de-itaberai-go-para-receberem-recursos-de-prestacao-pecuniaria/</t>
  </si>
  <si>
    <t xml:space="preserve">{'observacao': 'Prestação pecuniária por comarca: sem edição própria comparável; republicação do CNJ de outro tribunal não é a mesma oportunidade. Não coletado.'}</t>
  </si>
  <si>
    <t xml:space="preserve">nova-9c02d7750df1</t>
  </si>
  <si>
    <t xml:space="preserve">Goiás Social aumenta repasse do Auxílio Nutricional às entidades filantrópicas — Goiás</t>
  </si>
  <si>
    <t xml:space="preserve">Goiás Social aumenta repasse do Auxílio Nutricional às entidades filantrópicas</t>
  </si>
  <si>
    <t xml:space="preserve">Outros programas</t>
  </si>
  <si>
    <t xml:space="preserve">oportunidade_mapeada</t>
  </si>
  <si>
    <t xml:space="preserve">{'valor': 'poder_publico', 'fundamento': 'Publicado pela SEDS/GO, com recurso do Tesouro estadual repassado a OSCs (Lei 13.019, art. 30, VI).', 'em': '2026-10-02'}</t>
  </si>
  <si>
    <t xml:space="preserve">https://goias.gov.br/social/edital-de-credenciamento-em-fluxo-continuo-n001-2026/</t>
  </si>
  <si>
    <t xml:space="preserve">2024, 2026</t>
  </si>
  <si>
    <t xml:space="preserve">{'inicio': '2026-08-27', 'fim': None}</t>
  </si>
  <si>
    <t xml:space="preserve">O Edital de Credenciamento SEDS nº 001/2026 segue em fluxo contínuo (vigência de 12 meses a partir de 27/08/2026). A errata de setembro/2026 só mudou os ciclos de análise</t>
  </si>
  <si>
    <t xml:space="preserve">dispensado pelo tipo: Inscrições abertas durante os 12 meses de vigência (até ~14/09/2027)</t>
  </si>
  <si>
    <t xml:space="preserve">informado (motor f260-captacao-098, 2026-10-03)</t>
  </si>
  <si>
    <t xml:space="preserve">Divulgação no site da SEDS e, quando exigível, no DOE-GO</t>
  </si>
  <si>
    <t xml:space="preserve">5 dias úteis</t>
  </si>
  <si>
    <t xml:space="preserve">informado (motor f260-captacao-098, 2026-10-01)</t>
  </si>
  <si>
    <t xml:space="preserve">regularmente constituídas e atuantes no Estado de Goiás, juridicamente, documentalmente e</t>
  </si>
  <si>
    <t xml:space="preserve">{'observacao': 'Série oficial identificada na API do site goias.gov.br (publicações 2023–2025): SEDS_ENT. Categoria específica pode ter edital próprio; conferir no Diário Oficial.'}</t>
  </si>
  <si>
    <t xml:space="preserve">confirmada pela validação individual em 2026-09-27</t>
  </si>
  <si>
    <t xml:space="preserve">op-9b1d2dfcbd4e</t>
  </si>
  <si>
    <t xml:space="preserve">BNDES abre chamada para apoiar projetos de organizações periféricas em todo o país — Brasil</t>
  </si>
  <si>
    <t xml:space="preserve">BNDES abre chamada para apoiar projetos de organizações periféricas em todo o país</t>
  </si>
  <si>
    <t xml:space="preserve">BNDES</t>
  </si>
  <si>
    <t xml:space="preserve">{'valor': 'poder_publico', 'fundamento': 'BNDES (empresa pública federal) publica e aporta recurso não reembolsável próprio.', 'em': '2026-10-02'}</t>
  </si>
  <si>
    <t xml:space="preserve">https://www.bndes.gov.br/wps/portal/site/home/onde-atuamos/social/bndes-periferias</t>
  </si>
  <si>
    <t xml:space="preserve">2026-08-18</t>
  </si>
  <si>
    <t xml:space="preserve">2026-12-04</t>
  </si>
  <si>
    <t xml:space="preserve">{'inicio': '2026-08-18', 'fim': '2026-12-04'}</t>
  </si>
  <si>
    <t xml:space="preserve">inclusão produtiva urbana em favelas e periferias</t>
  </si>
  <si>
    <t xml:space="preserve">2026-08-18 a 2026-12-04</t>
  </si>
  <si>
    <t xml:space="preserve">até 50% do valor total do projeto</t>
  </si>
  <si>
    <t xml:space="preserve">Pessoas jurídicas de direito privado sem fins lucrativos.</t>
  </si>
  <si>
    <t xml:space="preserve">op-c9ed2e3c065b</t>
  </si>
  <si>
    <t xml:space="preserve">Edital de chamamento público nº 15 /2026 - seleção espaços e ambientes de iniciativas artístico-culturais para… — Espírito Santo</t>
  </si>
  <si>
    <t xml:space="preserve">EDITAL DE CHAMAMENTO PÚBLICO Nº 15 /2026 - SELEÇÃO ESPAÇOS E AMBIENTES DE INICIATIVAS ARTÍSTICO-CULTURAIS PARA RECEBER SUBSÍDIO PARA MANUTENÇÃO - PNAB</t>
  </si>
  <si>
    <t xml:space="preserve">Mapa Cultural ES</t>
  </si>
  <si>
    <t xml:space="preserve">ES</t>
  </si>
  <si>
    <t xml:space="preserve">https://mapa.cultura.es.gov.br/oportunidade/2591/</t>
  </si>
  <si>
    <t xml:space="preserve">2026-09-04</t>
  </si>
  <si>
    <t xml:space="preserve">{'inicio': '2026-09-04', 'fim': '2026-09-29'}</t>
  </si>
  <si>
    <t xml:space="preserve">{'observacao': 'Edições anteriores achadas em Mapa Cultural ES (API) (mesmo publicador e mesmo programa, conferidas por leitura).'}</t>
  </si>
  <si>
    <t xml:space="preserve">nova-6f91da07d918</t>
  </si>
  <si>
    <t xml:space="preserve">Parque bondinho pao de acucar abre inscricoes para o edital 2026 de selecao de projetos culturais — Rio de Janeiro</t>
  </si>
  <si>
    <t xml:space="preserve">Parque bondinho pao de acucar abre inscricoes para o edital 2026 de selecao de projetos culturais</t>
  </si>
  <si>
    <t xml:space="preserve">Observatório do 3º Setor</t>
  </si>
  <si>
    <t xml:space="preserve">RJ</t>
  </si>
  <si>
    <t xml:space="preserve">{'valor': 'iniciativa_privada', 'fundamento': 'publicado por empresa, instituto ou fundação privada (classificação pelo órgão; a confirmar na fonte)', 'em': '2026-10-02'}</t>
  </si>
  <si>
    <t xml:space="preserve">https://blog.bondinho.com.br/parque-bondinho-pao-de-acucar-abre-inscricoes-para-o-edital-2026-de-selecao-de-projetos-culturais/</t>
  </si>
  <si>
    <t xml:space="preserve">2026-09-16</t>
  </si>
  <si>
    <t xml:space="preserve">2026-10-09</t>
  </si>
  <si>
    <t xml:space="preserve">{'inicio': '2026-09-16', 'fim': '2026-10-09'}</t>
  </si>
  <si>
    <t xml:space="preserve">informado (Piloto - Espião, 2026-10-01)</t>
  </si>
  <si>
    <t xml:space="preserve">apoio financeiro para projetos culturais</t>
  </si>
  <si>
    <t xml:space="preserve">2026-09-16 a 2026-10-09</t>
  </si>
  <si>
    <t xml:space="preserve">2026-12-00</t>
  </si>
  <si>
    <t xml:space="preserve">informado (Piloto - Espião, 2026-10-04)</t>
  </si>
  <si>
    <t xml:space="preserve">Parque Bondinho Pão de Açúcar®</t>
  </si>
  <si>
    <t xml:space="preserve">ler o Regulamento, preencher os modelos de documentos obrigatórios</t>
  </si>
  <si>
    <t xml:space="preserve">informado (Piloto - Espião, 2026-10-02)</t>
  </si>
  <si>
    <t xml:space="preserve">Regulamento e modelos de documentos obrigatórios: https://drive.google.com/drive/folders/1</t>
  </si>
  <si>
    <t xml:space="preserve">op-939fd24445e2</t>
  </si>
  <si>
    <t xml:space="preserve">Editais de Fomento a Ações de Prevenção e Combate de Incêndios Florestais na Amazônia e Pantanal — Brasil</t>
  </si>
  <si>
    <t xml:space="preserve">Editais de Fomento a Ações de Prevenção e Combate de Incêndios Florestais na Amazônia e Pantanal</t>
  </si>
  <si>
    <t xml:space="preserve">{'valor': 'poder_publico', 'fundamento': 'Anunciado pelo Ministério do Meio Ambiente (órgão federal).', 'em': '2026-10-02'}</t>
  </si>
  <si>
    <t xml:space="preserve">https://www.gov.br/mma/pt-br/noticias/mma-anuncia-editais-com-r-34-5-milhoes-para-financiar-acoes-de-prevencao-e-combate-a-incendios-florestais</t>
  </si>
  <si>
    <t xml:space="preserve">{'observacao': 'VERIFICADO em 03/10/2026 (notícia oficial do MMA): editais publicados em 10/06/2025; nova edição em 2026 não localizada.'}</t>
  </si>
  <si>
    <t xml:space="preserve">op-ef9a4a15a189</t>
  </si>
  <si>
    <t xml:space="preserve">Edital de Apoio a Projetos para a Melhoria de Resíduos Sólidos em Minas Gerais — Brasil</t>
  </si>
  <si>
    <t xml:space="preserve">Edital de Apoio a Projetos para a Melhoria de Resíduos Sólidos em Minas Gerais</t>
  </si>
  <si>
    <t xml:space="preserve">https://sinir.gov.br/perfis/editais/edital-catadores-fnma-sqa-no-1-2024/</t>
  </si>
  <si>
    <t xml:space="preserve">Prazo de inscrição, Resultado, Prazo de recurso, Valor</t>
  </si>
  <si>
    <t xml:space="preserve">informado (motor fnma, 2026-10-01)</t>
  </si>
  <si>
    <t xml:space="preserve">seleção de propostas que receberão recursos financeiros</t>
  </si>
  <si>
    <t xml:space="preserve">Ministério do Meio Ambiente e Mudança do Clima</t>
  </si>
  <si>
    <t xml:space="preserve">ser cooperativa ou associação de catadoras e catadores de materiais reutilizáveis e recicl</t>
  </si>
  <si>
    <t xml:space="preserve">meio_ambiente</t>
  </si>
  <si>
    <t xml:space="preserve">{'observacao': 'VERIFICADO em 03/10/2026 (SINIR e MMA): edital FNMA/SQA 1/2024 (R$ 8 mi) lançado em 07/06/2024, resultado definitivo em 2025; segunda edição do mesmo objeto não localizada.'}</t>
  </si>
  <si>
    <t xml:space="preserve">op-66d20f1b88e1</t>
  </si>
  <si>
    <t xml:space="preserve">Prêmio Ibermúsicas de composição de obra para Orquestra Sinfônica 2026: USD 2.500 e estreia por orquestra naci… — Brasil</t>
  </si>
  <si>
    <t xml:space="preserve">Prêmio Ibermúsicas de composição de obra para Orquestra Sinfônica 2026: USD 2.500 e estreia por orquestra nacional</t>
  </si>
  <si>
    <t xml:space="preserve">https://www.gov.br/funarte/pt-br/editais/2026/programa-ibermusicas-convocatorias-2026/premio-ibermusicas-de-composicao-de-obra-para-orquestra-sinfonica</t>
  </si>
  <si>
    <t xml:space="preserve">2023, 2026</t>
  </si>
  <si>
    <t xml:space="preserve">fortalecer la creación de obra sinfónica nueva para ampliar el repertorio iberoamericano e</t>
  </si>
  <si>
    <t xml:space="preserve">2026-10-01 (23h59 de cada país)</t>
  </si>
  <si>
    <t xml:space="preserve">2026-11-27, no site do Ibermúsicas</t>
  </si>
  <si>
    <t xml:space="preserve">não existe fase de recurso — a decisão do júri não pode ser apelada</t>
  </si>
  <si>
    <t xml:space="preserve">USD 2.500 por obra premiada (EUR 2.500 para Portugal) + estreia mundial por orquestra naci</t>
  </si>
  <si>
    <t xml:space="preserve">Conselho Intergovernamental Ibermúsicas</t>
  </si>
  <si>
    <t xml:space="preserve">internacional</t>
  </si>
  <si>
    <t xml:space="preserve">leitura, na íntegra, de todo o regulamento da chamada</t>
  </si>
  <si>
    <t xml:space="preserve">Prêmio em dinheiro por transferência bancária, mais estreia da obra</t>
  </si>
  <si>
    <t xml:space="preserve">Música (composição para orquestra sinfônica)</t>
  </si>
  <si>
    <t xml:space="preserve">{'observacao': 'Edições anteriores achadas em Funarte (páginas oficiais) (mesmo publicador e mesmo programa, conferidas por leitura).'}</t>
  </si>
  <si>
    <t xml:space="preserve">curadoria-007</t>
  </si>
  <si>
    <t xml:space="preserve">Banrisul Instituto Cultural e Social — Edital Merece! — Rio Grande do Sul</t>
  </si>
  <si>
    <t xml:space="preserve">Banrisul Instituto Cultural e Social — Edital Merece!</t>
  </si>
  <si>
    <t xml:space="preserve">Banrisul Instituto Cultural e Social</t>
  </si>
  <si>
    <t xml:space="preserve">Fundações e institutos privados</t>
  </si>
  <si>
    <t xml:space="preserve">edital</t>
  </si>
  <si>
    <t xml:space="preserve">https://banrisulcultural.com.br/editais/</t>
  </si>
  <si>
    <t xml:space="preserve">https://inscricoes.banrisulcultural.com.br/</t>
  </si>
  <si>
    <t xml:space="preserve">sem_observacao</t>
  </si>
  <si>
    <t xml:space="preserve">nenhuma</t>
  </si>
  <si>
    <t xml:space="preserve">{'observacao': 'VERIFICADO em 03/10/2026 (site Banrisul Cultural e imprensa): Merece! lançado em julho/2026, sem edição anterior achada. Primeira edição conhecida.'}</t>
  </si>
  <si>
    <t xml:space="preserve">lida, edital encontrado</t>
  </si>
  <si>
    <t xml:space="preserve">nova-01619b77b6f8</t>
  </si>
  <si>
    <t xml:space="preserve">Como Solicitar uma Doação — Brasil</t>
  </si>
  <si>
    <t xml:space="preserve">Como Solicitar uma Doação</t>
  </si>
  <si>
    <t xml:space="preserve">Motor de Recorrência — revisita as oportunidades identificadas</t>
  </si>
  <si>
    <t xml:space="preserve">{'valor': 'iniciativa_privada', 'fundamento': 'Instituto filantrópico privado com recursos próprios/doadores.', 'em': '2026-10-02'}</t>
  </si>
  <si>
    <t xml:space="preserve">https://climaesociedade.org/como-solicitar-uma-doacao</t>
  </si>
  <si>
    <t xml:space="preserve">cont</t>
  </si>
  <si>
    <t xml:space="preserve">{'inicio': None, 'fim': 'contínuo'}</t>
  </si>
  <si>
    <t xml:space="preserve">O iCS segue recebendo propostas espontâneas o ano todo (fluxo contínuo) por Carta de Intenção no sistema Fluxx, com 4 a 6 meses de antecedência.</t>
  </si>
  <si>
    <t xml:space="preserve">informado (motor recorrencia, 2026-10-04)</t>
  </si>
  <si>
    <t xml:space="preserve">Fluxo contínuo: Carta de Intenção recebida o ano todo</t>
  </si>
  <si>
    <t xml:space="preserve">Instituto Climático da Sociedade (iCS)</t>
  </si>
  <si>
    <t xml:space="preserve">ser Organização da Sociedade Civil (OSC), ter CNPJ ou ser movimento ou grupo comunitário q</t>
  </si>
  <si>
    <t xml:space="preserve">Questão climática (eixos programáticos)</t>
  </si>
  <si>
    <t xml:space="preserve">confirmada pela validação individual em 2026-10-03</t>
  </si>
  <si>
    <t xml:space="preserve">nova-ac18334f53bb</t>
  </si>
  <si>
    <t xml:space="preserve">Editais de Destinação de Recursos ou Bens — Goiás</t>
  </si>
  <si>
    <t xml:space="preserve">Editais de Destinação de Recursos ou Bens</t>
  </si>
  <si>
    <t xml:space="preserve">Ministérios Públicos — editais de destinação de recursos de reparação e bens lesados</t>
  </si>
  <si>
    <t xml:space="preserve">{'valor': 'poder_publico', 'fundamento': 'Publica o MPT (Ministério Público da União); valores de TAC/condenação trabalhista (ExTAC 0010025-57.2019.5.18.0171).', 'em': '2026-10-02'}</t>
  </si>
  <si>
    <t xml:space="preserve">https://www.prt18.mpt.mp.br/servicos/editais-de-destinacao-de-recursos-bens</t>
  </si>
  <si>
    <t xml:space="preserve">2026-10-01</t>
  </si>
  <si>
    <t xml:space="preserve">2026-10-06</t>
  </si>
  <si>
    <t xml:space="preserve">{'inicio': '2026-10-01', 'fim': '2026-10-06'}</t>
  </si>
  <si>
    <t xml:space="preserve">MPT 18ª Região (Goiás) — página permanente de Editais de Destinação de Recursos ou Bens. Edital aberto mais recente: nº 9282.2026 (PTM Anápolis, PA-TAC 000558.2026.18.003</t>
  </si>
  <si>
    <t xml:space="preserve">informado (motor plat-mp-destinacoes-reparacao, 2026-10-04)</t>
  </si>
  <si>
    <t xml:space="preserve">5 dias a contar de 01/10/2026 (≈06/10/2026, contagem em dias corridos; o edital não diz se</t>
  </si>
  <si>
    <t xml:space="preserve">até R$ 94.428,74</t>
  </si>
  <si>
    <t xml:space="preserve">Ministério Público do Trabalho em Goiás</t>
  </si>
  <si>
    <t xml:space="preserve">pessoa jurídica de direito privado com projeto social, atos constitutivos, certidões fisca</t>
  </si>
  <si>
    <t xml:space="preserve">projeto social com pertinência temática ao PA-INTER ou à defesa de interesses difusos trab</t>
  </si>
  <si>
    <t xml:space="preserve">interesses difusos trabalhistas (projetos sociais)</t>
  </si>
  <si>
    <t xml:space="preserve">{'observacao': 'Destinação por Ministério Público: editais pontuais; a tabela atual do MPT-GO lista só editais vigentes (sem histórico). Conferir o Sistema de Destinações e as notícias do órgão em 2023–2025. Não coletado.'}</t>
  </si>
  <si>
    <t xml:space="preserve">confirmada pela validação individual em 2026-10-02</t>
  </si>
  <si>
    <t xml:space="preserve">op-64a8ce750549</t>
  </si>
  <si>
    <t xml:space="preserve">Delfina Foundation promove residência em Londres para artistas visuais de Portugal e de Países Africanos de Lí… — Internacional</t>
  </si>
  <si>
    <t xml:space="preserve">Delfina Foundation promove residência em Londres para artistas visuais de Portugal e de Países Africanos de Língua Portuguesa</t>
  </si>
  <si>
    <t xml:space="preserve">{'valor': 'iniciativa_privada', 'fundamento': 'Delfina Foundation (fundação independente) com a Fundação Calouste Gulbenkian, recurso próprio.', 'em': '2026-10-02'}</t>
  </si>
  <si>
    <t xml:space="preserve">https://www.delfinafoundation.com/open-calls/current/open-call-for-artists-from-portugal-or-portugese-speaking-african-nations/</t>
  </si>
  <si>
    <t xml:space="preserve">2026-10-04</t>
  </si>
  <si>
    <t xml:space="preserve">{'inicio': None, 'fim': '2026-10-04'}</t>
  </si>
  <si>
    <t xml:space="preserve">Residência de 12 semanas em Londres, totalmente financiada, para artistas visuais contemporâneos (28/06 a 17/09/2027)</t>
  </si>
  <si>
    <t xml:space="preserve">Até 04/10/2026, 23h59 BST</t>
  </si>
  <si>
    <t xml:space="preserve">informado (motor agregadores · farolcultural, 2026-10-04)</t>
  </si>
  <si>
    <t xml:space="preserve">Residência totalmente financiada: passagem de ida e volta, ajuda de custo de £40/dia, verba de materiais de £1.200, reembolso de visto, passe de transporte e quarto individual</t>
  </si>
  <si>
    <t xml:space="preserve">Delfina Foundation (Londres) em parceria com a Fundação Gulbenkian (UK Branch)</t>
  </si>
  <si>
    <t xml:space="preserve">Reino Unido (residência em Londres); candidatos nascidos em Portugal e países africanos de língua portuguesa</t>
  </si>
  <si>
    <t xml:space="preserve">Internacional (fundações privadas)</t>
  </si>
  <si>
    <t xml:space="preserve">Artistas visuais contemporâneos nascidos em Portugal, Angola, Moçambique, Guiné-Bissau, Cabo Verde ou São Tomé e Príncipe; quem reside no Reino Unido não é elegível</t>
  </si>
  <si>
    <t xml:space="preserve">Formulário de candidatura online e Guidance Notes (PDF)</t>
  </si>
  <si>
    <t xml:space="preserve">Residência com programa de apresentações, críticas, revisão de portfólio e mentoria</t>
  </si>
  <si>
    <t xml:space="preserve">Artes visuais contemporâneas</t>
  </si>
  <si>
    <t xml:space="preserve">{'observacao': 'Página oficial da Delfina lida; guia PDF lido. Brasil NÃO elegível (nascidos em Portugal/PALOP).'}</t>
  </si>
  <si>
    <t xml:space="preserve">op-cadfb96d5365</t>
  </si>
  <si>
    <t xml:space="preserve">️ A Conjunta considera que este edital apoia o desenvolvimento institucional de organizações da sociedade civi… — Brasil</t>
  </si>
  <si>
    <t xml:space="preserve">️ A Conjunta considera que este edital apoia o desenvolvimento institucional de organizações da sociedade civil , pois apoia organizações que promovem e fortale</t>
  </si>
  <si>
    <t xml:space="preserve">{'valor': 'iniciativa_privada', 'fundamento': 'Instituto ACP (instituto privado) publica e apoia com recurso próprio.', 'em': '2026-10-02'}</t>
  </si>
  <si>
    <t xml:space="preserve">https://www.institutoacp.org.br/chamadaaberta</t>
  </si>
  <si>
    <t xml:space="preserve">informado (motor plat-piloto-aberto, 2026-10-01)</t>
  </si>
  <si>
    <t xml:space="preserve">desenvolvimento institucional de organizações da sociedade civil</t>
  </si>
  <si>
    <t xml:space="preserve">dispensado pelo edital: retornos contínuos, sem datas preestabelecidas</t>
  </si>
  <si>
    <t xml:space="preserve">informado (motor plat-piloto-aberto, 2026-10-03)</t>
  </si>
  <si>
    <t xml:space="preserve">teto: cotas acima de R$ 100 mil não são apoiadas</t>
  </si>
  <si>
    <t xml:space="preserve">Instituto ACP</t>
  </si>
  <si>
    <t xml:space="preserve">contribuir ao fortalecimento institucional de OSCs; contemplar ao menos 1 das 9 dimensões;</t>
  </si>
  <si>
    <t xml:space="preserve">desenvolvimento institucional: governança, planejamento, M&amp;A, pessoas, comunicação, captaç</t>
  </si>
  <si>
    <t xml:space="preserve">op-74c12b78444f</t>
  </si>
  <si>
    <t xml:space="preserve">Mover se na web lanca chamada para projetos de inovacao tecnologica — Brasil</t>
  </si>
  <si>
    <t xml:space="preserve">Mover se na web lanca chamada para projetos de inovacao tecnologica</t>
  </si>
  <si>
    <t xml:space="preserve">{'valor': 'mista', 'fundamento': 'CGI.br/NIC.br (entidade privada sem fins lucrativos que administra recursos do registro .br, de interesse público).', 'em': '2026-10-02'}</t>
  </si>
  <si>
    <t xml:space="preserve">https://captadores.org.br/editais/mover-se-na-web-lanca-chamada-para-projetos-de-inovacao-tecnologica/</t>
  </si>
  <si>
    <t xml:space="preserve">projetos de inovação tecnológica que tenham potencial para impactar positivamente problema</t>
  </si>
  <si>
    <t xml:space="preserve">até 250 mil reais para o desenvolvimento de seus projetos</t>
  </si>
  <si>
    <t xml:space="preserve">Comitê Gestor da Internet no Brasil (CGI.br) e o Centro de Estudos sobre Tecnologias Web (</t>
  </si>
  <si>
    <t xml:space="preserve">organizações da sociedade civil sem fins lucrativos com pelo menos dois anos de atuação e</t>
  </si>
  <si>
    <t xml:space="preserve">op-b6129b4007f2</t>
  </si>
  <si>
    <t xml:space="preserve">Chamamento público publicado no Diário Oficial em 25/09/2026 — Goiás / Goiânia</t>
  </si>
  <si>
    <t xml:space="preserve">Diário Oficial de Goiânia (GO) 2026-09-25 — "edital de chamamento público" associação</t>
  </si>
  <si>
    <t xml:space="preserve">Prefeitura de Goiânia</t>
  </si>
  <si>
    <t xml:space="preserve">{'valor': 'poder_publico', 'fundamento': 'A SEGENP/Prefeitura de Goiânia publica o edital, com dotação orçamentária municipal (fonte 1500).', 'em': '2026-10-02'}</t>
  </si>
  <si>
    <t xml:space="preserve">https://www.goiania.go.gov.br/Download/legislacao/diariooficial/2026/do_20260925_000008871.pdf</t>
  </si>
  <si>
    <t xml:space="preserve">2026-09-25</t>
  </si>
  <si>
    <t xml:space="preserve">2026-10-26</t>
  </si>
  <si>
    <t xml:space="preserve">{'inicio': '2026-09-25', 'fim': '2026-10-26'}</t>
  </si>
  <si>
    <t xml:space="preserve">atender às programações previstas no Anexo I deste Decreto</t>
  </si>
  <si>
    <t xml:space="preserve">informado (motor querido-diario, 2026-10-04)</t>
  </si>
  <si>
    <t xml:space="preserve">Resultado definitivo 06/11/2026</t>
  </si>
  <si>
    <t xml:space="preserve">29/10 a 05/11/2026 (5 dias úteis); habilitação 09 a 10/11</t>
  </si>
  <si>
    <t xml:space="preserve">R$ 4.253.257,53</t>
  </si>
  <si>
    <t xml:space="preserve">OSC do art. 2º, I, Lei 13.019 com objetivos estatutários compatíveis</t>
  </si>
  <si>
    <t xml:space="preserve">fora do escopo · outro</t>
  </si>
  <si>
    <t xml:space="preserve">cultura, lazer e entretenimento natalino</t>
  </si>
  <si>
    <t xml:space="preserve">op-51f046c260a3</t>
  </si>
  <si>
    <t xml:space="preserve">Organização Internacional para as Migrações abre edital para projetos comunitários na Amazônia — Brasil</t>
  </si>
  <si>
    <t xml:space="preserve">Organização Internacional para as Migrações abre edital para projetos comunitários na Amazônia</t>
  </si>
  <si>
    <t xml:space="preserve">ABCR — Associação Brasileira de Captadores</t>
  </si>
  <si>
    <t xml:space="preserve">https://captadores.org.br/editais/organizacao-internacional-para-as-migracoes-abre-edital-para-projetos-comunitarios-na-amazonia</t>
  </si>
  <si>
    <t xml:space="preserve">op-52adeef24514</t>
  </si>
  <si>
    <t xml:space="preserve">Credenciamento de organizações da sociedade civil, para fins de habilitação prévia e composição de cadastro de… — Distrito Federal</t>
  </si>
  <si>
    <t xml:space="preserve">Credenciamento de organizações da sociedade civil, para fins de habilitação prévia e composição de cadastro de parceiros aptos a propor, estruturar e executar, </t>
  </si>
  <si>
    <t xml:space="preserve">PNCP — SECRETARIA DA MICRO E PEQUENA EMPRESA</t>
  </si>
  <si>
    <t xml:space="preserve">DF</t>
  </si>
  <si>
    <t xml:space="preserve">https://pncp.gov.br/app/editais/18299670000116/2026/59</t>
  </si>
  <si>
    <t xml:space="preserve">op-a4c620400de5</t>
  </si>
  <si>
    <t xml:space="preserve">Secult Goiás divulga plano de ação final do edital Arranjos Regionais 2026 — Goiás</t>
  </si>
  <si>
    <t xml:space="preserve">Secult Goiás divulga plano de ação final do edital Arranjos Regionais 2026</t>
  </si>
  <si>
    <t xml:space="preserve">https://goias.gov.br/cultura/</t>
  </si>
  <si>
    <t xml:space="preserve">op-32e97cdc706c</t>
  </si>
  <si>
    <t xml:space="preserve">O edital estabelece critérios para a seleção de projetos de organizações da sociedade civil voltados à promoçã… — Brasil</t>
  </si>
  <si>
    <t xml:space="preserve">O  edital  estabelece critérios para a seleção de projetos de  organizações   da   sociedade   civil  voltados à promoção  da  justiça climática com perspectiva</t>
  </si>
  <si>
    <t xml:space="preserve">Piloto - Espião — busca aberta no terceiro setor</t>
  </si>
  <si>
    <t xml:space="preserve">https://www.gov.br/mulheres/pt-br/acesso-a-informacao/editais/2026/edital-justica-climatica</t>
  </si>
  <si>
    <t xml:space="preserve">nova-5101f5d3ab19</t>
  </si>
  <si>
    <t xml:space="preserve">Instituto porto abre edital para apoiar projetos educacionais na grande sao paulo — Brasil</t>
  </si>
  <si>
    <t xml:space="preserve">Instituto porto abre edital para apoiar projetos educacionais na grande sao paulo</t>
  </si>
  <si>
    <t xml:space="preserve">https://captadores.org.br/editais/instituto-porto-abre-edital-para-apoiar-projetos-educacionais-na-grande-sao-paulo/</t>
  </si>
  <si>
    <t xml:space="preserve">op-90b04093eff9</t>
  </si>
  <si>
    <t xml:space="preserve">Onu abre chamada para financiamento de organizacoes da sociedade civil — Internacional</t>
  </si>
  <si>
    <t xml:space="preserve">Onu abre chamada para financiamento de organizacoes da sociedade civil</t>
  </si>
  <si>
    <t xml:space="preserve">https://captadores.org.br/editais/onu-abre-chamada-para-financiamento-de-organizacoes-da-sociedade-civil/</t>
  </si>
  <si>
    <t xml:space="preserve">Assistência a vítimas de escravidão contemporânea via subsídios a organizações da sociedade civil</t>
  </si>
  <si>
    <t xml:space="preserve">15 de janeiro a 1º de março de cada ano</t>
  </si>
  <si>
    <t xml:space="preserve">Notificação em dezembro (sessão do Conselho em novembro)</t>
  </si>
  <si>
    <t xml:space="preserve">US$ 15.000 a 35.000 por ano, por subsídio (um ano; renovável até cinco anos)</t>
  </si>
  <si>
    <t xml:space="preserve">Escritório do Alto Comissariado da ONU para Direitos Humanos (ACNUDH/OHCHR)</t>
  </si>
  <si>
    <t xml:space="preserve">Internacional (sem restrição de país no texto lido)</t>
  </si>
  <si>
    <t xml:space="preserve">Internacional (sistema ONU)</t>
  </si>
  <si>
    <t xml:space="preserve">Somente organizações da sociedade civil; inadmissíveis entidades governamentais, parlamentares, administrativas, partidos e movimentos de libertação nacional; inscrição pelo portal GMS em inglês, francês ou espanhol</t>
  </si>
  <si>
    <t xml:space="preserve">Formulário online no GMS; Guidelines do Fundo e Manual do usuário (GMS); planilha orçamentária (job aid)</t>
  </si>
  <si>
    <t xml:space="preserve">Subsídio anual a projetos de assistência a vítimas de escravidão contemporânea</t>
  </si>
  <si>
    <t xml:space="preserve">Direitos humanos — combate à escravidão contemporânea</t>
  </si>
  <si>
    <t xml:space="preserve">verificado_prata — </t>
  </si>
  <si>
    <t xml:space="preserve">{'observacao': "Agregador (Captadores) remete a fundos do ACNUDH/OHCHR. Página oficial do Fundo Voluntário da ONU para Formas Contemporâneas de Escravidão (ohchr.org) diz: 'The annual call for applications is open every year from 15 January to 1 March', subsídios de US$ 15.000 a 35.000, para o ano seguinte — regime ANUAL declarado, mas sem páginas por ano para provar edições 2023-2025. Há também o</t>
  </si>
  <si>
    <t xml:space="preserve">op-ee56b31416f1</t>
  </si>
  <si>
    <t xml:space="preserve">Ars Biologica — Residência Arte-Ciência (Ars Electronica / České Budějovice 2028) | FAROL — Internacional</t>
  </si>
  <si>
    <t xml:space="preserve">Ars Biologica — Residência Arte-Ciência (Ars Electronica / České Budějovice 2028) | FAROL</t>
  </si>
  <si>
    <t xml:space="preserve">https://ars.electronica.art/export/en/ecoc2028-ars-biologica-art-science-residency/</t>
  </si>
  <si>
    <t xml:space="preserve">2026-09-28</t>
  </si>
  <si>
    <t xml:space="preserve">{'inicio': None, 'fim': '2026-09-28'}</t>
  </si>
  <si>
    <t xml:space="preserve">Duas vagas de residência ArtXScience totalmente financiada, com colaboração direta com cientistas locais (microrganismos de solo e água) e obra espacial exposta no Ars Biologica Festival 2028</t>
  </si>
  <si>
    <t xml:space="preserve">01/07 a 28/09/2026 (encerrada)</t>
  </si>
  <si>
    <t xml:space="preserve">České Budějovice – Capital Europeia da Cultura 2028 e Ars Electronica; parceiro científico: Biology Centre da Academia Tcheca de Ciências</t>
  </si>
  <si>
    <t xml:space="preserve">České Budějovice, República Tcheca</t>
  </si>
  <si>
    <t xml:space="preserve">Internacional (Capital Europeia da Cultura)</t>
  </si>
  <si>
    <t xml:space="preserve">Artistas, designers, criativos ou coletivos; candidatura online em inglês com título, descrição (250 palavras), direção científica, visão artística, conexão com a comunidade, pitch curto e material visual; concordar com os direitos da chamada; rodada 2 de entrevistas</t>
  </si>
  <si>
    <t xml:space="preserve">Formulário online; links de material visual (3–7 imagens) e vídeo opcional de 1 minuto</t>
  </si>
  <si>
    <t xml:space="preserve">Residência (jan/2027–abr/2028) com fases de acolhimento, troca remota e presencial e produção da obra (IP permanece com o artista)</t>
  </si>
  <si>
    <t xml:space="preserve">Arte e ciência / emergência climática, água e agricultura sustentável</t>
  </si>
  <si>
    <t xml:space="preserve">{'observacao': 'Chamada ENCERRADA em 28/09/2026. Residência individual de artistas (jan/2027–abr/2028) ligada a Budějovice 2028 (Capital Europeia da Cultura): não é chamada para OSC e é pontual (não recorrente comprovado).'}</t>
  </si>
  <si>
    <t xml:space="preserve">op-124d3e34e79a</t>
  </si>
  <si>
    <t xml:space="preserve">Artistas, designers e criativos podem candidatar-se à Residência Ars Biologica ArtXScience (Áustria e Repúblic… — Internacional</t>
  </si>
  <si>
    <t xml:space="preserve">Artistas, designers e criativos podem candidatar-se à Residência Ars Biologica ArtXScience (Áustria e República Checa) | FAROL</t>
  </si>
  <si>
    <t xml:space="preserve">https://www.dgartes.gov.pt/pt/node/10240</t>
  </si>
  <si>
    <t xml:space="preserve">{'observacao': 'Mesma chamada Ars Biologica (ver op-ee56b31416f1); a página da DGARTES é resumo português — não prova edição. Livro duplicado: sugerir junção.'}</t>
  </si>
  <si>
    <t xml:space="preserve">op-805835db8e7e</t>
  </si>
  <si>
    <t xml:space="preserve">Chamamento público publicado no Diário Oficial em 27/08/2026 — Brasil</t>
  </si>
  <si>
    <t xml:space="preserve">Diário Oficial de Valparaíso (SP) 2026-08-27 — "edital de chamamento público" associação</t>
  </si>
  <si>
    <t xml:space="preserve">https://data.queridodiario.ok.org.br/3556305/2026-08-27/c1f0752a75f98833c12fe9ddda31e4cc37db7489.pdf</t>
  </si>
  <si>
    <t xml:space="preserve">Prazo de inscrição, Resultado, Prazo de recurso, Valor, Requisitos, Destinação</t>
  </si>
  <si>
    <t xml:space="preserve">Dispõe sobre a aprovação do Aditivo 2 - Plano de Trabalho Anual 2026 do Serviço de Acolhim</t>
  </si>
  <si>
    <t xml:space="preserve">Conselho Municipal de Assistência Social – CMAS</t>
  </si>
  <si>
    <t xml:space="preserve">SP</t>
  </si>
  <si>
    <t xml:space="preserve">op-8250764f3621</t>
  </si>
  <si>
    <t xml:space="preserve">Edital de chamamento público mestra francisca rodrigues 2ª edição para premiação de pontos de cultura - edital… — Ceará</t>
  </si>
  <si>
    <t xml:space="preserve">EDITAL DE CHAMAMENTO PÚBLICO MESTRA FRANCISCA RODRIGUES 2ª EDIÇÃO PARA PREMIAÇÃO DE PONTOS DE CULTURA - EDITAL Nº 003/2026-PNAB | FAROL</t>
  </si>
  <si>
    <t xml:space="preserve">CE</t>
  </si>
  <si>
    <t xml:space="preserve">https://mapacultural.secult.ce.gov.br/oportunidade/8349/</t>
  </si>
  <si>
    <t xml:space="preserve">Resultado, Prazo de recurso, Valor, Esfera, Requisitos, Destinação, Área de atuação</t>
  </si>
  <si>
    <t xml:space="preserve">informado (Semente dos motores 24–39 (estudo de 03/10), 2026-10-03)</t>
  </si>
  <si>
    <t xml:space="preserve">EDITAL DE CHAMAMENTO PÚBLICO MESTRA FRANCISCA RODRIGUES</t>
  </si>
  <si>
    <t xml:space="preserve">Mapa Cultural</t>
  </si>
  <si>
    <t xml:space="preserve">{'observacao': 'VERIFICADO no Mapa Cultural (API, 03/10/2026): o mesmo publicador não tem edição anterior (2023-10 a 2025-12) com objeto equivalente (≥50% dos termos). Publicadores com muitos editais parecidos (PNAB por linguagem) merecem conferência manual.'}</t>
  </si>
  <si>
    <t xml:space="preserve">op-70d254891b63</t>
  </si>
  <si>
    <t xml:space="preserve">Edital PNAB Patrocínio do Muriaé 2026: Guia de Inscrição · Capitaai — Brasil</t>
  </si>
  <si>
    <t xml:space="preserve">Edital PNAB Patrocínio do Muriaé 2026: Guia de Inscrição · Capitaai</t>
  </si>
  <si>
    <t xml:space="preserve">https://www.planalto.gov.br/ccivil_03/_ato2023-2026/2023/lei/l14553.htm</t>
  </si>
  <si>
    <t xml:space="preserve">2026-10-02</t>
  </si>
  <si>
    <t xml:space="preserve">{'inicio': None, 'fim': '2026-10-02'}</t>
  </si>
  <si>
    <t xml:space="preserve">op-348bb882b251</t>
  </si>
  <si>
    <t xml:space="preserve">Edital Sobral 2026: Projetos Culturais e PNAB · Capitaai — Brasil</t>
  </si>
  <si>
    <t xml:space="preserve">Edital Sobral 2026: Projetos Culturais e PNAB · Capitaai</t>
  </si>
  <si>
    <t xml:space="preserve">https://www.planalto.gov.br/ccivil_03/leis/leis_horiz.htm</t>
  </si>
  <si>
    <t xml:space="preserve">informado (motor agregadores · capitaai, 2026-10-01)</t>
  </si>
  <si>
    <t xml:space="preserve">Seleciona projetos culturais de Sobral nas áreas de cultura e infâncias, circulação de obr</t>
  </si>
  <si>
    <t xml:space="preserve">Por projetoaté R$ 10.000,00</t>
  </si>
  <si>
    <t xml:space="preserve">Sejuc</t>
  </si>
  <si>
    <t xml:space="preserve">Pessoa física deve ter 18 anos ou mais, residir em Sobral há pelo menos 2 anos e comprovar</t>
  </si>
  <si>
    <t xml:space="preserve">op-ccbd3793ad5d</t>
  </si>
  <si>
    <t xml:space="preserve">Edital Santa Bárbara do Pará 2026: Projetos Culturais · Capitaai — Brasil</t>
  </si>
  <si>
    <t xml:space="preserve">Edital Santa Bárbara do Pará 2026: Projetos Culturais · Capitaai</t>
  </si>
  <si>
    <t xml:space="preserve">{'valor': 'poder_publico', 'fundamento': 'Prefeitura municipal com recurso público (provavelmente PNAB), segundo agregador; não confirmado em fonte oficial.', 'em': '2026-10-02'}</t>
  </si>
  <si>
    <t xml:space="preserve">https://www.planalto.gov.br/ccivil_03/leis/LCP/Lcp195.htm</t>
  </si>
  <si>
    <t xml:space="preserve">{'inicio': None, 'fim': '2026-10-16'}</t>
  </si>
  <si>
    <t xml:space="preserve">op-5a86483ad0ac</t>
  </si>
  <si>
    <t xml:space="preserve">Edital Cultura Goiatuba 2026: PNAB Ciclo 2 — Goiás / Goiatuba</t>
  </si>
  <si>
    <t xml:space="preserve">Edital Cultura Goiatuba 2026: PNAB Ciclo 2</t>
  </si>
  <si>
    <t xml:space="preserve">Goiatuba</t>
  </si>
  <si>
    <t xml:space="preserve">{'valor': 'poder_publico', 'fundamento': 'Publica a Prefeitura de Goiatuba; recurso federal da PNAB (Lei 14.399/2022) repassado ao município.', 'em': '2026-10-02'}</t>
  </si>
  <si>
    <t xml:space="preserve">https://goiatuba.go.gov.br/prefeitura-de-goiatuba-publica-edital-para-selecao-de-projetos-culturais-com-recursos-da-pnab-ciclo-2/</t>
  </si>
  <si>
    <t xml:space="preserve">{'inicio': '2026-10-01', 'fim': '2026-10-13'}</t>
  </si>
  <si>
    <t xml:space="preserve">seleção de projetos culturais com recursos da PNAB – CICLO 2</t>
  </si>
  <si>
    <t xml:space="preserve">informado (motor agregadores · capitaai, 2026-10-04)</t>
  </si>
  <si>
    <t xml:space="preserve">1º a 13/10/2026, presencial ou eletrônica</t>
  </si>
  <si>
    <t xml:space="preserve">informado (motor agregadores · capitaai, 2026-10-03)</t>
  </si>
  <si>
    <t xml:space="preserve">preliminar de mérito 20/10/2026; pós-recursos 26/10/2026</t>
  </si>
  <si>
    <t xml:space="preserve">21/10/2026 a 23/10/2026 (por e-mail)</t>
  </si>
  <si>
    <t xml:space="preserve">R$ 156.000,00 no total; no máximo um projeto por agente</t>
  </si>
  <si>
    <t xml:space="preserve">Prefeitura Municipal de Goiatuba</t>
  </si>
  <si>
    <t xml:space="preserve">Município de Goiatuba/GO</t>
  </si>
  <si>
    <t xml:space="preserve">agente cultural pessoa física ou coletivo sem CNPJ representado por pessoa física; ações n</t>
  </si>
  <si>
    <t xml:space="preserve">Anexo I (formulário/plano de trabalho), Anexo V (representação de coletivo), Anexos VI e V</t>
  </si>
  <si>
    <t xml:space="preserve">Termo de Execução Cultural (fomento a projetos culturais)</t>
  </si>
  <si>
    <t xml:space="preserve">op-95711fb93541</t>
  </si>
  <si>
    <t xml:space="preserve">Edital Itapajé 2026: Medidas Socioeducativas para OSC · Capitaai — Brasil</t>
  </si>
  <si>
    <t xml:space="preserve">Edital Itapajé 2026: Medidas Socioeducativas para OSC · Capitaai</t>
  </si>
  <si>
    <t xml:space="preserve">https://www.planalto.gov.br/ccivil_03/_ato2011-2014/2014/lei/l13019.htm</t>
  </si>
  <si>
    <t xml:space="preserve">op-1ed9f0276f12</t>
  </si>
  <si>
    <t xml:space="preserve">Chamamento Público Piranhas 2026: Guia para OSCs na Saúde · Capitaai — Brasil</t>
  </si>
  <si>
    <t xml:space="preserve">Chamamento Público Piranhas 2026: Guia para OSCs na Saúde · Capitaai</t>
  </si>
  <si>
    <t xml:space="preserve">https://www.gov.br/secretariageral/pt-br/marcos-regulatorios</t>
  </si>
  <si>
    <t xml:space="preserve">{'inicio': None, 'fim': '2026-10-01'}</t>
  </si>
  <si>
    <t xml:space="preserve">op-3db17fc8f9f9</t>
  </si>
  <si>
    <t xml:space="preserve">Chamamento CRARS 4/2026: Capacitação em IA e Gestão · Capitaai — Brasil</t>
  </si>
  <si>
    <t xml:space="preserve">Chamamento CRARS 4/2026: Capacitação em IA e Gestão · Capitaai</t>
  </si>
  <si>
    <t xml:space="preserve">https://www.planalto.gov.br/ccivil_03/_ato2019-2022/2021/lei/l14133.htm</t>
  </si>
  <si>
    <t xml:space="preserve">Resultado, Prazo de recurso, Valor, Área de atuação</t>
  </si>
  <si>
    <t xml:space="preserve">seleção e contratação de organização da sociedade civil para a celebração de termo de cola</t>
  </si>
  <si>
    <t xml:space="preserve">2026-09-10 a 2026-10-13</t>
  </si>
  <si>
    <t xml:space="preserve">Conselho Regional de Administração do Rio Grande do Sul</t>
  </si>
  <si>
    <t xml:space="preserve">comprovação de enquadramento como organização da sociedade civil sem fins lucrativos</t>
  </si>
  <si>
    <t xml:space="preserve">op-1972b8eb9f68</t>
  </si>
  <si>
    <t xml:space="preserve">Edital AMBEV Brasilidades 2026: Guia de Captação · Capitaai — Brasil</t>
  </si>
  <si>
    <t xml:space="preserve">Edital AMBEV Brasilidades 2026: Guia de Captação · Capitaai</t>
  </si>
  <si>
    <t xml:space="preserve">https://capta.org.br/oportunidades/edital-ambev-brasilidades-2026</t>
  </si>
  <si>
    <t xml:space="preserve">{'inicio': None, 'fim': '2026-09-30'}</t>
  </si>
  <si>
    <t xml:space="preserve">op-d017ac14c98a</t>
  </si>
  <si>
    <t xml:space="preserve">Edital SCFV Cafelândia 2026: Capte Recursos para ONGs · Capitaai — Brasil</t>
  </si>
  <si>
    <t xml:space="preserve">Edital SCFV Cafelândia 2026: Capte Recursos para ONGs · Capitaai</t>
  </si>
  <si>
    <t xml:space="preserve">https://www.planalto.gov.br/ccivil_03/_ato2014-2018/2014/lei/l13019.htm</t>
  </si>
  <si>
    <t xml:space="preserve">Prazo de recurso, Valor</t>
  </si>
  <si>
    <t xml:space="preserve">destinará recursos a projetos sociais desenvolvidos por organizações da sociedade civil</t>
  </si>
  <si>
    <t xml:space="preserve">2023-12-01</t>
  </si>
  <si>
    <t xml:space="preserve">ArcelorMittal</t>
  </si>
  <si>
    <t xml:space="preserve">SC</t>
  </si>
  <si>
    <t xml:space="preserve">consultar o regulamento completo e providenciar toda a documentação necessária antes de in</t>
  </si>
  <si>
    <t xml:space="preserve">op-4b4e0258c7c1</t>
  </si>
  <si>
    <t xml:space="preserve">Edital Balsas 2026: Guia de Captação e Inscrição · Capitaai — Brasil</t>
  </si>
  <si>
    <t xml:space="preserve">Edital Balsas 2026: Guia de Captação e Inscrição · Capitaai</t>
  </si>
  <si>
    <t xml:space="preserve">https://www.planalto.gov.br/ccivil_03/_ato2023-2026/2022/lei/l14399.htm</t>
  </si>
  <si>
    <t xml:space="preserve">op-a1276b2765be</t>
  </si>
  <si>
    <t xml:space="preserve">Edital Fundação Aperam Acesita Social 2026 · Capitaai — Brasil</t>
  </si>
  <si>
    <t xml:space="preserve">Edital Fundação Aperam Acesita Social 2026 · Capitaai</t>
  </si>
  <si>
    <t xml:space="preserve">{'valor': 'iniciativa_privada', 'fundamento': 'Fundação privada da Aperam e Aperam BioEnergia, com recurso próprio das empresas.', 'em': '2026-10-02'}</t>
  </si>
  <si>
    <t xml:space="preserve">https://brasil.aperam.com/sustentabilidade/social/fundacao-aperam-acesita/editaldeprojetos</t>
  </si>
  <si>
    <t xml:space="preserve">15º Edital de Projetos Fundação Aperam Acesita – Social 2026</t>
  </si>
  <si>
    <t xml:space="preserve">R$ 25 mil</t>
  </si>
  <si>
    <t xml:space="preserve">Fundação Aperam Acesita</t>
  </si>
  <si>
    <t xml:space="preserve">Vale do Aço e Vale do Jequitinhonha (MG)</t>
  </si>
  <si>
    <t xml:space="preserve">Organizações sociais sediadas nos municípios de abrangência; execução a partir de jan/2027</t>
  </si>
  <si>
    <t xml:space="preserve">Educação, meio ambiente, trabalho e renda, cidadania e direitos humanos</t>
  </si>
  <si>
    <t xml:space="preserve">{'observacao': "SERIE CONFIRMADA SEM DATAS (Aperam / Fundação Aperam Acesita (página oficial 'Resultados dos Editais Anteriores', 03/10/2026)): edições anuais de 2020, 2021, 2022, 2023, 2024, 2025 comprovadas na página oficial, mas as datas de inscrição não foram lidas; previsão de janela só após ler essas datas."}</t>
  </si>
  <si>
    <t xml:space="preserve">op-11374fc1a32a</t>
  </si>
  <si>
    <t xml:space="preserve">Edital FAPITEC SE 2026: Apoio a Empresas Juniores · Capitaai — Brasil</t>
  </si>
  <si>
    <t xml:space="preserve">Edital FAPITEC SE 2026: Apoio a Empresas Juniores · Capitaai</t>
  </si>
  <si>
    <t xml:space="preserve">https://www.gov.br/mcti/pt-br</t>
  </si>
  <si>
    <t xml:space="preserve">2026-10-08</t>
  </si>
  <si>
    <t xml:space="preserve">{'inicio': None, 'fim': '2026-10-08'}</t>
  </si>
  <si>
    <t xml:space="preserve">op-786e5f51f56a</t>
  </si>
  <si>
    <t xml:space="preserve">Edital Rouanet nas Favelas 2 (2026): Guia de Captação · Capitaai — Brasil</t>
  </si>
  <si>
    <t xml:space="preserve">Edital Rouanet nas Favelas 2 (2026): Guia de Captação · Capitaai</t>
  </si>
  <si>
    <t xml:space="preserve">https://www.planalto.gov.br/ccivil_03/_ato2023-2026/2023/lei/l14535.htm</t>
  </si>
  <si>
    <t xml:space="preserve">Resultado, Prazo de recurso, Valor</t>
  </si>
  <si>
    <t xml:space="preserve">O edital financia projetos culturais em comunidades carentes, com foco em favelas.</t>
  </si>
  <si>
    <t xml:space="preserve">Secretaria de Fomento e Incentivo à Cultura</t>
  </si>
  <si>
    <t xml:space="preserve">Cadastro no SALIC, Cadastro do proponente, Vínculo solicitado, Portfólio técnico comprovat</t>
  </si>
  <si>
    <t xml:space="preserve">op-fc3e32dc23e5</t>
  </si>
  <si>
    <t xml:space="preserve">Edital Itagibá 2026: Guia de Captação e Inscrições · Capitaai — Brasil</t>
  </si>
  <si>
    <t xml:space="preserve">Edital Itagibá 2026: Guia de Captação e Inscrições · Capitaai</t>
  </si>
  <si>
    <t xml:space="preserve">{'valor': 'poder_publico', 'fundamento': 'Prefeitura de Itagibá/BA (ente municipal).', 'em': '2026-10-02'}</t>
  </si>
  <si>
    <t xml:space="preserve">https://www.planalto.gov.br/ccivil_03/leis/L12305.htm</t>
  </si>
  <si>
    <t xml:space="preserve">2026-10-14</t>
  </si>
  <si>
    <t xml:space="preserve">{'inicio': None, 'fim': '2026-10-14'}</t>
  </si>
  <si>
    <t xml:space="preserve">op-c8aff87fcc0f</t>
  </si>
  <si>
    <t xml:space="preserve">Edital Educação em Tecnologia — Brasil</t>
  </si>
  <si>
    <t xml:space="preserve">Edital Educação em Tecnologia</t>
  </si>
  <si>
    <t xml:space="preserve">https://baoba.org.br/programa-presente-e-futuro-em-movimento/educacao-em-tecnologia/</t>
  </si>
  <si>
    <t xml:space="preserve">Prazo de inscrição, Resultado, Prazo de recurso, Território, Esfera, Requisitos, Destinação, Área de atuação</t>
  </si>
  <si>
    <t xml:space="preserve">R$ 250.000,00 a R$ 500.000,00 por projeto (até 16 projetos)</t>
  </si>
  <si>
    <t xml:space="preserve">Fundo Baobá para Equidade Racial (parceria MOVER; apoio Imaginable Futures e Fundação Lemann)</t>
  </si>
  <si>
    <t xml:space="preserve">{'observacao': 'VERIFICADO no site do Fundo Baobá (672 publicações, API, 03/10/2026): o edital Educação em Tecnologia foi lançado antes de out/2023 (resultados em fev–abr/2023); sem nova edição na janela de 3 anos.'}</t>
  </si>
  <si>
    <t xml:space="preserve">op-73938a0d3c9b</t>
  </si>
  <si>
    <t xml:space="preserve">Edital Programa de Aceleração do Desenvolvimento de Lideranças Femininas Negras: Marielle — Brasil</t>
  </si>
  <si>
    <t xml:space="preserve">Edital Programa de Aceleração do Desenvolvimento de Lideranças Femininas Negras: Marielle</t>
  </si>
  <si>
    <t xml:space="preserve">https://baoba.org.br/programa-marielle-franco/</t>
  </si>
  <si>
    <t xml:space="preserve">op-5b7729a78e26</t>
  </si>
  <si>
    <t xml:space="preserve">Edital Prefeitura Municipal de Planaltina 2026 — Goiás / Planaltina</t>
  </si>
  <si>
    <t xml:space="preserve">Edital Prefeitura Municipal de Planaltina 2026</t>
  </si>
  <si>
    <t xml:space="preserve">Planaltina</t>
  </si>
  <si>
    <t xml:space="preserve">{'valor': 'poder_publico', 'fundamento': 'Publica a Prefeitura de Planaltina (Sec. Municipal de Esporte e Lazer); recurso municipal.', 'em': '2026-10-02'}</t>
  </si>
  <si>
    <t xml:space="preserve">https://planaltina.go.gov.br/chamamento-publico-no-06-2026-processo-no-23713-2026/</t>
  </si>
  <si>
    <t xml:space="preserve">2026-09-09</t>
  </si>
  <si>
    <t xml:space="preserve">{'inicio': '2026-09-09', 'fim': '2026-10-09'}</t>
  </si>
  <si>
    <t xml:space="preserve">Planaltina/GO — Chamamento Público nº 06/2026 (Secretaria de Esporte e Lazer): seleção de OSC para Termo de Colaboração (Lei 13.019) para executar o Campeonato Municipal</t>
  </si>
  <si>
    <t xml:space="preserve">propostas de 09/09/2026 até 09/10/2026 08h, no Portal de Compras Públicas</t>
  </si>
  <si>
    <t xml:space="preserve">R$ 30.000,00 global máximo</t>
  </si>
  <si>
    <t xml:space="preserve">Secretaria Municipal de Esporte e Lazer</t>
  </si>
  <si>
    <t xml:space="preserve">Organizações da Sociedade Civil – OSCs interessadas</t>
  </si>
  <si>
    <t xml:space="preserve">esporte</t>
  </si>
  <si>
    <t xml:space="preserve">{'observacao': 'VERIFICADO em 03/10/2026 (página oficial de Planaltina e PNCP): Chamamento Público nº 06/2026 da Secretaria de Esporte e Lazer, termo de colaboração com OSC para projetos esportivos (I Campeonato Municipal de Futsal e outros); propostas até 09/10/2026; edição anterior não localizada.'}</t>
  </si>
  <si>
    <t xml:space="preserve">op-4b29e441465e</t>
  </si>
  <si>
    <t xml:space="preserve">Chamamento Público Piranhas 2026: Guia para OSCs na Saúde — Pernambuco</t>
  </si>
  <si>
    <t xml:space="preserve">Chamamento Público Piranhas 2026: Guia para OSCs na Saúde</t>
  </si>
  <si>
    <t xml:space="preserve">PE</t>
  </si>
  <si>
    <t xml:space="preserve">https://portal.saude.pe.gov.br/selecoes/</t>
  </si>
  <si>
    <t xml:space="preserve">Objeto, Prazo de inscrição, Resultado, Prazo de recurso, Valor, Território, Requisitos, Anexos, Destinação, Área de atuação</t>
  </si>
  <si>
    <t xml:space="preserve">Secretaria de Saúde do Estado de Pernambuco</t>
  </si>
  <si>
    <t xml:space="preserve">op-6861dcfbfd9e</t>
  </si>
  <si>
    <t xml:space="preserve">º Edital Ceará de Cinema e Audiovisual - Modalidade 2 - Roteiro - Núcleos Criativos — Ceará</t>
  </si>
  <si>
    <t xml:space="preserve">16º Edital Ceará de Cinema e Audiovisual - Modalidade 2 - Roteiro - Núcleos Criativos</t>
  </si>
  <si>
    <t xml:space="preserve">Mapa Cultural do Ceará</t>
  </si>
  <si>
    <t xml:space="preserve">https://mapacultural.secult.ce.gov.br/oportunidade/8125/</t>
  </si>
  <si>
    <t xml:space="preserve">op-4bc1784f3e9e</t>
  </si>
  <si>
    <t xml:space="preserve">Edital Arranjos Regionais FSA — Goiás</t>
  </si>
  <si>
    <t xml:space="preserve">Edital Arranjos Regionais FSA</t>
  </si>
  <si>
    <t xml:space="preserve">Secretaria de Estado da Cultura</t>
  </si>
  <si>
    <t xml:space="preserve">{'valor': 'poder_publico', 'fundamento': 'Publica a Secult Goiás; recursos do FSA (federal, Ancine/BRDE) com contrapartida estadual.', 'em': '2026-10-02'}</t>
  </si>
  <si>
    <t xml:space="preserve">https://goias.gov.br/cultura/arranjosregionais/</t>
  </si>
  <si>
    <t xml:space="preserve">2026-12-01</t>
  </si>
  <si>
    <t xml:space="preserve">{'inicio': '2026-10-08', 'fim': '2026-12-01'}</t>
  </si>
  <si>
    <t xml:space="preserve">Seleção de propostas para investimento regional do Fundo Setorial do Audiovisual – FSA em</t>
  </si>
  <si>
    <t xml:space="preserve">08/10/2026 a 01/12/2026 18h, via Sistema BARU 2.0</t>
  </si>
  <si>
    <t xml:space="preserve">Resultado final da Etapa 1 em 11-12/03/2027</t>
  </si>
  <si>
    <t xml:space="preserve">10 dias para habilitação e enquadramento</t>
  </si>
  <si>
    <t xml:space="preserve">R$ 30 milhões, 22 projetos</t>
  </si>
  <si>
    <t xml:space="preserve">Estado de Goiás</t>
  </si>
  <si>
    <t xml:space="preserve">empresa produtora brasileira independente registrada na ANCINE</t>
  </si>
  <si>
    <t xml:space="preserve">informado (motor plat-secult-go, 2026-10-03)</t>
  </si>
  <si>
    <t xml:space="preserve">audiovisual</t>
  </si>
  <si>
    <t xml:space="preserve">op-40427e68cf91</t>
  </si>
  <si>
    <t xml:space="preserve">O presente chamamento tem por objeto selecionar 1 (uma) pessoa jurídica de direito privado, com ou sem fins lu… — São Paulo</t>
  </si>
  <si>
    <t xml:space="preserve">O PRESENTE CHAMAMENTO TEM POR OBJETO SELECIONAR 1 (UMA) PESSOA JURÍDICA DE DIREITO PRIVADO, COM OU SEM FINS LUCRATIVOS, PARA CELEBRAÇÃO DE TERMO DE COOPERAÇÃO C</t>
  </si>
  <si>
    <t xml:space="preserve">https://pncp.gov.br/app/editais/46588950000180/2026/895</t>
  </si>
  <si>
    <t xml:space="preserve">O PRESENTE CHAMAMENTO TEM POR OBJETO SELECIONAR 1 (UMA) PESSOA JURÍDICA DE DIREITO PRIVADO, COM OU SEM FINS LUCRATIVOS, PARA CELEBRAÇÃO DE TERMO DE COOPERAÇÃO CULTURAL DE</t>
  </si>
  <si>
    <t xml:space="preserve">MUNICIPIO DE SAO JOSE DO RIO PRETO</t>
  </si>
  <si>
    <t xml:space="preserve">op-3f29faf66e50</t>
  </si>
  <si>
    <t xml:space="preserve">Funcultura - Edital 01/2026 - Circulação e intercâmbio - Viagens a partir de novembro — Espírito Santo</t>
  </si>
  <si>
    <t xml:space="preserve">Funcultura - Edital 01/2026 - Circulação e intercâmbio - Viagens a partir de novembro</t>
  </si>
  <si>
    <t xml:space="preserve">https://mapa.cultura.es.gov.br/oportunidade/2564/</t>
  </si>
  <si>
    <t xml:space="preserve">2026-10-31</t>
  </si>
  <si>
    <t xml:space="preserve">{'inicio': '2026-10-01', 'fim': '2026-10-31'}</t>
  </si>
  <si>
    <t xml:space="preserve">Funcultura - Edital 01/2026 - Circulação e intercâmbio (2)</t>
  </si>
  <si>
    <t xml:space="preserve">2026-08-31</t>
  </si>
  <si>
    <t xml:space="preserve">op-bb9b578afca4</t>
  </si>
  <si>
    <t xml:space="preserve">Art Omi 2027: Architecture, Artists, Dance, Music — Brasil</t>
  </si>
  <si>
    <t xml:space="preserve">Art Omi 2027: Architecture, Artists, Dance, Music</t>
  </si>
  <si>
    <t xml:space="preserve">https://farolcultural.art/e/transartists-dutchculture-art-omi-2027-architecture-artists-dance-music-2026</t>
  </si>
  <si>
    <t xml:space="preserve">Residências artísticas em Arquitetura, Artes, Dança e Música</t>
  </si>
  <si>
    <t xml:space="preserve">Hospedagem, ateliê e refeições sem custo (exceto viagem); taxa de inscrição US$ 15</t>
  </si>
  <si>
    <t xml:space="preserve">TransArtists / DutchCulture</t>
  </si>
  <si>
    <t xml:space="preserve">Atuação profissional há pelo menos 5 anos; Architecture exige licença profissional ou M.Ar</t>
  </si>
  <si>
    <t xml:space="preserve">Residência com hospedagem, espaço de trabalho e refeições custeados (não há bolsa em dinhe</t>
  </si>
  <si>
    <t xml:space="preserve">Artes visuais, arquitetura, dança, música e escrita</t>
  </si>
  <si>
    <t xml:space="preserve">op-83fd629ad336</t>
  </si>
  <si>
    <t xml:space="preserve">Artistas e investigadores podem candidatar-se às Bolsas Fundação Camargo 2027-2028 — Internacional</t>
  </si>
  <si>
    <t xml:space="preserve">Artistas e investigadores podem candidatar-se às Bolsas Fundação Camargo 2027-2028</t>
  </si>
  <si>
    <t xml:space="preserve">https://www.dgartes.gov.pt/pt/node/10275</t>
  </si>
  <si>
    <t xml:space="preserve">2026-09-18</t>
  </si>
  <si>
    <t xml:space="preserve">{'inicio': '2026-09-18', 'fim': '2026-10-01'}</t>
  </si>
  <si>
    <t xml:space="preserve">proporcionar tempo e espaço aos residentes e fomentar o intercâmbio entre os participantes</t>
  </si>
  <si>
    <t xml:space="preserve">2026-09-18 a 2026-10-01</t>
  </si>
  <si>
    <t xml:space="preserve">350 euros por semana (totalizando 3.500 euros pela duração da residência)</t>
  </si>
  <si>
    <t xml:space="preserve">Fundação Camargo</t>
  </si>
  <si>
    <t xml:space="preserve">equipas de até três pessoas, projetos colaborativos interdisciplinares, tradutores profiss</t>
  </si>
  <si>
    <t xml:space="preserve">{'observacao': 'Mesma chamada Camargo Fellowship 2027-2028 (ver op-0e162fb94284); página DGARTES é secundária. Livro duplicado: sugerir junção.'}</t>
  </si>
  <si>
    <t xml:space="preserve">op-817af71f13e0</t>
  </si>
  <si>
    <t xml:space="preserve">Braunschweig Projects 2027/2028 — Internacional</t>
  </si>
  <si>
    <t xml:space="preserve">Braunschweig Projects 2027/2028</t>
  </si>
  <si>
    <t xml:space="preserve">{'valor': 'poder_publico', 'fundamento': 'HBK Braunschweig é universidade pública de artes da Baixa Saxônia (Alemanha), que publica e financia a bolsa.', 'em': '2026-10-02'}</t>
  </si>
  <si>
    <t xml:space="preserve">https://www.hbk-bs.de/bs-projects-english/call-and-application-1/</t>
  </si>
  <si>
    <t xml:space="preserve">Residências artísticas em Alemanha</t>
  </si>
  <si>
    <t xml:space="preserve">4 out 2026, 23:59</t>
  </si>
  <si>
    <t xml:space="preserve">EUR 1.600/mês por 12 meses, moradia sem aluguel</t>
  </si>
  <si>
    <t xml:space="preserve">Artista com curso de arte concluído entre 04/2016 e 04/2023 e prática comprovada</t>
  </si>
  <si>
    <t xml:space="preserve">Bolsa individual de residência artística</t>
  </si>
  <si>
    <t xml:space="preserve">Artes visuais e arte sonora</t>
  </si>
  <si>
    <t xml:space="preserve">op-16f3b028d1f6</t>
  </si>
  <si>
    <t xml:space="preserve">Camargo Fellowship 2027-2028 — Brasil</t>
  </si>
  <si>
    <t xml:space="preserve">Camargo Fellowship 2027-2028</t>
  </si>
  <si>
    <t xml:space="preserve">https://farolcultural.art/e/transartists-dutchculture-camargo-fellowship-2027-2028-2026</t>
  </si>
  <si>
    <t xml:space="preserve">Residência artística para artistas em Países Baixos</t>
  </si>
  <si>
    <t xml:space="preserve">op-9d093372125a</t>
  </si>
  <si>
    <t xml:space="preserve">Edital de chamamento público nº 003/2026 - seleção de projetos na categoria de artesanato e audiovisual para f… — Ceará</t>
  </si>
  <si>
    <t xml:space="preserve">EDITAL DE CHAMAMENTO PÚBLICO Nº 003/2026 - SELEÇÃO DE PROJETOS NA CATEGORIA DE ARTESANATO E AUDIOVISUAL PARA FIRMAR TERMO DE EXECUÇÃO CULTURAL COM RECURSOS DA P</t>
  </si>
  <si>
    <t xml:space="preserve">https://mapacultural.secult.ce.gov.br/files/opportunity/6498/edital-oficinas-e-audiovisual-02-2025-pnab-secult-pentecoste-2.pdf</t>
  </si>
  <si>
    <t xml:space="preserve">Prazo de inscrição, Resultado, Prazo de recurso, Área de atuação</t>
  </si>
  <si>
    <t xml:space="preserve">seleção de projetos culturais para receberem apoio financeiro nas categorias descritas no</t>
  </si>
  <si>
    <t xml:space="preserve">R$ 58.000,00</t>
  </si>
  <si>
    <t xml:space="preserve">Prefeitura Municipal de Pentecoste</t>
  </si>
  <si>
    <t xml:space="preserve">agente cultural que atua ou reside no município de Pentecoste há pelo menos 02 (dois) anos</t>
  </si>
  <si>
    <t xml:space="preserve">op-db32e97cc7a4</t>
  </si>
  <si>
    <t xml:space="preserve">Zurich abre edital nacional para apoiar projetos sociais via leis de incentivo fiscal — Brasil</t>
  </si>
  <si>
    <t xml:space="preserve">Zurich abre edital nacional para apoiar projetos sociais via leis de incentivo fiscal</t>
  </si>
  <si>
    <t xml:space="preserve">{'valor': 'mista', 'fundamento': 'Empresa privada (Zurich) seleciona projetos e aporta via renúncia fiscal de leis federais de incentivo.', 'em': '2026-10-02'}</t>
  </si>
  <si>
    <t xml:space="preserve">https://edge.sitecorecloud.io/zurichinsurf8c0-zwpshared-prod-d824/media/project/zurich-headless/brazil/docs/lei-incentivo/regulamento-edital-de-incentivados-zurich-seguros-2026.pdf</t>
  </si>
  <si>
    <t xml:space="preserve">2026-09-21</t>
  </si>
  <si>
    <t xml:space="preserve">{'inicio': '2026-09-21', 'fim': '2026-10-19'}</t>
  </si>
  <si>
    <t xml:space="preserve">selecionar e apoiar projetos sociais alinhados à estratégia de Responsabilidade Social Cor</t>
  </si>
  <si>
    <t xml:space="preserve">informado (Piloto - Espião, 2026-10-03)</t>
  </si>
  <si>
    <t xml:space="preserve">21/09/2026 a 19/10/2026, 23h59 (Brasília)</t>
  </si>
  <si>
    <t xml:space="preserve">02/12/2026</t>
  </si>
  <si>
    <t xml:space="preserve">dispensado pelo edital: Não cabe recurso</t>
  </si>
  <si>
    <t xml:space="preserve">dispensado pelo edital: Sem valor fixo; apoio total ou parcial do valor solicitado</t>
  </si>
  <si>
    <t xml:space="preserve">Zurich Seguros</t>
  </si>
  <si>
    <t xml:space="preserve">relação direta com um dos três programas de Responsabilidade Social Corporativa da Zurich</t>
  </si>
  <si>
    <t xml:space="preserve">Educação e Desenvolvimento Social; Formação e Inclusão Produtiva; Comunidades e Resiliênci</t>
  </si>
  <si>
    <t xml:space="preserve">op-16e26666deb6</t>
  </si>
  <si>
    <t xml:space="preserve">Emenda Parlamentar — Câmara e Senado — captação 2026 — Brasil</t>
  </si>
  <si>
    <t xml:space="preserve">Emenda Parlamentar — Câmara e Senado — captação 2026</t>
  </si>
  <si>
    <t xml:space="preserve">Congresso Nacional (Câmara dos Deputados e Senado Federal)</t>
  </si>
  <si>
    <t xml:space="preserve">Emendas</t>
  </si>
  <si>
    <t xml:space="preserve">{'valor': 'poder_publico', 'fundamento': 'Casa legislativa indica recurso do Orçamento da União.', 'em': '2026-10-02'}</t>
  </si>
  <si>
    <t xml:space="preserve">https://www.congressonacional.leg.br/web/orcamento/acompanhe/orcamento-anual/-/loa/2027</t>
  </si>
  <si>
    <t xml:space="preserve">https://www.camara.leg.br/deputados/quem-sao</t>
  </si>
  <si>
    <t xml:space="preserve">2026-11-30</t>
  </si>
  <si>
    <t xml:space="preserve">{'inicio': '2026-10-01', 'fim': '2026-11-30'}</t>
  </si>
  <si>
    <t xml:space="preserve">informado (calendário legislativo · emendas, 2026-10-03)</t>
  </si>
  <si>
    <t xml:space="preserve">emenda ao PLOA 2027 (PLN 24/2026)</t>
  </si>
  <si>
    <t xml:space="preserve">Congresso Nacional (CMO) / União</t>
  </si>
  <si>
    <t xml:space="preserve">nacional (parlamentares de qualquer UF; foco bancada GO)</t>
  </si>
  <si>
    <t xml:space="preserve">informado (calendário legislativo · emendas, 2026-10-01)</t>
  </si>
  <si>
    <t xml:space="preserve">op-e4bdb1922e46</t>
  </si>
  <si>
    <t xml:space="preserve">Emenda Parlamentar Estadual — Goiás — captação 2026 — Goiás</t>
  </si>
  <si>
    <t xml:space="preserve">Emenda Parlamentar Estadual — Goiás — captação 2026</t>
  </si>
  <si>
    <t xml:space="preserve">Assembleia Legislativa do Estado de Goiás (ALEGO)</t>
  </si>
  <si>
    <t xml:space="preserve">{'valor': 'poder_publico', 'fundamento': 'Casa legislativa indica; recurso do orçamento do Estado de Goiás (LOA).', 'em': '2026-10-02'}</t>
  </si>
  <si>
    <t xml:space="preserve">https://portal.al.go.leg.br/deputados</t>
  </si>
  <si>
    <t xml:space="preserve">Indicação de emenda parlamentar estadual em favor da entidade para projeto ou custeio</t>
  </si>
  <si>
    <t xml:space="preserve">Assembleia Legislativa do Estado de Goiás</t>
  </si>
  <si>
    <t xml:space="preserve">informado (calendário legislativo · emendas, 2026-10-02)</t>
  </si>
  <si>
    <t xml:space="preserve">OSC regular, apta a celebrar parceria (Lei 13.019), com plano de trabalho e articulação co</t>
  </si>
  <si>
    <t xml:space="preserve">todas, conforme o objeto indicado</t>
  </si>
  <si>
    <t xml:space="preserve">{'observacao': 'Emenda parlamentar não é edital: janela anual vem da LOA/ALEGO; portal da ALEGO sem API pública consultável. Histórico não coletado; conferir LOA 2024, 2025 e 2026.'}</t>
  </si>
  <si>
    <t xml:space="preserve">op-f3a394f95c4f</t>
  </si>
  <si>
    <t xml:space="preserve">Emenda Parlamentar Municipal — Goiânia — captação 2026 — Goiás / Goiânia</t>
  </si>
  <si>
    <t xml:space="preserve">Emenda Parlamentar Municipal — Goiânia — captação 2026</t>
  </si>
  <si>
    <t xml:space="preserve">Câmara Municipal de Goiânia</t>
  </si>
  <si>
    <t xml:space="preserve">{'valor': 'poder_publico', 'fundamento': 'Câmara Municipal indica; recurso do orçamento do Município de Goiânia (LOA 2027).', 'em': '2026-10-02'}</t>
  </si>
  <si>
    <t xml:space="preserve">https://www.goiania.go.leg.br/sala-de-imprensa/agencia-camara-goiania/Agencia-Camara-Goiania_noticias/comeca-a-tramitar-a-lei-orcamentaria-anual-para-2027</t>
  </si>
  <si>
    <t xml:space="preserve">https://www.goiania.go.leg.br/parlamentares</t>
  </si>
  <si>
    <t xml:space="preserve">Emenda à LOA 2027 de Goiânia, em tramitação na Câmara</t>
  </si>
  <si>
    <t xml:space="preserve">Câmara Municipal de Goiânia (indicação) · Prefeitura de Goiânia (execução)</t>
  </si>
  <si>
    <t xml:space="preserve">Goiânia/GO</t>
  </si>
  <si>
    <t xml:space="preserve">informado (calendário legislativo · emendas, 2026-10-04)</t>
  </si>
  <si>
    <t xml:space="preserve">entidade regular: CNPJ, certidões e cadastro na casa legislativa</t>
  </si>
  <si>
    <t xml:space="preserve">qualquer área de atuação da entidade</t>
  </si>
  <si>
    <t xml:space="preserve">op-e4c0e79d5ef6</t>
  </si>
  <si>
    <t xml:space="preserve">Edital Rouanet nas Favelas 2 (2026): Guia de Captação — Brasil</t>
  </si>
  <si>
    <t xml:space="preserve">Edital Rouanet nas Favelas 2 (2026): Guia de Captação</t>
  </si>
  <si>
    <t xml:space="preserve">https://www.gov.br/cultura/pt-br/assuntos/editais/inscricoes-abertas/programa-rouanet-nas-favelas-2/programa-rouanet-nas-favelas-2</t>
  </si>
  <si>
    <t xml:space="preserve">2026-08-15</t>
  </si>
  <si>
    <t xml:space="preserve">{'inicio': '2026-08-15', 'fim': '2026-10-13'}</t>
  </si>
  <si>
    <t xml:space="preserve">informado (motor agregadores · capitaai, 2026-10-02)</t>
  </si>
  <si>
    <t xml:space="preserve">15/08/2026 a 13/10/2026, até 23h59min59s, exclusivamente pelo Salic</t>
  </si>
  <si>
    <t xml:space="preserve">Provisório até 27/11/2026; final até 30/12/2026; inscrição na plataforma Vale de 04 a 15/0</t>
  </si>
  <si>
    <t xml:space="preserve">Até 07/12/2026</t>
  </si>
  <si>
    <t xml:space="preserve">Mínimo R$ 10 milhões no total; até R$ 200 mil por projeto; mínimo R$ 1 milhão por localida</t>
  </si>
  <si>
    <t xml:space="preserve">op-415e2d6da023</t>
  </si>
  <si>
    <t xml:space="preserve">SEGENP (gestão de negócios e parcerias) — Edital nº 001/2026 — Celebração de Termo de Colaboração com Organiza… — Goiás / Goiânia</t>
  </si>
  <si>
    <t xml:space="preserve">SEGENP (gestão de negócios e parcerias) — Edital nº 001/2026 — Celebração de Termo de Colaboração com Organização da Sociedade Civil (OSC) visando ao planejamen</t>
  </si>
  <si>
    <t xml:space="preserve">{'valor': 'poder_publico', 'fundamento': 'Publica a Prefeitura de Goiânia (SEGENP); recurso do tesouro municipal via Termo de Colaboração.', 'em': '2026-10-02'}</t>
  </si>
  <si>
    <t xml:space="preserve">informado (motor do-goiania, 2026-10-01)</t>
  </si>
  <si>
    <t xml:space="preserve">Celebração de Termo de Colaboração com Organização da Sociedade Civil (OSC) visando ao pla</t>
  </si>
  <si>
    <t xml:space="preserve">informado (motor do-goiania, 2026-10-02)</t>
  </si>
  <si>
    <t xml:space="preserve">2026-09-25 a 2026-10-26 23h59, só por e-mail segenp.logcompras@gmail.com</t>
  </si>
  <si>
    <t xml:space="preserve">informado (motor do-goiania, 2026-10-03)</t>
  </si>
  <si>
    <t xml:space="preserve">2026-11-06 (resultado técnico e habilitação preliminar); abertura 27/10/2026 9h</t>
  </si>
  <si>
    <t xml:space="preserve">Seleção técnica: 29/10 a 05/11/2026; habilitação: 09/11 a 10/11/2026 (conforme cronograma</t>
  </si>
  <si>
    <t xml:space="preserve">OSC com ≥1 ano de CNPJ (5 anos em rede), regularidade fiscal, estatuto compatível, experiê</t>
  </si>
  <si>
    <t xml:space="preserve">cultura, lazer, cenografia e animação natalina</t>
  </si>
  <si>
    <t xml:space="preserve">{'observacao': 'VERIFICADO em 03/10/2026 (Diário Oficial de Goiânia de 25/09/2026): Edital SEGENP nº 001/2026 para termo de colaboração com OSC; a LO 11.712/2026 (22/09/2026) alterou a Lei 8.411/2006 sobre parcerias; edição anterior da secretaria não localizada.'}</t>
  </si>
  <si>
    <t xml:space="preserve">op-d37536d65844</t>
  </si>
  <si>
    <t xml:space="preserve">GOIAS TRIBUNAL DE JUSTICA DO ESTADO DE GOIAS — Credenciamento de entidades sem fins lucrativos aptas à coleta,… — Brasil</t>
  </si>
  <si>
    <t xml:space="preserve">GOIAS TRIBUNAL DE JUSTICA DO ESTADO DE GOIAS — Credenciamento de entidades sem fins lucrativos aptas à coleta, transportes, pesagem, triagem e destinação ambien</t>
  </si>
  <si>
    <t xml:space="preserve">GOIAS TRIBUNAL DE JUSTICA DO ESTADO DE GOIAS</t>
  </si>
  <si>
    <t xml:space="preserve">{'valor': 'poder_publico', 'fundamento': 'TJGO (Judiciário estadual) publica; o que se transfere são resíduos recicláveis do próprio Tribunal.', 'em': '2026-10-02'}</t>
  </si>
  <si>
    <t xml:space="preserve">https://pncp.gov.br/app/editais/02292266000180/2026/83</t>
  </si>
  <si>
    <t xml:space="preserve">https://goias.gov.br/meioambiente/residuos-solidos/</t>
  </si>
  <si>
    <t xml:space="preserve">2026-07-22</t>
  </si>
  <si>
    <t xml:space="preserve">{'inicio': '2026-07-22', 'fim': 'contínuo'}</t>
  </si>
  <si>
    <t xml:space="preserve">informado (motor pncp-api, 2026-10-04)</t>
  </si>
  <si>
    <t xml:space="preserve">Credenciamento de entidades sem fins lucrativos para coleta, transporte, pesagem, triagem</t>
  </si>
  <si>
    <t xml:space="preserve">Fluxo contínuo: edital com vigência de 5 anos, aceita novas entidades a qualquer tempo</t>
  </si>
  <si>
    <t xml:space="preserve">3 dias úteis contra indeferimento do credenciamento</t>
  </si>
  <si>
    <t xml:space="preserve">Sem contraprestação pecuniária do TJGO; a entidade recebe os recicláveis (caráter econômic</t>
  </si>
  <si>
    <t xml:space="preserve">informado (motor pncp-api, 2026-10-02)</t>
  </si>
  <si>
    <t xml:space="preserve">Entidade sem fins lucrativos apta à coleta, transporte, pesagem, triagem e destinação ambi</t>
  </si>
  <si>
    <t xml:space="preserve">Anexos I a VII (ficha de inscrição, declarações, carta proposta, termo de desistência, cer</t>
  </si>
  <si>
    <t xml:space="preserve">Os resíduos recicláveis gerados pelo TJGO destinam-se às entidades credenciadas</t>
  </si>
  <si>
    <t xml:space="preserve">curadoria-006</t>
  </si>
  <si>
    <t xml:space="preserve">Instituto Clima e Sociedade (iCS) — chamadas de comunicação e clima — Brasil</t>
  </si>
  <si>
    <t xml:space="preserve">Instituto Clima e Sociedade (iCS) — chamadas de comunicação e clima</t>
  </si>
  <si>
    <t xml:space="preserve">Instituto Clima e Sociedade</t>
  </si>
  <si>
    <t xml:space="preserve">grant</t>
  </si>
  <si>
    <t xml:space="preserve">https://climaesociedade.org/editais/</t>
  </si>
  <si>
    <t xml:space="preserve">{'observacao': 'SERIE CONFIRMADA SEM DATAS (Busca web e página oficial do financiador, leitura de 03/10/2026): edições anuais de 2024 comprovadas na página oficial, mas as datas de inscrição não foram lidas; previsão de janela só após ler essas datas.'}</t>
  </si>
  <si>
    <t xml:space="preserve">curadoria-008</t>
  </si>
  <si>
    <t xml:space="preserve">Instituto Impactarte — cadastro de proponente em fluxo contínuo — Brasil</t>
  </si>
  <si>
    <t xml:space="preserve">Instituto Impactarte — cadastro de proponente em fluxo contínuo</t>
  </si>
  <si>
    <t xml:space="preserve">doacao_patrocinio</t>
  </si>
  <si>
    <t xml:space="preserve">https://www.impactarte.org.br/cadastro-proponente</t>
  </si>
  <si>
    <t xml:space="preserve">permanente_fluxo_continuo</t>
  </si>
  <si>
    <t xml:space="preserve">media</t>
  </si>
  <si>
    <t xml:space="preserve">lida, sem edital reconhecido</t>
  </si>
  <si>
    <t xml:space="preserve">captacao-116</t>
  </si>
  <si>
    <t xml:space="preserve">Fundo Estadual da Criança e Adolescente de Goiás — Goiás</t>
  </si>
  <si>
    <t xml:space="preserve">Fundo Estadual da Criança e Adolescente de Goiás</t>
  </si>
  <si>
    <t xml:space="preserve">Conanda — Fundo Nacional para a Criança e o Adolescente</t>
  </si>
  <si>
    <t xml:space="preserve">Fundo da Criança (FMDCA/FIA)</t>
  </si>
  <si>
    <t xml:space="preserve">fundo</t>
  </si>
  <si>
    <t xml:space="preserve">https://www.gov.br/mdh/pt-br/acesso-a-informacao/participacao-social/conselho-nacional-dos-direitos-da-crianca-e-do-adolescente-conanda</t>
  </si>
  <si>
    <t xml:space="preserve">{'observacao': 'Catálogo temático alimentado por fundos (FIA/CEDCA/FMDCA/FMI): não há edital único; conferir editais do CEDCA/CMDCA e do fundo correspondente em 2023–2025. Não coletado.'}</t>
  </si>
  <si>
    <t xml:space="preserve">captacao-118</t>
  </si>
  <si>
    <t xml:space="preserve">Destinação de IR pessoa física para FMDCA — Goiás</t>
  </si>
  <si>
    <t xml:space="preserve">Destinação de IR pessoa física para FMDCA</t>
  </si>
  <si>
    <t xml:space="preserve">Município</t>
  </si>
  <si>
    <t xml:space="preserve">captacao-125</t>
  </si>
  <si>
    <t xml:space="preserve">Fundo Municipal do Idoso de Goiânia — Goiás / Goiânia</t>
  </si>
  <si>
    <t xml:space="preserve">Fundo Municipal do Idoso de Goiânia</t>
  </si>
  <si>
    <t xml:space="preserve">Pessoa idosa</t>
  </si>
  <si>
    <t xml:space="preserve">Fundo do Idoso</t>
  </si>
  <si>
    <t xml:space="preserve">['Pessoas idosas']</t>
  </si>
  <si>
    <t xml:space="preserve">captacao-031</t>
  </si>
  <si>
    <t xml:space="preserve">Programa Goyazes - projetos até R$ 20 mil — Goiás</t>
  </si>
  <si>
    <t xml:space="preserve">Programa Goyazes - projetos até R$ 20 mil</t>
  </si>
  <si>
    <t xml:space="preserve">Lei Goyazes</t>
  </si>
  <si>
    <t xml:space="preserve">incentivo_fiscal</t>
  </si>
  <si>
    <t xml:space="preserve">2024, 2025</t>
  </si>
  <si>
    <t xml:space="preserve">2025-02-03</t>
  </si>
  <si>
    <t xml:space="preserve">2025-02-28</t>
  </si>
  <si>
    <t xml:space="preserve">https://goias.gov.br/cultura/governo-de-goias-abre-inscricoes-para-o-programa-goyazes-2025-com-novas-regras/</t>
  </si>
  <si>
    <t xml:space="preserve">{'ano': 2026, 'inicio': '2026-02-01', 'fim': '2026-10-31', 'origem': 'regramento', 'certeza': 'media_a_confirmar'}</t>
  </si>
  <si>
    <t xml:space="preserve">permanente_com_janela_anual</t>
  </si>
  <si>
    <t xml:space="preserve">media_a_confirmar</t>
  </si>
  <si>
    <t xml:space="preserve">{'observacao': 'Série oficial identificada na API do site goias.gov.br (publicações 2023–2025): GOYAZES. Categoria específica pode ter edital próprio; conferir no Diário Oficial.'}</t>
  </si>
  <si>
    <t xml:space="preserve">captacao-032</t>
  </si>
  <si>
    <t xml:space="preserve">Programa Goyazes - projetos de R$ 20 mil a R$ 250 mil — Goiás</t>
  </si>
  <si>
    <t xml:space="preserve">Programa Goyazes - projetos de R$ 20 mil a R$ 250 mil</t>
  </si>
  <si>
    <t xml:space="preserve">captacao-196</t>
  </si>
  <si>
    <t xml:space="preserve">MPGO - TAC com destinação social — Goiás</t>
  </si>
  <si>
    <t xml:space="preserve">MPGO - TAC com destinação social</t>
  </si>
  <si>
    <t xml:space="preserve">Ministério Público Federal — chamamentos e destinação de recursos</t>
  </si>
  <si>
    <t xml:space="preserve">Ministério Público</t>
  </si>
  <si>
    <t xml:space="preserve">destinacao_judicial</t>
  </si>
  <si>
    <t xml:space="preserve">https://www.mpf.mp.br/</t>
  </si>
  <si>
    <t xml:space="preserve">captacao-034</t>
  </si>
  <si>
    <t xml:space="preserve">Fundo de Arte e Cultura de Goiás - projeto cultural geral — Goiás</t>
  </si>
  <si>
    <t xml:space="preserve">Fundo de Arte e Cultura de Goiás - projeto cultural geral</t>
  </si>
  <si>
    <t xml:space="preserve">Secretaria de Estado da Cultura de Goiás (Secult-GO)</t>
  </si>
  <si>
    <t xml:space="preserve">https://goias.gov.br/cultura/inscricoes-para-o-fundo-de-arte-e-cultura-comecam-nesta-segunda-feira-24-3/</t>
  </si>
  <si>
    <t xml:space="preserve">{'observacao': 'Série oficial identificada na API do site goias.gov.br (publicações 2023–2025): FAC. Categoria específica pode ter edital próprio; conferir no Diário Oficial.'}</t>
  </si>
  <si>
    <t xml:space="preserve">captacao-051</t>
  </si>
  <si>
    <t xml:space="preserve">Programa estadual de eventos esportivos — Goiás</t>
  </si>
  <si>
    <t xml:space="preserve">Programa estadual de eventos esportivos</t>
  </si>
  <si>
    <t xml:space="preserve">Secretaria de Estado de Esporte e Lazer (SEEL-GO)</t>
  </si>
  <si>
    <t xml:space="preserve">Esporte</t>
  </si>
  <si>
    <t xml:space="preserve">https://goias.gov.br/esporte/</t>
  </si>
  <si>
    <t xml:space="preserve">{'observacao': 'Oportunidade estrutural (catálogo): histórico depende do edital da fonte financiadora; não coletado nesta rodada.'}</t>
  </si>
  <si>
    <t xml:space="preserve">captacao-113</t>
  </si>
  <si>
    <t xml:space="preserve">Projeto de apoio a famílias de baixa renda — Goiás</t>
  </si>
  <si>
    <t xml:space="preserve">Projeto de apoio a famílias de baixa renda</t>
  </si>
  <si>
    <t xml:space="preserve">ALEGO — Assembleia Legislativa de Goiás (emendas e orçamento)</t>
  </si>
  <si>
    <t xml:space="preserve">outro</t>
  </si>
  <si>
    <t xml:space="preserve">https://portal.al.go.leg.br/</t>
  </si>
  <si>
    <t xml:space="preserve">{'ano': 2026, 'inicio': '2026-10-01', 'fim': '2026-11-30', 'origem': 'regramento', 'certeza': 'alta'}</t>
  </si>
  <si>
    <t xml:space="preserve">alta</t>
  </si>
  <si>
    <t xml:space="preserve">captacao-095</t>
  </si>
  <si>
    <t xml:space="preserve">SEDS Goiás - Auxílio Nutricional a entidades — Goiás</t>
  </si>
  <si>
    <t xml:space="preserve">SEDS Goiás - Auxílio Nutricional a entidades</t>
  </si>
  <si>
    <t xml:space="preserve">Secretaria de Estado de Desenvolvimento Social (SEDS-GO) / FEAS</t>
  </si>
  <si>
    <t xml:space="preserve">https://goias.gov.br/social/</t>
  </si>
  <si>
    <t xml:space="preserve">2024</t>
  </si>
  <si>
    <t xml:space="preserve">2024-08-13</t>
  </si>
  <si>
    <t xml:space="preserve">https://goias.gov.br/social/goias-social-abre-edital-no-valor-de-r-10-milhoes-para-atender-entidades-filantropicas/</t>
  </si>
  <si>
    <t xml:space="preserve">captacao-039</t>
  </si>
  <si>
    <t xml:space="preserve">Editais de ocupação cultural municipal — Goiás / Goiânia</t>
  </si>
  <si>
    <t xml:space="preserve">Editais de ocupação cultural municipal</t>
  </si>
  <si>
    <t xml:space="preserve">Secretaria Municipal de Cultura de Goiânia</t>
  </si>
  <si>
    <t xml:space="preserve">https://www.goiania.go.gov.br/cultura/</t>
  </si>
  <si>
    <t xml:space="preserve">eventual_observado</t>
  </si>
  <si>
    <t xml:space="preserve">baixa</t>
  </si>
  <si>
    <t xml:space="preserve">captacao-054</t>
  </si>
  <si>
    <t xml:space="preserve">Projeto de esporte e contraturno escolar — Goiás</t>
  </si>
  <si>
    <t xml:space="preserve">Projeto de esporte e contraturno escolar</t>
  </si>
  <si>
    <t xml:space="preserve">captacao-018</t>
  </si>
  <si>
    <t xml:space="preserve">PNAB Goiás - Audiovisual — Goiás</t>
  </si>
  <si>
    <t xml:space="preserve">PNAB Goiás - Audiovisual</t>
  </si>
  <si>
    <t xml:space="preserve">PNAB / Aldir Blanc</t>
  </si>
  <si>
    <t xml:space="preserve">2024-08-09</t>
  </si>
  <si>
    <t xml:space="preserve">2024-09-20</t>
  </si>
  <si>
    <t xml:space="preserve">https://goias.gov.br/cultura/secult-goias-prorroga-inscricoes-para-os-editais-da-politica-nacional-aldir-blanc/</t>
  </si>
  <si>
    <t xml:space="preserve">{'observacao': 'Série oficial identificada na API do site goias.gov.br (publicações 2023–2025): PNAB24. Categoria específica pode ter edital próprio; conferir no Diário Oficial.'}</t>
  </si>
  <si>
    <t xml:space="preserve">captacao-022</t>
  </si>
  <si>
    <t xml:space="preserve">PNAB Goiás - Dança — Goiás</t>
  </si>
  <si>
    <t xml:space="preserve">PNAB Goiás - Dança</t>
  </si>
  <si>
    <t xml:space="preserve">captacao-020</t>
  </si>
  <si>
    <t xml:space="preserve">PNAB Goiás - Formação Cultural — Goiás</t>
  </si>
  <si>
    <t xml:space="preserve">PNAB Goiás - Formação Cultural</t>
  </si>
  <si>
    <t xml:space="preserve">captacao-027</t>
  </si>
  <si>
    <t xml:space="preserve">PNAB Goiás - Infância e Juventude na Cultura — Goiás</t>
  </si>
  <si>
    <t xml:space="preserve">PNAB Goiás - Infância e Juventude na Cultura</t>
  </si>
  <si>
    <t xml:space="preserve">{'observacao': 'Série PNAB Goiás: edição 2024 comprovada no site oficial da Secult; conferir categoria específica no Diário Oficial.'}</t>
  </si>
  <si>
    <t xml:space="preserve">captacao-024</t>
  </si>
  <si>
    <t xml:space="preserve">PNAB Goiás - Música — Goiás</t>
  </si>
  <si>
    <t xml:space="preserve">PNAB Goiás - Música</t>
  </si>
  <si>
    <t xml:space="preserve">captacao-029</t>
  </si>
  <si>
    <t xml:space="preserve">PNAB Goiás - Pontos de Cultura — Goiás</t>
  </si>
  <si>
    <t xml:space="preserve">PNAB Goiás - Pontos de Cultura</t>
  </si>
  <si>
    <t xml:space="preserve">2025-05-26</t>
  </si>
  <si>
    <t xml:space="preserve">2025-06-02</t>
  </si>
  <si>
    <t xml:space="preserve">https://goias.gov.br/cultura/governo-de-goias-lanca-edital-para-pontos-e-pontoes-de-cultura-com-saldo-remanescente-da-pnab-2024/</t>
  </si>
  <si>
    <t xml:space="preserve">{'observacao': 'Série oficial identificada na API do site goias.gov.br (publicações 2023–2025): PONTOS. Categoria específica pode ter edital próprio; conferir no Diário Oficial.'}</t>
  </si>
  <si>
    <t xml:space="preserve">captacao-001</t>
  </si>
  <si>
    <t xml:space="preserve">PNAB Goiânia - Audiovisual — Goiás / Goiânia</t>
  </si>
  <si>
    <t xml:space="preserve">PNAB Goiânia - Audiovisual</t>
  </si>
  <si>
    <t xml:space="preserve">2024-08-05</t>
  </si>
  <si>
    <t xml:space="preserve">2024-08-29</t>
  </si>
  <si>
    <t xml:space="preserve">https://www.goiania.go.gov.br/agora/prefeitura-de-goiania-publica-seis-editais-da-lei-aldir-blanc-de-fomento-a-cultura</t>
  </si>
  <si>
    <t xml:space="preserve">{'observacao': 'PNAB Goiânia 2024 (seis editais, DOM 31/07/2024); resultado confere na página oficial /secult/pnab-2024/. Abertura 05/08/2024; encerramento prorrogado de 20/08 para 29/08.'}</t>
  </si>
  <si>
    <t xml:space="preserve">captacao-004</t>
  </si>
  <si>
    <t xml:space="preserve">PNAB Goiânia - Dança — Goiás / Goiânia</t>
  </si>
  <si>
    <t xml:space="preserve">PNAB Goiânia - Dança</t>
  </si>
  <si>
    <t xml:space="preserve">captacao-006</t>
  </si>
  <si>
    <t xml:space="preserve">PNAB Goiânia - Música — Goiás / Goiânia</t>
  </si>
  <si>
    <t xml:space="preserve">PNAB Goiânia - Música</t>
  </si>
  <si>
    <t xml:space="preserve">captacao-012</t>
  </si>
  <si>
    <t xml:space="preserve">PNAB Goiânia - Pontos de Cultura — Goiás / Goiânia</t>
  </si>
  <si>
    <t xml:space="preserve">PNAB Goiânia - Pontos de Cultura</t>
  </si>
  <si>
    <t xml:space="preserve">nova-c41153ca0007</t>
  </si>
  <si>
    <t xml:space="preserve">Fundo Brasil abre edital com até R$ 60 mil para iniciativas da Amazônia e do Cerrado — Brasil</t>
  </si>
  <si>
    <t xml:space="preserve">Fundo Brasil abre edital com até R$ 60 mil para iniciativas da Amazônia e do Cerrado</t>
  </si>
  <si>
    <t xml:space="preserve">{'valor': 'iniciativa_privada', 'fundamento': 'Fundação privada com recursos de FPC e Instituto Itaúsa.', 'em': '2026-10-02'}</t>
  </si>
  <si>
    <t xml:space="preserve">https://observatorio3setor.org.br/fundo-brasil-abre-edital-com-ate-r-60-mil-para-iniciativas-da-amazonia-e-do-cerrado</t>
  </si>
  <si>
    <t xml:space="preserve">{'observacao': 'Só Edital Geral conta como mesmo programa (3 edições na janela). Editais temáticos 2026 (outro programa, não contados): Direitos Digitais 6/4-19/5/2026; Direitos Humanos e Justiça Criminal 11/5-26/6/2026. Reconstruindo Direitos abriu 03/12/2022 e encerrou 28/02/2023: fora da janela. Todas as provas vêm de resumo do WebFetch (trechos entre aspas literais conforme retornado). | não v</t>
  </si>
  <si>
    <t xml:space="preserve">curadoria-011</t>
  </si>
  <si>
    <t xml:space="preserve">Fundacao Maria Emilia — Edital FME Transforma — Brasil</t>
  </si>
  <si>
    <t xml:space="preserve">Fundacao Maria Emilia — Edital FME Transforma</t>
  </si>
  <si>
    <t xml:space="preserve">Fundacao Maria Emilia</t>
  </si>
  <si>
    <t xml:space="preserve">captacao-230</t>
  </si>
  <si>
    <t xml:space="preserve">Fundação ArcelorMittal — Brasil</t>
  </si>
  <si>
    <t xml:space="preserve">Fundação ArcelorMittal</t>
  </si>
  <si>
    <t xml:space="preserve">https://fundacaoarcelormittal.org.br/</t>
  </si>
  <si>
    <t xml:space="preserve">{'observacao': "Portal selecao.simbi.social/arcelormittal nao mostra edicoes/ciclos nem datas; recebe propostas exclusivamente pelo sistema (cultura, esporte, saude). Liga STEAM (escolas, NAO OSC): edicoes 2023-2026 listadas em ligasteam.com.br; edicao-2025 diz 'O Premio Nacional Liga STEAM 2025 esta no ar' e as datas estao no PDF https://www.famb.org.br/uploads/cronograma_743_atualizado-1_747.pdf</t>
  </si>
  <si>
    <t xml:space="preserve">captacao-221</t>
  </si>
  <si>
    <t xml:space="preserve">Fundação Banco do Brasil — Brasil</t>
  </si>
  <si>
    <t xml:space="preserve">Fundação Banco do Brasil</t>
  </si>
  <si>
    <t xml:space="preserve">https://www.fbb.org.br/</t>
  </si>
  <si>
    <t xml:space="preserve">2026-06-22</t>
  </si>
  <si>
    <t xml:space="preserve">2026-08-21</t>
  </si>
  <si>
    <t xml:space="preserve">https://fbb.org.br/edital-publico/edital-de-selecao-publica-no-2026-006-reflorestar/</t>
  </si>
  <si>
    <t xml:space="preserve">Resultado, Prazo de recurso, Esfera, Requisitos, Destinação, Área de atuação</t>
  </si>
  <si>
    <t xml:space="preserve">Edital Rio Doce Participativo e Comunitário</t>
  </si>
  <si>
    <t xml:space="preserve">2026-07-29</t>
  </si>
  <si>
    <t xml:space="preserve">R$ 225 milhões; R$ 50 mil a R$ 400 mil por projeto</t>
  </si>
  <si>
    <t xml:space="preserve">MG; ES</t>
  </si>
  <si>
    <t xml:space="preserve">https://fbb.org.br/edital-publico/editalriodoce/</t>
  </si>
  <si>
    <t xml:space="preserve">{'observacao': 'Lista oficial só mostra 2 editais de 2026 (nenhum concluído listado); outros anos não localizados.'}</t>
  </si>
  <si>
    <t xml:space="preserve">captacao-222</t>
  </si>
  <si>
    <t xml:space="preserve">Fundação Itaú — Brasil</t>
  </si>
  <si>
    <t xml:space="preserve">Fundação Itaú</t>
  </si>
  <si>
    <t xml:space="preserve">https://www.fundacaoitau.org.br/</t>
  </si>
  <si>
    <t xml:space="preserve">{'observacao': 'Notícia de 28/09/2026 informa Locus selecionou 10 iniciativas (lançamento 18/09/2026); sem datas de inscrição encontradas. | não verificado: Datas de inscrição do Programa Locus: fundacaoitau.org.br/noticias e página do Locus; Chamadas Itaú Social (itausocial.org.br), Itaú Cultural (itaucultural.org.br), Itaú Educação e Trabalho 2023-2025'}</t>
  </si>
  <si>
    <t xml:space="preserve">captacao-227</t>
  </si>
  <si>
    <t xml:space="preserve">Instituto Coca-Cola Brasil — Brasil</t>
  </si>
  <si>
    <t xml:space="preserve">Instituto Coca-Cola Brasil</t>
  </si>
  <si>
    <t xml:space="preserve">https://www.institutococacolabrasil.com.br/</t>
  </si>
  <si>
    <t xml:space="preserve">{'observacao': 'Site oficial inacessivel: WebFetch bloqueado por robots.txt/erro SSL (hostname mismatch) e extensao Chrome falhou (get_page_text, javascript, screenshot). Nenhuma edicao registrada sem prova oficial. | não verificado: https://www.institutococacolabrasil.com.br/ (secoes de editais/chamadas, Coletivo, Reciclar, Y Bank, selecao de projetos); Perfis oficiais do instituto (LinkedIn/Inst</t>
  </si>
  <si>
    <t xml:space="preserve">bloqueada</t>
  </si>
  <si>
    <t xml:space="preserve">captacao-236</t>
  </si>
  <si>
    <t xml:space="preserve">Instituto Grupo Boticário — Brasil</t>
  </si>
  <si>
    <t xml:space="preserve">Instituto Grupo Boticário</t>
  </si>
  <si>
    <t xml:space="preserve">Fundação Grupo Boticário</t>
  </si>
  <si>
    <t xml:space="preserve">https://www.fundacaogrupoboticario.org.br/</t>
  </si>
  <si>
    <t xml:space="preserve">2026-08-03</t>
  </si>
  <si>
    <t xml:space="preserve">https://fundacaogrupoboticario.org.br/teia-sprint-chuvas-do-el-nino/</t>
  </si>
  <si>
    <t xml:space="preserve">{'observacao': 'A página fundacaogrupoboticario.org.br/editais/ e /editais-e-oportunidades/ dão 404; busca interna do site (?s=) listou apenas itens de 2026. Teia Sprint El Niño: abertura não literal (só data de publicação 14/07/2026). Fundação indicou 9 ações aprovadas (notícia no rodapé).'}</t>
  </si>
  <si>
    <t xml:space="preserve">captacao-235</t>
  </si>
  <si>
    <t xml:space="preserve">Instituto Lojas Renner — Brasil</t>
  </si>
  <si>
    <t xml:space="preserve">Instituto Lojas Renner</t>
  </si>
  <si>
    <t xml:space="preserve">https://www.institutolojasrenner.org.br/edital-encantando-comunidades/</t>
  </si>
  <si>
    <t xml:space="preserve">2026-08-12</t>
  </si>
  <si>
    <t xml:space="preserve">Edital Encantando Comunidades: Recursos Flexíveis</t>
  </si>
  <si>
    <t xml:space="preserve">2026-09-13</t>
  </si>
  <si>
    <t xml:space="preserve">até R$ 10 mil por organização (30)</t>
  </si>
  <si>
    <t xml:space="preserve">RS; RJ; SP</t>
  </si>
  <si>
    <t xml:space="preserve">{'observacao': "Páginas oficiais atuais não exibem datas das chamadas encerradas (Encantando 1ª ed. RJ/SP = 'Edital de Microinvestimento RJ e SP', Inclusão Socioprodutiva de Mulheres, Jornada Fortalecidas). Banco de Projetos Incentivados é fluxo contínuo, sem datas."}</t>
  </si>
  <si>
    <t xml:space="preserve">captacao-232</t>
  </si>
  <si>
    <t xml:space="preserve">Instituto Neoenergia — Brasil</t>
  </si>
  <si>
    <t xml:space="preserve">Instituto Neoenergia</t>
  </si>
  <si>
    <t xml:space="preserve">https://www.institutoneoenergia.org.br/</t>
  </si>
  <si>
    <t xml:space="preserve">2026-02-26</t>
  </si>
  <si>
    <t xml:space="preserve">2026-04-30</t>
  </si>
  <si>
    <t xml:space="preserve">https://www.neoenergia.com/web/instituto-neoenergia/arte-e-cultura/rouanet-no-interior</t>
  </si>
  <si>
    <t xml:space="preserve">{'observacao': "institutoneoenergia.org.br redireciona para neoenergia.com/web/instituto-neoenergia (WebFetch deu erro; Chrome ok). Não houve novo edital de credenciamento 2026 visível; Impactô Malunga 2026: 'inscrições serão divulgadas em breve'. Inspirar 2023/2024 e Impactô ODS 2023/24 e 2025 existem mas páginas oficiais sem datas de inscrição."}</t>
  </si>
  <si>
    <t xml:space="preserve">captacao-237</t>
  </si>
  <si>
    <t xml:space="preserve">Instituto Sabin — Brasil</t>
  </si>
  <si>
    <t xml:space="preserve">Instituto Sabin</t>
  </si>
  <si>
    <t xml:space="preserve">https://www.institutosabin.org.br/</t>
  </si>
  <si>
    <t xml:space="preserve">2026-06-17</t>
  </si>
  <si>
    <t xml:space="preserve">2026-07-15</t>
  </si>
  <si>
    <t xml:space="preserve">https://institutosabin.org.br/edital-da-jornada-transformacao-de-2026-e-lancado/</t>
  </si>
  <si>
    <t xml:space="preserve">{'observacao': 'institutosabin.org.br abriu pelo Chrome (WebFetch: robots timeout). Site é de investimento social próprio; só 2026 localizado com datas. Trecho do Ciclo de Cuidado foi truncado na leitura no último dígito do ano (contexto: publicado 27/5/2026) e abertura não informada.'}</t>
  </si>
  <si>
    <t xml:space="preserve">captacao-234</t>
  </si>
  <si>
    <t xml:space="preserve">Instituto Unibanco — Brasil</t>
  </si>
  <si>
    <t xml:space="preserve">Instituto Unibanco</t>
  </si>
  <si>
    <t xml:space="preserve">https://www.institutounibanco.org.br/</t>
  </si>
  <si>
    <t xml:space="preserve">{'observacao': "Pagina oficial /editais-iu lista 3 editais (publicados 29/07/2026 no site, data de migracao): Praticas Gestoras/Formacao de Gestores (inscricoes 10/05 a 30/06/2023, fora da janela), Fortalecimento Institucional (encerrado 11/12/2020, fora) e Fortalecimento Institucional - Equidade Etnico-racial (pagina mostra apenas 'Inscricoes encerradas' e inicio 08/05, sem ano nem encerramento; </t>
  </si>
  <si>
    <t xml:space="preserve">captacao-117</t>
  </si>
  <si>
    <t xml:space="preserve">Fundo Nacional da Criança e Adolescente — Brasil</t>
  </si>
  <si>
    <t xml:space="preserve">Fundo Nacional da Criança e Adolescente</t>
  </si>
  <si>
    <t xml:space="preserve">{'observacao': 'Nenhuma edicao registrada: a pagina-semente do Conanda no gov.br/mdh retornou 404, gov.br/participamaisbrasil/conanda retornou 404 (pagina de erro), e as paginas FNCA tentadas no gov.br/mdh deram 404. A pagina gov.br/mdh/pt-br/navegue-por-temas/crianca-e-adolescente abriu mas sem mencao a FNCA/chamamento/IR (apenas menu Editais). Sem trecho literal oficial, nada registrado. | não v</t>
  </si>
  <si>
    <t xml:space="preserve">captacao-119</t>
  </si>
  <si>
    <t xml:space="preserve">Destinação de IR pessoa jurídica para Fundo da Criança — Brasil</t>
  </si>
  <si>
    <t xml:space="preserve">Destinação de IR pessoa jurídica para Fundo da Criança</t>
  </si>
  <si>
    <t xml:space="preserve">Destinação de IR ao Fundo da Criança (via conselhos)</t>
  </si>
  <si>
    <t xml:space="preserve">https://www.gov.br/participamaisbrasil/conanda</t>
  </si>
  <si>
    <t xml:space="preserve">captacao-208</t>
  </si>
  <si>
    <t xml:space="preserve">Cessão de bens móveis apreendidos — Brasil</t>
  </si>
  <si>
    <t xml:space="preserve">Cessão de bens móveis apreendidos</t>
  </si>
  <si>
    <t xml:space="preserve">Receita Federal — destinação de mercadorias</t>
  </si>
  <si>
    <t xml:space="preserve">https://www.gov.br/receitafederal/pt-br</t>
  </si>
  <si>
    <t xml:space="preserve">{'observacao': 'Nenhuma edicao comprovada. Pagina CNJ chamadas-publicas (lida via get_page_text em 03/10/2026) lista apenas chamamentos de artigos, Justica Pesquisa, imoveis, Trabalho Decente e banco de instrutores ANPJ; nenhum de destinacao de prestacoes pecuniarias. URLs tentadas deram 404/403: TST (/web/guest/prestacoes-pecuniarias, /busca), Receita (mercadorias-apreendidas, destinacao-de-merca</t>
  </si>
  <si>
    <t xml:space="preserve">captacao-128</t>
  </si>
  <si>
    <t xml:space="preserve">Destinação de IR pessoa física para Fundo do Idoso — Brasil</t>
  </si>
  <si>
    <t xml:space="preserve">Destinação de IR pessoa física para Fundo do Idoso</t>
  </si>
  <si>
    <t xml:space="preserve">{'observacao': 'Páginas-semente e variações em gov.br/mdh retornaram 404 via WebFetch; busca do DOU em in.gov.br bloqueada por robots.txt. Nenhuma edição registrada por falta de prova oficial. | não verificado: gov.br/mdh: página atual do Fundo Nacional da Pessoa Idosa (URL mudou; localizar via menu do CNDPI); gov.br/mdh/pt-br/assuntos/noticias: chamamentos públicos do FNI 2023-2026; in.gov.br (DO</t>
  </si>
  <si>
    <t xml:space="preserve">captacao-127</t>
  </si>
  <si>
    <t xml:space="preserve">Fundo Nacional do Idoso — Brasil</t>
  </si>
  <si>
    <t xml:space="preserve">Fundo Nacional do Idoso</t>
  </si>
  <si>
    <t xml:space="preserve">captacao-129</t>
  </si>
  <si>
    <t xml:space="preserve">Destinação de IR pessoa jurídica para Fundo do Idoso — Brasil</t>
  </si>
  <si>
    <t xml:space="preserve">Destinação de IR pessoa jurídica para Fundo do Idoso</t>
  </si>
  <si>
    <t xml:space="preserve">captacao-251</t>
  </si>
  <si>
    <t xml:space="preserve">Google.org — Internacional</t>
  </si>
  <si>
    <t xml:space="preserve">Google.org</t>
  </si>
  <si>
    <t xml:space="preserve">https://www.google.org/</t>
  </si>
  <si>
    <t xml:space="preserve">Objeto, Valor, Órgão / financiador, Território, Esfera, Requisitos, Anexos, Destinação, Área de atuação</t>
  </si>
  <si>
    <t xml:space="preserve">{'observacao': "Google.org: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</si>
  <si>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captacao-260</t>
  </si>
  <si>
    <t xml:space="preserve">Oak Foundation — Internacional</t>
  </si>
  <si>
    <t xml:space="preserve">Oak Foundation</t>
  </si>
  <si>
    <t xml:space="preserve">https://oakfnd.org/</t>
  </si>
  <si>
    <t xml:space="preserve">Território</t>
  </si>
  <si>
    <t xml:space="preserve">Grants por áreas de programa; entrada por convite ou envio de Letter of Enquiry</t>
  </si>
  <si>
    <t xml:space="preserve">Decisão comunicada nos prazos acordados durante o processo, após due diligence</t>
  </si>
  <si>
    <t xml:space="preserve">Incentiva pedir custos reais, inclusive overhead, em project grants (sem teto)</t>
  </si>
  <si>
    <t xml:space="preserve">Internacional, privada</t>
  </si>
  <si>
    <t xml:space="preserve">Alinhamento à área de programa; convite ou LOI; segue formal application, due diligence (finanças, visitas)</t>
  </si>
  <si>
    <t xml:space="preserve">Concept note / formal application sob convite</t>
  </si>
  <si>
    <t xml:space="preserve">Project grants e apoio institucional</t>
  </si>
  <si>
    <t xml:space="preserve">Programas: Meio Ambiente, Iniciativas Globais de Clima, Habitação e Moradia de Rua, Questões que Afetam Mulheres, Direitos Humanos Internacionais, Diferenças de Aprendizagem, Prevenção de Abuso Sexual Infantil, Interesse Especial</t>
  </si>
  <si>
    <t xml:space="preserve">{'observacao': "Oak Foundation: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</si>
  <si>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captacao-035</t>
  </si>
  <si>
    <t xml:space="preserve">Lei Rouanet - doação de pessoa física — Brasil</t>
  </si>
  <si>
    <t xml:space="preserve">Lei Rouanet - doação de pessoa física</t>
  </si>
  <si>
    <t xml:space="preserve">Ministério da Cultura / SALIC</t>
  </si>
  <si>
    <t xml:space="preserve">Lei Rouanet</t>
  </si>
  <si>
    <t xml:space="preserve">https://www.gov.br/cultura/pt-br/assuntos/editais</t>
  </si>
  <si>
    <t xml:space="preserve">{'observacao': '2º Edital Fomento à Rede de Pontões Cultura Viva: página oficial (gov.br/culturaviva/.../edital-de-selecao-fomento-a-rede-de-pontoes-cultura-viva, publicada 02/10/2026) existe, mas o texto NÃO traz datas de inscrição; prazo 30/10/2026 NÃO confirmado (datas devem estar no extrato do DOU/Mapa da Cultura gestao-de-oportunidade/11685). Os dois editais de 2023 encerraram em 02/10/2023, </t>
  </si>
  <si>
    <t xml:space="preserve">captacao-036</t>
  </si>
  <si>
    <t xml:space="preserve">Lei Rouanet - patrocínio pessoa jurídica — Brasil</t>
  </si>
  <si>
    <t xml:space="preserve">Lei Rouanet - patrocínio pessoa jurídica</t>
  </si>
  <si>
    <t xml:space="preserve">captacao-037</t>
  </si>
  <si>
    <t xml:space="preserve">Programa Rouanet Juventude — Brasil</t>
  </si>
  <si>
    <t xml:space="preserve">Programa Rouanet Juventude</t>
  </si>
  <si>
    <t xml:space="preserve">captacao-041</t>
  </si>
  <si>
    <t xml:space="preserve">Lei de Incentivo ao Esporte - Esporte para Toda a Vida — Brasil</t>
  </si>
  <si>
    <t xml:space="preserve">Lei de Incentivo ao Esporte - Esporte para Toda a Vida</t>
  </si>
  <si>
    <t xml:space="preserve">Ministério do Esporte</t>
  </si>
  <si>
    <t xml:space="preserve">Lei de Incentivo ao Esporte</t>
  </si>
  <si>
    <t xml:space="preserve">https://www.gov.br/esporte/pt-br</t>
  </si>
  <si>
    <t xml:space="preserve">{'observacao': "Pagina-semente gov.br/esporte LIE retorna 401/'Conteudo Restrito' (exige autenticacao) via WebFetch e Chrome; noticias gov.br carregam via JS sem conteudo. Nenhuma edicao registrada sem trecho literal oficial. A LIE funciona em fluxo continuo de apresentacao de projetos (SALIC) e nao ha evidencia verificada de chamada anual com abertura/encerramento. | não verificado: Portarias MEs</t>
  </si>
  <si>
    <t xml:space="preserve">captacao-044</t>
  </si>
  <si>
    <t xml:space="preserve">Projetos aptos à captação na LIE — Brasil</t>
  </si>
  <si>
    <t xml:space="preserve">Projetos aptos à captação na LIE</t>
  </si>
  <si>
    <t xml:space="preserve">Lei de Incentivo ao Esporte — projetos aptos</t>
  </si>
  <si>
    <t xml:space="preserve">https://www.gov.br/esporte/pt-br/acoes-e-programas/lei-de-incentivo-ao-esporte</t>
  </si>
  <si>
    <t xml:space="preserve">captacao-198</t>
  </si>
  <si>
    <t xml:space="preserve">MPT - TAC para inclusão profissional — Brasil</t>
  </si>
  <si>
    <t xml:space="preserve">MPT - TAC para inclusão profissional</t>
  </si>
  <si>
    <t xml:space="preserve">captacao-197</t>
  </si>
  <si>
    <t xml:space="preserve">MPT - TAC para projetos de combate ao trabalho infantil — Brasil</t>
  </si>
  <si>
    <t xml:space="preserve">MPT - TAC para projetos de combate ao trabalho infantil</t>
  </si>
  <si>
    <t xml:space="preserve">captacao-178</t>
  </si>
  <si>
    <t xml:space="preserve">TAC ambiental via Ministério Público — Brasil</t>
  </si>
  <si>
    <t xml:space="preserve">TAC ambiental via Ministério Público</t>
  </si>
  <si>
    <t xml:space="preserve">nova-38af06e79628</t>
  </si>
  <si>
    <t xml:space="preserve">Edital de chamamento público - 001/2026 - Socioeducativo — Goiás</t>
  </si>
  <si>
    <t xml:space="preserve">Edital de chamamento público - 001/2026 - Socioeducativo</t>
  </si>
  <si>
    <t xml:space="preserve">Fundo Estadual dos Direitos da Pessoa Idosa Goiás</t>
  </si>
  <si>
    <t xml:space="preserve">https://goias.gov.br/social/edital-de-chamamento-publico-001-2026-socioeducativo</t>
  </si>
  <si>
    <t xml:space="preserve">Prazo de inscrição, Resultado, Prazo de recurso, Valor, Esfera, Requisitos, Destinação, Área de atuação</t>
  </si>
  <si>
    <t xml:space="preserve">seleção de Organização da Sociedade Civil – OSC para celebração de Termo de Colaboração destinado à execução, em regime de mútua cooperação com o Estado de Goiás, de açõe</t>
  </si>
  <si>
    <t xml:space="preserve">Superintendência de Desenvolvimento e Assistência Social</t>
  </si>
  <si>
    <t xml:space="preserve">confirmada pela validação individual em 2026-09-29</t>
  </si>
  <si>
    <t xml:space="preserve">captacao-090</t>
  </si>
  <si>
    <t xml:space="preserve">MDS - Cozinhas Solidárias 2026 — Brasil</t>
  </si>
  <si>
    <t xml:space="preserve">MDS - Cozinhas Solidárias 2026</t>
  </si>
  <si>
    <t xml:space="preserve">MDS / FNAS / CNAS</t>
  </si>
  <si>
    <t xml:space="preserve">https://www.gov.br/mds/pt-br</t>
  </si>
  <si>
    <t xml:space="preserve">2026-02-10</t>
  </si>
  <si>
    <t xml:space="preserve">2026-03-17</t>
  </si>
  <si>
    <t xml:space="preserve">https://www.gov.br/mds/pt-br/acesso-a-informacao/licitacoes-e-contratos/editais-abertos/editais-2026</t>
  </si>
  <si>
    <t xml:space="preserve">{'observacao': "Páginas anuais de Editais Abertos 2025 e 2023 listam só licitações administrativas (sem chamamento OSC). A página 'Editais de chamamento público' (participação social) está 'Conteúdo em atualização'; URL /chamamentos-publicos dá 404. Cisternas/sistemas alimentares circulares não localizados no site MDS nesta rodada. Resultado do chamamento 01/2026 já divulgado (definitivo retificad</t>
  </si>
  <si>
    <t xml:space="preserve">captacao-077</t>
  </si>
  <si>
    <t xml:space="preserve">Projeto de educação ambiental escolar — Goiás</t>
  </si>
  <si>
    <t xml:space="preserve">Projeto de educação ambiental escolar</t>
  </si>
  <si>
    <t xml:space="preserve">captacao-188</t>
  </si>
  <si>
    <t xml:space="preserve">Projeto de prevenção a desastres e clima em bairros — Goiás</t>
  </si>
  <si>
    <t xml:space="preserve">Projeto de prevenção a desastres e clima em bairros</t>
  </si>
  <si>
    <t xml:space="preserve">curadoria-004</t>
  </si>
  <si>
    <t xml:space="preserve">Agência do Bem / Rede do Bem — Edital de Microprojetos — São Paulo</t>
  </si>
  <si>
    <t xml:space="preserve">Agência do Bem / Rede do Bem — Edital de Microprojetos</t>
  </si>
  <si>
    <t xml:space="preserve">Agência do Bem</t>
  </si>
  <si>
    <t xml:space="preserve">https://rededobem.org.br/editais/</t>
  </si>
  <si>
    <t xml:space="preserve">{'observacao': 'SERIE CONFIRMADA SEM DATAS (Busca web e página oficial do financiador, leitura de 03/10/2026): edições anuais de 2025 comprovadas na página oficial, mas as datas de inscrição não foram lidas; previsão de janela só após ler essas datas.'}</t>
  </si>
  <si>
    <t xml:space="preserve">nova-ab3a26703ddb</t>
  </si>
  <si>
    <t xml:space="preserve">Editais destinam até R$ 2 milhões para OSCs ambientais apoiarem RPPNs no litoral do Paraná — Brasil</t>
  </si>
  <si>
    <t xml:space="preserve">Editais destinam até R$ 2 milhões para OSCs ambientais apoiarem RPPNs no litoral do Paraná</t>
  </si>
  <si>
    <t xml:space="preserve">https://captadores.org.br/editais/editais-destinam-ate-r-2-milhoes-para-oscs-ambientais-apoiarem-rppns-no-litoral-do-parana</t>
  </si>
  <si>
    <t xml:space="preserve">captacao-063</t>
  </si>
  <si>
    <t xml:space="preserve">Equipagem esportiva comunitária — Goiás</t>
  </si>
  <si>
    <t xml:space="preserve">Equipagem esportiva comunitária</t>
  </si>
  <si>
    <t xml:space="preserve">emenda</t>
  </si>
  <si>
    <t xml:space="preserve">espalhado-rouanet-cultura-gov-br</t>
  </si>
  <si>
    <t xml:space="preserve">Ministério da Cultura — SALIC — oportunidades (espalhado de edital validado) — Brasil</t>
  </si>
  <si>
    <t xml:space="preserve">Ministério da Cultura — SALIC — oportunidades (espalhado de edital validado)</t>
  </si>
  <si>
    <t xml:space="preserve">Ministério da Cultura — SALIC</t>
  </si>
  <si>
    <t xml:space="preserve">https://rouanet.cultura.gov.br/</t>
  </si>
  <si>
    <t xml:space="preserve">captacao-057</t>
  </si>
  <si>
    <t xml:space="preserve">Núcleo de artes marciais educativas — Goiás</t>
  </si>
  <si>
    <t xml:space="preserve">Núcleo de artes marciais educativas</t>
  </si>
  <si>
    <t xml:space="preserve">captacao-162</t>
  </si>
  <si>
    <t xml:space="preserve">Projeto de acessibilidade em saúde — Goiás</t>
  </si>
  <si>
    <t xml:space="preserve">Projeto de acessibilidade em saúde</t>
  </si>
  <si>
    <t xml:space="preserve">captacao-110</t>
  </si>
  <si>
    <t xml:space="preserve">Projeto de apoio a pessoas em situação de rua — Goiás</t>
  </si>
  <si>
    <t xml:space="preserve">Projeto de apoio a pessoas em situação de rua</t>
  </si>
  <si>
    <t xml:space="preserve">captacao-139</t>
  </si>
  <si>
    <t xml:space="preserve">Projeto de fortalecimento de conselhos e controle social — Brasil</t>
  </si>
  <si>
    <t xml:space="preserve">Projeto de fortalecimento de conselhos e controle social</t>
  </si>
  <si>
    <t xml:space="preserve">captacao-075</t>
  </si>
  <si>
    <t xml:space="preserve">Projeto de inclusão digital comunitária — Goiás</t>
  </si>
  <si>
    <t xml:space="preserve">Projeto de inclusão digital comunitária</t>
  </si>
  <si>
    <t xml:space="preserve">captacao-155</t>
  </si>
  <si>
    <t xml:space="preserve">Projeto de prevenção ao uso de álcool e drogas — Goiás</t>
  </si>
  <si>
    <t xml:space="preserve">Projeto de prevenção ao uso de álcool e drogas</t>
  </si>
  <si>
    <t xml:space="preserve">captacao-160</t>
  </si>
  <si>
    <t xml:space="preserve">Projeto de prevenção de doenças crônicas — Goiás</t>
  </si>
  <si>
    <t xml:space="preserve">Projeto de prevenção de doenças crônicas</t>
  </si>
  <si>
    <t xml:space="preserve">captacao-158</t>
  </si>
  <si>
    <t xml:space="preserve">Projeto de reabilitação comunitária — Goiás</t>
  </si>
  <si>
    <t xml:space="preserve">Projeto de reabilitação comunitária</t>
  </si>
  <si>
    <t xml:space="preserve">captacao-074</t>
  </si>
  <si>
    <t xml:space="preserve">Projeto de reforço escolar e recomposição de aprendizagem — Goiás</t>
  </si>
  <si>
    <t xml:space="preserve">Projeto de reforço escolar e recomposição de aprendizagem</t>
  </si>
  <si>
    <t xml:space="preserve">captacao-153</t>
  </si>
  <si>
    <t xml:space="preserve">Projeto de saúde bucal comunitária — Goiás</t>
  </si>
  <si>
    <t xml:space="preserve">Projeto de saúde bucal comunitária</t>
  </si>
  <si>
    <t xml:space="preserve">captacao-163</t>
  </si>
  <si>
    <t xml:space="preserve">Projeto de saúde da mulher — Goiás</t>
  </si>
  <si>
    <t xml:space="preserve">Projeto de saúde da mulher</t>
  </si>
  <si>
    <t xml:space="preserve">['Mulheres']</t>
  </si>
  <si>
    <t xml:space="preserve">captacao-154</t>
  </si>
  <si>
    <t xml:space="preserve">Projeto de saúde mental comunitária — Goiás</t>
  </si>
  <si>
    <t xml:space="preserve">Projeto de saúde mental comunitária</t>
  </si>
  <si>
    <t xml:space="preserve">captacao-159</t>
  </si>
  <si>
    <t xml:space="preserve">Projeto de teleorientação em saúde comunitária — Goiás</t>
  </si>
  <si>
    <t xml:space="preserve">Projeto de teleorientação em saúde comunitária</t>
  </si>
  <si>
    <t xml:space="preserve">captacao-064</t>
  </si>
  <si>
    <t xml:space="preserve">Reforma de espaço esportivo social — Goiás</t>
  </si>
  <si>
    <t xml:space="preserve">Reforma de espaço esportivo social</t>
  </si>
  <si>
    <t xml:space="preserve">captacao-209</t>
  </si>
  <si>
    <t xml:space="preserve">Receita Federal - doação de mercadorias apreendidas — Brasil</t>
  </si>
  <si>
    <t xml:space="preserve">Receita Federal - doação de mercadorias apreendidas</t>
  </si>
  <si>
    <t xml:space="preserve">Receita Federal (doação)</t>
  </si>
  <si>
    <t xml:space="preserve">op-88c2f74b9158</t>
  </si>
  <si>
    <t xml:space="preserve">Inscrições Abertas — Goiás</t>
  </si>
  <si>
    <t xml:space="preserve">Inscrições Abertas</t>
  </si>
  <si>
    <t xml:space="preserve">https://goias.gov.br/fapeg/editais/inscricoes-abertas/</t>
  </si>
  <si>
    <t xml:space="preserve">2023, 2024, 2025, 2026</t>
  </si>
  <si>
    <t xml:space="preserve">{'observacao': 'Abertura = data de publicação da chamada no site oficial da FAPEG (API WordPress); prazo de inscrição consta do edital em PDF, não lido nesta coleta.'}</t>
  </si>
  <si>
    <t xml:space="preserve">op-2cb2345b3786</t>
  </si>
  <si>
    <t xml:space="preserve">Últimos dias para o encerramento das nossas convocatórias 2026 — Brasil</t>
  </si>
  <si>
    <t xml:space="preserve">Últimos dias para o encerramento das nossas convocatórias 2026</t>
  </si>
  <si>
    <t xml:space="preserve">https://www.gov.br/funarte/pt-br/editais/2026/programa-ibermusicas-convocatorias-2026/premio-brasil-ibermusicas</t>
  </si>
  <si>
    <t xml:space="preserve">https://www.ibermusicas.org/index.php/faltam-30-dias-para-o-encerramento-das-nossas-convocatorias-2026/</t>
  </si>
  <si>
    <t xml:space="preserve">Resultado, Valor, Área de atuação</t>
  </si>
  <si>
    <t xml:space="preserve">Ibermúsicas</t>
  </si>
  <si>
    <t xml:space="preserve">Serán elegibles las solicitudes que se encuadren dentro de las siguientes categorías</t>
  </si>
  <si>
    <t xml:space="preserve">op-1cd161221713</t>
  </si>
  <si>
    <t xml:space="preserve">Prorrogado prazo para submissão de propostas ao edital de Conservação da Biodiversidade Legado Verdes do Cerra… — Goiás</t>
  </si>
  <si>
    <t xml:space="preserve">Prorrogado prazo para submissão de propostas ao edital de Conservação da Biodiversidade Legado Verdes do Cerrado</t>
  </si>
  <si>
    <t xml:space="preserve">FAPEG — Fundação de Amparo à Pesquisa de Goiás</t>
  </si>
  <si>
    <t xml:space="preserve">{'valor': 'mista', 'fundamento': 'FAPEG (fundação pública estadual) publica em parceria com empresa (Companhia Brasileira de Alumínio / Reserva Votorantim).', 'em': '2026-10-02'}</t>
  </si>
  <si>
    <t xml:space="preserve">http://www.fapeg.go.gov.br/fapeg-divulga-resultado-final-do-edital-para-conservacao-da-biodiversidade-legado-verdes-do-cerrado/</t>
  </si>
  <si>
    <t xml:space="preserve">Prazo de inscrição, Prazo de recurso, Valor, Território, Requisitos, Destinação</t>
  </si>
  <si>
    <t xml:space="preserve">Conservação da Biodiversidade Legado Verdes do Cerrado</t>
  </si>
  <si>
    <t xml:space="preserve">2023-08-15</t>
  </si>
  <si>
    <t xml:space="preserve">FAPEG – Fundação de Amparo à Pesquisa do Estado de Goiás</t>
  </si>
  <si>
    <t xml:space="preserve">nova-962fbc0ba13a</t>
  </si>
  <si>
    <t xml:space="preserve">ONGs e coletivos periféricos do Nordeste podem se inscrever em edital que oferece apoio de R$ 300 mil até o di… — Brasil</t>
  </si>
  <si>
    <t xml:space="preserve">ONGs e coletivos periféricos do Nordeste podem se inscrever em edital que oferece apoio de R$ 300 mil até o dia 12</t>
  </si>
  <si>
    <t xml:space="preserve">['OSC e associações', 'Artistas e produtores culturais']</t>
  </si>
  <si>
    <t xml:space="preserve">{'valor': 'mista', 'fundamento': 'Recurso do BNDES (público) operado pelo Instituto Ekloos (privado) como parceiro executor.', 'em': '2026-10-02'}</t>
  </si>
  <si>
    <t xml:space="preserve">https://captadores.org.br/editais/ongs-e-coletivos-perifericos-do-nordeste-podem-se-inscrever-em-edital-que-oferece-apoio-de-r-300-mil-ate-o-dia-12</t>
  </si>
  <si>
    <t xml:space="preserve">https://www.bndes.gov.br/wps/portal/site/home/onde-atuamos/social/bndes-periferias-fortes-selecao-parceiro-executor</t>
  </si>
  <si>
    <t xml:space="preserve">Prazo de inscrição, Resultado, Prazo de recurso, Valor, Território, Esfera, Requisitos, Destinação, Área de atuação</t>
  </si>
  <si>
    <t xml:space="preserve">fortalecimento institucional de Organizações Sociais de Periferia (OSPs)</t>
  </si>
  <si>
    <t xml:space="preserve">Banco Nacional de Desenvolvimento Econômico e Social (BNDES)</t>
  </si>
  <si>
    <t xml:space="preserve">{'observacao': "URL-semente /investimento-social dá 404; página real é /sustentabilidade/investimentos-sociais-e-esportivos (abas FIA, Idoso, Esporte, Saúde, Reciclagem; cada ano tem editais separados). Datas de encerramento de 2024 e 2025 (FIA/Idoso/Esporte) estão nos PDFs dos editais, não lidos. 'Vigência' das páginas de aba não é prazo de inscrição. Há também comunicado de 08/12/2025 'Alteração</t>
  </si>
  <si>
    <t xml:space="preserve">nova-8f1e5103b38c</t>
  </si>
  <si>
    <t xml:space="preserve">Gife cria fundo para incentivar doacoes — Brasil</t>
  </si>
  <si>
    <t xml:space="preserve">Gife cria fundo para incentivar doacoes</t>
  </si>
  <si>
    <t xml:space="preserve">{'valor': 'iniciativa_privada', 'fundamento': 'Fundo criado por OSCs e gerido pelo GIFE, com recurso privado.', 'em': '2026-10-02'}</t>
  </si>
  <si>
    <t xml:space="preserve">https://fundobis.org.br/</t>
  </si>
  <si>
    <t xml:space="preserve">apoiar soluções inovadoras que criem condições favoráveis tanto para facilitar a conexão e</t>
  </si>
  <si>
    <t xml:space="preserve">até R$ 240 mil</t>
  </si>
  <si>
    <t xml:space="preserve">Fundo BIS</t>
  </si>
  <si>
    <t xml:space="preserve">op-2a795d302c0f</t>
  </si>
  <si>
    <t xml:space="preserve">Edital nº. 4/2026 - Processo de chamamento público para eleição de organizações da sociedade civil e movimento… — Brasil</t>
  </si>
  <si>
    <t xml:space="preserve">Edital  nº. 4/2026 - Processo de chamamento público para eleição de  organizações   da   sociedade   civil  e movimentos sociais para comporem o comitê de imple</t>
  </si>
  <si>
    <t xml:space="preserve">{'valor': 'poder_publico', 'fundamento': 'MDHC publica; não há recurso financeiro informado.', 'em': '2026-10-02'}</t>
  </si>
  <si>
    <t xml:space="preserve">https://www.gov.br/mdh/pt-br/navegue-por-temas/participacao-social/editais</t>
  </si>
  <si>
    <t xml:space="preserve">Seleção de peritos e/ou peritas do Mecanismo Nacional de Prevenção e Combate à Tortura</t>
  </si>
  <si>
    <t xml:space="preserve">2026-04-06 a 2026-04-20</t>
  </si>
  <si>
    <t xml:space="preserve">2026-07-01</t>
  </si>
  <si>
    <t xml:space="preserve">Ministério dos Direitos Humanos e da Cidadania</t>
  </si>
  <si>
    <t xml:space="preserve">Possuir formação acadêmica em direito, psicologia, medicina, enfermagem, sociologia, antropologia, filosofia, ciências s, Possuir experiência comprovada em atividades de perícias, avaliação de danos, </t>
  </si>
  <si>
    <t xml:space="preserve">nova-73526e946e17</t>
  </si>
  <si>
    <t xml:space="preserve">Santa Luzia do Paruá abre edital para impulsionar projetos socioambientais com recursos internacionais — Brasil</t>
  </si>
  <si>
    <t xml:space="preserve">Santa Luzia do Paruá abre edital para impulsionar projetos socioambientais com recursos internacionais</t>
  </si>
  <si>
    <t xml:space="preserve">https://captadores.org.br/editais/santa-luzia-do-parua-abre-edital-para-impulsionar-projetos-socioambientais-com-recursos-internacionais</t>
  </si>
  <si>
    <t xml:space="preserve">op-22d736186814</t>
  </si>
  <si>
    <t xml:space="preserve">BNDES - Brazilian Development Bank — Brasil</t>
  </si>
  <si>
    <t xml:space="preserve">BNDES - Brazilian Development Bank</t>
  </si>
  <si>
    <t xml:space="preserve">https://blogdodesenvolvimento.bndes.gov.br/serie/lancamentos-de-publicacoes/pDesempenho-operacional-do-BNDES-em-2025-p/</t>
  </si>
  <si>
    <t xml:space="preserve">Objeto, Prazo de inscrição, Resultado, Prazo de recurso, Valor, Órgão / financiador, Requisitos, Anexos, Área de atuação</t>
  </si>
  <si>
    <t xml:space="preserve">informado (motor bndes, 2026-10-01)</t>
  </si>
  <si>
    <t xml:space="preserve">op-a49e33f77f56</t>
  </si>
  <si>
    <t xml:space="preserve">BNDES - O banco nacional do desenvolvimento — Brasil</t>
  </si>
  <si>
    <t xml:space="preserve">BNDES - O banco nacional do desenvolvimento</t>
  </si>
  <si>
    <t xml:space="preserve">https://www.bndes.gov.br/wps/portal/site/home</t>
  </si>
  <si>
    <t xml:space="preserve">apoio a projetos estruturantes com foco em desenvolvimento territorial e fortalecimento di</t>
  </si>
  <si>
    <t xml:space="preserve">op-eafeaff82492</t>
  </si>
  <si>
    <t xml:space="preserve">BNDES Crédito Pequenas e Médias Empresas — Brasil</t>
  </si>
  <si>
    <t xml:space="preserve">BNDES Crédito Pequenas e Médias Empresas</t>
  </si>
  <si>
    <t xml:space="preserve">https://www.bndes.gov.br/wps/portal/site/home/financiamento/produto/bndes-credito-pequenas-e-medias-empresas</t>
  </si>
  <si>
    <t xml:space="preserve">Empréstimo visando à manutenção e/ou à geração de empregos, no limite de R$ 20 milhões por</t>
  </si>
  <si>
    <t xml:space="preserve">op-22d2af1078a8</t>
  </si>
  <si>
    <t xml:space="preserve">Solicite seu financiamento - BNDES — Brasil</t>
  </si>
  <si>
    <t xml:space="preserve">Solicite seu financiamento - BNDES</t>
  </si>
  <si>
    <t xml:space="preserve">https://impulso.bndes.gov.br/</t>
  </si>
  <si>
    <t xml:space="preserve">Prazo de inscrição, Resultado, Prazo de recurso, Valor, Área de atuação</t>
  </si>
  <si>
    <t xml:space="preserve">Soluções financeiras e não-financeiras que auxiliam os empreendedores no desenvolvimento d</t>
  </si>
  <si>
    <t xml:space="preserve">credenciais da Conta Gov.br para autenticação do usuário logado</t>
  </si>
  <si>
    <t xml:space="preserve">op-0a959e4e06c8</t>
  </si>
  <si>
    <t xml:space="preserve">The bndes - bndes — Brasil</t>
  </si>
  <si>
    <t xml:space="preserve">The BNDES - BNDES</t>
  </si>
  <si>
    <t xml:space="preserve">https://www.bndes.gov.br/SiteBNDES/bndes/bndes_en/Institucional/The_BNDES</t>
  </si>
  <si>
    <t xml:space="preserve">Prazo de inscrição, Resultado, Prazo de recurso, Valor, Requisitos, Anexos, Área de atuação</t>
  </si>
  <si>
    <t xml:space="preserve">suporte a exportações, inovação tecnológica, desenvolvimento socioambiental sustentável e</t>
  </si>
  <si>
    <t xml:space="preserve">op-49972c48941e</t>
  </si>
  <si>
    <t xml:space="preserve">The bndes abroad - bndes — Brasil</t>
  </si>
  <si>
    <t xml:space="preserve">The BNDES Abroad - BNDES</t>
  </si>
  <si>
    <t xml:space="preserve">https://www.bndes.gov.br/SiteBNDES/bndes/bndes_en/Institucional/The_BNDES_Abroad</t>
  </si>
  <si>
    <t xml:space="preserve">Objeto, Prazo de inscrição, Resultado, Prazo de recurso, Valor, Órgão / financiador, Território, Requisitos, Anexos, Destinação, Área de atuação</t>
  </si>
  <si>
    <t xml:space="preserve">op-576f3ceb2b71</t>
  </si>
  <si>
    <t xml:space="preserve">The bndes system - bndes — Brasil</t>
  </si>
  <si>
    <t xml:space="preserve">The BNDES System - BNDES</t>
  </si>
  <si>
    <t xml:space="preserve">https://bndes.gov.br/SiteBNDES/bndes/bndes_en/Institucional/The_BNDES/the_BNDES_system.html</t>
  </si>
  <si>
    <t xml:space="preserve">Prazo de inscrição, Resultado, Prazo de recurso, Valor, Órgão / financiador, Território, Esfera, Requisitos, Anexos, Destinação, Área de atuação</t>
  </si>
  <si>
    <t xml:space="preserve">financiamento de operações de compra e venda e exportação de máquinas e equipamentos brasi</t>
  </si>
  <si>
    <t xml:space="preserve">op-a701145aaa7b</t>
  </si>
  <si>
    <t xml:space="preserve">United States of America (USA) | Petrobras — Brasil</t>
  </si>
  <si>
    <t xml:space="preserve">United States of America (USA) | Petrobras</t>
  </si>
  <si>
    <t xml:space="preserve">https://agencia.petrobras.com.br/</t>
  </si>
  <si>
    <t xml:space="preserve">op-e617aaf3b704</t>
  </si>
  <si>
    <t xml:space="preserve">Prémio Isabel M. Aguiar Branco e Silva abre 8ª edição para professores de Português — Brasil</t>
  </si>
  <si>
    <t xml:space="preserve">Prémio Isabel M. Aguiar Branco e Silva abre 8ª edição para professores de Português</t>
  </si>
  <si>
    <t xml:space="preserve">https://plataforma9.com/financiamento/premio-isabel-aguiar-branco-silva-8-edicao-2026.htm</t>
  </si>
  <si>
    <t xml:space="preserve">op-c793b9ab338a</t>
  </si>
  <si>
    <t xml:space="preserve">Home - BNDES Investor Relations — Brasil</t>
  </si>
  <si>
    <t xml:space="preserve">Home - BNDES Investor Relations</t>
  </si>
  <si>
    <t xml:space="preserve">https://ri.bndes.gov.br/en</t>
  </si>
  <si>
    <t xml:space="preserve">op-6b1a7c45cab4</t>
  </si>
  <si>
    <t xml:space="preserve">BNDES - Portal do Cliente — Brasil</t>
  </si>
  <si>
    <t xml:space="preserve">BNDES - Portal do Cliente</t>
  </si>
  <si>
    <t xml:space="preserve">https://www.bndes.gov.br/wps/portal/site/home/financiamento/roteiros/portal-do-cliente</t>
  </si>
  <si>
    <t xml:space="preserve">op-c5d3c87ef6fb</t>
  </si>
  <si>
    <t xml:space="preserve">About Us - BNDES Investor Relations — Brasil</t>
  </si>
  <si>
    <t xml:space="preserve">About Us - BNDES Investor Relations</t>
  </si>
  <si>
    <t xml:space="preserve">https://ri.bndes.gov.br/en/about-bndes/about-us</t>
  </si>
  <si>
    <t xml:space="preserve">op-c255dfd8571c</t>
  </si>
  <si>
    <t xml:space="preserve">Contratação via Edital de Chamamento 01/2025 da AGENTE CULTURAL, JANAINA CHELO AMARAL GALDI, para apresentação… — Brasil</t>
  </si>
  <si>
    <t xml:space="preserve">Contratação via Edital de Chamamento 01/2025 da AGENTE CULTURAL, JANAINA CHELO AMARAL GALDI, para apresentação do projeto " CLOWNTAÇÃO DE HISTÓRIAS: “A GUERRA D</t>
  </si>
  <si>
    <t xml:space="preserve">https://pncp.gov.br/app/editais/45358249000101/2026/1014</t>
  </si>
  <si>
    <t xml:space="preserve">op-a2fd8ddff650</t>
  </si>
  <si>
    <t xml:space="preserve">Últimos días para el cierre de nuestras convocatorias 2026 — Brasil</t>
  </si>
  <si>
    <t xml:space="preserve">Últimos días para el cierre de nuestras convocatorias 2026</t>
  </si>
  <si>
    <t xml:space="preserve">https://www.ibermusicas.org/index.php/quedan-30-dias-para-el-cierre-de-nuestras-convocatorias-2026/</t>
  </si>
  <si>
    <t xml:space="preserve">Resultado, Valor, Requisitos, Destinação, Área de atuação</t>
  </si>
  <si>
    <t xml:space="preserve">op-1cc56d8d2df8</t>
  </si>
  <si>
    <t xml:space="preserve">Chamamento CRARS 4/2026: Capacitação em IA e Gestão — Brasil</t>
  </si>
  <si>
    <t xml:space="preserve">Chamamento CRARS 4/2026: Capacitação em IA e Gestão</t>
  </si>
  <si>
    <t xml:space="preserve">https://www.crars.org.br/arquivos/chamamentos/Edital_de_Chamamento_Publico_004-2026.pdf</t>
  </si>
  <si>
    <t xml:space="preserve">2026-09-10</t>
  </si>
  <si>
    <t xml:space="preserve">{'inicio': '2026-09-10', 'fim': '2026-10-13'}</t>
  </si>
  <si>
    <t xml:space="preserve">Preliminar 2026-10-15; definitivo até 2026-10-23</t>
  </si>
  <si>
    <t xml:space="preserve">5 dias a contar da divulgação do resultado preliminar</t>
  </si>
  <si>
    <t xml:space="preserve">Até R$ 1.000 por bolsa; máximo R$ 50.000 por curso (2 cursos)</t>
  </si>
  <si>
    <t xml:space="preserve">educação / capacitação profissional</t>
  </si>
  <si>
    <t xml:space="preserve">op-7855b66dd587</t>
  </si>
  <si>
    <t xml:space="preserve">Prefeitura de Nova Iguaçu de Goiás — Edital nº 001/2026 — Goiás / Nova Iguaçu de Goiás</t>
  </si>
  <si>
    <t xml:space="preserve">Prefeitura de Nova Iguaçu de Goiás — Edital nº 001/2026</t>
  </si>
  <si>
    <t xml:space="preserve">Prefeitura de Nova Iguaçu de Goiás</t>
  </si>
  <si>
    <t xml:space="preserve">Nova Iguaçu de Goiás</t>
  </si>
  <si>
    <t xml:space="preserve">https://sme.goiania.go.gov.br/site/index.php/institucional/ultimas-noticias/3169-prefeitura-de-goiania-abre-processo-seletivo-simplificado-com-vagas-temporarias-para-a-educacao</t>
  </si>
  <si>
    <t xml:space="preserve">informado (motor do-goias, 2026-10-01)</t>
  </si>
  <si>
    <t xml:space="preserve">promover os Jogos Educacionais no contexto virtual e/ou presencial, a fim de possibilitar</t>
  </si>
  <si>
    <t xml:space="preserve">Secretaria Municipal de Educação</t>
  </si>
  <si>
    <t xml:space="preserve">{'observacao': 'Não é oportunidade de captação do terceiro setor (serviço público, seleção de pessoal, curso ou notícia): sugerir arquivar o livro.'}</t>
  </si>
  <si>
    <t xml:space="preserve">captacao-053</t>
  </si>
  <si>
    <t xml:space="preserve">Projeto de esporte e lazer para idosos — Goiás</t>
  </si>
  <si>
    <t xml:space="preserve">Projeto de esporte e lazer para idosos</t>
  </si>
  <si>
    <t xml:space="preserve">captacao-033</t>
  </si>
  <si>
    <t xml:space="preserve">Programa Goyazes - projetos de R$ 250 mil a R$ 2 milhões — Goiás</t>
  </si>
  <si>
    <t xml:space="preserve">Programa Goyazes - projetos de R$ 250 mil a R$ 2 milhões</t>
  </si>
  <si>
    <t xml:space="preserve">captacao-206</t>
  </si>
  <si>
    <t xml:space="preserve">Convênio com órgão público estadual — Goiás</t>
  </si>
  <si>
    <t xml:space="preserve">Convênio com órgão público estadual</t>
  </si>
  <si>
    <t xml:space="preserve">PNCP / Diário Oficial de Goiás</t>
  </si>
  <si>
    <t xml:space="preserve">https://pncp.gov.br/</t>
  </si>
  <si>
    <t xml:space="preserve">captacao-081</t>
  </si>
  <si>
    <t xml:space="preserve">Projeto de educação para o trabalho — Goiás</t>
  </si>
  <si>
    <t xml:space="preserve">Projeto de educação para o trabalho</t>
  </si>
  <si>
    <t xml:space="preserve">Seduc-GO</t>
  </si>
  <si>
    <t xml:space="preserve">https://goias.gov.br/educacao/</t>
  </si>
  <si>
    <t xml:space="preserve">captacao-239</t>
  </si>
  <si>
    <t xml:space="preserve">Empresas locais de Goiânia - patrocínio direto não incentivado — Goiás / Goiânia</t>
  </si>
  <si>
    <t xml:space="preserve">Empresas locais de Goiânia - patrocínio direto não incentivado</t>
  </si>
  <si>
    <t xml:space="preserve">Patrocínio direto — sem página única</t>
  </si>
  <si>
    <t xml:space="preserve">captacao-078</t>
  </si>
  <si>
    <t xml:space="preserve">Projeto de biblioteca comunitária — Goiás</t>
  </si>
  <si>
    <t xml:space="preserve">Projeto de biblioteca comunitária</t>
  </si>
  <si>
    <t xml:space="preserve">captacao-048</t>
  </si>
  <si>
    <t xml:space="preserve">Termo de Fomento com Secretaria Municipal dos Esportes — Goiás / Goiânia</t>
  </si>
  <si>
    <t xml:space="preserve">Termo de Fomento com Secretaria Municipal dos Esportes</t>
  </si>
  <si>
    <t xml:space="preserve">Secretaria Municipal de Esporte e Lazer de Goiânia</t>
  </si>
  <si>
    <t xml:space="preserve">https://www.goiania.go.gov.br/</t>
  </si>
  <si>
    <t xml:space="preserve">captacao-238</t>
  </si>
  <si>
    <t xml:space="preserve">Sebrae Goiás - parcerias com OSC para empreendedorismo — Goiás</t>
  </si>
  <si>
    <t xml:space="preserve">Sebrae Goiás - parcerias com OSC para empreendedorismo</t>
  </si>
  <si>
    <t xml:space="preserve">Sebrae Goiás</t>
  </si>
  <si>
    <t xml:space="preserve">Desenvolvimento social</t>
  </si>
  <si>
    <t xml:space="preserve">Sebrae</t>
  </si>
  <si>
    <t xml:space="preserve">https://sebraego.com.br/</t>
  </si>
  <si>
    <t xml:space="preserve">captacao-114</t>
  </si>
  <si>
    <t xml:space="preserve">Projeto de voluntariado estruturado em assistência — Brasil</t>
  </si>
  <si>
    <t xml:space="preserve">Projeto de voluntariado estruturado em assistência</t>
  </si>
  <si>
    <t xml:space="preserve">órgão a localizar</t>
  </si>
  <si>
    <t xml:space="preserve">Assistência social (FMAS/FEAS)</t>
  </si>
  <si>
    <t xml:space="preserve">captacao-193</t>
  </si>
  <si>
    <t xml:space="preserve">CNJ - política de destinação de penas pecuniárias — Brasil</t>
  </si>
  <si>
    <t xml:space="preserve">CNJ - política de destinação de penas pecuniárias</t>
  </si>
  <si>
    <t xml:space="preserve">CNJ — política de destinação de penas e prestações pecuniárias</t>
  </si>
  <si>
    <t xml:space="preserve">Destinação judicial</t>
  </si>
  <si>
    <t xml:space="preserve">https://www.cnj.jus.br/</t>
  </si>
  <si>
    <t xml:space="preserve">captacao-223</t>
  </si>
  <si>
    <t xml:space="preserve">Fundação Bradesco — Brasil</t>
  </si>
  <si>
    <t xml:space="preserve">Fundação Bradesco</t>
  </si>
  <si>
    <t xml:space="preserve">https://fundacao.bradesco/</t>
  </si>
  <si>
    <t xml:space="preserve">{'observacao': 'sem edital recorrente; fundacao.bradesco (WebFetch 03/10/2026) sem edital/chamada/selecao para OSC; apenas escolas proprias e Trabalhe Conosco | não verificado: https://fundacao.bradesco/contato (canal de parcerias); noticias/imprensa da Fundacao Bradesco 2023-2026'}</t>
  </si>
  <si>
    <t xml:space="preserve">captacao-231</t>
  </si>
  <si>
    <t xml:space="preserve">Fundação Vale — Brasil</t>
  </si>
  <si>
    <t xml:space="preserve">Fundação Vale</t>
  </si>
  <si>
    <t xml:space="preserve">https://www.fundacaovale.org/</t>
  </si>
  <si>
    <t xml:space="preserve">{'observacao': "fundacaovale.org: FAQ afirma 'A Fundação Vale não abre chamadas ou editais para patrocínio de espetáculos ou circulação e difusão de obras artísticas' (resumo_webfetch). Páginas Parcerias e Leis de Incentivo (lida via get_page_text) são institucionais/educativas, sem seleção pública nem datas. | não verificado: Instituto Cultural Vale (institutoculturalvale.org) - outro órgão, edit</t>
  </si>
  <si>
    <t xml:space="preserve">nova-fe3ed0ccb915</t>
  </si>
  <si>
    <t xml:space="preserve">Histórias de sucesso INSTITUTO BANCORBRÁS 15 de maio, 2026 Instituto Bancorbrás qualifica estratégia de invest… — Brasil</t>
  </si>
  <si>
    <t xml:space="preserve">Histórias de sucesso INSTITUTO BANCORBRÁS 15 de maio, 2026 Instituto Bancorbrás qualifica estratégia de investimento soc</t>
  </si>
  <si>
    <t xml:space="preserve">Bússola Social - Bússola Editais</t>
  </si>
  <si>
    <t xml:space="preserve">https://blog.bussolasocial.com.br/historias-de-sucesso/instituto-bancorbras-qualifica-estrategia-de-investimento-social-com-o-bussola</t>
  </si>
  <si>
    <t xml:space="preserve">nova-22808deed656</t>
  </si>
  <si>
    <t xml:space="preserve">Histórias de sucesso INSTITUTO NOVO SERTÃO 3 de abril, 2026 Monitoramento de dados ajudou o Instituto Novo Ser… — Brasil</t>
  </si>
  <si>
    <t xml:space="preserve">Histórias de sucesso INSTITUTO NOVO SERTÃO 3 de abril, 2026 Monitoramento de dados ajudou o Instituto Novo Sertão a venc</t>
  </si>
  <si>
    <t xml:space="preserve">https://blog.bussolasocial.com.br/historias-de-sucesso/monitoramento-de-dados-ajudou-o-instituto-novo-sert%C3%A3o-a-vencer-o-pr%C3%AAmio-melhores-ongs-por-3-vezes-consecutivas</t>
  </si>
  <si>
    <t xml:space="preserve">nova-1d606bea9f80</t>
  </si>
  <si>
    <t xml:space="preserve">IDIS e Instituto ACP lançam “Guia dos Guias para Captar Recursos” com apoio da Plataforma Conjunta — Brasil</t>
  </si>
  <si>
    <t xml:space="preserve">IDIS e Instituto ACP lançam “Guia dos Guias para Captar Recursos” com apoio da Plataforma Conjunta</t>
  </si>
  <si>
    <t xml:space="preserve">https://captadores.org.br/noticias/idis-e-instituto-acp-lancam-guia-dos-guias-para-captar-recursos-com-apoio-da-plataforma-conjunta</t>
  </si>
  <si>
    <t xml:space="preserve">captacao-225</t>
  </si>
  <si>
    <t xml:space="preserve">Instituto Claro — Brasil</t>
  </si>
  <si>
    <t xml:space="preserve">Instituto Claro</t>
  </si>
  <si>
    <t xml:space="preserve">https://www.institutoclaro.org.br/</t>
  </si>
  <si>
    <t xml:space="preserve">{'observacao': "Resumos WebFetch de ?s=edital citam, sem ano e sem URL confirmada: Edital Fundo da Infancia e Adolescencia (inscricao ate 15 de julho), edital 'Novas Ideias para o que Temos ao Redor' (inscricoes prorrogadas), Educonexao 2025 (edital nacional para docentes). Nao registrados por falta de ano/URL/trecho literal. Campus Mobile (universitarios, nao conta para OSC): 15a edicao, projetos</t>
  </si>
  <si>
    <t xml:space="preserve">captacao-233</t>
  </si>
  <si>
    <t xml:space="preserve">Instituto Sicoob — Brasil</t>
  </si>
  <si>
    <t xml:space="preserve">Instituto Sicoob</t>
  </si>
  <si>
    <t xml:space="preserve">https://www.institutosicoob.org.br/</t>
  </si>
  <si>
    <t xml:space="preserve">2026-04-22</t>
  </si>
  <si>
    <t xml:space="preserve">2026-06-30</t>
  </si>
  <si>
    <t xml:space="preserve">https://www.institutosicoob.org.br/premio.html</t>
  </si>
  <si>
    <t xml:space="preserve">{'observacao': 'Premio destina-se a pessoas (educadores, voluntários, egressos de trilhas), nao a OSC; sem chamada de investimento social aberta encontrada na home.'}</t>
  </si>
  <si>
    <t xml:space="preserve">captacao-229</t>
  </si>
  <si>
    <t xml:space="preserve">Instituto Votorantim — Brasil</t>
  </si>
  <si>
    <t xml:space="preserve">Instituto Votorantim</t>
  </si>
  <si>
    <t xml:space="preserve">https://www.institutovotorantim.org.br/</t>
  </si>
  <si>
    <t xml:space="preserve">{'observacao': 'Site oficial (home, /sobre, /relatorio, /ivcm) nao lista editais nem chamadas; /editais e /votorantim-cultura retornam 404. Sem prova, nada registrado. | não verificado: Paginas individuais dos 16 programas institucionais (via /sobre); Relatorios anuais /relatorios (2023-2025) para mencao a selecoes publicas; Votorantim Cultura e Programa de Desenvolvimento Territorial: provavel si</t>
  </si>
  <si>
    <t xml:space="preserve">captacao-249</t>
  </si>
  <si>
    <t xml:space="preserve">Ford Foundation — Internacional</t>
  </si>
  <si>
    <t xml:space="preserve">Ford Foundation</t>
  </si>
  <si>
    <t xml:space="preserve">https://www.fordfoundation.org/</t>
  </si>
  <si>
    <t xml:space="preserve">Valor, Destinação</t>
  </si>
  <si>
    <t xml:space="preserve">Investir em pessoas, ideias e instituições que enfrentam as causas da desigualdade</t>
  </si>
  <si>
    <t xml:space="preserve">Programas em várias regiões do mundo</t>
  </si>
  <si>
    <t xml:space="preserve">A maioria dos grants é identificada pela fundação; não aceita propostas espontâneas por correio, e-mail ou telefone</t>
  </si>
  <si>
    <t xml:space="preserve">Desigualdade, criatividade e liberdade de expressão (JustFilms), democracia, justiça</t>
  </si>
  <si>
    <t xml:space="preserve">{'observacao': "Ford Foundation: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</si>
  <si>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nova-be948c3898d4</t>
  </si>
  <si>
    <t xml:space="preserve">Certificações — Brasil</t>
  </si>
  <si>
    <t xml:space="preserve">CERTIFICAÇÕES</t>
  </si>
  <si>
    <t xml:space="preserve">Editais de empresas incentivadoras (modelo Porto Itapoá) — FIA, Idoso, Esporte, Rouanet, PRONAS</t>
  </si>
  <si>
    <t xml:space="preserve">https://www.portoitapoa.com/premiacoes/certificacoes</t>
  </si>
  <si>
    <t xml:space="preserve">nova-153fe0f09a1a</t>
  </si>
  <si>
    <t xml:space="preserve">Chamadas Públicas — Brasil</t>
  </si>
  <si>
    <t xml:space="preserve">Chamadas Públicas</t>
  </si>
  <si>
    <t xml:space="preserve">TJGO - penas pecuniárias 1ª Vara de Execução Penal de Goiânia</t>
  </si>
  <si>
    <t xml:space="preserve">https://www.cnj.jus.br/poder-judiciario/chamadas-publicas</t>
  </si>
  <si>
    <t xml:space="preserve">captacao-167</t>
  </si>
  <si>
    <t xml:space="preserve">FDD - patrimônio cultural brasileiro — Brasil</t>
  </si>
  <si>
    <t xml:space="preserve">FDD - patrimônio cultural brasileiro</t>
  </si>
  <si>
    <t xml:space="preserve">2023</t>
  </si>
  <si>
    <t xml:space="preserve">2023-10-24</t>
  </si>
  <si>
    <t xml:space="preserve">2023-11-07</t>
  </si>
  <si>
    <t xml:space="preserve">https://www.gov.br/mj/pt-br/assuntos/seus-direitos/consumidor/direitos-difusos/selecao-em-andamento/edital-2-2023-nas/copy_of_Edital02NAS23.10.2023.pdf</t>
  </si>
  <si>
    <t xml:space="preserve">{'observacao': "Página 'Seleções Anteriores' do FDD (gov.br/mj, direitos-difusos) lista como mais recentes só NAS e PRONASCI 2 (2023); 'Seleções em Andamento' diz 'Não há' (atualizada 08/07/2026). Divergência: o resumo da listagem dá 24/10 a 14/11/2023 para o NAS, mas o PDF do edital traz 07/11/2023 (cronograma sujeito a alteração; possível prorrogação não confirmada). PRONASCI 2 (28/07 a 12/09/20</t>
  </si>
  <si>
    <t xml:space="preserve">captacao-134</t>
  </si>
  <si>
    <t xml:space="preserve">MDHC - editais de direitos humanos — Brasil</t>
  </si>
  <si>
    <t xml:space="preserve">MDHC - editais de direitos humanos</t>
  </si>
  <si>
    <t xml:space="preserve">Diário Oficial da União — Seção 3 (avisos e editais)</t>
  </si>
  <si>
    <t xml:space="preserve">Direitos humanos</t>
  </si>
  <si>
    <t xml:space="preserve">https://www.in.gov.br/consulta/-/buscar/dou?q=chamamento+p%C3%BAblico+organiza%C3%A7%C3%B5es+da+sociedade+civil&amp;s=do3</t>
  </si>
  <si>
    <t xml:space="preserve">2023, 2024, 2026</t>
  </si>
  <si>
    <t xml:space="preserve">2026-09-17</t>
  </si>
  <si>
    <t xml:space="preserve">https://www.gov.br/mdh/pt-br/navegue-por-temas/crianca-e-adolescente/publicacoes/editais/SEI_MDHC5765902Edital.pdf</t>
  </si>
  <si>
    <t xml:space="preserve">{'observacao': 'Só a área Criança e Adolescente (SNDCA/CONANDA) foi comprovada. Nenhum edital em 2025 encontrado na página-semente. Trechos vieram via resumo do WebFetch, não confirmados como literais.'}</t>
  </si>
  <si>
    <t xml:space="preserve">nova-3499414dd9f2</t>
  </si>
  <si>
    <t xml:space="preserve">Requerer Bolsa de Fomento Tecnológico e Extensão Inovadora - FAPEG — Goiás</t>
  </si>
  <si>
    <t xml:space="preserve">Requerer Bolsa de Fomento Tecnológico e Extensão Inovadora - FAPEG</t>
  </si>
  <si>
    <t xml:space="preserve">https://www.go.gov.br/servicos/servico/requerer-bolsa-de-fomento-tecnologico-e-extensao-inovadora-fapeg</t>
  </si>
  <si>
    <t xml:space="preserve">2025-03-21</t>
  </si>
  <si>
    <t xml:space="preserve">https://goias.gov.br/fapeg/chamada-publica-no-11-2025-selecao-de-bolsistas-para-atuacao-no-apoio-e-desenvolvimento-do-tecnova-iii-em-goias-e-cadastro-de-reserva-acao-transversal-2a-chamada/</t>
  </si>
  <si>
    <t xml:space="preserve">nova-865270edb211</t>
  </si>
  <si>
    <t xml:space="preserve">Requerer Bolsa de Formação - FAPEG — Goiás</t>
  </si>
  <si>
    <t xml:space="preserve">Requerer Bolsa de Formação - FAPEG</t>
  </si>
  <si>
    <t xml:space="preserve">https://www.go.gov.br/servicos/servico/requerer-bolsa-de-formacao-fapeg</t>
  </si>
  <si>
    <t xml:space="preserve">2025-01-29</t>
  </si>
  <si>
    <t xml:space="preserve">https://goias.gov.br/fapeg/chamada-publica-no-04-2025-programa-de-concessao-de-bolsas-de-formacao-em-mestrado-e-doutorado-2025/</t>
  </si>
  <si>
    <t xml:space="preserve">nova-bf7dd018241c</t>
  </si>
  <si>
    <t xml:space="preserve">Editais abertos voltados a ONGs e OSCs somando mais de R$ 454,5 mi. Veja valores, prazos e como se candidatar.… — Brasil</t>
  </si>
  <si>
    <t xml:space="preserve">231 editais abertos voltados a ONGs e OSCs somando mais de R$ 454,5 mi. Veja valores, prazos e como se candidatar. Atual</t>
  </si>
  <si>
    <t xml:space="preserve">https://duckduckgo.com/l?uddg=https%3A%2F%2Fcapitaai.com.br%2Feditais%2Dabertos%2Fpara%2Dong&amp;rut=f84783738271cdbd983584863705c7b68bb0a5fe1ce789a2e717a2336ee1ef0f</t>
  </si>
  <si>
    <t xml:space="preserve">captacao-072</t>
  </si>
  <si>
    <t xml:space="preserve">Arte e Cultura na Educação Integral — Brasil</t>
  </si>
  <si>
    <t xml:space="preserve">Arte e Cultura na Educação Integral</t>
  </si>
  <si>
    <t xml:space="preserve">captacao-217</t>
  </si>
  <si>
    <t xml:space="preserve">Bússola Social - Bússola Editais — Brasil</t>
  </si>
  <si>
    <t xml:space="preserve">Bússola Social — Bússola Editais</t>
  </si>
  <si>
    <t xml:space="preserve">https://bussolasocial.com.br/</t>
  </si>
  <si>
    <t xml:space="preserve">captacao-056</t>
  </si>
  <si>
    <t xml:space="preserve">Campeonato comunitário com inclusão social — Brasil</t>
  </si>
  <si>
    <t xml:space="preserve">Campeonato comunitário com inclusão social</t>
  </si>
  <si>
    <t xml:space="preserve">captacao-218</t>
  </si>
  <si>
    <t xml:space="preserve">Capta - oportunidades e editais — Brasil</t>
  </si>
  <si>
    <t xml:space="preserve">Capta - oportunidades e editais</t>
  </si>
  <si>
    <t xml:space="preserve">https://prosas.com.br/editais</t>
  </si>
  <si>
    <t xml:space="preserve">nova-d499ba03877e</t>
  </si>
  <si>
    <t xml:space="preserve">Editais Oportunidades de financiamento para organizações da sociedade civil, com prazo e condições apurados na… — Brasil</t>
  </si>
  <si>
    <t xml:space="preserve">Editais  Oportunidades de financiamento para organizações da sociedade civil, com prazo e condições apurados na fonte of</t>
  </si>
  <si>
    <t xml:space="preserve">https://duckduckgo.com/l?uddg=https%3A%2F%2Fvagas.terceirosetor.net%2Feditais%2F&amp;rut=c858823372de0e60cb08794aea0b428dec42f0a03c154b1326e3cbc32d109816</t>
  </si>
  <si>
    <t xml:space="preserve">nova-d68d40f0b306</t>
  </si>
  <si>
    <t xml:space="preserve">Editais abertos para ONGs (1) — Brasil</t>
  </si>
  <si>
    <t xml:space="preserve">Editais abertos para ONGs
 (1)</t>
  </si>
  <si>
    <t xml:space="preserve">https://institutosocialcrescervida.blogspot.com/search/label/Editais%20abertos%20para%20ONGs</t>
  </si>
  <si>
    <t xml:space="preserve">captacao-061</t>
  </si>
  <si>
    <t xml:space="preserve">Formação de árbitros e monitores esportivos — Brasil</t>
  </si>
  <si>
    <t xml:space="preserve">Formação de árbitros e monitores esportivos</t>
  </si>
  <si>
    <t xml:space="preserve">Ministério do Esporte / Comitê Paralímpico</t>
  </si>
  <si>
    <t xml:space="preserve">captacao-219</t>
  </si>
  <si>
    <t xml:space="preserve">GIFE Mosaico - base de projetos — Brasil</t>
  </si>
  <si>
    <t xml:space="preserve">GIFE Mosaico - base de projetos</t>
  </si>
  <si>
    <t xml:space="preserve">captacao-216</t>
  </si>
  <si>
    <t xml:space="preserve">Mapa das OSC - área de editais — Brasil</t>
  </si>
  <si>
    <t xml:space="preserve">Mapa das OSC - área de editais</t>
  </si>
  <si>
    <t xml:space="preserve">Mapa das OSC (IPEA)</t>
  </si>
  <si>
    <t xml:space="preserve">https://mapaosc.ipea.gov.br/</t>
  </si>
  <si>
    <t xml:space="preserve">captacao-157</t>
  </si>
  <si>
    <t xml:space="preserve">Projeto de apoio a familiares de PCD — Brasil</t>
  </si>
  <si>
    <t xml:space="preserve">Projeto de apoio a familiares de PCD</t>
  </si>
  <si>
    <t xml:space="preserve">['Pessoas com deficiência']</t>
  </si>
  <si>
    <t xml:space="preserve">captacao-085</t>
  </si>
  <si>
    <t xml:space="preserve">Projeto de educação financeira comunitária — Brasil</t>
  </si>
  <si>
    <t xml:space="preserve">Projeto de educação financeira comunitária</t>
  </si>
  <si>
    <t xml:space="preserve">captacao-086</t>
  </si>
  <si>
    <t xml:space="preserve">Projeto de educação para direitos humanos — Brasil</t>
  </si>
  <si>
    <t xml:space="preserve">Projeto de educação para direitos humanos</t>
  </si>
  <si>
    <t xml:space="preserve">{'observacao': 'Só a área Criança e Adolescente (SNDCA/CONANDA) foi comprovada. Nenhum edital em 2025 encontrado na página-semente. Trechos vieram via resumo do WebFetch, não confirmados como literais. | não verificado: Página chamamentos-publicos (licitacoes-e-contratos) retornou 404; Editais de outras áreas do MDHC (defensores de DH, igualdade racial, pessoa com deficiência, idosos, LGBT, etc.) </t>
  </si>
  <si>
    <t xml:space="preserve">captacao-084</t>
  </si>
  <si>
    <t xml:space="preserve">Projeto de formação de educadores sociais — Goiás</t>
  </si>
  <si>
    <t xml:space="preserve">Projeto de formação de educadores sociais</t>
  </si>
  <si>
    <t xml:space="preserve">https://diariooficial.goiania.go.gov.br/</t>
  </si>
  <si>
    <t xml:space="preserve">captacao-215</t>
  </si>
  <si>
    <t xml:space="preserve">Prosas - Central de Editais — Brasil</t>
  </si>
  <si>
    <t xml:space="preserve">Prosas - Central de Editais</t>
  </si>
  <si>
    <t xml:space="preserve">op-5149c4f90049</t>
  </si>
  <si>
    <t xml:space="preserve">Aparecida de Goiânia — Diário Oficial de Aparecida de Goiânia — edição (2026-09-21) — chamamento público — Goiás / Aparecida de Goiânia</t>
  </si>
  <si>
    <t xml:space="preserve">Aparecida de Goiânia — Diário Oficial de Aparecida de Goiânia — edição (2026-09-21) — chamamento público</t>
  </si>
  <si>
    <t xml:space="preserve">Prefeitura de Aparecida de Goiânia</t>
  </si>
  <si>
    <t xml:space="preserve">Aparecida de Goiânia</t>
  </si>
  <si>
    <t xml:space="preserve">{'valor': 'poder_publico', 'fundamento': 'Atos do Município de Aparecida de Goiânia (ente público).', 'em': '2026-10-02'}</t>
  </si>
  <si>
    <t xml:space="preserve">https://data.queridodiario.ok.org.br/5201405/2026-09-21/a73ca0c81e950cad487dac54af9a658a94cae73a.pdf</t>
  </si>
  <si>
    <t xml:space="preserve">2026-11-06</t>
  </si>
  <si>
    <t xml:space="preserve">informado (Oportunidades das 25 maiores Prefeituras de Goiás, 2026-10-02)</t>
  </si>
  <si>
    <t xml:space="preserve">informado (Oportunidades das 25 maiores Prefeituras de Goiás, 2026-10-03)</t>
  </si>
  <si>
    <t xml:space="preserve">2026-10-20</t>
  </si>
  <si>
    <t xml:space="preserve">22.476,41 metros quadrados</t>
  </si>
  <si>
    <t xml:space="preserve">informado (motor plat-prefeituras-50-go, 2026-10-03)</t>
  </si>
  <si>
    <t xml:space="preserve">Secretário Municipal de Administração</t>
  </si>
  <si>
    <t xml:space="preserve">Ser objeto de avaliação os pedidos de concessão do benefício protocolados durante a vigênc</t>
  </si>
  <si>
    <t xml:space="preserve">op-4b98f4845091</t>
  </si>
  <si>
    <t xml:space="preserve">Fundo Ecos oferece até R$ 150 mil para projetos socioambientais na Amazônia Legal — Brasil</t>
  </si>
  <si>
    <t xml:space="preserve">Fundo Ecos oferece até R$ 150 mil para projetos socioambientais na Amazônia Legal</t>
  </si>
  <si>
    <t xml:space="preserve">https://www.mma.gov.br/</t>
  </si>
  <si>
    <t xml:space="preserve">2026-11-11</t>
  </si>
  <si>
    <t xml:space="preserve">https://fundoecos.org.br/edital/edital-51o-5o-2026-chamada-de-projetos-na-paisagem-prioritaria-kaiowa-e-guarani/</t>
  </si>
  <si>
    <t xml:space="preserve">Edital 49º — apoio a organizações na Amazônia Legal</t>
  </si>
  <si>
    <t xml:space="preserve">R$ 3,3 milhões; até R$ 150 mil por projeto</t>
  </si>
  <si>
    <t xml:space="preserve">Fundo Ecos (ISPN)</t>
  </si>
  <si>
    <t xml:space="preserve">MA; TO; MT</t>
  </si>
  <si>
    <t xml:space="preserve">https://fundoecos.org.br/edital/edital-49o-3o-2026-para-apoio-a-organizacoes-na-amazonia-legal/</t>
  </si>
  <si>
    <t xml:space="preserve">{'observacao': 'Fundação Salvador Arena: site oficial fundacaosalvadorarena.org.br (www.fsarena.org.br nao resolve); datas via PDFs de papsfsa.com.br e pasfsa.com.br, lidos por resumo. FME: dominio oficial mariaemilia.org.br (fundacaomariaemilia.org.br tem erro de certificado); FME Transforma sem edicao anterior localizada (nº 01/2026 citado no texto de edital como ciclo previo mas nao encontrado)</t>
  </si>
  <si>
    <t xml:space="preserve">op-3b0cff5f13da</t>
  </si>
  <si>
    <t xml:space="preserve">Fundo Ecos lança edital de R$ 3,3 milhões para fortalecer iniciativas na Amazônia Legal — Brasil</t>
  </si>
  <si>
    <t xml:space="preserve">Fundo Ecos lança edital de R$ 3,3 milhões para fortalecer iniciativas na Amazônia Legal</t>
  </si>
  <si>
    <t xml:space="preserve">{'observacao': 'VERIFICADO no arquivo de editais do Fundo Ecos/ISPN (API do site, editais 34º a 52º, 2023–2026, 03/10/2026): o Fundo Ecos alterna biomas e públicos a cada edital (Cerrado/Caatinga em 2023–2025, Amazônia Legal em 2026); não há edição anterior específica de apoio a organizações na Amazônia Legal.'}</t>
  </si>
  <si>
    <t xml:space="preserve">op-f2026a409e7c</t>
  </si>
  <si>
    <t xml:space="preserve">Goiânia — Diário Oficial de Goiânia — edição 8874 (2026-09-30) — chamamento público — Goiás / Goiânia</t>
  </si>
  <si>
    <t xml:space="preserve">Goiânia — Diário Oficial de Goiânia — edição 8874 (2026-09-30) — chamamento público</t>
  </si>
  <si>
    <t xml:space="preserve">https://data.queridodiario.ok.org.br/5208707/2026-09-30/eae53a46f7108198ed438c9c4bc4996767a5a08a.pdf</t>
  </si>
  <si>
    <t xml:space="preserve">http://www4.goiania.go.gov.br/portal/Dados/uploads/arquivos/775/424584747337963.pdf</t>
  </si>
  <si>
    <t xml:space="preserve">Insere o Programa Morar no Centro, destinado exclusivamente às unidades habitacionais loca</t>
  </si>
  <si>
    <t xml:space="preserve">Cópia de RG e CPF, Certidão Negativa do Cartório Distribuidor Cível Estadual, Certidão Neg</t>
  </si>
  <si>
    <t xml:space="preserve">op-de6a74119318</t>
  </si>
  <si>
    <t xml:space="preserve">Credenciamento artistas, bandas, grupos musicais e artísticos, nos variados estilos para possíveis e futuras… … — Brasil</t>
  </si>
  <si>
    <t xml:space="preserve">CREDENCIAMENTO ARTISTAS, BANDAS, GRUPOS MUSICAIS E ARTÍSTICOS, NOS VARIADOS ESTILOS PARA POSSÍVEIS E FUTURAS… — MUNICIPIO DE IPIAU</t>
  </si>
  <si>
    <t xml:space="preserve">MUNICIPIO DE IPIAU</t>
  </si>
  <si>
    <t xml:space="preserve">{'valor': 'poder_publico', 'fundamento': 'Publicado pelo Município de Ipiaú/BA (PNCP), pago com dotação orçamentária municipal.', 'em': '2026-10-02'}</t>
  </si>
  <si>
    <t xml:space="preserve">https://pncp.gov.br/app/editais/13701651000150/2026/42</t>
  </si>
  <si>
    <t xml:space="preserve">2024, 2025, 2027</t>
  </si>
  <si>
    <t xml:space="preserve">2026-06-12</t>
  </si>
  <si>
    <t xml:space="preserve">2027-06-12</t>
  </si>
  <si>
    <t xml:space="preserve">{'inicio': '2026-06-12', 'fim': '2027-06-12'}</t>
  </si>
  <si>
    <t xml:space="preserve">informado (motor agregadores · farolcultural, 2026-10-03)</t>
  </si>
  <si>
    <t xml:space="preserve">Credenciamento de artistas e grupos para apresentações em eventos municipais</t>
  </si>
  <si>
    <t xml:space="preserve">12/06/2026 a 12/06/2027 (PNCP)</t>
  </si>
  <si>
    <t xml:space="preserve">Ata com o resultado divulgada no sítio oficial do município</t>
  </si>
  <si>
    <t xml:space="preserve">até 3 dias</t>
  </si>
  <si>
    <t xml:space="preserve">Estimado R$ 1.711.813,79</t>
  </si>
  <si>
    <t xml:space="preserve">Município de Ipiaú/BA</t>
  </si>
  <si>
    <t xml:space="preserve">Ipiaú/BA</t>
  </si>
  <si>
    <t xml:space="preserve">Municipal</t>
  </si>
  <si>
    <t xml:space="preserve">Artistas locais e regionais; PF, PJ ou MEI; habilitação documental</t>
  </si>
  <si>
    <t xml:space="preserve">Termo de Referência (Anexo I) e demais anexos</t>
  </si>
  <si>
    <t xml:space="preserve">Cachê por apresentação pública</t>
  </si>
  <si>
    <t xml:space="preserve">Cultura (apresentações artísticas)</t>
  </si>
  <si>
    <t xml:space="preserve">{'observacao': 'Edições anteriores achadas no PNCP (mesmo CNPJ, mesmo objeto, conferidas por leitura).'}</t>
  </si>
  <si>
    <t xml:space="preserve">op-277b1660b84d</t>
  </si>
  <si>
    <t xml:space="preserve">Goiânia — Diário Oficial de Goiânia — edição 8866 (2026-09-18) — chamamento público — Brasil</t>
  </si>
  <si>
    <t xml:space="preserve">Goiânia — Diário Oficial de Goiânia — edição 8866 (2026-09-18) — chamamento público</t>
  </si>
  <si>
    <t xml:space="preserve">https://data.queridodiario.ok.org.br/5208707/2026-09-18/12e0c83b7c5201691acc08baaa6de685f445ceb2.pdf</t>
  </si>
  <si>
    <t xml:space="preserve">op-761b03840bf6</t>
  </si>
  <si>
    <t xml:space="preserve">Secretaria de Estado de Desenvolvimento Social (SEDS) — fundos e conselhos (FIA/CEDCA, Idoso, FEAS/CEAS, FUNJU… — Goiás</t>
  </si>
  <si>
    <t xml:space="preserve">Secretaria de Estado de Desenvolvimento Social (SEDS) — fundos e conselhos (FIA/CEDCA, Idoso, FEAS/CEAS, FUNJUVE) — Edital de chamamento público – 001/2026 – So</t>
  </si>
  <si>
    <t xml:space="preserve">Secretaria de Estado de Desenvolvimento Social (SEDS) — fundos e conselhos (FIA/CEDCA, Idoso, FEAS/CEAS, FUNJUVE)</t>
  </si>
  <si>
    <t xml:space="preserve">['OSC e associações', 'Crianças e adolescentes', 'Pessoas idosas']</t>
  </si>
  <si>
    <t xml:space="preserve">Prazo de inscrição, Resultado, Valor, Requisitos</t>
  </si>
  <si>
    <t xml:space="preserve">informado (motor plat-estaduais-go-gov, 2026-10-03)</t>
  </si>
  <si>
    <t xml:space="preserve">o rito de recurso, quando existe, está na norma do programa e não em edital de seleção</t>
  </si>
  <si>
    <t xml:space="preserve">op-869da0a2b6e2</t>
  </si>
  <si>
    <t xml:space="preserve">Senador Canedo — Prefeitura de Senador Canedo lança Edital Aldir Blanc 2026 — Goiás / Senador Canedo</t>
  </si>
  <si>
    <t xml:space="preserve">Senador Canedo — Prefeitura de Senador Canedo lança Edital Aldir Blanc 2026</t>
  </si>
  <si>
    <t xml:space="preserve">Prefeitura de Senador Canedo</t>
  </si>
  <si>
    <t xml:space="preserve">Senador Canedo</t>
  </si>
  <si>
    <t xml:space="preserve">https://senadorcanedo.go.gov.br/prefeitura-de-senador-canedo-lanca-edital-aldir-blanc-2026/</t>
  </si>
  <si>
    <t xml:space="preserve">apoio aos artistas, produtores, coletivos e demais fazedores de cultura do município</t>
  </si>
  <si>
    <t xml:space="preserve">R$ 800 mil no setor</t>
  </si>
  <si>
    <t xml:space="preserve">informado (esteira prata (verificação dos livros (navegador do titular)), 2026-10-04)</t>
  </si>
  <si>
    <t xml:space="preserve">Prefeitura de Senador Canedo — Secretaria Municipal de Esporte, Cultura e Turismo (SECULT)</t>
  </si>
  <si>
    <t xml:space="preserve">Senador Canedo/GO</t>
  </si>
  <si>
    <t xml:space="preserve">{'observacao': 'PNAB/Aldir Blanc Senador Canedo: 2024 (editais 03–05/2024, abertura = data de publicação no site) e 2025 (2ª chamada 01–09/05/2025); 2026 edital aberto em 10/09/2026.'}</t>
  </si>
  <si>
    <t xml:space="preserve">op-b8638eec84d8</t>
  </si>
  <si>
    <t xml:space="preserve">Senador Canedo — Senador Canedo lança Edital Aldir Blanc 2026 com R$ 380 mil destinado a projetos culturais — Goiás / Senador Canedo</t>
  </si>
  <si>
    <t xml:space="preserve">Senador Canedo — Senador Canedo lança Edital Aldir Blanc 2026 com R$ 380 mil destinado a projetos culturais</t>
  </si>
  <si>
    <t xml:space="preserve">https://senadorcanedo.go.gov.br/senador-canedo-lanca-edital-aldir-blanc-2026-com-r-380-mil-destinado-a-projetos-culturais/</t>
  </si>
  <si>
    <t xml:space="preserve">Prazo de inscrição, Resultado, Prazo de recurso, Esfera, Requisitos, Destinação</t>
  </si>
  <si>
    <t xml:space="preserve">R$ 383,5 mil no total — 29 projetos culturais</t>
  </si>
  <si>
    <t xml:space="preserve">op-994f08c50d3f</t>
  </si>
  <si>
    <t xml:space="preserve">Programa de Aceleração do Desenvolvimento de Lideranças Femininas Negras: Marielle Franco - 2ª Edição — Brasil</t>
  </si>
  <si>
    <t xml:space="preserve">Programa de Aceleração do Desenvolvimento de Lideranças Femininas Negras: Marielle Franco - 2ª Edição</t>
  </si>
  <si>
    <t xml:space="preserve">https://www.gov.br/mdh/pt-br</t>
  </si>
  <si>
    <t xml:space="preserve">https://baoba.org.br/</t>
  </si>
  <si>
    <t xml:space="preserve">Resultado, Prazo de recurso, Território, Esfera, Requisitos, Destinação, Área de atuação</t>
  </si>
  <si>
    <t xml:space="preserve">Programa de Aceleração do Desenvolvimento de Lideranças Femininas Negras: Marielle Franco (2026)</t>
  </si>
  <si>
    <t xml:space="preserve">R$ 300 mil por iniciativa (10 iniciativas)</t>
  </si>
  <si>
    <t xml:space="preserve">Fundo Baobá para Equidade Racial</t>
  </si>
  <si>
    <t xml:space="preserve">op-fac261c78293</t>
  </si>
  <si>
    <t xml:space="preserve">MUNICIPIO DE CANOAS — EDITAL Nº. 305/2024 CHAMAMENTO PÚBLICO – O Município de Canoas torna pública a abertura … — Brasil</t>
  </si>
  <si>
    <t xml:space="preserve">MUNICIPIO DE CANOAS — EDITAL Nº. 305/2024 CHAMAMENTO PÚBLICO – O Município de Canoas torna pública a abertura de inscrições que tem por objeto o credenciamento </t>
  </si>
  <si>
    <t xml:space="preserve">MUNICIPIO DE CANOAS</t>
  </si>
  <si>
    <t xml:space="preserve">https://pncp.gov.br/app/editais/88577416000118/2024/301</t>
  </si>
  <si>
    <t xml:space="preserve">2024-07-16</t>
  </si>
  <si>
    <t xml:space="preserve">2027-12-31</t>
  </si>
  <si>
    <t xml:space="preserve">https://pncp.gov.br/app/editais/88577416000118/2024/297</t>
  </si>
  <si>
    <t xml:space="preserve">{'inicio': None, 'fim': '2027-12-31'}</t>
  </si>
  <si>
    <t xml:space="preserve">op-9524633d128b</t>
  </si>
  <si>
    <t xml:space="preserve">MUNICIPIO DE CANOAS — O Município de Canoas torna pública a abertura de inscrições que tem por objeto o creden… — Rio Grande do Sul / Canoas</t>
  </si>
  <si>
    <t xml:space="preserve">MUNICIPIO DE CANOAS — O Município de Canoas torna pública a abertura de inscrições que tem por objeto o credenciamento de grupos e/ou artistas individuais da ár</t>
  </si>
  <si>
    <t xml:space="preserve">Canoas</t>
  </si>
  <si>
    <t xml:space="preserve">https://pncp.gov.br/app/editais/88577416000118/2024/306</t>
  </si>
  <si>
    <t xml:space="preserve">op-d381ebe85b75</t>
  </si>
  <si>
    <t xml:space="preserve">O Município de Canoas torna pública a abertura de inscrições que tem por objeto o credenciamento de grupos… — … — Brasil</t>
  </si>
  <si>
    <t xml:space="preserve">O Município de Canoas torna pública a abertura de inscrições que tem por objeto o credenciamento de grupos… — MUNICIPIO DE CANOAS</t>
  </si>
  <si>
    <t xml:space="preserve">op-8e89ac2dcec1</t>
  </si>
  <si>
    <t xml:space="preserve">Edital prevê seleção de 58 apresentações artísticas para o Natal do Bem 2026 — Goiás</t>
  </si>
  <si>
    <t xml:space="preserve">Edital prevê seleção de 58 apresentações artísticas para o Natal do Bem 2026</t>
  </si>
  <si>
    <t xml:space="preserve">Secult Goiás — Goyazes e Aldir Blanc</t>
  </si>
  <si>
    <t xml:space="preserve">https://goias.gov.br/cultura/edital-preve-selecao-de-58-apresentacoes-artisticas-para-o-natal-do-bem-2026</t>
  </si>
  <si>
    <t xml:space="preserve">{'observacao': 'Série oficial identificada na API do site goias.gov.br (publicações 2023–2025): NATAL. Categoria específica pode ter edital próprio; conferir no Diário Oficial.'}</t>
  </si>
  <si>
    <t xml:space="preserve">op-cc1574acdd23</t>
  </si>
  <si>
    <t xml:space="preserve">Editais - FAPEG — Goiás — Goiás</t>
  </si>
  <si>
    <t xml:space="preserve">Editais - FAPEG — Goiás</t>
  </si>
  <si>
    <t xml:space="preserve">Fundação de Amparo à Pesquisa do Estado de Goiás (FAPEG)</t>
  </si>
  <si>
    <t xml:space="preserve">{'valor': 'poder_publico', 'fundamento': 'Publica a FAPEG (fundação pública estadual), com recurso estadual e de parceiros federais (CNPq/Capes/CONFAP).', 'em': '2026-10-02'}</t>
  </si>
  <si>
    <t xml:space="preserve">op-606bca20bb69</t>
  </si>
  <si>
    <t xml:space="preserve">Residência Institut français × Cité internationale des arts 2027 — Paris, aberta a qualquer nacionalidade — Internacional</t>
  </si>
  <si>
    <t xml:space="preserve">Residência Institut français × Cité internationale des arts 2027 — Paris, aberta a qualquer nacionalidade</t>
  </si>
  <si>
    <t xml:space="preserve">{'valor': 'poder_publico', 'fundamento': 'Institut français é agência pública francesa e cede o estúdio; a bolsa vem de parceiro associado.', 'em': '2026-10-02'}</t>
  </si>
  <si>
    <t xml:space="preserve">https://www.citeinternationaledesarts.fr/en/programme-de-residence/institut-francais-x-cite-internationale-des-arts/</t>
  </si>
  <si>
    <t xml:space="preserve">https://www.ifprog.emundus.fr/fr/campagne-info?view=programme&amp;cid=343</t>
  </si>
  <si>
    <t xml:space="preserve">Residências de 3, 6 ou 9 meses em ateliê-moradia na Cité internationale des arts, Paris, para artistas e profissionais da cultura de todas as disciplinas (abril 2027 a abril 2028)</t>
  </si>
  <si>
    <t xml:space="preserve">Edição 2027-2028: 01/07 a 08/10/2026, 23h59 CET; 2026-2027: encerrou 12/10/2025; 2025-2026: 25/10/2024; 2024: 20/10/2023</t>
  </si>
  <si>
    <t xml:space="preserve">Comissão de seleção em dezembro e anúncio dos resultados em janeiro (todas as edições)</t>
  </si>
  <si>
    <t xml:space="preserve">Sem valor em dinheiro da Institut français: o parceiro cultural cobre o deslocamento internacional e uma allocation de résidence; a Institut français cede gratuitamente um ateliê-moradia na Cité internationale des arts e acompanhamento artístico</t>
  </si>
  <si>
    <t xml:space="preserve">Institut français, por delegação dos ministérios da Cultura e da Europa e dos Negócios Estrangeiros; ateliês subscritos na Cité internationale des arts</t>
  </si>
  <si>
    <t xml:space="preserve">Residência em Paris; candidatos residentes fora do território francês há pelo menos 5 anos (qualquer país)</t>
  </si>
  <si>
    <t xml:space="preserve">Internacional (governo francês via Institut français)</t>
  </si>
  <si>
    <t xml:space="preserve">Artistas e profissionais da cultura residentes no exterior há 5+ anos; candidatura portada por parceiro cultural (até 8 dossiês por parceiro, uma candidatura por artista, com ordem de preferência e capacidade de financiamento na carta de compromisso); candidatura direta de artista é inelegível</t>
  </si>
  <si>
    <t xml:space="preserve">Dossiê online na plataforma ifprog.emundus.fr, carta de compromisso do parceiro, Regulamento de subvenções do Institut français e FAQ da chamada</t>
  </si>
  <si>
    <t xml:space="preserve">Ateliê-moradia gratuito, acompanhamento artístico e profissional; deslocamento internacional e alocação de residência a cargo do parceiro</t>
  </si>
  <si>
    <t xml:space="preserve">Cultura e artes (todas as disciplinas)</t>
  </si>
  <si>
    <t xml:space="preserve">{'observacao': 'Quatro edições anuais na plataforma oficial ifprog.emundus.fr (campanhas 210, 263, 291, 343) — o endereço www.institutfrancais.com registrado no livro não abre no navegador do titular (DNS), mas a plataforma oficial de candidaturas sim. Candidatura feita por parceiro cultural (pode ser estrutura estrangeira) para artista residente fora da França há 5+ anos. Comissão em dezembro, re</t>
  </si>
  <si>
    <t xml:space="preserve">op-ca68d8869e4c</t>
  </si>
  <si>
    <t xml:space="preserve">MUNICIPIO DE POMBAL — Credenciamento, de instituições privadas, com ou sem fins lucrativos, prestadoras de ser… — Brasil</t>
  </si>
  <si>
    <t xml:space="preserve">MUNICIPIO DE POMBAL — Credenciamento, de instituições privadas, com ou sem fins lucrativos, prestadoras de serviços de saúde, interessadas em participar, de for</t>
  </si>
  <si>
    <t xml:space="preserve">MUNICIPIO DE POMBAL</t>
  </si>
  <si>
    <t xml:space="preserve">https://pncp.gov.br/app/editais/08948697000139/2026/156</t>
  </si>
  <si>
    <t xml:space="preserve">2026-10-07</t>
  </si>
  <si>
    <t xml:space="preserve">{'inicio': None, 'fim': '2026-10-07'}</t>
  </si>
  <si>
    <t xml:space="preserve">Objeto, Resultado, Prazo de recurso, Órgão / financiador, Território, Esfera, Requisitos, Anexos, Destinação, Área de atuação</t>
  </si>
  <si>
    <t xml:space="preserve">informado (motor pncp-api, 2026-10-03)</t>
  </si>
  <si>
    <t xml:space="preserve">credenciamento com cadastramento permanente de novos interessados durante a vigência</t>
  </si>
  <si>
    <t xml:space="preserve">pagamento por tabela ou valor fixado pela Administração, igual para todos os credenciados</t>
  </si>
  <si>
    <t xml:space="preserve">op-de87e6e6397f</t>
  </si>
  <si>
    <t xml:space="preserve">Instituto Lojas Renner abre edital com até R$ 10 mil para fortalecer organizações sociais — Brasil</t>
  </si>
  <si>
    <t xml:space="preserve">Instituto Lojas Renner abre edital com até R$ 10 mil para fortalecer organizações sociais</t>
  </si>
  <si>
    <t xml:space="preserve">https://observatorio3setor.org.br/instituto-lojas-renner-abre-edital-com-ate-r-10-mil-para-fortalecer-organizacoes-sociais</t>
  </si>
  <si>
    <t xml:space="preserve">op-a200b492ac8e</t>
  </si>
  <si>
    <t xml:space="preserve">MUNICIPIO DE GUAIRA — Chamamento Público para firmar Termo de Colaboração com Organização da Sociedade Civil, … — Paraná</t>
  </si>
  <si>
    <t xml:space="preserve">MUNICIPIO DE GUAIRA — Chamamento Público para firmar Termo de Colaboração com Organização da Sociedade Civil, sem fins lucrativos, que execute Serviço de Educaç</t>
  </si>
  <si>
    <t xml:space="preserve">MUNICIPIO DE GUAIRA</t>
  </si>
  <si>
    <t xml:space="preserve">PR</t>
  </si>
  <si>
    <t xml:space="preserve">https://pncp.gov.br/app/editais/77857183000190/2026/288</t>
  </si>
  <si>
    <t xml:space="preserve">Chamamento Público para firmar Termo de Colaboração com Organização da Sociedade Civil, sem fins lucrativos, que execute Serviço de Educação Básica e de Atendimento Educa</t>
  </si>
  <si>
    <t xml:space="preserve">op-973a83714900</t>
  </si>
  <si>
    <t xml:space="preserve">Senador Canedo — Senador Canedo abre credenciamento para ampliar oferta de oficinas esportivas, culturais e ar… — Goiás / Senador Canedo</t>
  </si>
  <si>
    <t xml:space="preserve">Senador Canedo — Senador Canedo abre credenciamento para ampliar oferta de oficinas esportivas, culturais e artísticas</t>
  </si>
  <si>
    <t xml:space="preserve">https://senadorcanedo.go.gov.br/senador-canedo-abre-credenciamento-para-ampliar-oferta-de-oficinas-esportivas-culturais-e-artisticas/</t>
  </si>
  <si>
    <t xml:space="preserve">2026, 2027</t>
  </si>
  <si>
    <t xml:space="preserve">2026-08-27</t>
  </si>
  <si>
    <t xml:space="preserve">2027-08-26</t>
  </si>
  <si>
    <t xml:space="preserve">Resultado, Prazo de recurso, Destinação</t>
  </si>
  <si>
    <t xml:space="preserve">Chamamento Público nº 012/2026 — cadastro de empresas especializadas para oficinas esportivas, culturais e artísticas da SECULT</t>
  </si>
  <si>
    <t xml:space="preserve">pessoas jurídicas que atendam integralmente aos requisitos de habilitação estabelecidos ne</t>
  </si>
  <si>
    <t xml:space="preserve">Esporte e cultura</t>
  </si>
  <si>
    <t xml:space="preserve">op-4d8b1aaec237</t>
  </si>
  <si>
    <t xml:space="preserve">Contratação de organização de sociedade civil, para celebração de termo de colaboração, nos termos do edital d… — Goiás</t>
  </si>
  <si>
    <t xml:space="preserve">CONTRATAÇÃO DE ORGANIZAÇÃO DE SOCIEDADE CIVIL, PARA CELEBRAÇÃO DE TERMO DE COLABORAÇÃO, NOS TERMOS DO EDITAL DE  CHAMAMENTO  PÚBLICO N° 001/2021</t>
  </si>
  <si>
    <t xml:space="preserve">PNCP — FUNDO MUNICIPAL DE SAUDE</t>
  </si>
  <si>
    <t xml:space="preserve">https://pncp.gov.br/app/editais/11337362000199/2023/58</t>
  </si>
  <si>
    <t xml:space="preserve">2023, 2025, 2026</t>
  </si>
  <si>
    <t xml:space="preserve">{'observacao': 'Fonte oficial: PNCP (campos data_inicio_vigencia/data_fim_vigencia do edital). Mesmo órgão e mesmo objeto (parceria com OSC); conferir se é o mesmo fundo.'}</t>
  </si>
  <si>
    <t xml:space="preserve">op-05e1af635450</t>
  </si>
  <si>
    <t xml:space="preserve">CHAMADA PÚBLICA FAPEG Nº 08/2026 - 2º CICLO – Programa Goiás pelo Mundo – Mobilidade Internacional – Participa… — Goiás</t>
  </si>
  <si>
    <t xml:space="preserve">CHAMADA PÚBLICA FAPEG Nº 08/2026 - 2º CICLO – Programa Goiás pelo Mundo – Mobilidade Internacional – Participação em Eventos no Exterior (2026-2027)</t>
  </si>
  <si>
    <t xml:space="preserve">https://goias.gov.br/fapeg/chamada-publica-no-08-2026-2o-ciclo-programa-goias-pelo-mundo/</t>
  </si>
  <si>
    <t xml:space="preserve">Realizar ações de mobilidade internacional para participação em eventos no exterior</t>
  </si>
  <si>
    <t xml:space="preserve">op-0a96936e005a</t>
  </si>
  <si>
    <t xml:space="preserve">Divulgado resultado preliminar do edital de apresentações artísticas para o Natal do Bem 2026 — Goiás</t>
  </si>
  <si>
    <t xml:space="preserve">Divulgado resultado preliminar do edital de apresentações artísticas para o Natal do Bem 2026</t>
  </si>
  <si>
    <t xml:space="preserve">https://goias.gov.br/cultura/divulgado-resultado-preliminar-do-edital-de-apresentacoes-artisticas-para-o-natal-do-bem-2026</t>
  </si>
  <si>
    <t xml:space="preserve">op-c6743b908a17</t>
  </si>
  <si>
    <t xml:space="preserve">Programa Marielle Franco - Apoio Individual - Baobá — Brasil</t>
  </si>
  <si>
    <t xml:space="preserve">Programa Marielle Franco - Apoio Individual - Baobá</t>
  </si>
  <si>
    <t xml:space="preserve">{'valor': 'iniciativa_privada', 'fundamento': 'Fundo Baobá, fundo privado de equidade racial com recursos de doadores e parceiros.', 'em': '2026-10-02'}</t>
  </si>
  <si>
    <t xml:space="preserve">{'observacao': 'VERIFICADO em Fundo Baobá (site oficial, API WordPress, 03/10/2026): a(s) edição(ões) anterior(es) achada(s) é/são anterior(es) à janela de 3 anos (03/10/2023) — 2023-10-01: Edital Ayá — apoio individual (1ª edição do Programa Marielle Franco). Sem edição datada dentro da janela.'}</t>
  </si>
  <si>
    <t xml:space="preserve">op-d0889579cb2f</t>
  </si>
  <si>
    <t xml:space="preserve">Inscrições Abertas — Goiás — Goiás</t>
  </si>
  <si>
    <t xml:space="preserve">FAPEG</t>
  </si>
  <si>
    <t xml:space="preserve">http://www.fapeg.go.gov.br/abertas-inscricoes-para-tres-editais-da-fapeg/</t>
  </si>
  <si>
    <t xml:space="preserve">op-b945005df31a</t>
  </si>
  <si>
    <t xml:space="preserve">Fundação Calouste Gulbenkian — Apoio à Circulação Internacional 2026: até 5.000 € por projeto, em fluxo contín… — Internacional</t>
  </si>
  <si>
    <t xml:space="preserve">Fundação Calouste Gulbenkian — Apoio à Circulação Internacional 2026: até 5.000 € por projeto, em fluxo contínuo</t>
  </si>
  <si>
    <t xml:space="preserve">Fundação Calouste Gulbenkian</t>
  </si>
  <si>
    <t xml:space="preserve">{'valor': 'iniciativa_privada', 'fundamento': 'Fundação privada portuguesa com recurso próprio.', 'em': '2026-10-02'}</t>
  </si>
  <si>
    <t xml:space="preserve">https://gulbenkian.pt/bolsas-lista/apoio-a-circulacao-internacional/</t>
  </si>
  <si>
    <t xml:space="preserve">2026-01-12</t>
  </si>
  <si>
    <t xml:space="preserve">{'inicio': '2026-01-12', 'fim': '2026-10-31'}</t>
  </si>
  <si>
    <t xml:space="preserve">Apoio a projetos que contribuam para a visibilidade internacional de artistas, curadores e programadores de artes performativas, artes visuais, cinema e cruzamentos disciplinares (deslocação para projetos de instituições culturais internacionais de referência)</t>
  </si>
  <si>
    <t xml:space="preserve">2026: 12/01 (17h) a 31/10 (17h), hora de Lisboa; edições de 2023, 2024 e 2025 com resultados publicados (datas de inscrição não constam)</t>
  </si>
  <si>
    <t xml:space="preserve">Avaliação e comunicação da decisão em até 30 dias; resultados anuais publicados em PDF (2023, 2024, 2025)</t>
  </si>
  <si>
    <t xml:space="preserve">Teto de referência de 5.000 € por apoio, majoritariamente para viagens, alojamento e refeições</t>
  </si>
  <si>
    <t xml:space="preserve">Fundação Calouste Gulbenkian (Lisboa)</t>
  </si>
  <si>
    <t xml:space="preserve">Portugal (proponente com sede/domicílio fiscal em Portugal) — projetos realizados fora de Portugal</t>
  </si>
  <si>
    <t xml:space="preserve">Internacional (fundação privada portuguesa)</t>
  </si>
  <si>
    <t xml:space="preserve">Artistas, curadores e programadores individuais ou instituição sem fins lucrativos com sede em Portugal; projetos submetidos com ao menos 30 dias de antecedência e realizados em 12 meses; uma candidatura por entidade por ano; candidatura online em português; conta MyGulbenkian</t>
  </si>
  <si>
    <t xml:space="preserve">Regulamento, Perguntas Frequentes, formulário online; na formalização: Termo de Aceitação, NIF, IBAN, comprovativos de não dívida (AT e Segurança Social), certidão permanente e declaração do beneficiário efetivo</t>
  </si>
  <si>
    <t xml:space="preserve">Deslocação de artistas/curadores/programadores a projetos de instituições internacionais de referência (viagens, alojamento, refeições)</t>
  </si>
  <si>
    <t xml:space="preserve">Artes performativas, artes visuais, cinema e cruzamentos disciplinares</t>
  </si>
  <si>
    <t xml:space="preserve">{'observacao': 'Resultados 2023, 2024 e 2025 em PDFs na página oficial (edições provadas, sem datas de inscrição) + edição 2026 com datas. Regulamento 2026: da decisão não cabe recurso. NÃO elegível a OSC brasileira (sede/domicílio fiscal em Portugal).'}</t>
  </si>
  <si>
    <t xml:space="preserve">op-b75020fc639d</t>
  </si>
  <si>
    <t xml:space="preserve">Secretaria de Estado da Cultura (Secult) — Aberto chamamento público de OSC que apoiará Secult Goiás com Polít… — Goiás</t>
  </si>
  <si>
    <t xml:space="preserve">Secretaria de Estado da Cultura (Secult) — Aberto chamamento público de OSC que apoiará Secult Goiás com Política Nacional Aldir Blanc 2º ciclo</t>
  </si>
  <si>
    <t xml:space="preserve">Secretaria de Estado da Cultura (Secult)</t>
  </si>
  <si>
    <t xml:space="preserve">https://goias.gov.br/cultura/chamamentos-publicos-2026-lei-13-019-14/</t>
  </si>
  <si>
    <t xml:space="preserve">https://goias.gov.br/cultura/aberto-chamamento-publico-de-osc-que-apoiara-secult-goias-com-politica-nacional-aldir-blanc-2o-ciclo/</t>
  </si>
  <si>
    <t xml:space="preserve">selecionar Organização da Sociedade Civil (OSC) para firmar parceria por meio de Termo de</t>
  </si>
  <si>
    <t xml:space="preserve">informado (Oportunidades Estaduais Governamentais, 2026-10-02)</t>
  </si>
  <si>
    <t xml:space="preserve">{'observacao': 'Série oficial identificada na API do site goias.gov.br (publicações 2023–2025): OSC_AB. Categoria específica pode ter edital próprio; conferir no Diário Oficial.'}</t>
  </si>
  <si>
    <t xml:space="preserve">op-1dcadb5bdda6</t>
  </si>
  <si>
    <t xml:space="preserve">Programa Funarte Aberta — Brasil</t>
  </si>
  <si>
    <t xml:space="preserve">Programa Funarte Aberta</t>
  </si>
  <si>
    <t xml:space="preserve">Funarte</t>
  </si>
  <si>
    <t xml:space="preserve">{'valor': 'poder_publico', 'fundamento': 'Funarte cede pauta de seus espaços; sem repasse financeiro.', 'em': '2026-10-02'}</t>
  </si>
  <si>
    <t xml:space="preserve">https://www.gov.br/funarte/pt-br/editais/2026/programa-funarte-aberta</t>
  </si>
  <si>
    <t xml:space="preserve">2023, 2024, cont</t>
  </si>
  <si>
    <t xml:space="preserve">2026-03-30</t>
  </si>
  <si>
    <t xml:space="preserve">{'inicio': '2026-03-30', 'fim': 'contínuo'}</t>
  </si>
  <si>
    <t xml:space="preserve">Programa Funarte Aberta (2026)</t>
  </si>
  <si>
    <t xml:space="preserve">informado (motor agregadores · funarte, 2026-10-04)</t>
  </si>
  <si>
    <t xml:space="preserve">RJ/MG/SP</t>
  </si>
  <si>
    <t xml:space="preserve">informado (motor agregadores · funarte, 2026-10-03)</t>
  </si>
  <si>
    <t xml:space="preserve">Federal</t>
  </si>
  <si>
    <t xml:space="preserve">Ocupação de espaços culturais da Funarte até 30/04/2027</t>
  </si>
  <si>
    <t xml:space="preserve">Cultura, artes cênicas e outras linguagens</t>
  </si>
  <si>
    <t xml:space="preserve">op-101f4b5419a1</t>
  </si>
  <si>
    <t xml:space="preserve">Programa Ibercena - Convocatória 2025-2026 — Brasil</t>
  </si>
  <si>
    <t xml:space="preserve">Programa Ibercena - Convocatória 2025-2026</t>
  </si>
  <si>
    <t xml:space="preserve">{'valor': 'poder_publico', 'fundamento': 'Fundo de cooperação ibero-americano com aporte dos governos; Funarte é ponto focal no Brasil.', 'em': '2026-10-02'}</t>
  </si>
  <si>
    <t xml:space="preserve">https://www.gov.br/funarte/pt-br/editais/2025/programa-ibercena-convocatoria-2025-2026</t>
  </si>
  <si>
    <t xml:space="preserve">Funarte / Programa Ibercena</t>
  </si>
  <si>
    <t xml:space="preserve">op-a1a803e05f4b</t>
  </si>
  <si>
    <t xml:space="preserve">Criança Esperança - Edital - UNESCO — Internacional</t>
  </si>
  <si>
    <t xml:space="preserve">Criança Esperança - Edital - UNESCO</t>
  </si>
  <si>
    <t xml:space="preserve">https://projetos.criancaesperanca.unesco.org/Edital</t>
  </si>
  <si>
    <t xml:space="preserve">2026-11-08</t>
  </si>
  <si>
    <t xml:space="preserve">Seleção de projetos de OSCs sem fins lucrativos para apoio financeiro do Criança Esperança em 2028, com foco em educação, cultura e inclusão de crianças, adolescentes e jovens em vulnerabilidade</t>
  </si>
  <si>
    <t xml:space="preserve">05/10/2026 a 08/11/2026, até 23h59 (esclarecimentos por mensagem até 04/11/2026)</t>
  </si>
  <si>
    <t xml:space="preserve">Processo seletivo concluído até outubro de 2027 (prazo alterável); lista publicada em criancaesperanca.com.br e unesco.org.br em data a definir</t>
  </si>
  <si>
    <t xml:space="preserve">R$ 150.000,00, R$ 200.000,00 ou R$ 250.000,00 por projeto, 12 meses; outros valores são desconsiderados</t>
  </si>
  <si>
    <t xml:space="preserve">UNESCO no Brasil (setor de Ciências da Representação), com recursos do Criança Esperança (Globo)</t>
  </si>
  <si>
    <t xml:space="preserve">Brasil — distribuição regional: Nordeste 40%, Sudeste 30%, Centro-Oeste 12%, Norte 10%, Sul 8% (Goiás/Centro-Oeste = 12%)</t>
  </si>
  <si>
    <t xml:space="preserve">Internacional (agência da ONU) com recursos privados; aplicação no Brasil</t>
  </si>
  <si>
    <t xml:space="preserve">OSC sem fins lucrativos legalmente constituída; mínimo de 3 anos de CNPJ; registro válido no conselho de Direitos da Criança e do Adolescente, de Assistência Social ou de Educação; públicos: crianças, adolescentes e jovens em vulnerabilidade; balanços de 2024 e 2025</t>
  </si>
  <si>
    <t xml:space="preserve">Anexo I (Termo de Referência), tabela de documentos obrigatórios, tabela de critérios de seleção, modelo de capacidade técnica (DOCX), convite para parceria</t>
  </si>
  <si>
    <t xml:space="preserve">Apoio financeiro a projeto de 12 meses; despesas financiadas e não financiadas listadas nos itens 9 e 10 do TR</t>
  </si>
  <si>
    <t xml:space="preserve">Criança e adolescente; educação, cultura e preservação ambiental/desenvolvimento sustentável</t>
  </si>
  <si>
    <t xml:space="preserve">{'observacao': 'Termo de Referência (Anexo I, 19 pp.) lido por inteiro: inscrições 05/10 a 08/11/2026 às 23h59; mensagens de esclarecimento até 04/11; seleção até out/2027. A página oficial só mostra a campanha vigente; edições 2023-2025 não estão publicadas lá (a plataforma aceita cadastro apenas com campanha ativa). Procurar no site da UNESCO Brasil (unesco.org/pt) os editais anteriores. OSC bra</t>
  </si>
  <si>
    <t xml:space="preserve">op-4da58c0b7062</t>
  </si>
  <si>
    <t xml:space="preserve">Edital de Chamamento Público de Instituições sem Fins Lucrativos para a ... — Goiás — Goiás</t>
  </si>
  <si>
    <t xml:space="preserve">Edital de Chamamento Público de Instituições sem Fins Lucrativos para a ... — Goiás</t>
  </si>
  <si>
    <t xml:space="preserve">Governo do Estado de Goiás</t>
  </si>
  <si>
    <t xml:space="preserve">{'valor': 'poder_publico', 'fundamento': 'Publica a SEDS/Governo de Goiás, recurso estadual.', 'em': '2026-10-02'}</t>
  </si>
  <si>
    <t xml:space="preserve">https://goias.gov.br/social/chamamento-publico-2025/</t>
  </si>
  <si>
    <t xml:space="preserve">https://goias.gov.br/social/edital-chamamento-publico-2026/</t>
  </si>
  <si>
    <t xml:space="preserve">seleção de Organização da Sociedade Civil – ESFL, para execução do Programa Aprendiz do Futuro</t>
  </si>
  <si>
    <t xml:space="preserve">Será selecionada 1 (uma) ESFL, observada a ordem de classificação e a disponibilidade orça</t>
  </si>
  <si>
    <t xml:space="preserve">op-8692e0c0d005</t>
  </si>
  <si>
    <t xml:space="preserve">Secretaria de Estado da Cultura (Secult) — Governo de Goiás lança editais da Pnab para Pontos e Pontões de Cul… — Goiás</t>
  </si>
  <si>
    <t xml:space="preserve">Secretaria de Estado da Cultura (Secult) — Governo de Goiás lança editais da Pnab para Pontos e Pontões de Cultura</t>
  </si>
  <si>
    <t xml:space="preserve">https://goias.gov.br/cultura/pnab/edital-2026-pnab/</t>
  </si>
  <si>
    <t xml:space="preserve">https://goias.gov.br/cultura/governo-de-goias-lanca-editais-da-pnab-para-pontos-e-pontoes-de-cultura/</t>
  </si>
  <si>
    <t xml:space="preserve">Prazo de inscrição, Resultado, Prazo de recurso, Valor, Esfera, Requisitos, Destinação</t>
  </si>
  <si>
    <t xml:space="preserve">op-7e76cd1e7d84</t>
  </si>
  <si>
    <t xml:space="preserve">Secretaria de Estado da Cultura (Secult) — Governo de Goiás abre inscrições para novo edital de Pontos de Cult… — Goiás</t>
  </si>
  <si>
    <t xml:space="preserve">Secretaria de Estado da Cultura (Secult) — Governo de Goiás abre inscrições para novo edital de Pontos de Cultura, com investimento de cerca de R$ 2 milhões</t>
  </si>
  <si>
    <t xml:space="preserve">https://goias.gov.br/cultura/governo-de-goias-abre-inscricoes-para-novos-editais-dos-pontos-de-cultura-com-investimento-de-cerca-de-r-2-milhoes-2/</t>
  </si>
  <si>
    <t xml:space="preserve">2022, 2024, 2025, 2026</t>
  </si>
  <si>
    <t xml:space="preserve">2022-02-07</t>
  </si>
  <si>
    <t xml:space="preserve">cerca de R$ 2 milhões</t>
  </si>
  <si>
    <t xml:space="preserve">op-7c57da2412db</t>
  </si>
  <si>
    <t xml:space="preserve">Secretaria de Estado da Cultura (Secult) — Governo de Goiás lança edital para Pontos e Pontões de Cultura com … — Goiás</t>
  </si>
  <si>
    <t xml:space="preserve">Secretaria de Estado da Cultura (Secult) — Governo de Goiás lança edital para Pontos e Pontões de Cultura com saldo remanescente da Pnab 2024</t>
  </si>
  <si>
    <t xml:space="preserve">op-637b26a919b7</t>
  </si>
  <si>
    <t xml:space="preserve">Secretaria de Estado da Cultura (Secult) — Secult Goiás abre chamamento público para Circuito das Cavalhadas 2… — Goiás</t>
  </si>
  <si>
    <t xml:space="preserve">Secretaria de Estado da Cultura (Secult) — Secult Goiás abre chamamento público para Circuito das Cavalhadas 2025</t>
  </si>
  <si>
    <t xml:space="preserve">https://goias.gov.br/cultura/secult-goias-abre-chamamento-publico-para-circuito-das-cavalhadas-2025/</t>
  </si>
  <si>
    <t xml:space="preserve">Resultado, Prazo de recurso, Valor, Esfera, Requisitos, Destinação</t>
  </si>
  <si>
    <t xml:space="preserve">informado (Piloto - Interceptador, 2026-10-04)</t>
  </si>
  <si>
    <t xml:space="preserve">Circuito das Cavalhadas 2025</t>
  </si>
  <si>
    <t xml:space="preserve">2025-03-29</t>
  </si>
  <si>
    <t xml:space="preserve">{'observacao': 'Série oficial identificada na API do site goias.gov.br (publicações 2023–2025): CAVALHADAS. Categoria específica pode ter edital próprio; conferir no Diário Oficial.'}</t>
  </si>
  <si>
    <t xml:space="preserve">op-b61906087d97</t>
  </si>
  <si>
    <t xml:space="preserve">Secretaria de Estado da Cultura (Secult) — Secult Goiás abre chamamento público para auxiliar no Circuito das … — Goiás</t>
  </si>
  <si>
    <t xml:space="preserve">Secretaria de Estado da Cultura (Secult) — Secult Goiás abre chamamento público para auxiliar no Circuito das Cavalhadas 2024</t>
  </si>
  <si>
    <t xml:space="preserve">https://goias.gov.br/educacao/wp-content/uploads/sites/40/2024/ProcessoSeletivoSimplificado/DesportoEducacional/Circuito_Gestao_Principios_Metodo_2016.pdf</t>
  </si>
  <si>
    <t xml:space="preserve">https://goias.gov.br/cultura/secult-goias-abre-chamamento-publico-para-auxiliar-no-circuito-das-cavalhadas-2024/</t>
  </si>
  <si>
    <t xml:space="preserve">preparar e apoiar, com conhecimentos teóricos e técnicos, o(a)s gestore(a)s escolares</t>
  </si>
  <si>
    <t xml:space="preserve">2024-03-21</t>
  </si>
  <si>
    <t xml:space="preserve">op-6cce62c69c59</t>
  </si>
  <si>
    <t xml:space="preserve">Secretaria de Estado da Cultura (Secult) — Secult abre chamamento público de OSC para apoio com a Política Nac… — Goiás</t>
  </si>
  <si>
    <t xml:space="preserve">Secretaria de Estado da Cultura (Secult) — Secult abre chamamento público de OSC para apoio com a Política Nacional Aldir Blanc em Goiás</t>
  </si>
  <si>
    <t xml:space="preserve">https://goias.gov.br/cultura/secult-abre-chamamento-publico-de-osc-para-apoio-com-a-politica-nacional-aldir-blanc-em-goias/</t>
  </si>
  <si>
    <t xml:space="preserve">Resultado, Prazo de recurso, Valor, Esfera, Requisitos</t>
  </si>
  <si>
    <t xml:space="preserve">apoio com a Política Nacional Atila Blanc em Goiás</t>
  </si>
  <si>
    <t xml:space="preserve">2024-01-30</t>
  </si>
  <si>
    <t xml:space="preserve">op-258a0859666a</t>
  </si>
  <si>
    <t xml:space="preserve">Secretaria de Estado da Cultura (Secult) — Secult abre chamamento público para OSC atuar na operacionalização … — Goiás</t>
  </si>
  <si>
    <t xml:space="preserve">Secretaria de Estado da Cultura (Secult) — Secult abre chamamento público para OSC atuar na operacionalização do 2º ciclo da PNAB</t>
  </si>
  <si>
    <t xml:space="preserve">https://goias.gov.br/cultura/secult-abre-chamamento-publico-para-osc-atuar-na-operacionalizacao-do-2o-ciclo-da-pnab/</t>
  </si>
  <si>
    <t xml:space="preserve">operacionalização do 2º ciclo da PNAB</t>
  </si>
  <si>
    <t xml:space="preserve">2025-12-15</t>
  </si>
  <si>
    <t xml:space="preserve">op-aff71483f39b</t>
  </si>
  <si>
    <t xml:space="preserve">Instituto Clima e Sociedade abre edital de até R$ 500 mil para projetos de comunicação climática — Brasil</t>
  </si>
  <si>
    <t xml:space="preserve">Instituto Clima e Sociedade abre edital de até R$ 500 mil para projetos de comunicação climática</t>
  </si>
  <si>
    <t xml:space="preserve">https://observatorio3setor.org.br/instituto-clima-e-sociedade-abre-edital-de-ate-r-500-mil-para-projetos-de-comunicacao-climatica</t>
  </si>
  <si>
    <t xml:space="preserve">op-1e1d9c3d054f</t>
  </si>
  <si>
    <t xml:space="preserve">Chamamentos Públicos — Goiás</t>
  </si>
  <si>
    <t xml:space="preserve">Chamamentos Públicos</t>
  </si>
  <si>
    <t xml:space="preserve">https://goias.gov.br/cultura/chamamentos-publicos-secult</t>
  </si>
  <si>
    <t xml:space="preserve">{'observacao': 'Página-índice anual de chamamentos da Secult (Lei 13.019/14); abertura = data de publicação da página no site oficial; prazos constam nos editais anexos.'}</t>
  </si>
  <si>
    <t xml:space="preserve">op-a5aaa3370a01</t>
  </si>
  <si>
    <t xml:space="preserve">Chamamento público nº 02/2024 visando a seleção de projetos para firmar termo de execução cultural com recurso… — Goiás</t>
  </si>
  <si>
    <t xml:space="preserve">CHAMAMENTO PÚBLICO Nº 02/2024 VISANDO A SELEÇÃO DE PROJETOS PARA FIRMAR TERMO DE EXECUÇÃO CULTURAL COM RECURSOS DA POLÍTICA NACION</t>
  </si>
  <si>
    <t xml:space="preserve">FUNDO MUNICIPAL DE CULTURA - CAVALCANTE</t>
  </si>
  <si>
    <t xml:space="preserve">https://cavalcante.go.gov.br/programa-cat-cultural/</t>
  </si>
  <si>
    <t xml:space="preserve">Objeto, Prazo de inscrição, Resultado, Prazo de recurso, Valor, Requisitos, Anexos, Destinação, Área de atuação</t>
  </si>
  <si>
    <t xml:space="preserve">Prefeitura Municipal de Cavalcante</t>
  </si>
  <si>
    <t xml:space="preserve">op-55b79f17cae2</t>
  </si>
  <si>
    <t xml:space="preserve">Contratação de pessoa jurídica atuante na área da saúde para prestação de serviços nas especialidades de apare… — Paraná</t>
  </si>
  <si>
    <t xml:space="preserve">Contratação de pessoa jurídica atuante na área da saúde para prestação de serviços nas especialidades de aparelhos auditivos pelo Ciscomcam. conforme Edital de </t>
  </si>
  <si>
    <t xml:space="preserve">PNCP — CONSORCIO INT DE SAUDE DA COM DOS M DA REG DE C MOURAO</t>
  </si>
  <si>
    <t xml:space="preserve">https://pncp.gov.br/app/editais/95640322000101/2023/88</t>
  </si>
  <si>
    <t xml:space="preserve">https://pncp.gov.br/app/editais/95640322000101/2023/59</t>
  </si>
  <si>
    <t xml:space="preserve">op-3f7791ae99be</t>
  </si>
  <si>
    <t xml:space="preserve">MUNICIPIO DE CARAZINHO — Celebração de termo de colaboração, com Organização da Sociedade Civil (OSC), em regi… — Brasil</t>
  </si>
  <si>
    <t xml:space="preserve">MUNICIPIO DE CARAZINHO — Celebração de termo de colaboração, com Organização da Sociedade Civil (OSC), em regime de mútua cooperação com a Administração Pública</t>
  </si>
  <si>
    <t xml:space="preserve">MUNICIPIO DE CARAZINHO</t>
  </si>
  <si>
    <t xml:space="preserve">https://pncp.gov.br/app/editais/87613535000116/2025/841</t>
  </si>
  <si>
    <t xml:space="preserve">2028, 2029</t>
  </si>
  <si>
    <t xml:space="preserve">2029-12-05</t>
  </si>
  <si>
    <t xml:space="preserve">{'inicio': None, 'fim': '2029-12-05'}</t>
  </si>
  <si>
    <t xml:space="preserve">op-18068c35a3d4</t>
  </si>
  <si>
    <t xml:space="preserve">Aviso de chamada pública nº 40/2026 — Brasil</t>
  </si>
  <si>
    <t xml:space="preserve">AVISO DE CHAMADA PÚBLICA Nº 40/2026</t>
  </si>
  <si>
    <t xml:space="preserve">https://www.arq.ifsp.edu.br</t>
  </si>
  <si>
    <t xml:space="preserve">https://pep.ifsp.edu.br</t>
  </si>
  <si>
    <t xml:space="preserve">op-7ff03af83350</t>
  </si>
  <si>
    <t xml:space="preserve">Aviso de Chamamento Público Nº 76/2026 — Brasil</t>
  </si>
  <si>
    <t xml:space="preserve">Aviso de Chamamento Público Nº 76/2026</t>
  </si>
  <si>
    <t xml:space="preserve">{'valor': 'poder_publico', 'fundamento': 'Empresa pública federal (Ebserh/HU Brasil).', 'em': '2026-10-02'}</t>
  </si>
  <si>
    <t xml:space="preserve">https://compras.sistemaindustria.com.br/</t>
  </si>
  <si>
    <t xml:space="preserve">https://www.gov.br/hubrasil/pt-br/acesso-a-informacao/participacao-social/chamamentos-publicos</t>
  </si>
  <si>
    <t xml:space="preserve">op-d7fb4df63b1c</t>
  </si>
  <si>
    <t xml:space="preserve">Aparecida de Goiânia — Diário Oficial de Aparecida de Goiânia — edição (2026-09-23) — chamamento público — Brasil</t>
  </si>
  <si>
    <t xml:space="preserve">Aparecida de Goiânia — Diário Oficial de Aparecida de Goiânia — edição (2026-09-23) — chamamento público</t>
  </si>
  <si>
    <t xml:space="preserve">https://www.goias365.com.br/prefeito-vilela-sanciona-lei-que-reduz-aliquota-do-itbi-para-15-em-aparecida/</t>
  </si>
  <si>
    <t xml:space="preserve">{'inicio': None, 'fim': '2026-10-20'}</t>
  </si>
  <si>
    <t xml:space="preserve">Prazo de inscrição, Resultado, Prazo de recurso, Valor, Requisitos</t>
  </si>
  <si>
    <t xml:space="preserve">duplicação da Avenida Tanner de Melo</t>
  </si>
  <si>
    <t xml:space="preserve">Prefeito de Aparecida de Goiânia</t>
  </si>
  <si>
    <t xml:space="preserve">op-203e1c45c9c7</t>
  </si>
  <si>
    <t xml:space="preserve">Secretaria de Estado de Ciência, Tecnologia e Inovação (SECTI) — Chamamento Público nº 01/2022-SEDI — Goiás</t>
  </si>
  <si>
    <t xml:space="preserve">Secretaria de Estado de Ciência, Tecnologia e Inovação (SECTI) — Chamamento Público nº 01/2022-SEDI</t>
  </si>
  <si>
    <t xml:space="preserve">Secretaria de Estado de Ciência, Tecnologia e Inovação (SECTI)</t>
  </si>
  <si>
    <t xml:space="preserve">https://goias.gov.br/inovacao/chamamento-publico-no-01-2022-sedi/</t>
  </si>
  <si>
    <t xml:space="preserve">informado (Oportunidade Estaduais Governamentais de Goiás, 2026-10-03)</t>
  </si>
  <si>
    <t xml:space="preserve">Secretaria de Estado de Ciência, Tecnologia e Inovação (SECTI) — Chamamento Público nº 02/2021-SEDI</t>
  </si>
  <si>
    <t xml:space="preserve">https://goias.gov.br/inovacao/chamamento-publico-no-02-2021-sedi/</t>
  </si>
  <si>
    <t xml:space="preserve">op-22bd62602e2e</t>
  </si>
  <si>
    <t xml:space="preserve">Secretaria de Estado da Cultura (Secult) — Governo de Goiás destina R$ 2 milhões em edital emergencial para so… — Goiás</t>
  </si>
  <si>
    <t xml:space="preserve">Secretaria de Estado da Cultura (Secult) — Governo de Goiás destina R$ 2 milhões em edital emergencial para socorrer espaços culturais e artistas</t>
  </si>
  <si>
    <t xml:space="preserve">https://goias.gov.br/cultura/governo-de-goias-destina-r-2-milhoes-em-edital-emergencial-para-socorrer-espacos-culturais-e-artistas/</t>
  </si>
  <si>
    <t xml:space="preserve">investigacao_prata</t>
  </si>
  <si>
    <t xml:space="preserve">2021</t>
  </si>
  <si>
    <t xml:space="preserve">op-c7a9c5fa3ddc</t>
  </si>
  <si>
    <t xml:space="preserve">Itaberaí — edital de chamamento publico nº 001-cmdca-2025 — Goiás</t>
  </si>
  <si>
    <t xml:space="preserve">Itaberaí — EDITAL DE CHAMAMENTO PUBLICO Nº 001-CMDCA-2025</t>
  </si>
  <si>
    <t xml:space="preserve">Prefeitura de Itaberaí</t>
  </si>
  <si>
    <t xml:space="preserve">https://itaberai.go.gov.br/edital-de-chamamento-publico-n-001-cmdca-2026/</t>
  </si>
  <si>
    <t xml:space="preserve">Itaberaí — EDITAL DE CHAMAMENTO PÚBLICO N° 001-CMDCA-2026</t>
  </si>
  <si>
    <t xml:space="preserve">op-f0664c0352d1</t>
  </si>
  <si>
    <t xml:space="preserve">Anápolis — Prefeitura lança editais da Lei Aldir Blanc para o setor cultural — Goiás / Anápolis — Goiás / Anápolis</t>
  </si>
  <si>
    <t xml:space="preserve">Anápolis — Prefeitura lança editais da Lei Aldir Blanc para o setor cultural — Goiás / Anápolis</t>
  </si>
  <si>
    <t xml:space="preserve">Governo Federal</t>
  </si>
  <si>
    <t xml:space="preserve">Anápolis</t>
  </si>
  <si>
    <t xml:space="preserve">https://cantodaprimavera.cultura.go.gov.br/</t>
  </si>
  <si>
    <t xml:space="preserve">https://goias.gov.br/cultura/categoria/politica-nacional-aldir-blanc/</t>
  </si>
  <si>
    <t xml:space="preserve">Objeto, Prazo de inscrição, Resultado, Prazo de recurso, Valor, Requisitos, Destinação</t>
  </si>
  <si>
    <t xml:space="preserve">op-ab98973578db</t>
  </si>
  <si>
    <t xml:space="preserve">Edital de chamamento publico n° 013/2023 - lei paulo gustavo - audiovisual. — Goiás</t>
  </si>
  <si>
    <t xml:space="preserve">EDITAL DE CHAMAMENTO PUBLICO N° 013/2023 - LEI PAULO GUSTAVO - AUDIOVISUAL.</t>
  </si>
  <si>
    <t xml:space="preserve">PNCP — MUNICIPIO DE BARRO ALTO</t>
  </si>
  <si>
    <t xml:space="preserve">https://pncp.gov.br/app/editais/02355675000189/2023/744</t>
  </si>
  <si>
    <t xml:space="preserve">https://pncp.gov.br/app/editais/02355675000189/2023/673</t>
  </si>
  <si>
    <t xml:space="preserve">{'observacao': 'Fonte oficial: PNCP (campos data_inicio_vigencia/data_fim_vigencia do edital).'}</t>
  </si>
  <si>
    <t xml:space="preserve">op-c09ff1b76101</t>
  </si>
  <si>
    <t xml:space="preserve">Pnab 2026: Divulgada lista de aprovados e suplentes do Edital de Infância e Juventude na Cultura — Goiás</t>
  </si>
  <si>
    <t xml:space="preserve">Pnab 2026: Divulgada lista de aprovados e suplentes do Edital de Infância e Juventude na Cultura</t>
  </si>
  <si>
    <t xml:space="preserve">Editais FICA Goiás - artes visuais/exposição</t>
  </si>
  <si>
    <t xml:space="preserve">https://goias.gov.br/cultura/pnab-2026-divulgada-lista-de-aprovados-e-suplentes-do-edital-de-infancia-e-juventude-na-cultura</t>
  </si>
  <si>
    <t xml:space="preserve">op-7a2cf73ecf5d</t>
  </si>
  <si>
    <t xml:space="preserve">Prorrogação do Edital de Chamamento CPA - Conselho Estadual dos Direitos da Criança e do Adolescente — Goiás</t>
  </si>
  <si>
    <t xml:space="preserve">Prorrogação do Edital de Chamamento CPA - Conselho Estadual dos Direitos da Criança e do Adolescente</t>
  </si>
  <si>
    <t xml:space="preserve">https://goias.gov.br/social/wp-content/uploads/sites/24/2026/08/Edital-005-CPA-Prorrogacao.pdf</t>
  </si>
  <si>
    <t xml:space="preserve">https://goias.gov.br/social/conselho-estadual-dos-direitos-da-crianca-e-do-adolescente-abre-edital-de-convocacao-para-representantes-da-sociedade-civil/</t>
  </si>
  <si>
    <t xml:space="preserve">{'observacao': 'Série oficial identificada na API do site goias.gov.br (publicações 2023–2025): CEDCA. Categoria específica pode ter edital próprio; conferir no Diário Oficial.'}</t>
  </si>
  <si>
    <t xml:space="preserve">op-61f5dc003aa8</t>
  </si>
  <si>
    <t xml:space="preserve">Pnab 2026: Divulgado resultado preliminar de habilitados e não habilitados do edital nº 04/2026 — Goiás</t>
  </si>
  <si>
    <t xml:space="preserve">Pnab 2026: Divulgado resultado preliminar de habilitados e não habilitados do edital nº 04/2026</t>
  </si>
  <si>
    <t xml:space="preserve">https://goias.gov.br/cultura/pnab-2026-divulgado-resultado-preliminar-de-habilitados-e-nao-habilitados-do-edital-no-04-2026</t>
  </si>
  <si>
    <t xml:space="preserve">op-9b459e0609cf</t>
  </si>
  <si>
    <t xml:space="preserve">/serviço o “chamamento público na forma de credenciamento de pessoa jurídica para "prestação de serviços médic… — Goiás</t>
  </si>
  <si>
    <t xml:space="preserve">O presente Edital tem como objeto/serviço o “CHAMAMENTO PÚBLICO NA FORMA DE CREDENCIAMENTO DE PESSOA JURÍDICA PARA "PRESTAÇÃO DE SERVIÇOS MÉDICOS", NA FORMA DE </t>
  </si>
  <si>
    <t xml:space="preserve">PNCP — FUNDO MUNICIPAL DE SAUDE DE BURITI ALEGRE</t>
  </si>
  <si>
    <t xml:space="preserve">https://pncp.gov.br/app/editais/11267244000151/2024/47</t>
  </si>
  <si>
    <t xml:space="preserve">Objeto, Prazo de inscrição, Resultado, Prazo de recurso, Valor, Requisitos, Destinação, Área de atuação</t>
  </si>
  <si>
    <t xml:space="preserve">Rede Logística - Redecompras</t>
  </si>
  <si>
    <t xml:space="preserve">op-ad98dbb9d8e4</t>
  </si>
  <si>
    <t xml:space="preserve">Realização de Chamamento Público visando a Seleção de Agentes Culturais de Audiovisual que tenham prestado rel… — Goiás / Alvorada do Norte</t>
  </si>
  <si>
    <t xml:space="preserve">Realização de Chamamento Público visando a Seleção de Agentes Culturais de Audiovisual que tenham prestado relevante contribuição ao desenvolvimento artístico o</t>
  </si>
  <si>
    <t xml:space="preserve">PNCP — MUNICIPIO DE ALVORADA DO NORTE</t>
  </si>
  <si>
    <t xml:space="preserve">Alvorada do Norte</t>
  </si>
  <si>
    <t xml:space="preserve">https://pncp.gov.br/app/editais/02367597000132/2023/423</t>
  </si>
  <si>
    <t xml:space="preserve">2023, 2024</t>
  </si>
  <si>
    <t xml:space="preserve">2024-10-16</t>
  </si>
  <si>
    <t xml:space="preserve">2024-10-23</t>
  </si>
  <si>
    <t xml:space="preserve">https://pncp.gov.br/app/editais/02367597000132/2024/573</t>
  </si>
  <si>
    <t xml:space="preserve">op-9ee790ad4a44</t>
  </si>
  <si>
    <t xml:space="preserve">Senador Canedo — Edital nº03/2024 – Fomento — Goiás / Senador Canedo</t>
  </si>
  <si>
    <t xml:space="preserve">Senador Canedo — Edital nº03/2024 – Fomento</t>
  </si>
  <si>
    <t xml:space="preserve">https://senadorcanedo.go.gov.br/edital-no03-2024-fomento/</t>
  </si>
  <si>
    <t xml:space="preserve">2025-05-01</t>
  </si>
  <si>
    <t xml:space="preserve">2025-05-09</t>
  </si>
  <si>
    <t xml:space="preserve">https://senadorcanedo.go.gov.br/inscricoes-da-2a-chamada-da-lei-aldir-blanc-comecam-nesta-quinta-feira-em-senador-canedo/</t>
  </si>
  <si>
    <t xml:space="preserve">op-689a073b6517</t>
  </si>
  <si>
    <t xml:space="preserve">Senador Canedo — Política Nacional Aldir Blanc – Edital nº05/2024 – Cultura Viva — Goiás / Senador Canedo</t>
  </si>
  <si>
    <t xml:space="preserve">Senador Canedo — Política Nacional Aldir Blanc – Edital nº05/2024 – Cultura Viva</t>
  </si>
  <si>
    <t xml:space="preserve">https://senadorcanedo.go.gov.br/politica-nacional-aldir-blanc-edital-no05-2024-cultura-viva/</t>
  </si>
  <si>
    <t xml:space="preserve">op-3691d3c1aae1</t>
  </si>
  <si>
    <t xml:space="preserve">Senador Canedo — Política Nacional Aldir Blanc – Edital nº04/2024 — Goiás / Senador Canedo</t>
  </si>
  <si>
    <t xml:space="preserve">Senador Canedo — Política Nacional Aldir Blanc – Edital nº04/2024</t>
  </si>
  <si>
    <t xml:space="preserve">https://senadorcanedo.go.gov.br/politica-nacional-aldir-blanc-edital-no03-2024-fomento/</t>
  </si>
  <si>
    <t xml:space="preserve">op-e65e3a0ff3cf</t>
  </si>
  <si>
    <t xml:space="preserve">Senador Canedo — Edital nº 005/2024 – 2ª Convocação, referente à Lei Aldir Blanc — Goiás / Senador Canedo</t>
  </si>
  <si>
    <t xml:space="preserve">Senador Canedo — Edital nº 005/2024 – 2ª Convocação, referente à Lei Aldir Blanc</t>
  </si>
  <si>
    <t xml:space="preserve">https://senadorcanedo.go.gov.br/edital-no-005-2024-2a-convocacao-referente-a-lei-aldir-blanc/</t>
  </si>
  <si>
    <t xml:space="preserve">op-fb4fb75c443b</t>
  </si>
  <si>
    <t xml:space="preserve">Senador Canedo — Edital de Chamamento Público nº 003/2024 – 2ª Convocação / Fomento — Goiás / Senador Canedo</t>
  </si>
  <si>
    <t xml:space="preserve">Senador Canedo — Edital de Chamamento Público nº 003/2024 – 2ª Convocação / Fomento</t>
  </si>
  <si>
    <t xml:space="preserve">https://senadorcanedo.go.gov.br/edital-de-chamamento-publico-no-003-2024-2a-convocacao-fomento/</t>
  </si>
  <si>
    <t xml:space="preserve">op-5649ec4d88bb</t>
  </si>
  <si>
    <t xml:space="preserve">Senador Canedo — Senador Canedo abre prazo para recursos da Lei Aldir Blanc — Goiás / Senador Canedo</t>
  </si>
  <si>
    <t xml:space="preserve">Senador Canedo — Senador Canedo abre prazo para recursos da Lei Aldir Blanc</t>
  </si>
  <si>
    <t xml:space="preserve">https://senadorcanedo.go.gov.br/senador-canedo-abre-prazo-para-recursos-da-lei-aldir-blanc/</t>
  </si>
  <si>
    <t xml:space="preserve">op-d165eb2a5ffe</t>
  </si>
  <si>
    <t xml:space="preserve">Senador Canedo — Inscrições da 2ª Chamada da Lei Aldir Blanc começam nesta quinta-feira em Senador Canedo — Goiás / Senador Canedo</t>
  </si>
  <si>
    <t xml:space="preserve">Senador Canedo — Inscrições da 2ª Chamada da Lei Aldir Blanc começam nesta quinta-feira em Senador Canedo</t>
  </si>
  <si>
    <t xml:space="preserve">op-67ec4f84c8f2</t>
  </si>
  <si>
    <t xml:space="preserve">Concurso ‘Talentos contemporâneos’ 16ª edição, Fondation François Schneider — Internacional</t>
  </si>
  <si>
    <t xml:space="preserve">Concurso ‘Talentos contemporâneos’ 16ª edição, Fondation François Schneider</t>
  </si>
  <si>
    <t xml:space="preserve">DGARTES</t>
  </si>
  <si>
    <t xml:space="preserve">{'valor': 'iniciativa_privada', 'fundamento': 'Fundação privada francesa organiza e financia o concurso.', 'em': '2026-10-02'}</t>
  </si>
  <si>
    <t xml:space="preserve">https://www.fondationfrancoisschneider.org/concours-talents-contemporains/concours-talents-contemporains-leau-wattwiller/</t>
  </si>
  <si>
    <t xml:space="preserve">2026-09-23</t>
  </si>
  <si>
    <t xml:space="preserve">2026-11-22</t>
  </si>
  <si>
    <t xml:space="preserve">https://www.fondationfrancoisschneider.org/en/launch-of-the-call-for-applications/</t>
  </si>
  <si>
    <t xml:space="preserve">{'inicio': '2026-09-23', 'fim': '2026-11-22'}</t>
  </si>
  <si>
    <t xml:space="preserve">Concurso internacional que adquire obras de artistas sobre o tema da água (instalações/esculturas como projeto, ou obra existente em demais linguagens), com exposição no Centro de Arte da Fundação</t>
  </si>
  <si>
    <t xml:space="preserve">16ª edição: 23/09 a 22/11/2026; 15ª edição: 15/09 a 23/11/2025</t>
  </si>
  <si>
    <t xml:space="preserve">Até 7 premiados com € 15.000 cada pela aquisição da obra; assistência de produção de até € 50.000 por projeto de instalação/escultura (total a repartir)</t>
  </si>
  <si>
    <t xml:space="preserve">Fondation François Schneider</t>
  </si>
  <si>
    <t xml:space="preserve">Internacional (artistas de todo o mundo); exposição em Wattwiller, França</t>
  </si>
  <si>
    <t xml:space="preserve">Propostas sobre o tema água; escultura/instalação como projeto com orçamento detalhado, ou obra única já existente; vídeo/fotografia preferencialmente edição única (grant pode cair para € 8.000 se houver cópias); inscrição individual ou coletiva</t>
  </si>
  <si>
    <t xml:space="preserve">Termos do concurso (regulamento), formulário de inscrição individual/coletiva, orçamento de produção para projetos</t>
  </si>
  <si>
    <t xml:space="preserve">Aquisição da obra, exposição coletiva, publicação bilíngue, inclusão no acervo e vídeo-retrato</t>
  </si>
  <si>
    <t xml:space="preserve">Arte contemporânea / água</t>
  </si>
  <si>
    <t xml:space="preserve">{'observacao': 'Duas edições consecutivas com datas (2025 e 2026) na página oficial. Não é para OSC.'}</t>
  </si>
  <si>
    <t xml:space="preserve">op-6b31ebb3a557</t>
  </si>
  <si>
    <t xml:space="preserve">Seleção de Organização da Sociedade Civil – OSC, em regime de mútua cooperação, para celebração de parceria co… — Rio Grande do Norte</t>
  </si>
  <si>
    <t xml:space="preserve">Seleção de Organização da Sociedade Civil – OSC, em regime de mútua cooperação, para celebração de parceria com a administração pública municipal, objetivando a</t>
  </si>
  <si>
    <t xml:space="preserve">RN</t>
  </si>
  <si>
    <t xml:space="preserve">https://pncp.gov.br/app/editais/08004525000107/2026/90</t>
  </si>
  <si>
    <t xml:space="preserve">2026-10-22</t>
  </si>
  <si>
    <t xml:space="preserve">Resultado, Prazo de recurso, Valor, Órgão / financiador, Esfera, Requisitos, Destinação, Área de atuação</t>
  </si>
  <si>
    <t xml:space="preserve">Seleção de Organização da Sociedade Civil – OSC, em regime de mútua cooperação, para celebração de parceria com a administração pública municipal, objetivando a consecuçã</t>
  </si>
  <si>
    <t xml:space="preserve">op-75f65044d904</t>
  </si>
  <si>
    <t xml:space="preserve">Programa Ibermúsicas - Convocatórias 2025 — Brasil</t>
  </si>
  <si>
    <t xml:space="preserve">Programa Ibermúsicas - Convocatórias 2025</t>
  </si>
  <si>
    <t xml:space="preserve">{'valor': 'poder_publico', 'fundamento': 'Programa de cooperação intergovernamental ibero-americano; Funarte é ponto focal.', 'em': '2026-10-02'}</t>
  </si>
  <si>
    <t xml:space="preserve">https://www.gov.br/funarte/pt-br/editais/2026/programa-ibermusicas-convocatorias-2026</t>
  </si>
  <si>
    <t xml:space="preserve">Funarte / Programa Ibermúsicas</t>
  </si>
  <si>
    <t xml:space="preserve">https://www.gov.br/funarte/pt-br/editais/2025/programa-ibermusicas-convocatorias-2025</t>
  </si>
  <si>
    <t xml:space="preserve">op-a072cd3fb788</t>
  </si>
  <si>
    <t xml:space="preserve">Credenciamento de instituições filantrópicas privadas (com e sem fins lucrativos), prestadoras de serviços de … — Espírito Santo</t>
  </si>
  <si>
    <t xml:space="preserve">Credenciamento de instituições filantrópicas privadas (com e sem fins lucrativos), prestadoras de serviços de saúde interessadas em participar, de forma complem</t>
  </si>
  <si>
    <t xml:space="preserve">PNCP — ESTADO DO ESPIRITO SANTO</t>
  </si>
  <si>
    <t xml:space="preserve">https://pncp.gov.br/app/editais/27080530000143/2024/1732</t>
  </si>
  <si>
    <t xml:space="preserve">op-6fb96e0c7983</t>
  </si>
  <si>
    <t xml:space="preserve">Credenciamento de bandas, artistas locais (artistas da terra) em diferentes estilos musicais e grupos de… — mu… — Brasil</t>
  </si>
  <si>
    <t xml:space="preserve">CREDENCIAMENTO DE BANDAS, ARTISTAS LOCAIS (ARTISTAS DA TERRA) EM DIFERENTES ESTILOS MUSICAIS E GRUPOS DE… — MUNICIPIO DE CONCEICAO DO JACUIPE</t>
  </si>
  <si>
    <t xml:space="preserve">MUNICIPIO DE CONCEICAO DO JACUIPE</t>
  </si>
  <si>
    <t xml:space="preserve">{'valor': 'poder_publico', 'fundamento': 'Publicado pelo Município de Conceição do Jacuípe/BA (PNCP), pago com dotação orçamentária municipal.', 'em': '2026-10-02'}</t>
  </si>
  <si>
    <t xml:space="preserve">https://pncp.gov.br/app/editais/14222574000119/2026/53</t>
  </si>
  <si>
    <t xml:space="preserve">2025, 2027</t>
  </si>
  <si>
    <t xml:space="preserve">2026-06-03</t>
  </si>
  <si>
    <t xml:space="preserve">2027-06-02</t>
  </si>
  <si>
    <t xml:space="preserve">{'inicio': '2026-06-03', 'fim': '2027-06-02'}</t>
  </si>
  <si>
    <t xml:space="preserve">Credenciamento de bandas, artistas da terra e grupos culturais</t>
  </si>
  <si>
    <t xml:space="preserve">Via Licitanet, 03/06/2026 a 02/06/2027 (PNCP); validade de 12 meses</t>
  </si>
  <si>
    <t xml:space="preserve">Atas de habilitação no Diário Oficial e na Licitanet</t>
  </si>
  <si>
    <t xml:space="preserve">até 5 dias úteis</t>
  </si>
  <si>
    <t xml:space="preserve">R$ 320.000,00 no edital (PNCP registra R$ 16.000,00); cachês R$ 2.000 a R$ 10.000</t>
  </si>
  <si>
    <t xml:space="preserve">Município de Conceição do Jacuípe/BA</t>
  </si>
  <si>
    <t xml:space="preserve">Conceição do Jacuípe/BA</t>
  </si>
  <si>
    <t xml:space="preserve">PF/PJ do ramo; requerimento (Anexo III) e documentos</t>
  </si>
  <si>
    <t xml:space="preserve">Anexo I (TR) e Anexo III (requerimento), entre outros</t>
  </si>
  <si>
    <t xml:space="preserve">Cachê por apresentação em eventos municipais</t>
  </si>
  <si>
    <t xml:space="preserve">op-8476c2b2ed36</t>
  </si>
  <si>
    <t xml:space="preserve">Contratação de artistas, grupos e bandas musicais, em diferentes estilos musicais a fim de atender aos… — MUNI… — Brasil</t>
  </si>
  <si>
    <t xml:space="preserve">Contratação de artistas, grupos e bandas musicais, em diferentes estilos musicais a fim de atender aos… — MUNICIPIO DE XIQUE-XIQUE</t>
  </si>
  <si>
    <t xml:space="preserve">MUNICIPIO DE XIQUE-XIQUE</t>
  </si>
  <si>
    <t xml:space="preserve">{'valor': 'poder_publico', 'fundamento': 'Publicado por MUNICIPIO DE XIQUE-XIQUE no PNCP; despesa por dotação do orçamento municipal (dotação citada no edital).', 'em': '2026-10-02'}</t>
  </si>
  <si>
    <t xml:space="preserve">https://pncp.gov.br/app/editais/13880257000127/2026/9</t>
  </si>
  <si>
    <t xml:space="preserve">2026-02-12</t>
  </si>
  <si>
    <t xml:space="preserve">2027-02-12</t>
  </si>
  <si>
    <t xml:space="preserve">{'inicio': '2026-02-12', 'fim': '2027-02-12'}</t>
  </si>
  <si>
    <t xml:space="preserve">Credenciamento de artistas, grupos e bandas musicais de diferentes estilos para eventos tr</t>
  </si>
  <si>
    <t xml:space="preserve">dispensado pelo tipo: Inscrições a partir de 12/02/2026; credenciamento por 12 meses (PNCP</t>
  </si>
  <si>
    <t xml:space="preserve">Resultado publicado no Sítio Eletrônico Oficial; lista dos credenciados</t>
  </si>
  <si>
    <t xml:space="preserve">3 dias úteis</t>
  </si>
  <si>
    <t xml:space="preserve">R$ 1.785.475,00 estimado; Anexo I.I tabela de preços (ex.: R$ 1.200,00 voz e violão na sed</t>
  </si>
  <si>
    <t xml:space="preserve">Prefeitura de Xique-Xique — Secretaria Municipal de Educação e Cultura (SMEC)</t>
  </si>
  <si>
    <t xml:space="preserve">Xique-Xique/BA (eventos do município)</t>
  </si>
  <si>
    <t xml:space="preserve">PF ou PJ que atendam às especificações e condições do edital e anexos</t>
  </si>
  <si>
    <t xml:space="preserve">Anexo I TR; I.I tabela de preços; II formulário; III declarações; IV minuta; V modelos</t>
  </si>
  <si>
    <t xml:space="preserve">Recursos do orçamento vigente da SMEC (órgão 08)</t>
  </si>
  <si>
    <t xml:space="preserve">Cultura (música)</t>
  </si>
  <si>
    <t xml:space="preserve">op-0baadd18391d</t>
  </si>
  <si>
    <t xml:space="preserve">Bolsa de Investigação Magaly Muguercia 2025-2027 — Brasil</t>
  </si>
  <si>
    <t xml:space="preserve">Bolsa de Investigação Magaly Muguercia 2025-2027</t>
  </si>
  <si>
    <t xml:space="preserve">{'valor': 'poder_publico', 'fundamento': 'Fundo intergovernamental Ibercena (18 países), operado no Brasil pela Funarte.', 'em': '2026-10-02'}</t>
  </si>
  <si>
    <t xml:space="preserve">https://www.gov.br/funarte/pt-br/editais/2025/bolsa-de-investigacao-magaly-muguercia-2025-2027</t>
  </si>
  <si>
    <t xml:space="preserve">2025-11-05</t>
  </si>
  <si>
    <t xml:space="preserve">€ 7.500 por projeto (2 projetos)</t>
  </si>
  <si>
    <t xml:space="preserve">op-203a25b47c98</t>
  </si>
  <si>
    <t xml:space="preserve">Credenciamento para formação de cadastro de artistas, fazedores de cultura e técnicos culturais para atender… … — Brasil</t>
  </si>
  <si>
    <t xml:space="preserve">CREDENCIAMENTO para FORMAÇÃO DE CADASTRO DE ARTISTAS, FAZEDORES DE CULTURA E TÉCNICOS CULTURAIS PARA ATENDER… — MUNICIPIO DE PILAR</t>
  </si>
  <si>
    <t xml:space="preserve">MUNICIPIO DE PILAR</t>
  </si>
  <si>
    <t xml:space="preserve">https://pncp.gov.br/app/editais/12200150000128/2026/15</t>
  </si>
  <si>
    <t xml:space="preserve">2025-05-20</t>
  </si>
  <si>
    <t xml:space="preserve">2026-05-20</t>
  </si>
  <si>
    <t xml:space="preserve">https://pncp.gov.br/app/editais/12200150000128/2025/42</t>
  </si>
  <si>
    <t xml:space="preserve">op-c4cd29b08a01</t>
  </si>
  <si>
    <t xml:space="preserve">Credenciamento de bandas e djs para apresentação musical no ciclo carnavalesco - 2027 - secultfor — Ceará</t>
  </si>
  <si>
    <t xml:space="preserve">CREDENCIAMENTO DE BANDAS E DJS PARA APRESENTAÇÃO MUSICAL NO CICLO CARNAVALESCO - 2027 - SECULTFOR</t>
  </si>
  <si>
    <t xml:space="preserve">https://mapacultural.secult.ce.gov.br/oportunidade/8341/</t>
  </si>
  <si>
    <t xml:space="preserve">{'observacao': 'Edições anteriores achadas em Mapa Cultural do Ceará (API) (mesmo publicador e mesmo programa, conferidas por leitura).'}</t>
  </si>
  <si>
    <t xml:space="preserve">op-d3fc6b5a139e</t>
  </si>
  <si>
    <t xml:space="preserve">Mecenas do ceará 2026 — Ceará</t>
  </si>
  <si>
    <t xml:space="preserve">MECENAS DO CEARÁ 2026</t>
  </si>
  <si>
    <t xml:space="preserve">https://mapacultural.secult.ce.gov.br/oportunidade/7688/</t>
  </si>
  <si>
    <t xml:space="preserve">2026-04-28</t>
  </si>
  <si>
    <t xml:space="preserve">{'inicio': '2026-04-28', 'fim': '2026-10-31'}</t>
  </si>
  <si>
    <t xml:space="preserve">Mecenato Estadual: autorização para projetos culturais captarem recursos via renúncia fisc</t>
  </si>
  <si>
    <t xml:space="preserve">2026-04-28 a 2026-10-31 23:59</t>
  </si>
  <si>
    <t xml:space="preserve">Resultado preliminar conforme calendário de reuniões da CEIC, divulgado no site</t>
  </si>
  <si>
    <t xml:space="preserve">5 dias úteis a contar do dia seguinte à publicação do resultado</t>
  </si>
  <si>
    <t xml:space="preserve">R$ 30.000.000,00 para projetos a serem autorizados a captar</t>
  </si>
  <si>
    <t xml:space="preserve">SECULT-CE (Secretaria da Cultura do Ceará); contribuintes de ICMS incentivadores</t>
  </si>
  <si>
    <t xml:space="preserve">Ceará: proponente deve apresentar declaração de residência</t>
  </si>
  <si>
    <t xml:space="preserve">Documentos obrigatórios: declaração de residência, plano de trabalho, currículo, portfólio</t>
  </si>
  <si>
    <t xml:space="preserve">Anexo I plano de trabalho; II recurso; III declaração de residência; IV termo de mecenato</t>
  </si>
  <si>
    <t xml:space="preserve">Projetos artísticos e culturais; captação por doação ou investimento de contribuintes de I</t>
  </si>
  <si>
    <t xml:space="preserve">op-bfe369817103</t>
  </si>
  <si>
    <t xml:space="preserve">Credenciamento de artistas locais/regionais para apresentação de shows musicais nas festividades e eventos… — … — Brasil</t>
  </si>
  <si>
    <t xml:space="preserve">CREDENCIAMENTO DE ARTISTAS LOCAIS/REGIONAIS PARA APRESENTAÇÃO DE SHOWS MUSICAIS NAS FESTIVIDADES E EVENTOS… — MUNICIPIO DE FRANCISCO SA</t>
  </si>
  <si>
    <t xml:space="preserve">MUNICIPIO DE FRANCISCO SA</t>
  </si>
  <si>
    <t xml:space="preserve">https://pncp.gov.br/app/editais/22681423000157/2026/75</t>
  </si>
  <si>
    <t xml:space="preserve">op-481a3b3bdea6</t>
  </si>
  <si>
    <t xml:space="preserve">Credenciamento de artistas nas seguintes categorias: cantor solo, banda, dj e locutor de eventos, para… — muni… — Brasil</t>
  </si>
  <si>
    <t xml:space="preserve">CREDENCIAMENTO DE ARTISTAS NAS SEGUINTES CATEGORIAS: CANTOR SOLO, BANDA, DJ E LOCUTOR DE EVENTOS, PARA… — MUNICIPIO DE SAO MIGUEL DO ANTA</t>
  </si>
  <si>
    <t xml:space="preserve">MUNICIPIO DE SAO MIGUEL DO ANTA</t>
  </si>
  <si>
    <t xml:space="preserve">https://pncp.gov.br/app/editais/18133926000110/2026/11</t>
  </si>
  <si>
    <t xml:space="preserve">op-bc7466212f2f</t>
  </si>
  <si>
    <t xml:space="preserve">Chamamento Público para Credenciamento de BANDAS, ARTISTAS MUSICAIS E DJ, não detentores de consagração… — MUN… — Brasil</t>
  </si>
  <si>
    <t xml:space="preserve">Chamamento Público para Credenciamento de BANDAS, ARTISTAS MUSICAIS E DJ, não detentores de consagração… — MUNICIPIO DE BARRA LONGA</t>
  </si>
  <si>
    <t xml:space="preserve">MUNICIPIO DE BARRA LONGA</t>
  </si>
  <si>
    <t xml:space="preserve">https://pncp.gov.br/app/editais/18316182000170/2026/72</t>
  </si>
  <si>
    <t xml:space="preserve">2025-07-29</t>
  </si>
  <si>
    <t xml:space="preserve">2026-07-28</t>
  </si>
  <si>
    <t xml:space="preserve">https://pncp.gov.br/app/editais/18316182000170/2025/52</t>
  </si>
  <si>
    <t xml:space="preserve">op-c92f3272ecb6</t>
  </si>
  <si>
    <t xml:space="preserve">Programa Funarte Aberta 2026 — Ocupação Gratuita dos Teatros Dulcina e Glauce Rocha (Rio de Janeiro) — Brasil</t>
  </si>
  <si>
    <t xml:space="preserve">Programa Funarte Aberta 2026 — Ocupação Gratuita dos Teatros Dulcina e Glauce Rocha (Rio de Janeiro)</t>
  </si>
  <si>
    <t xml:space="preserve">Fundação Nacional de Artes (Funarte)</t>
  </si>
  <si>
    <t xml:space="preserve">https://www.gov.br/funarte/pt-br/editais-1/2026/programa-funarte-aberta/programa-funarte-aberta-2026-2013-ocupacao-dos-espacos-culturais-da-funarte-centro-de-teatro</t>
  </si>
  <si>
    <t xml:space="preserve">2023, 2024, 2027</t>
  </si>
  <si>
    <t xml:space="preserve">2027-04-30</t>
  </si>
  <si>
    <t xml:space="preserve">{'inicio': '2026-03-30', 'fim': '2027-04-30'}</t>
  </si>
  <si>
    <t xml:space="preserve">Ocupação cultural do Teatro Dulcina, Teatro Glauce Rocha e Arena Eugênio Kusnet</t>
  </si>
  <si>
    <t xml:space="preserve">Fluxo contínuo de 30/03/2026 até 30/04/2027 às 17h59</t>
  </si>
  <si>
    <t xml:space="preserve">Relações mensais de propostas inscritas e convocadas publicadas na página</t>
  </si>
  <si>
    <t xml:space="preserve">Rio de Janeiro (RJ) e São Paulo (SP)</t>
  </si>
  <si>
    <t xml:space="preserve">Proponente PF maior de 18 anos, PJ privada com ou sem fins lucrativos, MEI ou EI da área d</t>
  </si>
  <si>
    <t xml:space="preserve">Regulamento e Anexo I (formulário de inscrição) na área de arquivos relacionados</t>
  </si>
  <si>
    <t xml:space="preserve">Ocupação de espaços para apresentações, exposições, ensaio, formação, gravação</t>
  </si>
  <si>
    <t xml:space="preserve">Artes (teatro, dança, música, circo, artes visuais, entre outras)</t>
  </si>
  <si>
    <t xml:space="preserve">op-48b6d473759b</t>
  </si>
  <si>
    <t xml:space="preserve">Programa Funarte Aberta 2026 — Ocupação da Sala Multiuso do Centro Técnico de Artes (Rio de Janeiro) — Brasil</t>
  </si>
  <si>
    <t xml:space="preserve">Programa Funarte Aberta 2026 — Ocupação da Sala Multiuso do Centro Técnico de Artes (Rio de Janeiro)</t>
  </si>
  <si>
    <t xml:space="preserve">https://www.gov.br/funarte/pt-br/editais-1/2026/programa-funarte-aberta/programa-funarte-aberta-2026-2013-ocupacao-dos-espacos-culturais-da-funarte-centro-tecnico-de-artes</t>
  </si>
  <si>
    <t xml:space="preserve">Ocupação cultural dos espaços do Centro Técnico de Artes</t>
  </si>
  <si>
    <t xml:space="preserve">Rio de Janeiro (RJ)</t>
  </si>
  <si>
    <t xml:space="preserve">op-f0947c875cab</t>
  </si>
  <si>
    <t xml:space="preserve">FUNDO MUNICIPAL DO BEM ESTAR SOCIAL — Credenciamento de instituições privadas, com ou sem fins lucrativos, par… — Brasil</t>
  </si>
  <si>
    <t xml:space="preserve">FUNDO MUNICIPAL DO BEM ESTAR SOCIAL — Credenciamento de instituições privadas, com ou sem fins lucrativos, para prestação complementar ao Sistema Único de Assis</t>
  </si>
  <si>
    <t xml:space="preserve">FUNDO MUNICIPAL DO BEM ESTAR SOCIAL</t>
  </si>
  <si>
    <t xml:space="preserve">https://pncp.gov.br/api/consulta/v1/orgaos/12115907000185/compras/2026/1</t>
  </si>
  <si>
    <t xml:space="preserve">https://pncp.gov.br/app/editais/12115907000185/2026/1</t>
  </si>
  <si>
    <t xml:space="preserve">2024, 2027</t>
  </si>
  <si>
    <t xml:space="preserve">2026-04-08</t>
  </si>
  <si>
    <t xml:space="preserve">2027-04-08</t>
  </si>
  <si>
    <t xml:space="preserve">{'inicio': '2026-04-08', 'fim': '2027-04-08'}</t>
  </si>
  <si>
    <t xml:space="preserve">Resultado, Prazo de recurso, Requisitos, Anexos, Destinação</t>
  </si>
  <si>
    <t xml:space="preserve">Credenciamento de instituições privadas, com ou sem fins lucrativos, para prestação comple</t>
  </si>
  <si>
    <t xml:space="preserve">Abertura de propostas 2026-04-08; encerramento 2027-04-08 (campos do PNCP)</t>
  </si>
  <si>
    <t xml:space="preserve">R$ 2.139.088,20 estimado</t>
  </si>
  <si>
    <t xml:space="preserve">Assistência social (ILPI, SUAS)</t>
  </si>
  <si>
    <t xml:space="preserve">op-cbf8f650b3e7</t>
  </si>
  <si>
    <t xml:space="preserve">Programa Funarte Aberta 2025 - Ocupação dos Espaços Culturais da Funarte MG E SP — Brasil</t>
  </si>
  <si>
    <t xml:space="preserve">Programa Funarte Aberta 2025 - Ocupação dos Espaços Culturais da Funarte MG E SP</t>
  </si>
  <si>
    <t xml:space="preserve">https://www.gov.br/funarte/pt-br/editais/2024/programa-funarte-aberta-2025-ocupacao-dos-espacos-culturais-da-funarte-mg-e-sp</t>
  </si>
  <si>
    <t xml:space="preserve">Programa Funarte Aberta 2025 - Ocupação dos Espaços Culturais da Funarte MG e SP</t>
  </si>
  <si>
    <t xml:space="preserve">2024-12-23 a 2025-12-01</t>
  </si>
  <si>
    <t xml:space="preserve">cessão de pauta gratuita (sem repasse)</t>
  </si>
  <si>
    <t xml:space="preserve">MG/SP</t>
  </si>
  <si>
    <t xml:space="preserve">op-2e4f71d24680</t>
  </si>
  <si>
    <t xml:space="preserve">Programa Funarte Aberta 2025 - Ocupação dos Espaços Culturais da Funarte no Rio de Janeiro — Rio de Janeiro / Rio de Janeiro</t>
  </si>
  <si>
    <t xml:space="preserve">Programa Funarte Aberta 2025 - Ocupação dos Espaços Culturais da Funarte no Rio de Janeiro</t>
  </si>
  <si>
    <t xml:space="preserve">Rio de Janeiro</t>
  </si>
  <si>
    <t xml:space="preserve">https://www.gov.br/funarte/pt-br/editais/2024/programa-funarte-aberta-2025-ocupacao-dos-espacos-culturais-da-funarte-no-rio-de-janeiro</t>
  </si>
  <si>
    <t xml:space="preserve">2024-12-30 a 2025-12-01</t>
  </si>
  <si>
    <t xml:space="preserve">op-86237103f0a5</t>
  </si>
  <si>
    <t xml:space="preserve">Credenciamento de bandas, grupos musicais ou cantores(as) amadores, locais e regionais. — municipio de florani… — Brasil</t>
  </si>
  <si>
    <t xml:space="preserve">CREDENCIAMENTO DE BANDAS, GRUPOS MUSICAIS OU CANTORES(AS) AMADORES, LOCAIS E REGIONAIS. — MUNICIPIO DE FLORANIA</t>
  </si>
  <si>
    <t xml:space="preserve">MUNICIPIO DE FLORANIA</t>
  </si>
  <si>
    <t xml:space="preserve">https://pncp.gov.br/app/editais/08181562000190/2025/79</t>
  </si>
  <si>
    <t xml:space="preserve">2025-10-23</t>
  </si>
  <si>
    <t xml:space="preserve">https://pncp.gov.br/app/editais/08181562000190/2025/78</t>
  </si>
  <si>
    <t xml:space="preserve">op-68094bf75304</t>
  </si>
  <si>
    <t xml:space="preserve">Fortalecendo a autonomia e resiliência dos Povos Indígenas – Apoio ao enfrentamento de incêndios florestais e … — Brasil</t>
  </si>
  <si>
    <t xml:space="preserve">Fortalecendo a autonomia e resiliência dos Povos Indígenas – Apoio ao enfrentamento de incêndios florestais e monitoramento territorial na Amazônia</t>
  </si>
  <si>
    <t xml:space="preserve">Fundo Casa Socioambiental</t>
  </si>
  <si>
    <t xml:space="preserve">AC,AM,AP,MA,MT,PA,RO,RR,TO</t>
  </si>
  <si>
    <t xml:space="preserve">['Povos e comunidades tradicionais']</t>
  </si>
  <si>
    <t xml:space="preserve">https://casa.org.br/chamadas/fortalecendo-a-autonomia-e-resiliencia-dos-povos-indigenas-apoio-ao-enfrentamento-de-incendios-florestais-e-monitoramento-territorial-na-amazonia/</t>
  </si>
  <si>
    <t xml:space="preserve">2023, 2024, 2025</t>
  </si>
  <si>
    <t xml:space="preserve">2025-05-06</t>
  </si>
  <si>
    <t xml:space="preserve">https://casa.org.br/chamadas/amazonia-viva-fortalecendo-a-autonomia-e-a-resiliencia-dos-povos-da-floresta/</t>
  </si>
  <si>
    <t xml:space="preserve">Amazônia Viva – Fortalecendo a Autonomia e a Resiliência dos Povos da Floresta</t>
  </si>
  <si>
    <t xml:space="preserve">2025-05-06 a 2025-06-24</t>
  </si>
  <si>
    <t xml:space="preserve">R$ 2.880.000,00 total; até R$ 60.000,00 por projeto (até 48)</t>
  </si>
  <si>
    <t xml:space="preserve">Fundo Casa Socioambiental (apoio: Gordon and Betty Moore Foundation)</t>
  </si>
  <si>
    <t xml:space="preserve">{'observacao': 'Edições anteriores achadas em Fundo Casa Socioambiental (arquivo de chamadas do site, API WordPress, 03/10/2026) (conferidas por leitura).'}</t>
  </si>
  <si>
    <t xml:space="preserve">op-5cb1ff8e3757</t>
  </si>
  <si>
    <t xml:space="preserve">Apoio a Grupos de Base no Enfrentamento de Emergências Climáticas Provocadas a partir dos Incêndios Florestais — Brasil</t>
  </si>
  <si>
    <t xml:space="preserve">Apoio a Grupos de Base no Enfrentamento de Emergências Climáticas Provocadas a partir dos Incêndios Florestais</t>
  </si>
  <si>
    <t xml:space="preserve">Fundo Casa Socioambiental (apoio: Wellspring Philanthropic Fund, MacKenzie Scott)</t>
  </si>
  <si>
    <t xml:space="preserve">https://casa.org.br/chamadas/apoio-a-grupos-de-base-no-enfrentamento-de-emergencias-climaticas-provocadas-a-partir-dos-incendios-florestais-3/</t>
  </si>
  <si>
    <t xml:space="preserve">2026-01-05</t>
  </si>
  <si>
    <t xml:space="preserve">https://casa.org.br/chamadas/apoio-a-acoes-comunitarias-frente-aos-incendios-florestais/</t>
  </si>
  <si>
    <t xml:space="preserve">2023-09-27 a 2023-11-05</t>
  </si>
  <si>
    <t xml:space="preserve">R$ 1.500.000,00 total; até R$ 50.000,00 por projeto (até 30)</t>
  </si>
  <si>
    <t xml:space="preserve">op-308a1ac67676</t>
  </si>
  <si>
    <t xml:space="preserve">Edital 003/2023 Áreas - Inciso II - Goiânia-GO — Goiás / Goiânia — Goiás / Goiânia</t>
  </si>
  <si>
    <t xml:space="preserve">Edital 003/2023 Áreas - Inciso II - Goiânia-GO — Goiás / Goiânia</t>
  </si>
  <si>
    <t xml:space="preserve">Secretaria Municipal de Cultura</t>
  </si>
  <si>
    <t xml:space="preserve">https://www.goiania.go.gov.br/secult/leipaulogustavo/</t>
  </si>
  <si>
    <t xml:space="preserve">seleção de projetos culturais de audiovisual para receberem apoio financeiro</t>
  </si>
  <si>
    <t xml:space="preserve">Prefeitura de Goiânia - Secretaria Municipal de Cultura</t>
  </si>
  <si>
    <t xml:space="preserve">op-8cc691baa484</t>
  </si>
  <si>
    <t xml:space="preserve">Fundação Maria Emília abre edital de até R$ 1 milhão para projetos de Saúde e Educação — Brasil</t>
  </si>
  <si>
    <t xml:space="preserve">Fundação Maria Emília abre edital de até R$ 1 milhão para projetos de Saúde e Educação</t>
  </si>
  <si>
    <t xml:space="preserve">https://observatorio3setor.org.br/fundacao-maria-emilia-abre-edital-de-ate-r-1-milhao-para-projetos-de-saude-e-educacao</t>
  </si>
  <si>
    <t xml:space="preserve">op-d32b4ceef777</t>
  </si>
  <si>
    <t xml:space="preserve">Edital chamamento público nº 001/2026 (oss) — Goiás / Goiânia</t>
  </si>
  <si>
    <t xml:space="preserve">EDITAL CHAMAMENTO PÚBLICO Nº 001/2026 (OSS)</t>
  </si>
  <si>
    <t xml:space="preserve">{'valor': 'poder_publico', 'fundamento': 'Publica Secretaria Municipal de Saúde (ente público), com recurso do orçamento público.', 'em': '2026-10-02'}</t>
  </si>
  <si>
    <t xml:space="preserve">https://saude.goiania.go.gov.br/editas-de-chamamento-publico/edital-de-chamamento-publico-no-001-2026/</t>
  </si>
  <si>
    <t xml:space="preserve">Prazo de inscrição, Resultado, Prazo de recurso, Valor, Requisitos, Destinação, Área de atuação</t>
  </si>
  <si>
    <t xml:space="preserve">credenciamento de pessoas jurídicas interessadas em participar, de forma complementar, do Sistema Único de Saúde do Município de Goiânia para prestação dos serviços ambul</t>
  </si>
  <si>
    <t xml:space="preserve">op-bb2f3a090851</t>
  </si>
  <si>
    <t xml:space="preserve">Edital chamamento público nº 003/2025 — Goiás / Goiânia</t>
  </si>
  <si>
    <t xml:space="preserve">EDITAL CHAMAMENTO PÚBLICO Nº 003/2025</t>
  </si>
  <si>
    <t xml:space="preserve">https://saude.goiania.go.gov.br/editas-de-chamamento-publico/edital-de-chamamento-publico-no-003-2025/</t>
  </si>
  <si>
    <t xml:space="preserve">Prazo de inscrição, Resultado, Prazo de recurso, Valor, Destinação, Área de atuação</t>
  </si>
  <si>
    <t xml:space="preserve">Credenciamento de Prestadores de Serviços Médicos e de natureza comum, pessoa física, inte</t>
  </si>
  <si>
    <t xml:space="preserve">Documentos para inscrição</t>
  </si>
  <si>
    <t xml:space="preserve">op-ea820a4ce757</t>
  </si>
  <si>
    <t xml:space="preserve">Editais de Chamamento — Goiás / Goiânia</t>
  </si>
  <si>
    <t xml:space="preserve">Editais de Chamamento</t>
  </si>
  <si>
    <t xml:space="preserve">https://saude.goiania.go.gov.br/editas-de-chamamento-publico</t>
  </si>
  <si>
    <t xml:space="preserve">credenciamento de profissionais ESPECIALISTAS, TÉCNICOS E AUXILIARES EM SAÚDE</t>
  </si>
  <si>
    <t xml:space="preserve">Secretaria Municipal de Saúde de Goiânia</t>
  </si>
  <si>
    <t xml:space="preserve">documentação descrita no ANEXO III</t>
  </si>
  <si>
    <t xml:space="preserve">op-5e28540d3e9d</t>
  </si>
  <si>
    <t xml:space="preserve">Perform Europe abre terceira convocatória para digressões transfronteiriças (artes performativas) — Internacional</t>
  </si>
  <si>
    <t xml:space="preserve">Perform Europe abre terceira convocatória para digressões transfronteiriças (artes performativas)</t>
  </si>
  <si>
    <t xml:space="preserve">{'valor': 'mista', 'fundamento': 'Recurso da União Europeia (Europa Criativa) operado pelo consórcio Perform Europe.', 'em': '2026-10-02'}</t>
  </si>
  <si>
    <t xml:space="preserve">https://performeurope.eu/open-call/</t>
  </si>
  <si>
    <t xml:space="preserve">2026-06-23</t>
  </si>
  <si>
    <t xml:space="preserve">https://performeurope.eu/open-call-and-guidelines_pe3/</t>
  </si>
  <si>
    <t xml:space="preserve">{'inicio': '2026-06-23', 'fim': '2026-10-22'}</t>
  </si>
  <si>
    <t xml:space="preserve">Subsídios a parcerias de circulação transfronteiriça de artes performativas já existentes (teatro, dança, circo, artes ao ar livre, marionetes, performance; música ao vivo e ópera excluídas)</t>
  </si>
  <si>
    <t xml:space="preserve">Lançada em 23/06/2026; inscrições até 22/10/2026, 23h59 CEST</t>
  </si>
  <si>
    <t xml:space="preserve">Anúncio das parcerias selecionadas em janeiro de 2027</t>
  </si>
  <si>
    <t xml:space="preserve">Pacote de EUR 1,4 milhão; subsídios de 15.000, 25.000 ou 55.000 € (pequeno, médio, grande porte) mais financiamento complementar opcional</t>
  </si>
  <si>
    <t xml:space="preserve">Perform Europe, cofinanciado pela União Europeia (Europa Criativa) e implementado por consórcio de seis organizações</t>
  </si>
  <si>
    <t xml:space="preserve">Parcerias de pelo menos três entidades de três países do Europa Criativa; circulação em pelo menos três países</t>
  </si>
  <si>
    <t xml:space="preserve">Internacional (UE)</t>
  </si>
  <si>
    <t xml:space="preserve">Profissionais e organizações de artes performativas legalmente sediados em um dos 41 países do Europa Criativa; parceria de no mínimo três entidades de três países; obra já concluída; execução de 01/03/2027 a 31/01/2028</t>
  </si>
  <si>
    <t xml:space="preserve">Formulário digital (PDF), modelo de orçamento, modelo de acordo de cooperação, carta de compromisso de cofinanciamento, FAQ, lista de países elegíveis</t>
  </si>
  <si>
    <t xml:space="preserve">Turnês e apresentações transfronteiriças (transporte, comunicação, equipe, equipamento) e colaboração entre regiões</t>
  </si>
  <si>
    <t xml:space="preserve">Artes performativas / circulação cultural</t>
  </si>
  <si>
    <t xml:space="preserve">{'observacao': 'Página oficial cita duas edições anteriores (2020-2022 e 2023-2026) sem datas de inscrição — não registradas. Elegibilidade: organizações legalmente sediadas nos 41 países do Europa Criativa; Brasil NÃO é elegível.'}</t>
  </si>
  <si>
    <t xml:space="preserve">op-e1bc65ffdc1b</t>
  </si>
  <si>
    <t xml:space="preserve">A prefeitura municipal de novo gama - go torna público que realizará chamamento público, por credenciamento, p… — Goiás / Novo Gama</t>
  </si>
  <si>
    <t xml:space="preserve">A PREFEITURA MUNICIPAL DE NOVO GAMA - GO TORNA PÚBLICO QUE REALIZARÁ CHAMAMENTO PÚBLICO, POR CREDENCIAMENTO, PARA SELECIONAR EMPRESA DO RAMO DA CONSTRUÇÃO CIVIL</t>
  </si>
  <si>
    <t xml:space="preserve">PNCP — MUNICIPIO DE NOVO GAMA</t>
  </si>
  <si>
    <t xml:space="preserve">Novo Gama</t>
  </si>
  <si>
    <t xml:space="preserve">https://pncp.gov.br/app/editais/01629276000104/2024/3</t>
  </si>
  <si>
    <t xml:space="preserve">op-ada923db5a1c</t>
  </si>
  <si>
    <t xml:space="preserve">Abertura de processo licitatorio para chamamento público referente aquisição de gêneros alimentícios da agricu… — Goiás</t>
  </si>
  <si>
    <t xml:space="preserve">ABERTURA DE PROCESSO LICITATORIO PARA  CHAMAMENTO PÚBLICO REFERENTE AQUISIÇÃO DE GÊNEROS ALIMENTÍCIOS DA AGRICULTURA FAMILIAR PARA ALIMENTAÇÃO ESCOLAR/PNAE, FME</t>
  </si>
  <si>
    <t xml:space="preserve">PNCP — FUNDO MUNICIPAL DE SAUDE DE SAO PATRICIO</t>
  </si>
  <si>
    <t xml:space="preserve">https://pncp.gov.br/app/editais/12260233000102/2024/23</t>
  </si>
  <si>
    <t xml:space="preserve">op-519ca57560c0</t>
  </si>
  <si>
    <t xml:space="preserve">Chamamento público publicado no Diário Oficial em 25/09/2026 — Goiás / Goiânia — Goiás / Goiânia</t>
  </si>
  <si>
    <t xml:space="preserve">{'valor': 'poder_publico', 'fundamento': 'Publica a AGCMG (autarquia municipal), recurso municipal para compra de uniformes.', 'em': '2026-10-02'}</t>
  </si>
  <si>
    <t xml:space="preserve">https://www.goiania.go.gov.br/Download/legislacao/diariooficial/2026/do_20260807_000008837.pdf</t>
  </si>
  <si>
    <t xml:space="preserve">Termo de Colaboração com OSC para o projeto Natal no Parque - A Magia de Brincar (Parque M</t>
  </si>
  <si>
    <t xml:space="preserve">25/09/2026 a 26/10/2026, até 23h59, protocolo único por e-mail</t>
  </si>
  <si>
    <t xml:space="preserve">Resultado definitivo em 06/11/2026 (abertura dos arquivos 27/10/2026)</t>
  </si>
  <si>
    <t xml:space="preserve">29/10 a 05/11/2026 (5 dias úteis)</t>
  </si>
  <si>
    <t xml:space="preserve">R$ 4.638.055,74</t>
  </si>
  <si>
    <t xml:space="preserve">OSC da Lei 13.019/2014 art. 2º, I, a/b/c, com objetivos estatutários compatíveis e sem ved</t>
  </si>
  <si>
    <t xml:space="preserve">Recurso municipal para planejamento, produção, cenografia, infraestrutura e animação do ev</t>
  </si>
  <si>
    <t xml:space="preserve">Cultura, lazer e entretenimento familiar</t>
  </si>
  <si>
    <t xml:space="preserve">op-c4f3be1eb5b6</t>
  </si>
  <si>
    <t xml:space="preserve">Continue lendo Instituto Lojas Renner abre edital para fortalecer organizações sociais em três estados — Brasil</t>
  </si>
  <si>
    <t xml:space="preserve">Continue lendo Instituto Lojas Renner abre edital para fortalecer organizações sociais em três estados</t>
  </si>
  <si>
    <t xml:space="preserve">https://captadores.org.br/editais/instituto-lojas-renner-abre-edital-para-fortalecer-organizacoes-sociais-em-tres-estados</t>
  </si>
  <si>
    <t xml:space="preserve">op-8c134398d15b</t>
  </si>
  <si>
    <t xml:space="preserve">Continue lendo Edital de apoio a organizações sociais da Região Metropolitana de São Paulo está com inscrições… — Brasil</t>
  </si>
  <si>
    <t xml:space="preserve">Continue lendo Edital de apoio a organizações sociais da Região Metropolitana de São Paulo está com inscrições abertas</t>
  </si>
  <si>
    <t xml:space="preserve">https://captadores.org.br/editais/edital-de-apoio-a-organizacoes-sociais-da-regiao-metropolitana-de-sao-paulo-esta-com-inscricoes-abertas</t>
  </si>
  <si>
    <t xml:space="preserve">op-3e4ed1519d88</t>
  </si>
  <si>
    <t xml:space="preserve">Continue lendo Banrisul abre edital para premiar 50 organizações do Rio Grande do Sul — Brasil</t>
  </si>
  <si>
    <t xml:space="preserve">Continue lendo Banrisul abre edital para premiar 50 organizações do Rio Grande do Sul</t>
  </si>
  <si>
    <t xml:space="preserve">https://captadores.org.br/editais/banrisul-abre-edital-para-premiar-50-organizacoes-do-rio-grande-do-sul</t>
  </si>
  <si>
    <t xml:space="preserve">op-7dd5fc241767</t>
  </si>
  <si>
    <t xml:space="preserve">Chamamento Público Nº 005/2026 para Seleção de Projetos para firmar Termo de execução Cultural com Recursos… —… — Santa Catarina</t>
  </si>
  <si>
    <t xml:space="preserve">Chamamento Público Nº 005/2026 para Seleção de Projetos para firmar Termo de execução Cultural com Recursos… — FUNDO MUNICIPAL DE EDUCACAO DE ALVORADA DO NORTE</t>
  </si>
  <si>
    <t xml:space="preserve">Fundo Municipal de Educação de Alvora do Norte</t>
  </si>
  <si>
    <t xml:space="preserve">{'valor': 'poder_publico', 'fundamento': 'Fundo municipal de Alvorada do Norte/GO publica; recurso federal da PNAB repassado ao município.', 'em': '2026-10-02'}</t>
  </si>
  <si>
    <t xml:space="preserve">https://pncp.gov.br/app/editais/95990255000155/2024/60</t>
  </si>
  <si>
    <t xml:space="preserve">seleção de projetos culturais para execução de oficinas de música, mediante celebração de Termo de Execução Cultural (TEC), com recursos da Política Nacional Aldir Blanc</t>
  </si>
  <si>
    <t xml:space="preserve">op-047d2afbc2f2</t>
  </si>
  <si>
    <t xml:space="preserve">Goiás Social — programas e editais para entidades</t>
  </si>
  <si>
    <t xml:space="preserve">op-64ec7a7c26cd</t>
  </si>
  <si>
    <t xml:space="preserve">MUNICIPIO DE SAO JOSE DOS PINHAIS — credenciar empresas instituições e/ou entidades socioassistenciais, regula… — Brasil</t>
  </si>
  <si>
    <t xml:space="preserve">MUNICIPIO DE SAO JOSE DOS PINHAIS — credenciar empresas instituições e/ou entidades socioassistenciais, regularmente constituídas, que tenham interesse em prest</t>
  </si>
  <si>
    <t xml:space="preserve">MUNICIPIO DE SAO JOSE DOS PINHAIS</t>
  </si>
  <si>
    <t xml:space="preserve">https://pncp.gov.br/app/editais/76105543000135/2024/62</t>
  </si>
  <si>
    <t xml:space="preserve">2029</t>
  </si>
  <si>
    <t xml:space="preserve">2029-07-31</t>
  </si>
  <si>
    <t xml:space="preserve">{'inicio': None, 'fim': '2029-07-31'}</t>
  </si>
  <si>
    <t xml:space="preserve">op-13febe4fd16a</t>
  </si>
  <si>
    <t xml:space="preserve">MUNICIPIO DE ENTRE RIOS DO OESTE — Credenciamento acima indicado, tendo por objeto a credenciamento de coopera… — Paraná</t>
  </si>
  <si>
    <t xml:space="preserve">MUNICIPIO DE ENTRE RIOS DO OESTE — Credenciamento acima indicado, tendo por objeto a credenciamento de cooperativas de crédito, agências Bancarias e agências de</t>
  </si>
  <si>
    <t xml:space="preserve">MUNICIPIO DE ENTRE RIOS DO OESTE</t>
  </si>
  <si>
    <t xml:space="preserve">https://pncp.gov.br/app/editais/95719449000110/2025/94</t>
  </si>
  <si>
    <t xml:space="preserve">2026, 2035</t>
  </si>
  <si>
    <t xml:space="preserve">2050-12-30</t>
  </si>
  <si>
    <t xml:space="preserve">https://pncp.gov.br/app/editais/95719449000110/2024/85</t>
  </si>
  <si>
    <t xml:space="preserve">{'inicio': None, 'fim': '2050-12-30'}</t>
  </si>
  <si>
    <t xml:space="preserve">op-9c6a3a9e8029</t>
  </si>
  <si>
    <t xml:space="preserve">MUNICIPIO DE CRICIUMA — CREDENCIAMENTO de Organizações da Sociedade Civil de Interesse Público (OSCIP), Socied… — Santa Catarina</t>
  </si>
  <si>
    <t xml:space="preserve">MUNICIPIO DE CRICIUMA — CREDENCIAMENTO de Organizações da Sociedade Civil de Interesse Público (OSCIP), Sociedade de Crédito ao Microempreendedor e à Empresa de</t>
  </si>
  <si>
    <t xml:space="preserve">MUNICIPIO DE CRICIUMA</t>
  </si>
  <si>
    <t xml:space="preserve">https://pncp.gov.br/app/editais/82916818000113/2025/179</t>
  </si>
  <si>
    <t xml:space="preserve">2027-06-25</t>
  </si>
  <si>
    <t xml:space="preserve">https://pncp.gov.br/app/editais/82916818000113/2025/101</t>
  </si>
  <si>
    <t xml:space="preserve">{'inicio': None, 'fim': '2027-06-25'}</t>
  </si>
  <si>
    <t xml:space="preserve">op-fd9cce2ef7a1</t>
  </si>
  <si>
    <t xml:space="preserve">FUNDO MUNICIPAL DE ASSISTENCIA SOCIAL DE JOACABA — Credenciamento de organizações da sociedade civil para a pr… — Santa Catarina</t>
  </si>
  <si>
    <t xml:space="preserve">FUNDO MUNICIPAL DE ASSISTENCIA SOCIAL DE JOACABA — Credenciamento de organizações da sociedade civil para a prestação de serviços de acolhimento institucional d</t>
  </si>
  <si>
    <t xml:space="preserve">FUNDO MUNICIPAL DE ASSISTENCIA SOCIAL DE JOACABA</t>
  </si>
  <si>
    <t xml:space="preserve">https://pncp.gov.br/app/editais/02247113000111/2025/24</t>
  </si>
  <si>
    <t xml:space="preserve">2027-11-05</t>
  </si>
  <si>
    <t xml:space="preserve">https://pncp.gov.br/app/editais/02247113000111/2025/23</t>
  </si>
  <si>
    <t xml:space="preserve">{'inicio': None, 'fim': '2027-11-05'}</t>
  </si>
  <si>
    <t xml:space="preserve">op-91c2f4f3673b</t>
  </si>
  <si>
    <t xml:space="preserve">MUNICIPIO DE SERRO — CREDENCIAMENTO de Agricultores Familiares, Feirantes e Cooperativa da Agricultura Familia… — Internacional</t>
  </si>
  <si>
    <t xml:space="preserve">MUNICIPIO DE SERRO — CREDENCIAMENTO de Agricultores Familiares, Feirantes e Cooperativa da Agricultura Familiar do Serro, que possuem CAF (Cadastro Nacional da </t>
  </si>
  <si>
    <t xml:space="preserve">MUNICIPIO DE SERRO</t>
  </si>
  <si>
    <t xml:space="preserve">https://pncp.gov.br/app/editais/18303271000181/2025/224</t>
  </si>
  <si>
    <t xml:space="preserve">2026, 2030</t>
  </si>
  <si>
    <t xml:space="preserve">2030-10-15</t>
  </si>
  <si>
    <t xml:space="preserve">{'inicio': None, 'fim': '2030-10-15'}</t>
  </si>
  <si>
    <t xml:space="preserve">{'observacao': "CLASSIFICAÇÃO SUSPEITA: este livro está como INT/'Grant internacional', mas é credenciamento de município/estado brasileiro no PNCP (não é internacional). Corrigir a geografia do livro (BR/UF/município) e coletar o histórico no lote correto (Goiás/Brasil), não aqui."}</t>
  </si>
  <si>
    <t xml:space="preserve">op-0cf2e2e7b597</t>
  </si>
  <si>
    <t xml:space="preserve">FUNDACAO ESTATAL DE ATENCAO EM SAUDE DO ESTADO DO PARANA - FUNEAS-PARANA — Contratação de entidade qualificada… — Brasil</t>
  </si>
  <si>
    <t xml:space="preserve">FUNDACAO ESTATAL DE ATENCAO EM SAUDE DO ESTADO DO PARANA - FUNEAS-PARANA — Contratação de entidade qualificada em formação técnico-profissional metódica, devida</t>
  </si>
  <si>
    <t xml:space="preserve">FUNDACAO ESTATAL DE ATENCAO EM SAUDE DO ESTADO DO PARANA - FUNEAS-PARANA</t>
  </si>
  <si>
    <t xml:space="preserve">https://pncp.gov.br/app/editais/24039073000155/2026/1175</t>
  </si>
  <si>
    <t xml:space="preserve">op-d5b1fa2344ac</t>
  </si>
  <si>
    <t xml:space="preserve">MUNICIPIO DE PAROBE — Formalização de parceria estabelecida pela Administração Pública com Organização da Soci… — Brasil</t>
  </si>
  <si>
    <t xml:space="preserve">MUNICIPIO DE PAROBE — Formalização de parceria estabelecida pela Administração Pública com Organização da Sociedade Civil - OSC para a consecução de projetos de</t>
  </si>
  <si>
    <t xml:space="preserve">MUNICIPIO DE PAROBE</t>
  </si>
  <si>
    <t xml:space="preserve">https://pncp.gov.br/app/editais/88372883000101/2026/271</t>
  </si>
  <si>
    <t xml:space="preserve">op-118285c06323</t>
  </si>
  <si>
    <t xml:space="preserve">Fundação de Amparo à Pesquisa do Estado de Goiás (FAPEG) — CHAMADA PÚBLICA FAPEG Nº 16/2025 – Apoio a Projetos… — Goiás</t>
  </si>
  <si>
    <t xml:space="preserve">Fundação de Amparo à Pesquisa do Estado de Goiás (FAPEG) — CHAMADA PÚBLICA FAPEG Nº 16/2025 – Apoio a Projetos de Pesquisa e Inovação em Saúde Digital</t>
  </si>
  <si>
    <t xml:space="preserve">https://goias.gov.br/fapeg/chamada-publica-fapeg-no-16-2025-apoio-a-projetos-de-pesquisa-e-inovacao-em-saude-digital/</t>
  </si>
  <si>
    <t xml:space="preserve">apoio a projetos de pesquisa e inovação em saúde digital</t>
  </si>
  <si>
    <t xml:space="preserve">2025-06-20</t>
  </si>
  <si>
    <t xml:space="preserve">R$1.000.000,00</t>
  </si>
  <si>
    <t xml:space="preserve">Fundação de Amparo à Pesquisa do Estado de Goiás</t>
  </si>
  <si>
    <t xml:space="preserve">documentação para a contratação, submissão das propostas na Plataforma Sparkx- FAPEG</t>
  </si>
  <si>
    <t xml:space="preserve">op-eb371ce0739c</t>
  </si>
  <si>
    <t xml:space="preserve">Fundação de Amparo à Pesquisa do Estado de Goiás (FAPEG) — CHAMADA PÚBLICA Nº 24/2024 – Programa de Auxílio à … — Goiás</t>
  </si>
  <si>
    <t xml:space="preserve">Fundação de Amparo à Pesquisa do Estado de Goiás (FAPEG) — CHAMADA PÚBLICA Nº 24/2024 – Programa de Auxílio à Pesquisa – Projetos de pesquisa em Cannabis Medicinal</t>
  </si>
  <si>
    <t xml:space="preserve">https://goias.gov.br/fapeg/chamada-publica-no-24-2024-programa-de-auxilio-a-pesquisa-projetos-de-pesquisa-em-canabis-medicinal/</t>
  </si>
  <si>
    <t xml:space="preserve">Apoio a projetos de pesquisa em cannabis medicinal</t>
  </si>
  <si>
    <t xml:space="preserve">2025-01-01</t>
  </si>
  <si>
    <t xml:space="preserve">R$ 43.890,00</t>
  </si>
  <si>
    <t xml:space="preserve">op-484819c58208</t>
  </si>
  <si>
    <t xml:space="preserve">Fundação de Amparo à Pesquisa do Estado de Goiás (FAPEG) — Chamada Pública nº12/2025 – Apoio a Projetos de Ext… — Goiás</t>
  </si>
  <si>
    <t xml:space="preserve">Fundação de Amparo à Pesquisa do Estado de Goiás (FAPEG) — Chamada Pública nº12/2025 – Apoio a Projetos de Extensão de Instituições de Ensino Superior do Estado de Goiás</t>
  </si>
  <si>
    <t xml:space="preserve">['Pesquisadores e instituições de ensino']</t>
  </si>
  <si>
    <t xml:space="preserve">https://goias.gov.br/fapeg/chamada-publica-no12-2025-apoio-a-projetos-de-extensao-de-instituicoes-de-ensino-superior-do-estado-de-goias/</t>
  </si>
  <si>
    <t xml:space="preserve">Apoio a Projetos de Extensão de Instituições de Ensino Superior do Estado de Goiás</t>
  </si>
  <si>
    <t xml:space="preserve">R$ 100.000,00</t>
  </si>
  <si>
    <t xml:space="preserve">op-d9564733a007</t>
  </si>
  <si>
    <t xml:space="preserve">Fundação de Amparo à Pesquisa do Estado de Goiás (FAPEG) — Edital da Fapeg fomenta novas pesquisas sobre os be… — Goiás</t>
  </si>
  <si>
    <t xml:space="preserve">Fundação de Amparo à Pesquisa do Estado de Goiás (FAPEG) — Edital da Fapeg fomenta novas pesquisas sobre os benefícios terapêuticos da Cannabis</t>
  </si>
  <si>
    <t xml:space="preserve">{'valor': 'poder_publico', 'fundamento': 'Publicada pela FAPEG (fundação pública estadual), com recurso do Tesouro estadual de fomento à pesquisa.', 'em': '2026-10-02'}</t>
  </si>
  <si>
    <t xml:space="preserve">https://goias.gov.br/fapeg/</t>
  </si>
  <si>
    <t xml:space="preserve">https://goias.gov.br/fapeg/edital-da-fapeg-fomenta-novas-pesquisas-sobre-os-beneficios-terapeuticos-da-cannabis/</t>
  </si>
  <si>
    <t xml:space="preserve">op-041f4fa4224e</t>
  </si>
  <si>
    <t xml:space="preserve">Fundação de Amparo à Pesquisa do Estado de Goiás (FAPEG) — Prorrogado prazo para chamada pública de seleção de… — Goiás</t>
  </si>
  <si>
    <t xml:space="preserve">Fundação de Amparo à Pesquisa do Estado de Goiás (FAPEG) — Prorrogado prazo para chamada pública de seleção de projetos de pesquisa em áreas de graduação em licenciaturas</t>
  </si>
  <si>
    <t xml:space="preserve">{'valor': 'poder_publico', 'fundamento': 'Publica a FAPEG (fundação pública estadual), recurso estadual.', 'em': '2026-10-02'}</t>
  </si>
  <si>
    <t xml:space="preserve">https://goias.gov.br/fapeg/chamda-publica-no-31-2024-edital-de-selecao-de-bolsistas-para-projetos-de-desenvolvimento-tecnologico-e-industrial/</t>
  </si>
  <si>
    <t xml:space="preserve">seleção de bolsistas para projetos de desenvolvimento tecnológico e industrial</t>
  </si>
  <si>
    <t xml:space="preserve">até R$1.560.000,00</t>
  </si>
  <si>
    <t xml:space="preserve">Fundação de Amparo à Pesquisa do Estado de Goiás – FAPEG</t>
  </si>
  <si>
    <t xml:space="preserve">Graduação concluída em área de formação conforme projeto, Apresentar experiência comprovad</t>
  </si>
  <si>
    <t xml:space="preserve">op-d377780037cf</t>
  </si>
  <si>
    <t xml:space="preserve">Fundação de Amparo à Pesquisa do Estado de Goiás (FAPEG) — Fapeg lança chamada para apoio financeiro a periódi… — Goiás</t>
  </si>
  <si>
    <t xml:space="preserve">Fundação de Amparo à Pesquisa do Estado de Goiás (FAPEG) — Fapeg lança chamada para apoio financeiro a periódicos científicos</t>
  </si>
  <si>
    <t xml:space="preserve">https://goias.gov.br/fapeg/chamada-publica-no-10-2023-programa-de-apoio-a-periodicos-cientificos-de-instituicoes-de-ensino-superior-do-estado-de-goias/</t>
  </si>
  <si>
    <t xml:space="preserve">Reitorias ou órgãos equivalentes das Instituições de Ensino Superior (IES), públicas e pri</t>
  </si>
  <si>
    <t xml:space="preserve">op-0cd7b6ef62a7</t>
  </si>
  <si>
    <t xml:space="preserve">Fundação de Amparo à Pesquisa do Estado de Goiás (FAPEG) — Governo de Goiás está com inscrições abertas para f… — Goiás</t>
  </si>
  <si>
    <t xml:space="preserve">Fundação de Amparo à Pesquisa do Estado de Goiás (FAPEG) — Governo de Goiás está com inscrições abertas para financiar projetos de enfrentamento à violência contra mulheres</t>
  </si>
  <si>
    <t xml:space="preserve">{'valor': 'poder_publico', 'fundamento': 'Publica a FAPEG (fundação pública estadual) com recurso do Estado de Goiás.', 'em': '2026-10-02'}</t>
  </si>
  <si>
    <t xml:space="preserve">https://goias.gov.br/fapeg/chamada-publica-no-13-2026-edital-de-apoio-a-pesquisa-e-inovacao-em-educacao-especial-inclusiva/</t>
  </si>
  <si>
    <t xml:space="preserve">2026-03-09</t>
  </si>
  <si>
    <t xml:space="preserve">https://goias.gov.br/fapeg/governo-de-goias-esta-com-inscricoes-abertas-para-financiar-projetos-de-enfrentamento-a-violencia-contra-mulheres/</t>
  </si>
  <si>
    <t xml:space="preserve">apoio à pesquisa e inovação em educação especial inclusiva</t>
  </si>
  <si>
    <t xml:space="preserve">op-5513f1928192</t>
  </si>
  <si>
    <t xml:space="preserve">Fundação de Amparo à Pesquisa do Estado de Goiás (FAPEG) — Lançada Chamada Pública para apoiar projetos de pes… — Goiás</t>
  </si>
  <si>
    <t xml:space="preserve">Fundação de Amparo à Pesquisa do Estado de Goiás (FAPEG) — Lançada Chamada Pública para apoiar projetos de pesquisa e inovação tecnológica entre o Brasil e a Espanha</t>
  </si>
  <si>
    <t xml:space="preserve">{'valor': 'poder_publico', 'fundamento': 'Publicada pela FAPEG (fundação pública estadual) com recurso público estadual.', 'em': '2026-10-02'}</t>
  </si>
  <si>
    <t xml:space="preserve">https://goias.gov.br/fapeg/chamada-publica-fapeg-no-33-2025-apoio-a-projetos-para-o-enfrentamento-da-violencia-contra-mulheres-e-meninas/</t>
  </si>
  <si>
    <t xml:space="preserve">apoiar financeiramente propostas que, para além de diagnósticos, promovam implementação de</t>
  </si>
  <si>
    <t xml:space="preserve">apresentação exclusiva via Plataforma Sparkx-FAPEG, informar contato telefônico válido ao</t>
  </si>
  <si>
    <t xml:space="preserve">op-b7fa89c45add</t>
  </si>
  <si>
    <t xml:space="preserve">Goiás Social — Conselho Estadual dos Direitos da Criança e do Adolescente abre Edital de convocação para repre… — Goiás</t>
  </si>
  <si>
    <t xml:space="preserve">Goiás Social — Conselho Estadual dos Direitos da Criança e do Adolescente abre Edital de convocação para representantes da sociedade civil</t>
  </si>
  <si>
    <t xml:space="preserve">{'valor': 'poder_publico', 'fundamento': 'Conselho estadual vinculado à SEDS/GO; não há repasse de recurso, só representação.', 'em': '2026-10-02'}</t>
  </si>
  <si>
    <t xml:space="preserve">Reconhecimento e fortalecimento da representação da sociedade civil na promoção dos direit</t>
  </si>
  <si>
    <t xml:space="preserve">Representantes da sociedade civil</t>
  </si>
  <si>
    <t xml:space="preserve">elegível · outro</t>
  </si>
  <si>
    <t xml:space="preserve">op-6545c843a8c7</t>
  </si>
  <si>
    <t xml:space="preserve">Goiás Social — Edital de seleção para representantes de entidades da sociedade civil para integrar o Conselho … — Goiás</t>
  </si>
  <si>
    <t xml:space="preserve">Goiás Social — Edital de seleção para representantes de entidades da sociedade civil para integrar o Conselho Estadual de Direitos Humanos, Igualdade Racial e Combate ao Preconceito (CEDHIRCOP)</t>
  </si>
  <si>
    <t xml:space="preserve">op-733a80818856</t>
  </si>
  <si>
    <t xml:space="preserve">Goiás Social — Goiás Social abre edital no valor de R$ 10 milhões para atender entidades filantrópicas — Goiás</t>
  </si>
  <si>
    <t xml:space="preserve">Goiás Social — Goiás Social abre edital no valor de R$ 10 milhões para atender entidades filantrópicas</t>
  </si>
  <si>
    <t xml:space="preserve">{'valor': 'poder_publico', 'fundamento': 'Publica a SEDS/GO; recurso do orçamento estadual (programas Goiás Social).', 'em': '2026-10-02'}</t>
  </si>
  <si>
    <t xml:space="preserve">op-dbbd50fe9427</t>
  </si>
  <si>
    <t xml:space="preserve">Goiás Social — Goiás lança edital do Programa de Proteção a Crianças e Adolescentes Ameaçados de Morte para or… — Goiás</t>
  </si>
  <si>
    <t xml:space="preserve">Goiás Social — Goiás lança edital do Programa de Proteção a Crianças e Adolescentes Ameaçados de Morte para organizações da sociedade civil</t>
  </si>
  <si>
    <t xml:space="preserve">{'valor': 'poder_publico', 'fundamento': 'Publica a SEDS/GO; programa instituído pelo Decreto federal 6.231/2007, executado com recurso público.', 'em': '2026-10-02'}</t>
  </si>
  <si>
    <t xml:space="preserve">https://goias.gov.br/social/edital-de-chamamento-cpa-2023-2024/</t>
  </si>
  <si>
    <t xml:space="preserve">Secretaria de Estado de Desenvolvimento Social (SEDS) — fundos e conselhos (FIA/CEDCA, Idoso, FEAS/CEAS, FUNJUVE) — Edital de Chamamento – CPA 2023/2024</t>
  </si>
  <si>
    <t xml:space="preserve">op-bb7ab807f702</t>
  </si>
  <si>
    <t xml:space="preserve">Goiás Social — Governo de Goiás confere documentação de 125 entidades para ingresso nos programas Auxílio Nutr… — Goiás</t>
  </si>
  <si>
    <t xml:space="preserve">Goiás Social — Governo de Goiás confere documentação de 125 entidades para ingresso nos programas Auxílio Nutricional, Água e Energia</t>
  </si>
  <si>
    <t xml:space="preserve">https://goias.gov.br/social/governo-de-goias-confere-documentacao-de-125-entidades-para-ingresso-nos-programas-auxilio-nutricional-agua-e-energia/</t>
  </si>
  <si>
    <t xml:space="preserve">documentação de 125 entidades para ingresso nos programas Auxílio Nutricional, Água e Ener</t>
  </si>
  <si>
    <t xml:space="preserve">Governo de Goiás</t>
  </si>
  <si>
    <t xml:space="preserve">op-5ddfdaa4d0c5</t>
  </si>
  <si>
    <t xml:space="preserve">Goiás Turismo — Governo de Goiás lança edital de R$ 2 milhões para apoio a eventos turísticos — Goiás</t>
  </si>
  <si>
    <t xml:space="preserve">Goiás Turismo — Governo de Goiás lança edital de R$ 2 milhões para apoio a eventos turísticos</t>
  </si>
  <si>
    <t xml:space="preserve">Goiás Turismo</t>
  </si>
  <si>
    <t xml:space="preserve">{'valor': 'poder_publico', 'fundamento': 'Publica a Goiás Turismo (Governo de Goiás); recurso do tesouro estadual.', 'em': '2026-10-02'}</t>
  </si>
  <si>
    <t xml:space="preserve">https://goias.gov.br/cultura/governo-de-goias-lanca-edital-de-r-2-milhoes-do-fundo-de-arte-e-cultura-para-fomento-de-espacos-culturais/</t>
  </si>
  <si>
    <t xml:space="preserve">seleção de propostas que visem a programação on-line de Espaços de Cultura das diversas li</t>
  </si>
  <si>
    <t xml:space="preserve">2025-03-14</t>
  </si>
  <si>
    <t xml:space="preserve">2021-04-30</t>
  </si>
  <si>
    <t xml:space="preserve">R$ 2 milhões</t>
  </si>
  <si>
    <t xml:space="preserve">Secretaria de Estado de Cultura - SECULT/GO</t>
  </si>
  <si>
    <t xml:space="preserve">propostas que visem a programação on-line de Espaços de Cultura das diversas linguagens, p</t>
  </si>
  <si>
    <t xml:space="preserve">op-046cdeaf9a1d</t>
  </si>
  <si>
    <t xml:space="preserve">Municipio de ibate — abertura de edital para seleção de projetos culturais de acordo com a política nacional a… — São Paulo</t>
  </si>
  <si>
    <t xml:space="preserve">MUNICIPIO DE IBATE — ABERTURA DE EDITAL PARA SELEÇÃO DE PROJETOS CULTURAIS DE ACORDO COM A POLÍTICA NACIONAL ALDIR BLANC.</t>
  </si>
  <si>
    <t xml:space="preserve">MUNICIPIO DE IBATE</t>
  </si>
  <si>
    <t xml:space="preserve">{'valor': 'poder_publico', 'fundamento': 'Município de Ibaté publica; recurso federal da PNAB.', 'em': '2026-10-02'}</t>
  </si>
  <si>
    <t xml:space="preserve">https://pncp.gov.br/app/editais/45355575000165/2026/125</t>
  </si>
  <si>
    <t xml:space="preserve">2026-10-17</t>
  </si>
  <si>
    <t xml:space="preserve">{'inicio': '2026-09-28', 'fim': '2026-10-17'}</t>
  </si>
  <si>
    <t xml:space="preserve">ABERTURA DE EDITAL PARA SELEÇÃO DE PROJETOS CULTURAIS DE ACORDO COM A POLÍTICA NACIONAL ALDIR BLANC.</t>
  </si>
  <si>
    <t xml:space="preserve">Resultados preliminar e final no Diário Oficial e no site da Prefeitura (sem data no trech</t>
  </si>
  <si>
    <t xml:space="preserve">3 dias úteis após o resultado provisório, por e-mail pnabibate@gmail.com</t>
  </si>
  <si>
    <t xml:space="preserve">R$ 100.000,00 no total (valores por categoria no Anexo I)</t>
  </si>
  <si>
    <t xml:space="preserve">Agente cultural PF, MEI, PJ com ou sem fins lucrativos ou coletivo</t>
  </si>
  <si>
    <t xml:space="preserve">Projetos culturais por categoria (ex.: R$ 42.000,00 na primeira faixa)</t>
  </si>
  <si>
    <t xml:space="preserve">op-9fc0f65335a3</t>
  </si>
  <si>
    <t xml:space="preserve">Municipio de jacarei — chamada pública nº 03/2026 - semaplan- seleção de organização da sociedade civil (osc) … — São Paulo</t>
  </si>
  <si>
    <t xml:space="preserve">MUNICIPIO DE JACAREI — CHAMADA PÚBLICA Nº 03/2026 - SEMAPLAN- SELEÇÃO DE ORGANIZAÇÃO DA SOCIEDADE CIVIL (OSC) PARA CELEBRAÇÃO DE TERMO DE COLABORAÇÃO VISANDO A </t>
  </si>
  <si>
    <t xml:space="preserve">MUNICIPIO DE JACAREI</t>
  </si>
  <si>
    <t xml:space="preserve">https://pncp.gov.br/app/editais/46694139000183/2026/852</t>
  </si>
  <si>
    <t xml:space="preserve">{'inicio': None, 'fim': '2026-10-17'}</t>
  </si>
  <si>
    <t xml:space="preserve">CHAMADA PÚBLICA Nº 03/2026 - SEMAPLAN- SELEÇÃO DE ORGANIZAÇÃO DA SOCIEDADE CIVIL (OSC) PARA CELEBRAÇÃO DE TERMO DE COLABORAÇÃO VISANDO A ATUAÇÃO VOLTADA A PROTEÇÃO E BEM-</t>
  </si>
  <si>
    <t xml:space="preserve">op-6377e2c1bf1b</t>
  </si>
  <si>
    <t xml:space="preserve">MUNICIPIO DE BARRETOS — contratação de pessoa jurídica (organizações da sociedade civil sem fins lucrativos) p… — São Paulo</t>
  </si>
  <si>
    <t xml:space="preserve">MUNICIPIO DE BARRETOS — contratação de pessoa jurídica (organizações da sociedade civil sem fins lucrativos) para prestação de serviços culturais de produção té</t>
  </si>
  <si>
    <t xml:space="preserve">MUNICIPIO DE BARRETOS</t>
  </si>
  <si>
    <t xml:space="preserve">{'valor': 'poder_publico', 'fundamento': 'Prefeitura de Barretos publica; recurso municipal.', 'em': '2026-10-02'}</t>
  </si>
  <si>
    <t xml:space="preserve">https://pncp.gov.br/app/editais/44780609000104/2026/334</t>
  </si>
  <si>
    <t xml:space="preserve">{'inicio': '2026-09-16', 'fim': '2026-10-20'}</t>
  </si>
  <si>
    <t xml:space="preserve">contratação de pessoa jurídica (organizações da sociedade civil sem fins lucrativos) para prestação de serviços culturais de produção técnica, sonorização, contratação de</t>
  </si>
  <si>
    <t xml:space="preserve">Resultado preliminar no portal Licita Mais Brasil (data não fixada no trecho lido)</t>
  </si>
  <si>
    <t xml:space="preserve">5 dias úteis da divulgação do resultado</t>
  </si>
  <si>
    <t xml:space="preserve">R$ 65.474,00 estimados para 9 meses (média R$ 7.274,88/mês)</t>
  </si>
  <si>
    <t xml:space="preserve">OSC do art. 2º, I, a e c, da Lei 13.019 com objeto social compatível</t>
  </si>
  <si>
    <t xml:space="preserve">Produção técnica, sonorização, cachês e equipe do programa dominical</t>
  </si>
  <si>
    <t xml:space="preserve">cultura (música caipira/viola)</t>
  </si>
  <si>
    <t xml:space="preserve">op-2ccc3588d7c5</t>
  </si>
  <si>
    <t xml:space="preserve">Municipio de artur nogueira — credenciamento de seleção de organizações da sociedade civil (osc) para celebraç… — São Paulo</t>
  </si>
  <si>
    <t xml:space="preserve">MUNICIPIO DE ARTUR NOGUEIRA — CREDENCIAMENTO DE SELEÇÃO DE ORGANIZAÇÕES DA SOCIEDADE CIVIL (OSC) PARA CELEBRAÇÃO DE TERMO DE COLABORAÇÃO PARA A PRESTAÇÃO DE SER</t>
  </si>
  <si>
    <t xml:space="preserve">MUNICIPIO DE ARTUR NOGUEIRA</t>
  </si>
  <si>
    <t xml:space="preserve">https://pncp.gov.br/app/editais/45735552000186/2026/3</t>
  </si>
  <si>
    <t xml:space="preserve">2026-12-11</t>
  </si>
  <si>
    <t xml:space="preserve">{'inicio': None, 'fim': '2026-12-11'}</t>
  </si>
  <si>
    <t xml:space="preserve">CREDENCIAMENTO DE SELEÇÃO DE ORGANIZAÇÕES DA SOCIEDADE CIVIL (OSC) PARA CELEBRAÇÃO DE TERMO DE COLABORAÇÃO PARA A PRESTAÇÃO DE SERVIÇOS PARA ATENDIMENTO A ANIMAIS DE PEQU</t>
  </si>
  <si>
    <t xml:space="preserve">op-f56633f577fa</t>
  </si>
  <si>
    <t xml:space="preserve">Municipio de artur nogueira — credenciamento (osc’s) de execução de projeto esportivo voltado á difusão do esp… — São Paulo</t>
  </si>
  <si>
    <t xml:space="preserve">MUNICIPIO DE ARTUR NOGUEIRA — CREDENCIAMENTO (OSC’S) DE EXECUÇÃO DE PROJETO ESPORTIVO VOLTADO Á DIFUSÃO DO ESPORTE E LAZER POR MEIO DA MODALIDADE VOLEIBOL, INCL</t>
  </si>
  <si>
    <t xml:space="preserve">https://pncp.gov.br/api/consulta/v1/orgaos/45735552000186/compras/2027/1</t>
  </si>
  <si>
    <t xml:space="preserve">https://pncp.gov.br/app/editais/45735552000186/2027/1</t>
  </si>
  <si>
    <t xml:space="preserve">2027</t>
  </si>
  <si>
    <t xml:space="preserve">2027-03-08</t>
  </si>
  <si>
    <t xml:space="preserve">{'inicio': '2026-03-09', 'fim': '2027-03-08'}</t>
  </si>
  <si>
    <t xml:space="preserve">Resultado, Prazo de recurso, Requisitos, Destinação</t>
  </si>
  <si>
    <t xml:space="preserve">CREDENCIAMENTO (OSC’S) DE EXECUÇÃO DE PROJETO ESPORTIVO VOLTADO Á DIFUSÃO DO ESPORTE E LAZER POR MEIO DA MODALIDADE VOLEIBOL, INCLUINDO AÇÕES DE CONTRATURNO ESCOLAR, LAZE</t>
  </si>
  <si>
    <t xml:space="preserve">R$ 100.000,00 estimado</t>
  </si>
  <si>
    <t xml:space="preserve">Esporte e lazer (voleibol, contraturno escolar)</t>
  </si>
  <si>
    <t xml:space="preserve">op-c045e35db5b1</t>
  </si>
  <si>
    <t xml:space="preserve">Municipio de pindorama — credenciamento de organizacoes da sociedade civil de pindorama interessada em receber… — São Paulo</t>
  </si>
  <si>
    <t xml:space="preserve">MUNICIPIO DE PINDORAMA — CREDENCIAMENTO DE ORGANIZACOES DA SOCIEDADE CIVIL DE PINDORAMA INTERESSADA EM RECEBER DOACAO DE BENS MOVEIS CONSIDERADOS INSERVIVEIS PE</t>
  </si>
  <si>
    <t xml:space="preserve">MUNICIPIO DE PINDORAMA</t>
  </si>
  <si>
    <t xml:space="preserve">https://pncp.gov.br/app/editais/45122942000180/2026/248</t>
  </si>
  <si>
    <t xml:space="preserve">2027-05-12</t>
  </si>
  <si>
    <t xml:space="preserve">{'inicio': '2026-05-12', 'fim': '2027-05-12'}</t>
  </si>
  <si>
    <t xml:space="preserve">CREDENCIAMENTO DE ORGANIZACOES DA SOCIEDADE CIVIL DE PINDORAMA INTERESSADA EM RECEBER DOACAO DE BENS MOVEIS CONSIDERADOS INSERVIVEIS PERTENCENTES AO MUNICIPIO CONSTANTES</t>
  </si>
  <si>
    <t xml:space="preserve">conforme objeto: CREDENCIAMENTO DE ORGANIZACOES DA SOCIEDADE CIVIL DE PINDORAMA INTERESSAD</t>
  </si>
  <si>
    <t xml:space="preserve">{'observacao': 'PNCP (03/10/2026): o registro corrente não pôde ser comparado (descrição curta ou ausente na busca por CNPJ); histórico pendente — conferir no portal do órgão.'}</t>
  </si>
  <si>
    <t xml:space="preserve">op-512cf3257d76</t>
  </si>
  <si>
    <t xml:space="preserve">Municipio de cafelandia — constitui objeto do presente chamamento público a seleção de organização da sociedad… — Paraná</t>
  </si>
  <si>
    <t xml:space="preserve">MUNICIPIO DE CAFELANDIA — CONSTITUI OBJETO DO PRESENTE CHAMAMENTO PÚBLICO A SELEÇÃO DE ORGANIZAÇÃO DA SOCIEDADE CIVIL – OSC, SEM FINS LUCRATIVOS, PARA CELEBRAÇÃ</t>
  </si>
  <si>
    <t xml:space="preserve">MUNICIPIO DE CAFELANDIA</t>
  </si>
  <si>
    <t xml:space="preserve">https://pncp.gov.br/app/editais/78121878000172/2026/196</t>
  </si>
  <si>
    <t xml:space="preserve">CONSTITUI OBJETO DO PRESENTE CHAMAMENTO PÚBLICO A SELEÇÃO DE ORGANIZAÇÃO DA SOCIEDADE CIVIL – OSC, SEM FINS LUCRATIVOS, PARA CELEBRAÇÃO DE TERMO DE COLABORAÇÃO COM O MUNI</t>
  </si>
  <si>
    <t xml:space="preserve">op-bb6cb0abbf21</t>
  </si>
  <si>
    <t xml:space="preserve">Municipio de cafelandia — seleção de organizações da sociedade civil - oscs, sem fins lucrativos, para celebra… — Paraná</t>
  </si>
  <si>
    <t xml:space="preserve">MUNICIPIO DE CAFELANDIA — SELEÇÃO DE ORGANIZAÇÕES DA SOCIEDADE CIVIL - OSCS, SEM FINS LUCRATIVOS, PARA CELEBRAÇÃO DE TERMO DE COLABORAÇÃO, NOS TERMOS DA LEI FED</t>
  </si>
  <si>
    <t xml:space="preserve">https://pncp.gov.br/app/editais/78121878000172/2026/205</t>
  </si>
  <si>
    <t xml:space="preserve">{'inicio': None, 'fim': '2026-10-19'}</t>
  </si>
  <si>
    <t xml:space="preserve">SELEÇÃO DE ORGANIZAÇÕES DA SOCIEDADE CIVIL - OSCS, SEM FINS LUCRATIVOS, PARA CELEBRAÇÃO DE TERMO DE COLABORAÇÃO, NOS TERMOS DA LEI FEDERAL Nº 13.019/2014, VISANDO À EXECU</t>
  </si>
  <si>
    <t xml:space="preserve">op-9b3bb66d5da5</t>
  </si>
  <si>
    <t xml:space="preserve">MUNICIPIO DE CLEVELANDIA — Chamamento Público destinado à seleção de projetos de Organizações da Sociedade Civ… — Paraná</t>
  </si>
  <si>
    <t xml:space="preserve">MUNICIPIO DE CLEVELANDIA — Chamamento Público destinado à seleção de projetos de Organizações da Sociedade Civil - OSCs, regularmente registradas e atualizadas </t>
  </si>
  <si>
    <t xml:space="preserve">MUNICIPIO DE CLEVELANDIA</t>
  </si>
  <si>
    <t xml:space="preserve">https://pncp.gov.br/api/consulta/v1/orgaos/76161199000100/compras/2026/8</t>
  </si>
  <si>
    <t xml:space="preserve">https://pncp.gov.br/app/editais/76161199000100/2026/8</t>
  </si>
  <si>
    <t xml:space="preserve">2027-02-02</t>
  </si>
  <si>
    <t xml:space="preserve">{'inicio': '2026-02-02', 'fim': '2027-02-02'}</t>
  </si>
  <si>
    <t xml:space="preserve">Chamamento Público destinado à seleção de projetos de Organizações da Sociedade Civil - OSCs, regularmente registradas e atualizadas junto ao Conselho Municipal dos Direi</t>
  </si>
  <si>
    <t xml:space="preserve">Criança e adolescente (projetos com recursos do fundo municipal)</t>
  </si>
  <si>
    <t xml:space="preserve">op-379aeeb99a2e</t>
  </si>
  <si>
    <t xml:space="preserve">MUNICIPIO DE PERITIBA — O objeto deste Edital é a seleção de projetos culturais para receberem apoio financeir… — Santa Catarina</t>
  </si>
  <si>
    <t xml:space="preserve">MUNICIPIO DE PERITIBA — O objeto deste Edital é a seleção de projetos culturais para receberem apoio financeiro nas categorias descritas no Anexo I, com o objet</t>
  </si>
  <si>
    <t xml:space="preserve">MUNICIPIO DE PERITIBA</t>
  </si>
  <si>
    <t xml:space="preserve">https://pncp.gov.br/app/editais/82815085000120/2026/165</t>
  </si>
  <si>
    <t xml:space="preserve">2026-12-31</t>
  </si>
  <si>
    <t xml:space="preserve">{'inicio': None, 'fim': '2026-12-31'}</t>
  </si>
  <si>
    <t xml:space="preserve">O objeto deste Edital é a seleção de projetos culturais para receberem apoio financeiro nas categorias descritas no Anexo I, com o objetivo de incentivar as diversas form</t>
  </si>
  <si>
    <t xml:space="preserve">op-63c8e9b8b0d1</t>
  </si>
  <si>
    <t xml:space="preserve">MUNICIPIO DE PERITIBA — [Portal de Compras Públicas] - O objeto deste edital é o credenciamento de associações… — Santa Catarina</t>
  </si>
  <si>
    <t xml:space="preserve">MUNICIPIO DE PERITIBA — [Portal de Compras Públicas] - O objeto deste edital é o credenciamento de associações sem fins lucrativos, sediadas no município de Per</t>
  </si>
  <si>
    <t xml:space="preserve">https://pncp.gov.br/app/editais/82815085000120/2026/121</t>
  </si>
  <si>
    <t xml:space="preserve">2027-04-20</t>
  </si>
  <si>
    <t xml:space="preserve">{'inicio': '2026-04-20', 'fim': '2027-04-20'}</t>
  </si>
  <si>
    <t xml:space="preserve">[Portal de Compras Públicas] - O objeto deste edital é o credenciamento de associações sem fins lucrativos, sediadas no município de Peritiba, para realizar a comercializ</t>
  </si>
  <si>
    <t xml:space="preserve">R$ 30.000,00 (valor total estimado)</t>
  </si>
  <si>
    <t xml:space="preserve">conforme objeto: [Portal de Compras Públicas] - O objeto deste edital é o credenciamento d</t>
  </si>
  <si>
    <t xml:space="preserve">op-6837c81e3b31</t>
  </si>
  <si>
    <t xml:space="preserve">MUNICIPIO DE BALNEARIO CAMBORIU — Credenciamento de entidades privadas ou públicas, com ou sem fins lucrativos… — Santa Catarina</t>
  </si>
  <si>
    <t xml:space="preserve">MUNICIPIO DE BALNEARIO CAMBORIU — Credenciamento de entidades privadas ou públicas, com ou sem fins lucrativos, para acolhimento institucional em residência inc</t>
  </si>
  <si>
    <t xml:space="preserve">MUNICIPIO DE BALNEARIO CAMBORIU</t>
  </si>
  <si>
    <t xml:space="preserve">https://pncp.gov.br/app/editais/83102285000107/2026/1</t>
  </si>
  <si>
    <t xml:space="preserve">2028</t>
  </si>
  <si>
    <t xml:space="preserve">2028-01-18</t>
  </si>
  <si>
    <t xml:space="preserve">{'inicio': '2026-01-13', 'fim': '2028-01-18'}</t>
  </si>
  <si>
    <t xml:space="preserve">Credenciamento de entidades privadas ou públicas, com ou sem fins lucrativos, para acolhimento institucional em residência inclusiva de jovens e adultos com deficiência,</t>
  </si>
  <si>
    <t xml:space="preserve">valor total estimado R$ 27.617,12</t>
  </si>
  <si>
    <t xml:space="preserve">Assistência social (residência inclusiva)</t>
  </si>
  <si>
    <t xml:space="preserve">op-4f42adc25143</t>
  </si>
  <si>
    <t xml:space="preserve">MUNICIPIO DE BALNEARIO CAMBORIU — Credenciamento de entidades privadas, com ou sem fins lucrativos, para acolh… — Santa Catarina</t>
  </si>
  <si>
    <t xml:space="preserve">MUNICIPIO DE BALNEARIO CAMBORIU — Credenciamento de entidades privadas, com ou sem fins lucrativos, para acolhimento institucional na modalidade Casa de Passage</t>
  </si>
  <si>
    <t xml:space="preserve">https://pncp.gov.br/app/editais/83102285000107/2026/184</t>
  </si>
  <si>
    <t xml:space="preserve">2028-04-15</t>
  </si>
  <si>
    <t xml:space="preserve">{'inicio': '2026-04-15', 'fim': '2028-04-15'}</t>
  </si>
  <si>
    <t xml:space="preserve">Credenciamento de entidades privadas, com ou sem fins lucrativos, para acolhimento institucional na modalidade Casa de Passagem para adultos, 18 a 59 anos, de ambos os se</t>
  </si>
  <si>
    <t xml:space="preserve">valor total estimado R$ 2.224,17</t>
  </si>
  <si>
    <t xml:space="preserve">Assistência social (casa de passagem)</t>
  </si>
  <si>
    <t xml:space="preserve">op-e414e809dafe</t>
  </si>
  <si>
    <t xml:space="preserve">Municipio de silvania — realização e publicação do edital de chamamento publico nº 01/2026 - edital ciclo 2 da… — Goiás</t>
  </si>
  <si>
    <t xml:space="preserve">MUNICIPIO DE SILVANIA — REALIZAÇÃO E PUBLICAÇÃO DO EDITAL DE CHAMAMENTO PUBLICO Nº 01/2026 - EDITAL CICLO 2 DA POLITICA NACIONAL ALDIR BLANC DO MUNICIPIO DE SIL</t>
  </si>
  <si>
    <t xml:space="preserve">MUNICIPIO DE SILVANIA</t>
  </si>
  <si>
    <t xml:space="preserve">{'valor': 'poder_publico', 'fundamento': 'Publica o Município de Silvânia; recurso federal da PNAB repassado ao município.', 'em': '2026-10-02'}</t>
  </si>
  <si>
    <t xml:space="preserve">https://pncp.gov.br/app/editais/01068030000100/2026/355</t>
  </si>
  <si>
    <t xml:space="preserve">{'inicio': '2026-09-22', 'fim': '2026-10-09'}</t>
  </si>
  <si>
    <t xml:space="preserve">REALIZAÇÃO E PUBLICAÇÃO DO EDITAL DE CHAMAMENTO PUBLICO Nº 01/2026 - EDITAL CICLO 2 DA POLITICA NACIONAL ALDIR BLANC DO MUNICIPIO DE SILVANIA.</t>
  </si>
  <si>
    <t xml:space="preserve">3 dias úteis a contar da publicação do resultado</t>
  </si>
  <si>
    <t xml:space="preserve">R$ 179.926,00 no total; prêmios individuais (ex.: R$ 6.858,00)</t>
  </si>
  <si>
    <t xml:space="preserve">Municipal (recurso federal PNAB)</t>
  </si>
  <si>
    <t xml:space="preserve">Agente cultural com contribuição relevante em Silvânia; pode ser pessoa jurídica sem fins</t>
  </si>
  <si>
    <t xml:space="preserve">Premiação cultural (elemento 33.90.31), sem prestação de contas de execução</t>
  </si>
  <si>
    <t xml:space="preserve">op-bd9dffbb901e</t>
  </si>
  <si>
    <t xml:space="preserve">MUNICIPIO DE ARRAIAL DO CABO — O presente Chamamento Público tem por objeto a seleção de Organização da Socied… — Rio de Janeiro</t>
  </si>
  <si>
    <t xml:space="preserve">MUNICIPIO DE ARRAIAL DO CABO — O presente Chamamento Público tem por objeto a seleção de Organização da Sociedade Civil (OSC) para celebração de Termo de Colabo</t>
  </si>
  <si>
    <t xml:space="preserve">MUNICIPIO DE ARRAIAL DO CABO</t>
  </si>
  <si>
    <t xml:space="preserve">https://pncp.gov.br/app/editais/27792373000107/2026/150</t>
  </si>
  <si>
    <t xml:space="preserve">O presente Chamamento Público tem por objeto a seleção de Organização da Sociedade Civil (OSC) para celebração de Termo de Colaboração com o Município de Arraial do Cabo,</t>
  </si>
  <si>
    <t xml:space="preserve">op-75c3c7ebe22b</t>
  </si>
  <si>
    <t xml:space="preserve">SECRETARIA MUNICIPAL DE EDUCACAO — Credenciamento de Organizações da Sociedade Civil (OSC), com vistas a possí… — Rio de Janeiro</t>
  </si>
  <si>
    <t xml:space="preserve">SECRETARIA MUNICIPAL DE EDUCACAO — Credenciamento de Organizações da Sociedade Civil (OSC), com vistas a possíveis e futuras parcerias na área educacional, com </t>
  </si>
  <si>
    <t xml:space="preserve">SECRETARIA MUNICIPAL DE EDUCACAO</t>
  </si>
  <si>
    <t xml:space="preserve">https://pncp.gov.br/app/editais/06072751000108/2026/4</t>
  </si>
  <si>
    <t xml:space="preserve">2027-05-27</t>
  </si>
  <si>
    <t xml:space="preserve">{'inicio': '2026-05-28', 'fim': '2027-05-27'}</t>
  </si>
  <si>
    <t xml:space="preserve">Credenciamento de Organizações da Sociedade Civil (OSC), com vistas a possíveis e futuras parcerias na área educacional, com fundamento na Lei Federal nº 13.019/2014, alt</t>
  </si>
  <si>
    <t xml:space="preserve">conforme objeto: Credenciamento de Organizações da Sociedade Civil (OSC), com vistas a pos</t>
  </si>
  <si>
    <t xml:space="preserve">op-b69ca4f1c758</t>
  </si>
  <si>
    <t xml:space="preserve">MINAS GERAIS SECRETARIA DE ESTADO DA EDUCACAO — Reabertura do Edital de Credenciamento SEE nº 02/2025 - Creden… — Minas Gerais</t>
  </si>
  <si>
    <t xml:space="preserve">MINAS GERAIS SECRETARIA DE ESTADO DA EDUCACAO — Reabertura do Edital de Credenciamento SEE nº 02/2025 - Credenciamento de instituições públicas ou privadas, com</t>
  </si>
  <si>
    <t xml:space="preserve">MINAS GERAIS SECRETARIA DE ESTADO DA EDUCACAO</t>
  </si>
  <si>
    <t xml:space="preserve">https://pncp.gov.br/app/editais/18715599000105/2026/622</t>
  </si>
  <si>
    <t xml:space="preserve">2027-07-30</t>
  </si>
  <si>
    <t xml:space="preserve">{'inicio': '2026-07-30', 'fim': '2027-07-30'}</t>
  </si>
  <si>
    <t xml:space="preserve">Reabertura do Edital de Credenciamento SEE nº 02/2025 - Credenciamento de instituições públicas ou privadas, com ou sem fins lucrativos, que poderão ofertar formação prof</t>
  </si>
  <si>
    <t xml:space="preserve">valor total estimado R$ 800.000.000,00</t>
  </si>
  <si>
    <t xml:space="preserve">Estadual</t>
  </si>
  <si>
    <t xml:space="preserve">Educação (formação profissional técnica)</t>
  </si>
  <si>
    <t xml:space="preserve">op-8d0a26eddf22</t>
  </si>
  <si>
    <t xml:space="preserve">Municipio de alexandria — seleção de organização da sociedade civil - osc para celebração de termo de colabora… — Rio Grande do Norte</t>
  </si>
  <si>
    <t xml:space="preserve">MUNICIPIO DE ALEXANDRIA — SELEÇÃO DE ORGANIZAÇÃO DA SOCIEDADE CIVIL - OSC PARA CELEBRAÇÃO DE TERMO DE COLABORAÇÃO DESTINADO À EXECUÇÃO DE AÇÕES DE ACOLHIMENTO E</t>
  </si>
  <si>
    <t xml:space="preserve">MUNICIPIO DE ALEXANDRIA</t>
  </si>
  <si>
    <t xml:space="preserve">https://pncp.gov.br/app/editais/08148462000162/2026/72</t>
  </si>
  <si>
    <t xml:space="preserve">2026-10-23</t>
  </si>
  <si>
    <t xml:space="preserve">{'inicio': None, 'fim': '2026-10-23'}</t>
  </si>
  <si>
    <t xml:space="preserve">SELEÇÃO DE ORGANIZAÇÃO DA SOCIEDADE CIVIL - OSC PARA CELEBRAÇÃO DE TERMO DE COLABORAÇÃO DESTINADO À EXECUÇÃO DE AÇÕES DE ACOLHIMENTO E HOSPEDAGEM TEMPORÁRIA DE CÃES E GAT</t>
  </si>
  <si>
    <t xml:space="preserve">op-f0e47b49a5d1</t>
  </si>
  <si>
    <t xml:space="preserve">MUNICIPIO DE JAGUARIPE — Constitui objeto do presente Edital a seleção de Organização da Sociedade Civil (OSC)… — Bahia</t>
  </si>
  <si>
    <t xml:space="preserve">MUNICIPIO DE JAGUARIPE — Constitui objeto do presente Edital a seleção de Organização da Sociedade Civil (OSC), regularmente constituída, para celebração de TER</t>
  </si>
  <si>
    <t xml:space="preserve">MUNICIPIO DE JAGUARIPE</t>
  </si>
  <si>
    <t xml:space="preserve">{'valor': 'poder_publico', 'fundamento': 'Secretaria Municipal de Saúde de Jaguaripe publica; recursos municipais/SUS (fontes 600/500).', 'em': '2026-10-02'}</t>
  </si>
  <si>
    <t xml:space="preserve">https://pncp.gov.br/app/editais/13796289000149/2026/37</t>
  </si>
  <si>
    <t xml:space="preserve">{'inicio': '2026-09-25', 'fim': '2026-10-09'}</t>
  </si>
  <si>
    <t xml:space="preserve">Constitui objeto do presente Edital a seleção de Organização da Sociedade Civil (OSC), regularmente constituída, para celebração de TERMO DE COLABORAÇÃO, em regime de mút</t>
  </si>
  <si>
    <t xml:space="preserve">Resultado preliminar publicado no Diário Oficial do Município</t>
  </si>
  <si>
    <t xml:space="preserve">R$ 3.480.000,00 (12 meses)</t>
  </si>
  <si>
    <t xml:space="preserve">OSC com 1 ano de CNPJ, experiência prévia em objeto semelhante, capacidade técnica</t>
  </si>
  <si>
    <t xml:space="preserve">Plantões, saúde mental, ambulatório, apoio administrativo da saúde</t>
  </si>
  <si>
    <t xml:space="preserve">op-d715aa5c4aff</t>
  </si>
  <si>
    <t xml:space="preserve">MUNICIPIO DE OLINDINA — o Chamamento Público nº 002/2026, destinado à seleção de projetos culturais para execu… — Bahia</t>
  </si>
  <si>
    <t xml:space="preserve">MUNICIPIO DE OLINDINA — o Chamamento Público nº 002/2026, destinado à seleção de projetos culturais para execução de oficinas de música, mediante celebração de </t>
  </si>
  <si>
    <t xml:space="preserve">https://pncp.gov.br/app/editais/13647854000106/2026/74</t>
  </si>
  <si>
    <t xml:space="preserve">{'inicio': '2026-09-25', 'fim': '2026-10-13'}</t>
  </si>
  <si>
    <t xml:space="preserve">o Chamamento Público nº 002/2026, destinado à seleção de projetos culturais para execução de oficinas de música, mediante celebração de Termo de Execução Cultural (TEC),</t>
  </si>
  <si>
    <t xml:space="preserve">cultura (música)</t>
  </si>
  <si>
    <t xml:space="preserve">op-57edf594c4e9</t>
  </si>
  <si>
    <t xml:space="preserve">MUNICIPIO DE SANTO ANTONIO DE JESUS — Seleção de Organização da Sociedade Civil – OSC para a celebração de TER… — Bahia</t>
  </si>
  <si>
    <t xml:space="preserve">MUNICIPIO DE SANTO ANTONIO DE JESUS — Seleção de Organização da Sociedade Civil – OSC para a celebração de TERMO DE COLABORAÇÃO, em regime de mútua cooperação, </t>
  </si>
  <si>
    <t xml:space="preserve">MUNICIPIO DE SANTO ANTONIO DE JESUS</t>
  </si>
  <si>
    <t xml:space="preserve">{'valor': 'poder_publico', 'fundamento': 'Fundo Municipal de Saúde publica; recursos de transferências (inclusive emendas) e rendimentos.', 'em': '2026-10-02'}</t>
  </si>
  <si>
    <t xml:space="preserve">https://pncp.gov.br/app/editais/13825476000103/2026/139</t>
  </si>
  <si>
    <t xml:space="preserve">2026-11-03</t>
  </si>
  <si>
    <t xml:space="preserve">{'inicio': '2026-10-01', 'fim': '2026-11-03'}</t>
  </si>
  <si>
    <t xml:space="preserve">Seleção de Organização da Sociedade Civil – OSC para a celebração de TERMO DE COLABORAÇÃO, em regime de mútua cooperação, na forma e nas condições estabelecidas neste Edi</t>
  </si>
  <si>
    <t xml:space="preserve">Preliminar 17/11/2026; definitivo 04/12/2026</t>
  </si>
  <si>
    <t xml:space="preserve">18/11 a 23/11/2026 (5 dias corridos)</t>
  </si>
  <si>
    <t xml:space="preserve">Até R$ 6.718.420,13</t>
  </si>
  <si>
    <t xml:space="preserve">OSC apta a executar consultas, exames e vacinação; uma proposta por OSC; uma OSC seleciona</t>
  </si>
  <si>
    <t xml:space="preserve">Custeio da execução das ações de saúde, vedado lucro/taxa de administração</t>
  </si>
  <si>
    <t xml:space="preserve">op-2f01387c9562</t>
  </si>
  <si>
    <t xml:space="preserve">Municipio de rio real — edital de credenciamento nº 012/2026, para fins de credenciar organizações da sociedad… — Bahia</t>
  </si>
  <si>
    <t xml:space="preserve">MUNICIPIO DE RIO REAL — EDITAL DE CREDENCIAMENTO Nº 012/2026, PARA FINS DE CREDENCIAR ORGANIZAÇÕES DA SOCIEDADE CIVIL PARA EVENTUAL CELEBRAÇÃO DE TERMO DE COLAB</t>
  </si>
  <si>
    <t xml:space="preserve">MUNICIPIO DE RIO REAL</t>
  </si>
  <si>
    <t xml:space="preserve">{'valor': 'poder_publico', 'fundamento': 'Publicado pelo Município de Rio Real; recursos do orçamento municipal (parcerias Lei 13.019).', 'em': '2026-10-02'}</t>
  </si>
  <si>
    <t xml:space="preserve">https://pncp.gov.br/app/editais/15088800000183/2026/109</t>
  </si>
  <si>
    <t xml:space="preserve">2026-11-28</t>
  </si>
  <si>
    <t xml:space="preserve">{'inicio': '2026-05-28', 'fim': '2026-11-28'}</t>
  </si>
  <si>
    <t xml:space="preserve">Resultado, Prazo de recurso, Requisitos, Destinação, Área de atuação</t>
  </si>
  <si>
    <t xml:space="preserve">EDITAL DE CREDENCIAMENTO Nº 012/2026, PARA FINS DE CREDENCIAR ORGANIZAÇÕES DA SOCIEDADE CIVIL PARA EVENTUAL CELEBRAÇÃO DE TERMO DE COLABORAÇÃO OU TERMO DE FOMENTO, DE ACO</t>
  </si>
  <si>
    <t xml:space="preserve">op-3715b11202c8</t>
  </si>
  <si>
    <t xml:space="preserve">Municipio de feira de santana — chamamento público que tem por finalidade a seleção de propostas de instituiçã… — Bahia</t>
  </si>
  <si>
    <t xml:space="preserve">MUNICIPIO DE FEIRA DE SANTANA — CHAMAMENTO PÚBLICO QUE TEM POR FINALIDADE A SELEÇÃO DE PROPOSTAS DE INSTITUIÇÃO DE LONGA PERMANENCIA PARA IDOSOS E ORGANIZAÇÕES </t>
  </si>
  <si>
    <t xml:space="preserve">MUNICIPIO DE FEIRA DE SANTANA</t>
  </si>
  <si>
    <t xml:space="preserve">['OSC e associações', 'Pessoas idosas']</t>
  </si>
  <si>
    <t xml:space="preserve">{'valor': 'poder_publico', 'fundamento': 'Fundo Municipal dos Direitos da Pessoa Idosa de Feira de Santana publica e financia.', 'em': '2026-10-02'}</t>
  </si>
  <si>
    <t xml:space="preserve">https://pncp.gov.br/app/editais/14043574000151/2026/139</t>
  </si>
  <si>
    <t xml:space="preserve">2026-12-03</t>
  </si>
  <si>
    <t xml:space="preserve">{'inicio': None, 'fim': '2026-12-03'}</t>
  </si>
  <si>
    <t xml:space="preserve">CHAMAMENTO PÚBLICO QUE TEM POR FINALIDADE A SELEÇÃO DE PROPOSTAS DE INSTITUIÇÃO DE LONGA PERMANENCIA PARA IDOSOS E ORGANIZAÇÕES DA SOCIEDADE CIVIL DE ATENDIMENTO, PARA EX</t>
  </si>
  <si>
    <t xml:space="preserve">op-c4f7c64e519d</t>
  </si>
  <si>
    <t xml:space="preserve">Municipio de feira de santana — termo de fomento que entre si celebram a secretaria municipal da educação de f… — Bahia</t>
  </si>
  <si>
    <t xml:space="preserve">MUNICIPIO DE FEIRA DE SANTANA — TERMO DE FOMENTO QUE ENTRE SI CELEBRAM A SECRETARIA MUNICIPAL DA EDUCAÇÃO DE FEIRA DE SANTANA E A ORGANIZAÇÃO DA SOCIEDADE CIVIL</t>
  </si>
  <si>
    <t xml:space="preserve">{'valor': 'poder_publico', 'fundamento': 'Publicado pelo Município de Feira de Santana (SEDUC); recurso público municipal.', 'em': '2026-10-02'}</t>
  </si>
  <si>
    <t xml:space="preserve">https://pncp.gov.br/api/consulta/v1/orgaos/14043574000151/compras/2026/327</t>
  </si>
  <si>
    <t xml:space="preserve">https://pncp.gov.br/app/editais/14043574000151/2026/327</t>
  </si>
  <si>
    <t xml:space="preserve">{'inicio': '2026-09-01', 'fim': '2026-12-31'}</t>
  </si>
  <si>
    <t xml:space="preserve">TERMO DE FOMENTO QUE ENTRE SI CELEBRAM A SECRETARIA MUNICIPAL DA EDUCAÇÃO DE FEIRA DE SANTANA E A ORGANIZAÇÃO DA SOCIEDADE CIVIL SELECIONADA POR MEIO DE CHAMAMENTO PÚBLIC</t>
  </si>
  <si>
    <t xml:space="preserve">R$ 11.670.364,20 estimado</t>
  </si>
  <si>
    <t xml:space="preserve">Educação (Secretaria Municipal de Educação)</t>
  </si>
  <si>
    <t xml:space="preserve">op-c585772de4c0</t>
  </si>
  <si>
    <t xml:space="preserve">FUNDO MUNICIPAL DE SAUDE DE JEQUIE — 1.1. Contratação de Organização da Sociedade Civil (OSC) para prestação d… — Bahia</t>
  </si>
  <si>
    <t xml:space="preserve">FUNDO MUNICIPAL DE SAUDE DE JEQUIE — 1.1. Contratação de Organização da Sociedade Civil (OSC) para prestação de serviços de reabilitação intelectual, para crian</t>
  </si>
  <si>
    <t xml:space="preserve">FUNDO MUNICIPAL DE SAUDE DE JEQUIE</t>
  </si>
  <si>
    <t xml:space="preserve">{'valor': 'poder_publico', 'fundamento': 'Fundo Municipal de Saúde de Jequié contrata com recursos SUS e próprios.', 'em': '2026-10-02'}</t>
  </si>
  <si>
    <t xml:space="preserve">https://pncp.gov.br/app/editais/09436466000109/2026/38</t>
  </si>
  <si>
    <t xml:space="preserve">2027-09-14</t>
  </si>
  <si>
    <t xml:space="preserve">{'inicio': None, 'fim': '2027-09-14'}</t>
  </si>
  <si>
    <t xml:space="preserve">1.1. Contratação de Organização da Sociedade Civil (OSC) para prestação de serviços de reabilitação intelectual, para crianças, jovens e adultos com deficiência intelectu</t>
  </si>
  <si>
    <t xml:space="preserve">op-3ad090d246d8</t>
  </si>
  <si>
    <t xml:space="preserve">MUNICIPIO DE VERA CRUZ — Seleção de proposta/Plano de trabalho para a formalização de parceria através de Term… — Rio Grande do Sul</t>
  </si>
  <si>
    <t xml:space="preserve">MUNICIPIO DE VERA CRUZ — Seleção de proposta/Plano de trabalho para a formalização de parceria através de Termo de Colaboração, com Organizações da Sociedade Ci</t>
  </si>
  <si>
    <t xml:space="preserve">https://pncp.gov.br/app/editais/98661366000106/2026/563</t>
  </si>
  <si>
    <t xml:space="preserve">Seleção de proposta/Plano de trabalho para a formalização de parceria através de Termo de Colaboração, com Organizações da Sociedade Civil (OSC), para atender até 50 (cin</t>
  </si>
  <si>
    <t xml:space="preserve">op-52d1693d1c87</t>
  </si>
  <si>
    <t xml:space="preserve">MUNICIPIO DE SANTA CRUZ DO SUL — Edital de Chamamento Público para seleção de propostas para Patrocínio a Even… — Rio Grande do Sul</t>
  </si>
  <si>
    <t xml:space="preserve">MUNICIPIO DE SANTA CRUZ DO SUL — Edital de Chamamento Público para seleção de propostas para Patrocínio a Eventos nº 001/2026</t>
  </si>
  <si>
    <t xml:space="preserve">MUNICIPIO DE SANTA CRUZ DO SUL</t>
  </si>
  <si>
    <t xml:space="preserve">https://www.santacruz.rs.gov.br/upload_page/577/edital0012026.pdf</t>
  </si>
  <si>
    <t xml:space="preserve">https://pncp.gov.br/app/editais/95440517000108/2026/24</t>
  </si>
  <si>
    <t xml:space="preserve">{'inicio': None, 'fim': '2026-10-05'}</t>
  </si>
  <si>
    <t xml:space="preserve">Edital de Chamamento Público para seleção de propostas para Patrocínio a Eventos nº 001/2026</t>
  </si>
  <si>
    <t xml:space="preserve">Associação, ONG, MEI, pessoa física ou jurídica, sem fins lucrativos, com evento de intere</t>
  </si>
  <si>
    <t xml:space="preserve">Patrocínio a eventos em troca de contrapartidas de imagem</t>
  </si>
  <si>
    <t xml:space="preserve">op-49b826d06b1c</t>
  </si>
  <si>
    <t xml:space="preserve">Municipio de novo hamburgo — chamamento público para credenciamento de oscs aptas a execução do serviço de aco… — Rio Grande do Sul</t>
  </si>
  <si>
    <t xml:space="preserve">MUNICIPIO DE NOVO HAMBURGO — CHAMAMENTO PÚBLICO PARA CREDENCIAMENTO DE OSCS APTAS A EXECUÇÃO DO SERVIÇO DE ACOLHIMENTO INSTITUCIONAL (SAI), NA MODALIDADE ABRIGO</t>
  </si>
  <si>
    <t xml:space="preserve">MUNICIPIO DE NOVO HAMBURGO</t>
  </si>
  <si>
    <t xml:space="preserve">https://pncp.gov.br/api/consulta/v1/orgaos/88254875000160/compras/2026/25</t>
  </si>
  <si>
    <t xml:space="preserve">https://pncp.gov.br/app/editais/88254875000160/2026/25</t>
  </si>
  <si>
    <t xml:space="preserve">2027-02-05</t>
  </si>
  <si>
    <t xml:space="preserve">{'inicio': '2026-02-06', 'fim': '2027-02-05'}</t>
  </si>
  <si>
    <t xml:space="preserve">CHAMAMENTO PÚBLICO PARA CREDENCIAMENTO DE OSCS APTAS A EXECUÇÃO DO SERVIÇO DE ACOLHIMENTO INSTITUCIONAL (SAI), NA MODALIDADE ABRIGO INSTITUCIONAL, PARA CRIANÇAS E ADOLESC</t>
  </si>
  <si>
    <t xml:space="preserve">R$ 1.206.283,94 estimado</t>
  </si>
  <si>
    <t xml:space="preserve">Assistência social / criança e adolescente (acolhimento institucional)</t>
  </si>
  <si>
    <t xml:space="preserve">op-7c1c637c2e08</t>
  </si>
  <si>
    <t xml:space="preserve">MUNICIPIO DE RESTINGA SECA — O objeto deste Termo de Referencia e o credenciamento de Organizacoes da Sociedad… — Rio Grande do Sul</t>
  </si>
  <si>
    <t xml:space="preserve">MUNICIPIO DE RESTINGA SECA — O objeto deste Termo de Referencia e o credenciamento de Organizacoes da Sociedade Civil com ou sem fins lucrativos para a prestaca</t>
  </si>
  <si>
    <t xml:space="preserve">MUNICIPIO DE RESTINGA SECA</t>
  </si>
  <si>
    <t xml:space="preserve">https://pncp.gov.br/api/consulta/v1/orgaos/87490306000151/compras/2026/59</t>
  </si>
  <si>
    <t xml:space="preserve">https://pncp.gov.br/app/editais/87490306000151/2026/59</t>
  </si>
  <si>
    <t xml:space="preserve">2027-03-11</t>
  </si>
  <si>
    <t xml:space="preserve">{'inicio': '2026-03-11', 'fim': '2027-03-11'}</t>
  </si>
  <si>
    <t xml:space="preserve">O objeto deste Termo de Referencia e o credenciamento de Organizacoes da Sociedade Civil com ou sem fins lucrativos para a prestacao do Servico de Acolhimento Institucion</t>
  </si>
  <si>
    <t xml:space="preserve">R$ 993.078,24 estimado</t>
  </si>
  <si>
    <t xml:space="preserve">Assistência social (acolhimento institucional, abrigo)</t>
  </si>
  <si>
    <t xml:space="preserve">op-09e8324e9cff</t>
  </si>
  <si>
    <t xml:space="preserve">MUNICIPIO DE GRAVATAI — Credenciamento para seleção de pontos de cultura. — Rio Grande do Sul</t>
  </si>
  <si>
    <t xml:space="preserve">MUNICIPIO DE GRAVATAI — Credenciamento para seleção de pontos de cultura.</t>
  </si>
  <si>
    <t xml:space="preserve">MUNICIPIO DE GRAVATAI</t>
  </si>
  <si>
    <t xml:space="preserve">https://pncp.gov.br/app/editais/87890992000158/2026/620</t>
  </si>
  <si>
    <t xml:space="preserve">2027-06-18</t>
  </si>
  <si>
    <t xml:space="preserve">{'inicio': '2026-06-19', 'fim': '2027-06-18'}</t>
  </si>
  <si>
    <t xml:space="preserve">Credenciamento para seleção de pontos de cultura.</t>
  </si>
  <si>
    <t xml:space="preserve">R$ 270.000,00 (valor total estimado)</t>
  </si>
  <si>
    <t xml:space="preserve">conforme objeto: Credenciamento para seleção de pontos de cultura.</t>
  </si>
  <si>
    <t xml:space="preserve">op-f9969a273da5</t>
  </si>
  <si>
    <t xml:space="preserve">MUNICIPIO DE CANOAS — Credenciamento de Agremiações Carnavalescas, Agremiações de Samba com personalidade jurí… — Rio Grande do Sul</t>
  </si>
  <si>
    <t xml:space="preserve">MUNICIPIO DE CANOAS — Credenciamento de Agremiações Carnavalescas, Agremiações de Samba com personalidade jurídica, sem fins lucrativos, com razão social carnav</t>
  </si>
  <si>
    <t xml:space="preserve">https://pncp.gov.br/app/editais/88577416000118/2026/44</t>
  </si>
  <si>
    <t xml:space="preserve">{'inicio': '2026-03-20', 'fim': '2027-12-31'}</t>
  </si>
  <si>
    <t xml:space="preserve">Credenciamento de Agremiações Carnavalescas, Agremiações de Samba com personalidade jurídica, sem fins lucrativos, com razão social carnaval, sediadas em canoas, para par</t>
  </si>
  <si>
    <t xml:space="preserve">valor total estimado R$ 350.000,00</t>
  </si>
  <si>
    <t xml:space="preserve">Cultura (carnaval)</t>
  </si>
  <si>
    <t xml:space="preserve">op-1fba6cb92060</t>
  </si>
  <si>
    <t xml:space="preserve">Municipio de sao pedro do sul — 1.1.o presente edital tem por objeto o credenciamento permanente de organizaçõ… — Rio Grande do Sul</t>
  </si>
  <si>
    <t xml:space="preserve">MUNICIPIO DE SAO PEDRO DO SUL — 1.1.O PRESENTE EDITAL TEM POR OBJETO O CREDENCIAMENTO PERMANENTE DE ORGANIZAÇÕES DA SOCIEDADE CIVIL (OSCS), SEM FINS LUCRATIVOS,</t>
  </si>
  <si>
    <t xml:space="preserve">MUNICIPIO DE SAO PEDRO DO SUL</t>
  </si>
  <si>
    <t xml:space="preserve">https://pncp.gov.br/api/consulta/v1/orgaos/87489910000168/compras/2026/43</t>
  </si>
  <si>
    <t xml:space="preserve">https://pncp.gov.br/app/editais/87489910000168/2026/43</t>
  </si>
  <si>
    <t xml:space="preserve">2031, cont</t>
  </si>
  <si>
    <t xml:space="preserve">2026-03-26</t>
  </si>
  <si>
    <t xml:space="preserve">{'inicio': '2026-03-26', 'fim': 'contínuo'}</t>
  </si>
  <si>
    <t xml:space="preserve">1.1.O PRESENTE EDITAL TEM POR OBJETO O CREDENCIAMENTO PERMANENTE DE ORGANIZAÇÕES DA SOCIEDADE CIVIL (OSCS), SEM FINS LUCRATIVOS, QUE ATUEM NA ÁREA DA EDUCAÇÃO, PARA COMPO</t>
  </si>
  <si>
    <t xml:space="preserve">2031-03-26</t>
  </si>
  <si>
    <t xml:space="preserve">op-c5622089e7d6</t>
  </si>
  <si>
    <t xml:space="preserve">Agencia municipal de regulacao de servicos delegados- arser — chamamento público para a seleção de uma organiz… — Alagoas</t>
  </si>
  <si>
    <t xml:space="preserve">AGENCIA MUNICIPAL DE REGULACAO DE SERVICOS DELEGADOS- ARSER — CHAMAMENTO PÚBLICO PARA A SELEÇÃO DE UMA ORGANIZAÇÃO DA SOCIEDADE CIVIL - OSC INTERESSADA EM FIRMA</t>
  </si>
  <si>
    <t xml:space="preserve">AGENCIA MUNICIPAL DE REGULACAO DE SERVICOS DELEGADOS- ARSER</t>
  </si>
  <si>
    <t xml:space="preserve">AL</t>
  </si>
  <si>
    <t xml:space="preserve">https://pncp.gov.br/app/editais/26981455000129/2026/51</t>
  </si>
  <si>
    <t xml:space="preserve">2026-12-30</t>
  </si>
  <si>
    <t xml:space="preserve">{'inicio': None, 'fim': '2026-12-30'}</t>
  </si>
  <si>
    <t xml:space="preserve">CHAMAMENTO PÚBLICO PARA A SELEÇÃO DE UMA ORGANIZAÇÃO DA SOCIEDADE CIVIL - OSC INTERESSADA EM FIRMAR TERMO DE COLABORAÇÃO COM A PREFEITURA MUNICIPAL DE MACEIÓ PARA A IMPLA</t>
  </si>
  <si>
    <t xml:space="preserve">op-f0b92ec16493</t>
  </si>
  <si>
    <t xml:space="preserve">Municipio de joaquim gomes — credenciamento saúde, para fins de selecionar organizações da sociedade civil par… — Alagoas</t>
  </si>
  <si>
    <t xml:space="preserve">MUNICIPIO DE JOAQUIM GOMES — CREDENCIAMENTO SAÚDE, PARA FINS DE SELECIONAR ORGANIZAÇÕES DA SOCIEDADE CIVIL PARA EVENTUAL CELEBRAÇÃO DE TERMO DE COLABORAÇÃO OU T</t>
  </si>
  <si>
    <t xml:space="preserve">MUNICIPIO DE JOAQUIM GOMES</t>
  </si>
  <si>
    <t xml:space="preserve">https://pncp.gov.br/app/editais/12262739000150/2026/43</t>
  </si>
  <si>
    <t xml:space="preserve">2027-08-20</t>
  </si>
  <si>
    <t xml:space="preserve">{'inicio': '2026-08-20', 'fim': '2027-08-20'}</t>
  </si>
  <si>
    <t xml:space="preserve">CREDENCIAMENTO SAÚDE, PARA FINS DE SELECIONAR ORGANIZAÇÕES DA SOCIEDADE CIVIL PARA EVENTUAL CELEBRAÇÃO DE TERMO DE COLABORAÇÃO OU TERMO DE FOMENTO, DE ACORDO COM A LEI FE</t>
  </si>
  <si>
    <t xml:space="preserve">valor total estimado R$ 1,00</t>
  </si>
  <si>
    <t xml:space="preserve">op-052583ca792d</t>
  </si>
  <si>
    <t xml:space="preserve">Municipio de sobral — [licitanet] - seleção de projetos para cultura e infâncias; obras artísticas para circul… — Ceará</t>
  </si>
  <si>
    <t xml:space="preserve">MUNICIPIO DE SOBRAL — [LICITANET] - SELEÇÃO DE PROJETOS PARA CULTURA E INFÂNCIAS; OBRAS ARTÍSTICAS PARA CIRCULAÇÃO; EVENTOS ARTÍSTICO-CULTURAIS; CAPOEIRA E CULT</t>
  </si>
  <si>
    <t xml:space="preserve">MUNICIPIO DE SOBRAL</t>
  </si>
  <si>
    <t xml:space="preserve">https://pncp.gov.br/app/editais/07598634000137/2026/137</t>
  </si>
  <si>
    <t xml:space="preserve">Seleção de projetos para cultura e infâncias, circulação, eventos, capoeira e cultura popular (PNAB)</t>
  </si>
  <si>
    <t xml:space="preserve">2026-09-17 a 2026-10-02</t>
  </si>
  <si>
    <t xml:space="preserve">R$ 260.000,00 (estimado)</t>
  </si>
  <si>
    <t xml:space="preserve">Município de Sobral</t>
  </si>
  <si>
    <t xml:space="preserve">op-9dce2aa91ef4</t>
  </si>
  <si>
    <t xml:space="preserve">MUNICIPIO DE SENADOR POMPEU — Constitui objeto desta chamada pública a seleção e apoio a realização de iniciat… — Ceará</t>
  </si>
  <si>
    <t xml:space="preserve">MUNICIPIO DE SENADOR POMPEU — Constitui objeto desta chamada pública a seleção e apoio a realização de iniciativa destinada à promoção, preservação e difusão da</t>
  </si>
  <si>
    <t xml:space="preserve">MUNICIPIO DE SENADOR POMPEU</t>
  </si>
  <si>
    <t xml:space="preserve">https://pncp.gov.br/app/editais/07728421000182/2026/93</t>
  </si>
  <si>
    <t xml:space="preserve">{'inicio': None, 'fim': '2026-10-26'}</t>
  </si>
  <si>
    <t xml:space="preserve">Constitui objeto desta chamada pública a seleção e apoio a realização de iniciativa destinada à promoção, preservação e difusão das tradições regionais do município de Se</t>
  </si>
  <si>
    <t xml:space="preserve">op-f5bc34d20840</t>
  </si>
  <si>
    <t xml:space="preserve">Municipio de maracanau — hamamento público para credenciamento de entidades comunitárias, sem fins lucrativos/… — Ceará</t>
  </si>
  <si>
    <t xml:space="preserve">MUNICIPIO DE MARACANAU — HAMAMENTO PÚBLICO PARA CREDENCIAMENTO DE ENTIDADES COMUNITÁRIAS, SEM FINS LUCRATIVOS/ECONÔMICOS, REGULARMENTE CONSTITUÍDAS, MANTENEDORA</t>
  </si>
  <si>
    <t xml:space="preserve">MUNICIPIO DE MARACANAU</t>
  </si>
  <si>
    <t xml:space="preserve">https://pncp.gov.br/api/consulta/v1/orgaos/07605850000162/compras/2026/5</t>
  </si>
  <si>
    <t xml:space="preserve">https://pncp.gov.br/app/editais/07605850000162/2026/5</t>
  </si>
  <si>
    <t xml:space="preserve">{'inicio': '2026-01-15', 'fim': '2026-12-31'}</t>
  </si>
  <si>
    <t xml:space="preserve">HAMAMENTO PÚBLICO PARA CREDENCIAMENTO DE ENTIDADES COMUNITÁRIAS, SEM FINS LUCRATIVOS/ECONÔMICOS, REGULARMENTE CONSTITUÍDAS, MANTENEDORAS DE EDUCAÇÃO, CONTEMPLANDO BERÇÁRI</t>
  </si>
  <si>
    <t xml:space="preserve">R$ 21.665.715,61 estimado</t>
  </si>
  <si>
    <t xml:space="preserve">Educação infantil (creche e pré-escola conveniada)</t>
  </si>
  <si>
    <t xml:space="preserve">op-c2ac1918c8d5</t>
  </si>
  <si>
    <t xml:space="preserve">MUNICIPIO DE EUSEBIO — Chamamento Público para credenciamento de entidades privadas, sem fins lucrativos, que … — Ceará</t>
  </si>
  <si>
    <t xml:space="preserve">MUNICIPIO DE EUSEBIO — Chamamento Público para credenciamento de entidades privadas, sem fins lucrativos, que realizem acolhimento exclusivamente voluntário, em</t>
  </si>
  <si>
    <t xml:space="preserve">MUNICIPIO DE EUSEBIO</t>
  </si>
  <si>
    <t xml:space="preserve">https://pncp.gov.br/api/consulta/v1/orgaos/23563067000130/compras/2026/29</t>
  </si>
  <si>
    <t xml:space="preserve">https://pncp.gov.br/app/editais/23563067000130/2026/29</t>
  </si>
  <si>
    <t xml:space="preserve">2027-03-26</t>
  </si>
  <si>
    <t xml:space="preserve">{'inicio': '2026-03-26', 'fim': '2027-03-26'}</t>
  </si>
  <si>
    <t xml:space="preserve">Chamamento Público para credenciamento de entidades privadas, sem fins lucrativos, que realizem acolhimento exclusivamente voluntário, em regime residencial transitório,</t>
  </si>
  <si>
    <t xml:space="preserve">R$ 569.912,04 estimado</t>
  </si>
  <si>
    <t xml:space="preserve">Saúde / assistência (comunidade terapêutica)</t>
  </si>
  <si>
    <t xml:space="preserve">op-2252dc08f842</t>
  </si>
  <si>
    <t xml:space="preserve">Municipio de itaitinga — credenciamento de organizações da sociedade civil – oscs para execução de escolinhas … — Ceará</t>
  </si>
  <si>
    <t xml:space="preserve">MUNICIPIO DE ITAITINGA — CREDENCIAMENTO DE ORGANIZAÇÕES DA SOCIEDADE CIVIL – OSCS PARA EXECUÇÃO DE ESCOLINHAS ESPORTIVAS E PROJETOS SOCIOESPORTIVOS VOLTADOS AO </t>
  </si>
  <si>
    <t xml:space="preserve">MUNICIPIO DE ITAITINGA</t>
  </si>
  <si>
    <t xml:space="preserve">https://pncp.gov.br/app/editais/41563628000182/2026/47</t>
  </si>
  <si>
    <t xml:space="preserve">2027-07-10</t>
  </si>
  <si>
    <t xml:space="preserve">{'inicio': '2026-07-10', 'fim': '2027-07-10'}</t>
  </si>
  <si>
    <t xml:space="preserve">CREDENCIAMENTO DE ORGANIZAÇÕES DA SOCIEDADE CIVIL – OSCS PARA EXECUÇÃO DE ESCOLINHAS ESPORTIVAS E PROJETOS SOCIOESPORTIVOS VOLTADOS AO ATENDIMENTO DE CRIANÇAS E ADOLESCEN</t>
  </si>
  <si>
    <t xml:space="preserve">R$ 168.000,00 (valor total estimado)</t>
  </si>
  <si>
    <t xml:space="preserve">conforme objeto: CREDENCIAMENTO DE ORGANIZAÇÕES DA SOCIEDADE CIVIL – OSCS PARA EXECUÇÃO DE</t>
  </si>
  <si>
    <t xml:space="preserve">op-6a2c1f1ab6db</t>
  </si>
  <si>
    <t xml:space="preserve">Fundacao municipal de saude de taquaritinga do norte — credenciamento de pessoa(s) jurídica(s) de direito priv… — Pernambuco</t>
  </si>
  <si>
    <t xml:space="preserve">FUNDACAO MUNICIPAL DE SAUDE DE TAQUARITINGA DO NORTE — CREDENCIAMENTO DE PESSOA(S) JURÍDICA(S) DE DIREITO PRIVADO, PREFERENCIALMENTE AS ENTIDADES FILANTRÓPICAS </t>
  </si>
  <si>
    <t xml:space="preserve">FUNDACAO MUNICIPAL DE SAUDE DE TAQUARITINGA DO NORTE</t>
  </si>
  <si>
    <t xml:space="preserve">https://pncp.gov.br/app/editais/01683480000103/2026/5</t>
  </si>
  <si>
    <t xml:space="preserve">2027-05-11</t>
  </si>
  <si>
    <t xml:space="preserve">{'inicio': '2026-05-08', 'fim': '2027-05-11'}</t>
  </si>
  <si>
    <t xml:space="preserve">CREDENCIAMENTO DE PESSOA(S) JURÍDICA(S) DE DIREITO PRIVADO, PREFERENCIALMENTE AS ENTIDADES FILANTRÓPICAS E AS SEM FINS LUCRATIVOS (previsão do Art. 199, § 1º, da CF), INT</t>
  </si>
  <si>
    <t xml:space="preserve">R$ 7.708.305,72 (valor total estimado)</t>
  </si>
  <si>
    <t xml:space="preserve">conforme objeto: CREDENCIAMENTO DE PESSOA(S) JURÍDICA(S) DE DIREITO PRIVADO, PREFERENCIALM</t>
  </si>
  <si>
    <t xml:space="preserve">op-ecb1b10613be</t>
  </si>
  <si>
    <t xml:space="preserve">Fundo municipal de saude de taquaritinga do norte — credenciamento de pessoa(s) jurídica(s) de direito privado… — Pernambuco</t>
  </si>
  <si>
    <t xml:space="preserve">FUNDO MUNICIPAL DE SAUDE DE TAQUARITINGA DO NORTE — CREDENCIAMENTO DE PESSOA(S) JURÍDICA(S) DE DIREITO PRIVADO, PREFERENCIALMENTE AS ENTIDADES FILANTRÓPICAS E A</t>
  </si>
  <si>
    <t xml:space="preserve">FUNDO MUNICIPAL DE SAUDE DE TAQUARITINGA DO NORTE</t>
  </si>
  <si>
    <t xml:space="preserve">https://pncp.gov.br/app/editais/08677960000100/2026/4</t>
  </si>
  <si>
    <t xml:space="preserve">R$ 5.771.687,64 (valor total estimado)</t>
  </si>
  <si>
    <t xml:space="preserve">op-29aa10c99fa6</t>
  </si>
  <si>
    <t xml:space="preserve">Municipio de nova mutum — chamamento público para seleção de projetos culturais, visando à celebração de termo… — Mato Grosso</t>
  </si>
  <si>
    <t xml:space="preserve">MUNICIPIO DE NOVA MUTUM — CHAMAMENTO PÚBLICO PARA SELEÇÃO DE PROJETOS CULTURAIS, VISANDO À CELEBRAÇÃO DE TERMO DE EXECUÇÃO CULTURAL COM AGENTES CULTURAIS DO MUN</t>
  </si>
  <si>
    <t xml:space="preserve">MUNICIPIO DE NOVA MUTUM</t>
  </si>
  <si>
    <t xml:space="preserve">MT</t>
  </si>
  <si>
    <t xml:space="preserve">https://pncp.gov.br/app/editais/24772162000106/2026/168</t>
  </si>
  <si>
    <t xml:space="preserve">CHAMAMENTO PÚBLICO PARA SELEÇÃO DE PROJETOS CULTURAIS, VISANDO À CELEBRAÇÃO DE TERMO DE EXECUÇÃO CULTURAL COM AGENTES CULTURAIS DO MUNICÍPIO DE NOVA MUTUM-MT – CICLO 2, P</t>
  </si>
  <si>
    <t xml:space="preserve">op-f750cd6c2259</t>
  </si>
  <si>
    <t xml:space="preserve">MUNICIPIO DE PALMAS — Selecao de Organizacao da Sociedade Civil - OSC para celebracao de Termo de Colaboracao … — Tocantins / Palmas</t>
  </si>
  <si>
    <t xml:space="preserve">MUNICIPIO DE PALMAS — Selecao de Organizacao da Sociedade Civil - OSC para celebracao de Termo de Colaboracao destinado a gestao, a operacionalizacao e a execuc</t>
  </si>
  <si>
    <t xml:space="preserve">MUNICIPIO DE PALMAS</t>
  </si>
  <si>
    <t xml:space="preserve">TO</t>
  </si>
  <si>
    <t xml:space="preserve">Palmas</t>
  </si>
  <si>
    <t xml:space="preserve">https://www.palmas.to.gov.br/core/noticias/prefeitura-de-palmas-lanca-edital-de-chamamento-publico-para-gestao-e-operacionalizacao-das-upas-norte-e-sul/</t>
  </si>
  <si>
    <t xml:space="preserve">https://pncp.gov.br/app/editais/24851511000185/2026/527</t>
  </si>
  <si>
    <t xml:space="preserve">{'inicio': '2026-09-21', 'fim': '2026-10-21'}</t>
  </si>
  <si>
    <t xml:space="preserve">Selecao de Organizacao da Sociedade Civil - OSC para celebracao de Termo de Colaboracao destinado a gestao, a operacionalizacao e a execucao das acoes e servicos de saude</t>
  </si>
  <si>
    <t xml:space="preserve">R$ 81.857.366,16 global; média mensal R$ 6.821.447,18; vigência 12 meses prorrogável até 6</t>
  </si>
  <si>
    <t xml:space="preserve">Gestão integral dos serviços de saúde das duas UPAs, repasse por metas e indicadores</t>
  </si>
  <si>
    <t xml:space="preserve">Saúde - urgência e emergência</t>
  </si>
  <si>
    <t xml:space="preserve">op-7ee7bf8d3c8b</t>
  </si>
  <si>
    <t xml:space="preserve">MUNICIPIO DE IGUATU — Seleção de Organização da Sociedade Civil – OSC para execução, em regime de colaboração … — Ceará</t>
  </si>
  <si>
    <t xml:space="preserve">MUNICIPIO DE IGUATU — Seleção de Organização da Sociedade Civil – OSC para execução, em regime de colaboração com o Município, de serviços educacionais destinad</t>
  </si>
  <si>
    <t xml:space="preserve">MUNICIPIO DE IGUATU</t>
  </si>
  <si>
    <t xml:space="preserve">https://pncp.gov.br/app/editais/07810468000190/2026/119</t>
  </si>
  <si>
    <t xml:space="preserve">Seleção de Organização da Sociedade Civil – OSC para execução, em regime de colaboração com o Município, de serviços educacionais destinados ao atendimento de crianças da</t>
  </si>
  <si>
    <t xml:space="preserve">op-4b499e8906e4</t>
  </si>
  <si>
    <t xml:space="preserve">Consirc - consorcio publico intermunicipal de saude da regiao de catanduva — credenciamento de pessoa(s) juríd… — Brasil</t>
  </si>
  <si>
    <t xml:space="preserve">CONSIRC - CONSORCIO PUBLICO INTERMUNICIPAL DE SAUDE DA REGIAO DE CATANDUVA — CREDENCIAMENTO DE PESSOA(S) JURÍDICA(S) OU PESSOA(S) FÍSICA(S) PARA PRESTAÇÃO DE SE</t>
  </si>
  <si>
    <t xml:space="preserve">CONSIRC - CONSORCIO PUBLICO INTERMUNICIPAL DE SAUDE DA REGIAO DE CATANDUVA</t>
  </si>
  <si>
    <t xml:space="preserve">https://pncp.gov.br/app/editais/25103884000130/2026/67</t>
  </si>
  <si>
    <t xml:space="preserve">2031</t>
  </si>
  <si>
    <t xml:space="preserve">2031-09-15</t>
  </si>
  <si>
    <t xml:space="preserve">{'inicio': None, 'fim': '2031-09-15'}</t>
  </si>
  <si>
    <t xml:space="preserve">op-6588889e83e4</t>
  </si>
  <si>
    <t xml:space="preserve">Continue lendo Edital Futuro Bem Maior vai selecionar 33 organizações e coletivos de pequeno porte — Brasil</t>
  </si>
  <si>
    <t xml:space="preserve">Continue lendo Edital Futuro Bem Maior vai selecionar 33 organizações e coletivos de pequeno porte</t>
  </si>
  <si>
    <t xml:space="preserve">{'valor': 'iniciativa_privada', 'fundamento': 'Movimento Bem Maior, entidade filantrópica privada, seleciona e financia com recursos de seus investidores sociais.', 'em': '2026-10-02'}</t>
  </si>
  <si>
    <t xml:space="preserve">https://meufuturosite.shop/elementor-7/</t>
  </si>
  <si>
    <t xml:space="preserve">op-56d1b0cc44e7</t>
  </si>
  <si>
    <t xml:space="preserve">ContraFluxo – Chamada para organizações sociais de Curitiba (PR) que queiram transformar uma causa em filme Fe… — Paraná / Curitiba</t>
  </si>
  <si>
    <t xml:space="preserve">ContraFluxo – Chamada para organizações sociais de Curitiba (PR) que queiram transformar uma causa em filme Festival ContraFluxo Aceita:   organizações da socie</t>
  </si>
  <si>
    <t xml:space="preserve">Curitiba</t>
  </si>
  <si>
    <t xml:space="preserve">https://www.cultura.pr.gov.br/Categoria-de-Pagina/Editais</t>
  </si>
  <si>
    <t xml:space="preserve">https://capitaai.com.br/captacao/contrafluxo-abre-chamada-organizacoes-sociais-curitiba-que-queiram-1kt0lj</t>
  </si>
  <si>
    <t xml:space="preserve">{'observacao': 'VERIFICADO em 03/10/2026 (imprensa local e site do Festival ContraFluxo): chamada de 2026 (festival de set/nov/2026) para OSCs de Curitiba, inscrições até 08/10/2026, filme de 3 minutos produzido pela Trópico Audiovisual; edição anterior não localizada.'}</t>
  </si>
  <si>
    <t xml:space="preserve">op-6dde4cc20d6f</t>
  </si>
  <si>
    <t xml:space="preserve">Pdf edital de credenciamento de no001/2026 - organizações da sociedade civil — Goiás — Goiás / Goianésia</t>
  </si>
  <si>
    <t xml:space="preserve">Pdf edital de credenciamento de no001/2026 - organizações da sociedade civil — Goiás</t>
  </si>
  <si>
    <t xml:space="preserve">MUNICÍPIO DE GOIANÉSIA, ESTADO DE GOIÁS</t>
  </si>
  <si>
    <t xml:space="preserve">Goianésia</t>
  </si>
  <si>
    <t xml:space="preserve">{'valor': 'poder_publico', 'fundamento': 'SEMAD publica; recursos de autocomposição ambiental (acordos/conversão de multas) geridos pelo Estado.', 'em': '2026-10-02'}</t>
  </si>
  <si>
    <t xml:space="preserve">https://goianesia.go.gov.br/wp-content/uploads/2023/11/Edital-Credenciamento-Promocao.pdf</t>
  </si>
  <si>
    <t xml:space="preserve">https://goias.gov.br/meioambiente/edital-de-credenciamento/</t>
  </si>
  <si>
    <t xml:space="preserve">2026-04-17</t>
  </si>
  <si>
    <t xml:space="preserve">{'inicio': '2026-04-17', 'fim': 'contínuo'}</t>
  </si>
  <si>
    <t xml:space="preserve">Credenciamento de organizações da sociedade civil (associações/cooperativas relacionadas à</t>
  </si>
  <si>
    <t xml:space="preserve">Certificado de Credenciamento e publicação no site do Município</t>
  </si>
  <si>
    <t xml:space="preserve">SECRETARIA DE ESTADO DE MEIO AMBIENTE E DESENVOLVIMENTO SUSTENTÁVEL - SEMAD</t>
  </si>
  <si>
    <t xml:space="preserve">Estejam legalmente constituídas há pelo menos 1 (um) ano;, Suas atividades estejam diretam</t>
  </si>
  <si>
    <t xml:space="preserve">assistência social</t>
  </si>
  <si>
    <t xml:space="preserve">op-012ec9bd478b</t>
  </si>
  <si>
    <t xml:space="preserve">EDITAL Nº. 001/2025 CHAMAMENTO PÚBLICO – O Município de Canoas torna pública a abertura de inscrições que tem…… — Brasil</t>
  </si>
  <si>
    <t xml:space="preserve">EDITAL Nº. 001/2025 CHAMAMENTO PÚBLICO – O Município de Canoas torna pública a abertura de inscrições que tem… — MUNICIPIO DE CANOAS</t>
  </si>
  <si>
    <t xml:space="preserve">https://pncp.gov.br/app/editais/88577416000118/2025/228</t>
  </si>
  <si>
    <t xml:space="preserve">op-d60154d3e2fd</t>
  </si>
  <si>
    <t xml:space="preserve">Aviso de chamamento público nº 848/2026 — Brasil</t>
  </si>
  <si>
    <t xml:space="preserve">AVISO DE CHAMAMENTO PÚBLICO Nº 848/2026</t>
  </si>
  <si>
    <t xml:space="preserve">Serviço Federal de Processamento de Dados</t>
  </si>
  <si>
    <t xml:space="preserve">{'valor': 'poder_publico', 'fundamento': 'Publica o Serpro, empresa pública federal; não há repasse — é consulta a parceiros de negócio.', 'em': '2026-10-02'}</t>
  </si>
  <si>
    <t xml:space="preserve">https://chamamentos.serpro.gov.br/editais/12</t>
  </si>
  <si>
    <t xml:space="preserve">https://chamamentos.serpro.gov.br/editais/13</t>
  </si>
  <si>
    <t xml:space="preserve">op-174c8139a367</t>
  </si>
  <si>
    <t xml:space="preserve">Destinação de bens e valores - chamamento público — Goiás</t>
  </si>
  <si>
    <t xml:space="preserve">Destinação de bens e valores - chamamento público</t>
  </si>
  <si>
    <t xml:space="preserve">MPF — PR-BA</t>
  </si>
  <si>
    <t xml:space="preserve">https://www.mpf.mp.br/o-mpf/unidades/pr-ba/destinacao-de-bens-e-valores</t>
  </si>
  <si>
    <t xml:space="preserve">o cadastramento prévio de pessoas jurídicas de direito privado sem fins lucrativos e de in</t>
  </si>
  <si>
    <t xml:space="preserve">Deferimento do cadastro pelo Procurador-Chefe (sem data)</t>
  </si>
  <si>
    <t xml:space="preserve">Pedido de reconsideração em 15 dias úteis; regularização de pendência em 5 dias úteis</t>
  </si>
  <si>
    <t xml:space="preserve">MINISTÉRIO PÚBLICO FEDERAL</t>
  </si>
  <si>
    <t xml:space="preserve">atos constitutivos, em se tratando de entidades e organizações da sociedade civil, documen</t>
  </si>
  <si>
    <t xml:space="preserve">op-cc39b07683ca</t>
  </si>
  <si>
    <t xml:space="preserve">TRIBUNAL SUPERIOR ELEITORAL — Credenciamento de associações e/ou cooperativas de catadores de materiais recicl… — Brasil</t>
  </si>
  <si>
    <t xml:space="preserve">TRIBUNAL SUPERIOR ELEITORAL — Credenciamento de associações e/ou cooperativas de catadores de materiais recicláveis, para recolhimento e processamento de materi</t>
  </si>
  <si>
    <t xml:space="preserve">TRIBUNAL SUPERIOR ELEITORAL</t>
  </si>
  <si>
    <t xml:space="preserve">https://pncp.gov.br/app/editais/00509018000113/2025/981</t>
  </si>
  <si>
    <t xml:space="preserve">2035-05-14</t>
  </si>
  <si>
    <t xml:space="preserve">{'inicio': None, 'fim': '2035-05-14'}</t>
  </si>
  <si>
    <t xml:space="preserve">op-77daf4d25d65</t>
  </si>
  <si>
    <t xml:space="preserve">MUNICIPIO DE OSORIO — O presente Chamamento Público se destina a selecionar Organizações da Sociedade Civil (O… — Rio Grande do Sul</t>
  </si>
  <si>
    <t xml:space="preserve">MUNICIPIO DE OSORIO — O presente Chamamento Público se destina a selecionar Organizações da Sociedade Civil (OSC) sem fins lucrativos, para firmar parceria atra</t>
  </si>
  <si>
    <t xml:space="preserve">MUNICIPIO DE OSORIO</t>
  </si>
  <si>
    <t xml:space="preserve">https://pncp.gov.br/app/editais/88814181000130/2026/450</t>
  </si>
  <si>
    <t xml:space="preserve">O presente Chamamento Público se destina a selecionar Organizações da Sociedade Civil (OSC) sem fins lucrativos, para firmar parceria através de Termo de Colaboração, em</t>
  </si>
  <si>
    <t xml:space="preserve">op-1d25fdab2714</t>
  </si>
  <si>
    <t xml:space="preserve">Edital de doação de bens móveis — Goiás</t>
  </si>
  <si>
    <t xml:space="preserve">Edital de doação de bens móveis</t>
  </si>
  <si>
    <t xml:space="preserve">MPF — PR-GO (Secretaria Estadual)</t>
  </si>
  <si>
    <t xml:space="preserve">https://www.mpf.mp.br/o-mpf/unidades/pr-go/transparencia/bens-para-doacao</t>
  </si>
  <si>
    <t xml:space="preserve">Resultado, Esfera, Requisitos, Destinação, Área de atuação</t>
  </si>
  <si>
    <t xml:space="preserve">Doação de bens móveis</t>
  </si>
  <si>
    <t xml:space="preserve">informado (Motor 12 — inventário-base (estudo de 02/10/2026), 2026-10-02)</t>
  </si>
  <si>
    <t xml:space="preserve">2025-10-27 a 2025-11-06</t>
  </si>
  <si>
    <t xml:space="preserve">doação de bens: o que se recebe é o bem, avaliado pelo órgão, não um valor de edital</t>
  </si>
  <si>
    <t xml:space="preserve">Ministério Público Federal</t>
  </si>
  <si>
    <t xml:space="preserve">op-af9206aa8692</t>
  </si>
  <si>
    <t xml:space="preserve">Edital de chamamento público voltado a associações e cooperativas de catadores de materiais recicláveis e reut… — Goiás / Goiânia</t>
  </si>
  <si>
    <t xml:space="preserve">Edital de chamamento público voltado a associações e cooperativas de catadores de materiais recicláveis e reutilizáveis</t>
  </si>
  <si>
    <t xml:space="preserve">MPT-GO — PRT 18ª Região (Goiânia/GO)</t>
  </si>
  <si>
    <t xml:space="preserve">https://www.prt18.mpt.mp.br/informe-se/noticias-do-mpt-go/1107-edital-de-chamamento-publico-voltado-a-associacoes-e-cooperativas-de-catadores-de-materiais-reciclaveis-e-reutilizaveis</t>
  </si>
  <si>
    <t xml:space="preserve">op-225804d1cece</t>
  </si>
  <si>
    <t xml:space="preserve">Prefeitura de Nova Iguaçu de Goiás — Edital nº 001/2026 — Goiás / Nova Iguaçu de Goiás — Goiás / Nova Iguaçu d… — Goiás / Nova Iguaçu de Goiás</t>
  </si>
  <si>
    <t xml:space="preserve">Prefeitura de Nova Iguaçu de Goiás — Edital nº 001/2026 — Goiás / Nova Iguaçu de Goiás — Goiás / Nova Iguaçu de Goiás</t>
  </si>
  <si>
    <t xml:space="preserve">{'valor': 'poder_publico', 'fundamento': 'Ato administrativo da SME de Goiânia.', 'em': '2026-10-02'}</t>
  </si>
  <si>
    <t xml:space="preserve">https://sme.goiania.go.gov.br/site/images/CACS_FUNDEB/SEI_8316257_Edital.pdf</t>
  </si>
  <si>
    <t xml:space="preserve">Prazo de inscrição, Valor, Destinação, Área de atuação</t>
  </si>
  <si>
    <t xml:space="preserve">Escolha de Diretores das Unidades Educacionais da Rede Municipal de Educação de Goiânia</t>
  </si>
  <si>
    <t xml:space="preserve">2025-12-09</t>
  </si>
  <si>
    <t xml:space="preserve">2025-12-04 a 2025-12-05</t>
  </si>
  <si>
    <t xml:space="preserve">Secretaria Municipal de Educação de Goiânia</t>
  </si>
  <si>
    <t xml:space="preserve">op-c3f5231a1f31</t>
  </si>
  <si>
    <t xml:space="preserve">Municipio de pirenopolis — chamamento público visando celebrar termo de colaboração com organizações da socied… — Goiás / Pirenópolis</t>
  </si>
  <si>
    <t xml:space="preserve">MUNICIPIO DE PIRENOPOLIS — CHAMAMENTO PÚBLICO VISANDO CELEBRAR TERMO DE COLABORAÇÃO COM ORGANIZAÇÕES DA SOCIEDADE CIVIL (OSC) PARA, EM PARCERIA COM A PREFEITURA</t>
  </si>
  <si>
    <t xml:space="preserve">MUNICIPIO DE PIRENOPOLIS</t>
  </si>
  <si>
    <t xml:space="preserve">Pirenópolis</t>
  </si>
  <si>
    <t xml:space="preserve">https://pncp.gov.br/app/editais/01067941000105/2025/74</t>
  </si>
  <si>
    <t xml:space="preserve">2027-09-16</t>
  </si>
  <si>
    <t xml:space="preserve">{'inicio': None, 'fim': '2027-09-16'}</t>
  </si>
  <si>
    <t xml:space="preserve">Chamamento público para termo de colaboração com OSC — oficinas, ensaios e apresentações musicais gratuitas</t>
  </si>
  <si>
    <t xml:space="preserve">2025-09-16 a 2027-09-16</t>
  </si>
  <si>
    <t xml:space="preserve">R$ 300.000,00 (estimado)</t>
  </si>
  <si>
    <t xml:space="preserve">Município de Pirenópolis (Secretaria Municipal de Educação e Cultura)</t>
  </si>
  <si>
    <t xml:space="preserve">op-239b16f8d334</t>
  </si>
  <si>
    <t xml:space="preserve">Laçzos Artísticos - Chamada Especial CPLP — Internacional</t>
  </si>
  <si>
    <t xml:space="preserve">Laçzos Artísticos - Chamada Especial CPLP</t>
  </si>
  <si>
    <t xml:space="preserve">{'valor': 'poder_publico', 'fundamento': 'DGARTES e Camões (Portugal), Funarte (Brasil) e OEI (organismo intergovernamental), com recursos públicos.', 'em': '2026-10-02'}</t>
  </si>
  <si>
    <t xml:space="preserve">https://oei.int/pt/escritorios/portugal/programa/laczos-artisticos-chamada-especial-cplp/</t>
  </si>
  <si>
    <t xml:space="preserve">https://www.gov.br/funarte/pt-br/editais/2026/laczos-artisticos-2013-chamada-especial-cplp</t>
  </si>
  <si>
    <t xml:space="preserve">2026-09-15</t>
  </si>
  <si>
    <t xml:space="preserve">2026-10-12</t>
  </si>
  <si>
    <t xml:space="preserve">{'inicio': None, 'fim': '2026-10-12'}</t>
  </si>
  <si>
    <t xml:space="preserve">Laç(z)os Artísticos – Chamada Especial CPLP</t>
  </si>
  <si>
    <t xml:space="preserve">Até 23h59 de 12 de outubro (hora do Brasil)</t>
  </si>
  <si>
    <t xml:space="preserve">Bolsa cobre custos de viagem aérea, seguros de saúde e viagem; valor numérico não informad</t>
  </si>
  <si>
    <t xml:space="preserve">Países da CPLP, com Brasil como referência</t>
  </si>
  <si>
    <t xml:space="preserve">Internacional/multilateral</t>
  </si>
  <si>
    <t xml:space="preserve">Pessoas físicas maiores de 18 anos, residentes ou nacionais de país CPLP; projeto estrutur</t>
  </si>
  <si>
    <t xml:space="preserve">Teatro</t>
  </si>
  <si>
    <t xml:space="preserve">{'observacao': 'Mestras e Mestres 2023 (inscrições 20/07/2023 a 18/08/2023, página oficial .../editais/2023/premio-funarte-mestras-e-mestres-das-artes-2023) fica ANTES da janela 03/10/2023, não listada. Páginas-índice oficiais por ano (/funarte/pt-br/editais/2023, 2024, 2025, 2026) listam dezenas de editais (Retomada 2023, Aberta, Ações Continuadas, Marc Ferrez 17ª, Bolsas Conexões Internacionais,</t>
  </si>
  <si>
    <t xml:space="preserve">op-e5aea4809fcf</t>
  </si>
  <si>
    <t xml:space="preserve">[Portal de Compras Públicas] - Seleção de Propostas apresentadas pelas Organizações da Sociedade Civil de Plan… — Goiás / Planaltina</t>
  </si>
  <si>
    <t xml:space="preserve">[Portal de Compras Públicas] - Seleção de Propostas apresentadas pelas Organizações da Sociedade Civil de Planaltina, que visem à execução de Atividades Esporti</t>
  </si>
  <si>
    <t xml:space="preserve">PNCP — MUNICIPIO DE PLANALTINA</t>
  </si>
  <si>
    <t xml:space="preserve">https://planaltina.go.gov.br/wp-content/uploads/migration/Edital_chamamento_publico_02-2025.pdf</t>
  </si>
  <si>
    <t xml:space="preserve">O cadastro deverá ser feito no Portal de Compras Públicas, no sítio www.portaldecompraspub</t>
  </si>
  <si>
    <t xml:space="preserve">op-1e602de57e22</t>
  </si>
  <si>
    <t xml:space="preserve">Reforço imediato: Apoio Emergencial às Brigadas Voluntárias e Comunitárias — Brasil</t>
  </si>
  <si>
    <t xml:space="preserve">Reforço imediato: Apoio Emergencial às Brigadas Voluntárias e Comunitárias</t>
  </si>
  <si>
    <t xml:space="preserve">Fundo Casa Socioambiental (apoio: Instituto Itaúsa)</t>
  </si>
  <si>
    <t xml:space="preserve">https://casa.org.br/chamadas/reforco-imediato-apoio-emergencial-as-brigadas-voluntarias-e-comunitarias</t>
  </si>
  <si>
    <t xml:space="preserve">2024-09-06</t>
  </si>
  <si>
    <t xml:space="preserve">R$ 600.000,00 total; até R$ 20.000,00 por projeto</t>
  </si>
  <si>
    <t xml:space="preserve">https://casa.org.br/chamadas/reforco-imediato-apoio-emergencial-as-brigadas-voluntarias-e-comunitarias/</t>
  </si>
  <si>
    <t xml:space="preserve">op-d4907746c6f3</t>
  </si>
  <si>
    <t xml:space="preserve">Teia da Sociobiodiversidade – 2024 — Brasil</t>
  </si>
  <si>
    <t xml:space="preserve">Teia da Sociobiodiversidade – 2024</t>
  </si>
  <si>
    <t xml:space="preserve">Fundo Casa Socioambiental (apoio: Fundo Socioambiental CAIXA (FSA CAIXA))</t>
  </si>
  <si>
    <t xml:space="preserve">https://casa.org.br/chamadas/teia-da-sociobiodiversidade/</t>
  </si>
  <si>
    <t xml:space="preserve">2025-12-16</t>
  </si>
  <si>
    <t xml:space="preserve">https://casa.org.br/chamadas/teia-da-sociobiodiversidade-2025/</t>
  </si>
  <si>
    <t xml:space="preserve">Teia da Sociobiodiversidade – 2025</t>
  </si>
  <si>
    <t xml:space="preserve">2025-11-11 a 2025-12-16</t>
  </si>
  <si>
    <t xml:space="preserve">R$ 20.000.000,00 (programa, 2 chamadas); até R$ 100.000,00 por projeto</t>
  </si>
  <si>
    <t xml:space="preserve">op-18e5c54444f0</t>
  </si>
  <si>
    <t xml:space="preserve">MPF em Goiás cadastra entidades e órgãos públicos para recebimento de bens e valores decorrentes da atuação da… — Goiás</t>
  </si>
  <si>
    <t xml:space="preserve">MPF em Goiás cadastra entidades e órgãos públicos para recebimento de bens e valores decorrentes da atuação da instituição</t>
  </si>
  <si>
    <t xml:space="preserve">MPF — PR-GO (Chefia/Gabinete)</t>
  </si>
  <si>
    <t xml:space="preserve">https://biblioteca.mpf.mp.br/server/api/core/bitstreams/f0a50f1b-b873-482a-b98b-52d48e4b5d65/content</t>
  </si>
  <si>
    <t xml:space="preserve">cadastramento de pessoas jurídicas de direito privado sem fins lucrativos e de instituiçõe</t>
  </si>
  <si>
    <t xml:space="preserve">2025-10-09 a não informado; recebimento contínuo; edital renovado a cada 2 anos (art. 2º da Portaria 1.097/2024)</t>
  </si>
  <si>
    <t xml:space="preserve">não se aplica (cadastro; a inclusão não garante destinação)</t>
  </si>
  <si>
    <t xml:space="preserve">informar, sempre que possível, a área temática de sua atuação</t>
  </si>
  <si>
    <t xml:space="preserve">op-862fb3717c5a</t>
  </si>
  <si>
    <t xml:space="preserve">Pdf edital de credenciamento de no001/2026 - organizações da sociedade civil — Goiás — Goiás / Goianésia — Goiás / Goianésia</t>
  </si>
  <si>
    <t xml:space="preserve">Semad - Secretaria de Meio Ambiente do Estado de Goiás</t>
  </si>
  <si>
    <t xml:space="preserve">https://goias.gov.br/meioambiente/wp-content/uploads/sites/33/2025/09/Edital-Retificado.pdf</t>
  </si>
  <si>
    <t xml:space="preserve">CREDENCIAMENTO DE ORGANIZAÇÕES DA SOCIEDADE CIVIL (ASSOCIAÇÕES/COOPERATIVAS RELACIONADAS À</t>
  </si>
  <si>
    <t xml:space="preserve">divulgação no site oficial, com justificativa das inabilitações</t>
  </si>
  <si>
    <t xml:space="preserve">5 dias úteis após o resultado</t>
  </si>
  <si>
    <t xml:space="preserve">op-512f83ac601c</t>
  </si>
  <si>
    <t xml:space="preserve">MPF lança chamamento público para cadastro de entidades aptas a receber bens e valores de processos judiciais … — Goiás</t>
  </si>
  <si>
    <t xml:space="preserve">MPF lança chamamento público para cadastro de entidades aptas a receber bens e valores de processos judiciais e extrajudiciais na PB</t>
  </si>
  <si>
    <t xml:space="preserve">MPF — PR-PB</t>
  </si>
  <si>
    <t xml:space="preserve">cadastro de pessoas jurídicas de direito privado sem fins lucrativos e de instituições, en</t>
  </si>
  <si>
    <t xml:space="preserve">2025-09-15 a contínuo</t>
  </si>
  <si>
    <t xml:space="preserve">op-c61949cde08f</t>
  </si>
  <si>
    <t xml:space="preserve">Chamamento Público Nº 006/2026 para Seleção de Projetos — Goiás / Alvorada do Norte — Goiás / Alvorada do Nort… — Goiás / Alvorada do Norte</t>
  </si>
  <si>
    <t xml:space="preserve">Chamamento Público Nº 006/2026 para Seleção de Projetos — Goiás / Alvorada do Norte — Goiás / Alvorada do Norte</t>
  </si>
  <si>
    <t xml:space="preserve">Prefeitura Municipal de Alvorada do Norte</t>
  </si>
  <si>
    <t xml:space="preserve">https://alvoradadonorte.go.gov.br/processo-seletivo-publico-n-001-2022/</t>
  </si>
  <si>
    <t xml:space="preserve">https://acessoainformacao.alvoradadonorte.go.gov.br/cidadao/ouvidoria/inicio</t>
  </si>
  <si>
    <t xml:space="preserve">Prazo de inscrição, Prazo de recurso, Valor</t>
  </si>
  <si>
    <t xml:space="preserve">preenchimento das vagas abertas, ou que vierem a vagar, ou que forem criadas no prazo de v</t>
  </si>
  <si>
    <t xml:space="preserve">SECRETARIA MUNICIPAL DE SAÚDE DE ALVORADA DO NORTE – ESTADO DE GOIÁS</t>
  </si>
  <si>
    <t xml:space="preserve">níveis de conhecimento e grau de complexidade compatível com a escolaridade e atribuições</t>
  </si>
  <si>
    <t xml:space="preserve">op-a96ccf0222d7</t>
  </si>
  <si>
    <t xml:space="preserve">A Agência do Bem abriu inscrições para o 6º Edital de Microprojetos - São Paulo da Rede do Bem. A oportunidade… — Brasil</t>
  </si>
  <si>
    <t xml:space="preserve">A Agência do Bem abriu inscrições para o 6º Edital de Microprojetos - São Paulo da Rede do Bem. A oportunidade é para organizações do  terceiro   setor  na Regi</t>
  </si>
  <si>
    <t xml:space="preserve">https://duckduckgo.com/l?uddg=https%3A%2F%2Fcaptadores.org.br%2Fcategory%2Feditais%2F&amp;rut=bff0d329b1fc035b9fae4019df7f64725b06759560072091961f3fad79655276</t>
  </si>
  <si>
    <t xml:space="preserve">Objeto, Prazo de inscrição, Resultado, Valor, Órgão / financiador, Território, Esfera, Requisitos, Anexos, Destinação, Área de atuação</t>
  </si>
  <si>
    <t xml:space="preserve">op-b9655660e6f1</t>
  </si>
  <si>
    <t xml:space="preserve">Anápolis — CRAS Leste 1 recebe inscrições para o Programa Bombeiro Mirim em Anápolis — Goiás / Anápolis</t>
  </si>
  <si>
    <t xml:space="preserve">Anápolis — CRAS Leste 1 recebe inscrições para o Programa Bombeiro Mirim em Anápolis</t>
  </si>
  <si>
    <t xml:space="preserve">Prefeitura de Anápolis</t>
  </si>
  <si>
    <t xml:space="preserve">https://goias.gov.br/seguranca/extrato-do-1o-termo-aditivo-ao-convenio-no-119-2021/</t>
  </si>
  <si>
    <t xml:space="preserve">https://www.anapolis.go.gov.br/cras-leste-1-recebe-inscricoes-para-o-programa-bombeiro-mirim-em-anapolis/</t>
  </si>
  <si>
    <t xml:space="preserve">implantação e implementação do Programa Educacional Bombeiro Mirim (PROEBOM) no âmbito do</t>
  </si>
  <si>
    <t xml:space="preserve">Estado de Goiás, por intermédio da Secretaria de Estado da Segurança Pública</t>
  </si>
  <si>
    <t xml:space="preserve">op-2e5964535d3f</t>
  </si>
  <si>
    <t xml:space="preserve">Programa Rouanet nas Favelas 2 — Brasil</t>
  </si>
  <si>
    <t xml:space="preserve">Programa Rouanet nas Favelas 2</t>
  </si>
  <si>
    <t xml:space="preserve">Ministério da Cultura</t>
  </si>
  <si>
    <t xml:space="preserve">{'valor': 'mista', 'fundamento': 'MinC seleciona; Vale aporta recurso incentivado da Lei Rouanet; CUFA é parceira.', 'em': '2026-10-02'}</t>
  </si>
  <si>
    <t xml:space="preserve">Propostas culturais financiadas por recursos incentivados no Pronac</t>
  </si>
  <si>
    <t xml:space="preserve">15/08/2026 a 13/10/2026, 23h59</t>
  </si>
  <si>
    <t xml:space="preserve">Provisório até 27/11/2026; final até 30/12/2026</t>
  </si>
  <si>
    <t xml:space="preserve">Até 07/12/2026, no Salic</t>
  </si>
  <si>
    <t xml:space="preserve">Até R$ 200 mil por proposta; total mínimo R$ 10 milhões</t>
  </si>
  <si>
    <t xml:space="preserve">MinC, Vale e CUFA</t>
  </si>
  <si>
    <t xml:space="preserve">Belém, Belo Horizonte, DF, Recife, Rio, São Luís, São Paulo, Vitória</t>
  </si>
  <si>
    <t xml:space="preserve">Federal (Pronac)</t>
  </si>
  <si>
    <t xml:space="preserve">PJ com ou sem fins lucrativos, de natureza cultural, sediada na localidade de execução</t>
  </si>
  <si>
    <t xml:space="preserve">Edital MinC nº 6/2026 e Manual do Proponente</t>
  </si>
  <si>
    <t xml:space="preserve">Execução de projetos culturais em favelas via Pronac</t>
  </si>
  <si>
    <t xml:space="preserve">Artes cênicas, visuais, audiovisual, música, patrimônio, hip-hop, cultura afro, infância e</t>
  </si>
  <si>
    <t xml:space="preserve">op-82c44881b205</t>
  </si>
  <si>
    <t xml:space="preserve">MUNICIPIO DE RIO NEGRO — Credenciamento de Instituições de acolhimento para pessoas adultas e de longa permanê… — Paraná</t>
  </si>
  <si>
    <t xml:space="preserve">MUNICIPIO DE RIO NEGRO — Credenciamento de Instituições de acolhimento para pessoas adultas e de longa permanência para idosos.</t>
  </si>
  <si>
    <t xml:space="preserve">MUNICIPIO DE RIO NEGRO</t>
  </si>
  <si>
    <t xml:space="preserve">https://pncp.gov.br/api/consulta/v1/orgaos/76002641000147/compras/2026/119</t>
  </si>
  <si>
    <t xml:space="preserve">https://pncp.gov.br/app/editais/76002641000147/2026/119</t>
  </si>
  <si>
    <t xml:space="preserve">2026-04-09</t>
  </si>
  <si>
    <t xml:space="preserve">2027-04-09</t>
  </si>
  <si>
    <t xml:space="preserve">{'inicio': '2026-04-09', 'fim': '2027-04-09'}</t>
  </si>
  <si>
    <t xml:space="preserve">Credenciamento de Instituições de acolhimento para pessoas adultas e de longa permanência</t>
  </si>
  <si>
    <t xml:space="preserve">Abertura de propostas 2026-04-09; encerramento 2027-04-09 (campos do PNCP)</t>
  </si>
  <si>
    <t xml:space="preserve">R$ 1.800.000,00 estimado</t>
  </si>
  <si>
    <t xml:space="preserve">Assistência social (acolhimento de adultos e idosos)</t>
  </si>
  <si>
    <t xml:space="preserve">op-51a06b8f9593</t>
  </si>
  <si>
    <t xml:space="preserve">Ministério da Cultura — Edital Biblioteca Comunitária é Cultura Viva — Brasil</t>
  </si>
  <si>
    <t xml:space="preserve">Ministério da Cultura — Edital Biblioteca Comunitária é Cultura Viva</t>
  </si>
  <si>
    <t xml:space="preserve">https://www.gov.br/cultura/pt-br/assuntos/editais/inscricoes-abertas/edital-biblioteca-comunitaria-e-cultura-viva1/edital-biblioteca-comunitaria-e-cultura-viva</t>
  </si>
  <si>
    <t xml:space="preserve">Edital Biblioteca Comunitária é Cultura Viva</t>
  </si>
  <si>
    <t xml:space="preserve">op-2cf1888b82c9</t>
  </si>
  <si>
    <t xml:space="preserve">Fundo municipal de assistencia social — edital de chamamento público visando à seleção de organizações da soci… — Goiás</t>
  </si>
  <si>
    <t xml:space="preserve">FUNDO MUNICIPAL DE ASSISTENCIA SOCIAL — EDITAL DE CHAMAMENTO PÚBLICO VISANDO À SELEÇÃO DE ORGANIZAÇÕES DA SOCIEDADE CIVIL (OSCS) DE ASSISTÊNCIA SOCIAL, INSCRITA</t>
  </si>
  <si>
    <t xml:space="preserve">FUNDO MUNICIPAL DE ASSISTENCIA SOCIAL</t>
  </si>
  <si>
    <t xml:space="preserve">https://pncp.gov.br/app/editais/13501444000152/2026/10</t>
  </si>
  <si>
    <t xml:space="preserve">{'inicio': None, 'fim': '2027-05-11'}</t>
  </si>
  <si>
    <t xml:space="preserve">{'observacao': 'VERIFICADO em 03/10/2026 (PNCP por CNPJ 13501444000152): edital 2026/10 de fundo municipal de assistência social, vigência de 11/05/2026 a 11/05/2027; sem edital anterior do mesmo objeto localizado no PNCP.'}</t>
  </si>
  <si>
    <t xml:space="preserve">op-2d4b578892a8</t>
  </si>
  <si>
    <t xml:space="preserve">Anápolis — Após diversas ações, segundo ciclo da Lei Aldir Blanc registra mais de 300 inscrições em Anápolis — Goiás / Anápolis</t>
  </si>
  <si>
    <t xml:space="preserve">Anápolis — Após diversas ações, segundo ciclo da Lei Aldir Blanc registra mais de 300 inscrições em Anápolis</t>
  </si>
  <si>
    <t xml:space="preserve">https://www.anapolis.go.gov.br/apos-diversas-acoes-segundo-ciclo-da-lei-aldir-blanc-registra-mais-de-300-inscricoes-em-anapolis/</t>
  </si>
  <si>
    <t xml:space="preserve">Prazo de inscrição, Prazo de recurso, Valor, Requisitos, Destinação</t>
  </si>
  <si>
    <t xml:space="preserve">2026-08-02</t>
  </si>
  <si>
    <t xml:space="preserve">op-569e6b6dddc6</t>
  </si>
  <si>
    <t xml:space="preserve">Anápolis — Quarta Cultural abre junho com música e dança no Teatro Municipal — Goiás / Anápolis</t>
  </si>
  <si>
    <t xml:space="preserve">Anápolis — Quarta Cultural abre junho com música e dança no Teatro Municipal</t>
  </si>
  <si>
    <t xml:space="preserve">https://www.anapolis.go.gov.br/quarta-cultural-abre-junho-com-musica-e-danca-no-teatro-municipal/</t>
  </si>
  <si>
    <t xml:space="preserve">o espetáculo musical 'Vibrante Feminina' e a apresentação 'A Dança dos Ciclos'</t>
  </si>
  <si>
    <t xml:space="preserve">op-8557f4f3a3c7</t>
  </si>
  <si>
    <t xml:space="preserve">Anápolis — Quarta Cultural terá edição especial com mentorias sobre projetos e edital da Política Nacional Ald… — Goiás / Anápolis</t>
  </si>
  <si>
    <t xml:space="preserve">Anápolis — Quarta Cultural terá edição especial com mentorias sobre projetos e edital da Política Nacional Aldir Blanc (PNAB)</t>
  </si>
  <si>
    <t xml:space="preserve">https://culteditais.cultura.gov.br/oportunidade/10643/</t>
  </si>
  <si>
    <t xml:space="preserve">https://www.anapolis.go.gov.br/quarta-cultural-tera-edicao-especial-com-mentorias-sobre-projetos-e-edital-da-politica-nacional-aldir-blanc-pnab/</t>
  </si>
  <si>
    <t xml:space="preserve">Seleção de Projetos para Firmar Termo de Execução Cultural com Recursos da Política Nacion</t>
  </si>
  <si>
    <t xml:space="preserve">Prefeitura de Anápolis, por meio da Secretaria Municipal de Cultura e Turismo</t>
  </si>
  <si>
    <t xml:space="preserve">op-f13977a3f6ec</t>
  </si>
  <si>
    <t xml:space="preserve">Cidade Ocidental — ATENÇÃO para as alterações nos editais da Lei Paulo Gustavo — Goiás / Cidade Ocidental</t>
  </si>
  <si>
    <t xml:space="preserve">Cidade Ocidental — ATENÇÃO para as alterações nos editais da Lei Paulo Gustavo</t>
  </si>
  <si>
    <t xml:space="preserve">Prefeitura de Cidade Ocidental</t>
  </si>
  <si>
    <t xml:space="preserve">Cidade Ocidental</t>
  </si>
  <si>
    <t xml:space="preserve">https://cidadeocidental.go.gov.br/atencao-para-as-alteracoes-nos-editais-da-lei-paulo-gustavo/</t>
  </si>
  <si>
    <t xml:space="preserve">Prazo de inscrição, Valor</t>
  </si>
  <si>
    <t xml:space="preserve">Promover eventos culturais e apresentações musicais em diferentes modalidades</t>
  </si>
  <si>
    <t xml:space="preserve">2023-11-29</t>
  </si>
  <si>
    <t xml:space="preserve">2023-11-22 a 2023-11-30</t>
  </si>
  <si>
    <t xml:space="preserve">Prefeitura Municipal de Cidade Ocidental</t>
  </si>
  <si>
    <t xml:space="preserve">Comprovar residência em uma das áreas mencionadas por, no mínimo, 2 (dois) anos, Apresenta</t>
  </si>
  <si>
    <t xml:space="preserve">op-6371bdc210b0</t>
  </si>
  <si>
    <t xml:space="preserve">Cidade Ocidental — Cidade Ocidental abre as inscrições para o edital da Lei Paulo Gustavo — Goiás / Cidade Ocidental</t>
  </si>
  <si>
    <t xml:space="preserve">Cidade Ocidental — Cidade Ocidental abre as inscrições para o edital da Lei Paulo Gustavo</t>
  </si>
  <si>
    <t xml:space="preserve">https://cidadeocidental.go.gov.br/cidade-ocidental-abre-as-inscricoes-para-o-edital-da-lei-paulo-gustavo/</t>
  </si>
  <si>
    <t xml:space="preserve">promoção cultural da cidade</t>
  </si>
  <si>
    <t xml:space="preserve">Mais de R$ 600 mil</t>
  </si>
  <si>
    <t xml:space="preserve">consultar os editais no site da Prefeitura Municipal de Cidade Ocidental – cidadeocidental</t>
  </si>
  <si>
    <t xml:space="preserve">op-5a0af4d053dc</t>
  </si>
  <si>
    <t xml:space="preserve">Cidade ocidental — chamada pública para a lei 14.399/2022 – política nacional aldir blanc pnab — Goiás / Cidade Ocidental</t>
  </si>
  <si>
    <t xml:space="preserve">Cidade Ocidental — CHAMADA PÚBLICA PARA A LEI 14.399/2022 – POLÍTICA NACIONAL ALDIR BLANC PNAB</t>
  </si>
  <si>
    <t xml:space="preserve">https://acessoainformacao.cidadeocidental.go.gov.br/informacao/licitacao/id=1203</t>
  </si>
  <si>
    <t xml:space="preserve">https://cidadeocidental.go.gov.br/chamada-publica-para-a-lei-14-399-2022-politica-nacional-aldir-blanc-pnab/</t>
  </si>
  <si>
    <t xml:space="preserve">Prazo de inscrição, Resultado, Prazo de recurso, Requisitos, Destinação, Área de atuação</t>
  </si>
  <si>
    <t xml:space="preserve">REFERENTE A SOLICITAÇÃO DE ABERTURA CHAMADA PÚBLICA PARA DA LEI 14.399/2022, POLÍTICA NACI</t>
  </si>
  <si>
    <t xml:space="preserve">R$ 160.000,00</t>
  </si>
  <si>
    <t xml:space="preserve">GOVERNO MUNICIPAL DE CIDADE OCIDENTAL</t>
  </si>
  <si>
    <t xml:space="preserve">op-1968122a9b1c</t>
  </si>
  <si>
    <t xml:space="preserve">Divulgado resultado final do Edital de Fomento à Rede Goiana — Goiás</t>
  </si>
  <si>
    <t xml:space="preserve">Divulgado resultado final do Edital de Fomento à Rede Goiana</t>
  </si>
  <si>
    <t xml:space="preserve">https://goias.gov.br/fapeg/divulgado-resultado-final-do-edital-de-fomento-a-rede-goiana-de-laboratorios-de-inovacao-2a-chamada</t>
  </si>
  <si>
    <t xml:space="preserve">op-953901b190e6</t>
  </si>
  <si>
    <t xml:space="preserve">Edital de chamamento publico n°011/2023 - lei paulo gustavo - multilinguagem. — Goiás</t>
  </si>
  <si>
    <t xml:space="preserve">EDITAL DE CHAMAMENTO PUBLICO N°011/2023 - LEI PAULO GUSTAVO - MULTILINGUAGEM.</t>
  </si>
  <si>
    <t xml:space="preserve">https://pncp.gov.br/app/editais/02355675000189/2023/674</t>
  </si>
  <si>
    <t xml:space="preserve">op-ab5ae2a127ec</t>
  </si>
  <si>
    <t xml:space="preserve">Goiás Social — Edital de Chamamento – CPA 2023/2024 — Goiás</t>
  </si>
  <si>
    <t xml:space="preserve">Goiás Social — Edital de Chamamento – CPA 2023/2024</t>
  </si>
  <si>
    <t xml:space="preserve">2024-08-19</t>
  </si>
  <si>
    <t xml:space="preserve">https://goias.gov.br/social/edital-de-chamamento-cpago-gestao-2025-2026/</t>
  </si>
  <si>
    <t xml:space="preserve">{'observacao': 'Chamamento CPA (SEDS) 2024.'}</t>
  </si>
  <si>
    <t xml:space="preserve">op-1aa878592994</t>
  </si>
  <si>
    <t xml:space="preserve">Anápolis — Fundo Municipal de Cultura recebe inscrições até domingo (19) — Goiás / Anápolis — Goiás / Anápolis</t>
  </si>
  <si>
    <t xml:space="preserve">Anápolis — Fundo Municipal de Cultura recebe inscrições até domingo (19) — Goiás / Anápolis</t>
  </si>
  <si>
    <t xml:space="preserve">{'valor': 'poder_publico', 'fundamento': 'Publica a Prefeitura de Anápolis; recurso do Fundo Municipal de Cultura (orçamento municipal).', 'em': '2026-10-02'}</t>
  </si>
  <si>
    <t xml:space="preserve">https://www.anapolis.go.gov.br/espacocultural/fundo-municipal-de-cultura-2023-2024/</t>
  </si>
  <si>
    <t xml:space="preserve">financiamento de projetos culturais</t>
  </si>
  <si>
    <t xml:space="preserve">mais de R$ 2 milhões</t>
  </si>
  <si>
    <t xml:space="preserve">apresentação de projeto cultural</t>
  </si>
  <si>
    <t xml:space="preserve">{'observacao': 'Idem.'}</t>
  </si>
  <si>
    <t xml:space="preserve">op-abd8d70ace8e</t>
  </si>
  <si>
    <t xml:space="preserve">Chamamento Público Nº 8/2026 — Política Nacional Aldir Blanc (Silvânia-GO) — Goiás</t>
  </si>
  <si>
    <t xml:space="preserve">Chamamento Público Nº 8/2026 — Política Nacional Aldir Blanc (Silvânia-GO)</t>
  </si>
  <si>
    <t xml:space="preserve">Prefeitura Municipal de Silvânia</t>
  </si>
  <si>
    <t xml:space="preserve">http://www.silvania.go.gov.br</t>
  </si>
  <si>
    <t xml:space="preserve">op-9c75b1f1b537</t>
  </si>
  <si>
    <t xml:space="preserve">Edital nº 19/2023 - dinamização de empresas e espaços culturais - lei paulo gustavo — Goiás</t>
  </si>
  <si>
    <t xml:space="preserve">EDITAL Nº 19/2023 - DINAMIZAÇÃO DE EMPRESAS E ESPAÇOS CULTURAIS - LEI PAULO GUSTAVO</t>
  </si>
  <si>
    <t xml:space="preserve">Secretaria de Estado da Cultura de Goiás</t>
  </si>
  <si>
    <t xml:space="preserve">https://goias.gov.br/cultura/editais/</t>
  </si>
  <si>
    <t xml:space="preserve">2023-10-16</t>
  </si>
  <si>
    <t xml:space="preserve">https://goias.gov.br/cultura/secult-goias-prorroga-inscricoes-da-lei-paulo-gustavo/</t>
  </si>
  <si>
    <t xml:space="preserve">2023-09-20 a 2023-10-16</t>
  </si>
  <si>
    <t xml:space="preserve">{'observacao': 'Série oficial identificada na API do site goias.gov.br (publicações 2023–2025): PG23. Categoria específica pode ter edital próprio; conferir no Diário Oficial.'}</t>
  </si>
  <si>
    <t xml:space="preserve">op-01ac9ac0bf13</t>
  </si>
  <si>
    <t xml:space="preserve">Edital nº 18/2023 - ocupa goiás - lei paulo gustavo — Goiás</t>
  </si>
  <si>
    <t xml:space="preserve">EDITAL Nº 18/2023 - OCUPA GOIÁS - LEI PAULO GUSTAVO</t>
  </si>
  <si>
    <t xml:space="preserve">op-8496769bd40a</t>
  </si>
  <si>
    <t xml:space="preserve">Edital nº 17/2023 - trabalhadores da cultura em formação - lei paulo gustavo — Goiás</t>
  </si>
  <si>
    <t xml:space="preserve">EDITAL Nº 17/2023 - TRABALHADORES DA CULTURA EM FORMAÇÃO - LEI PAULO GUSTAVO</t>
  </si>
  <si>
    <t xml:space="preserve">op-af6894ae1db2</t>
  </si>
  <si>
    <t xml:space="preserve">Edital nº 16/2023 - arte em criação - lei paulo gustavo — Goiás</t>
  </si>
  <si>
    <t xml:space="preserve">EDITAL Nº 16/2023 - ARTE EM CRIAÇÃO - LEI PAULO GUSTAVO</t>
  </si>
  <si>
    <t xml:space="preserve">op-85066c12277c</t>
  </si>
  <si>
    <t xml:space="preserve">Edital nº 15/2023 - ações formativas em goiás - lei paulo gustavo — Goiás</t>
  </si>
  <si>
    <t xml:space="preserve">EDITAL Nº 15/2023 - AÇÕES FORMATIVAS EM GOIÁS - LEI PAULO GUSTAVO</t>
  </si>
  <si>
    <t xml:space="preserve">op-0e089ba13da7</t>
  </si>
  <si>
    <t xml:space="preserve">Edital nº 14/2023 - circula goiás - lei paulo gustavo — Goiás</t>
  </si>
  <si>
    <t xml:space="preserve">EDITAL Nº 14/2023 - CIRCULA GOIÁS - LEI PAULO GUSTAVO</t>
  </si>
  <si>
    <t xml:space="preserve">op-b4ddbf787cd2</t>
  </si>
  <si>
    <t xml:space="preserve">Edital nº 13/2023 - povos tradicionais e originários - lei paulo gustavo — Goiás</t>
  </si>
  <si>
    <t xml:space="preserve">EDITAL Nº 13/2023 - POVOS TRADICIONAIS E ORIGINÁRIOS - LEI PAULO GUSTAVO</t>
  </si>
  <si>
    <t xml:space="preserve">op-93e73bdc0922</t>
  </si>
  <si>
    <t xml:space="preserve">Edital nº 12/2023 - cultura lgbtqiapn+ - lei paulo gustavo — Goiás</t>
  </si>
  <si>
    <t xml:space="preserve">EDITAL Nº 12/2023 - CULTURA LGBTQIAPN+ - LEI PAULO GUSTAVO</t>
  </si>
  <si>
    <t xml:space="preserve">op-bed8e5e5640e</t>
  </si>
  <si>
    <t xml:space="preserve">Edital nº 11/2023 - economia solidária - lei paulo gustavo — Goiás</t>
  </si>
  <si>
    <t xml:space="preserve">EDITAL Nº 11/2023 - ECONOMIA SOLIDÁRIA - LEI PAULO GUSTAVO</t>
  </si>
  <si>
    <t xml:space="preserve">op-9183b3b22da8</t>
  </si>
  <si>
    <t xml:space="preserve">Edital nº 10/2023 - economia criativa - lei paulo gustavo — Goiás</t>
  </si>
  <si>
    <t xml:space="preserve">EDITAL Nº 10/2023 - ECONOMIA CRIATIVA - LEI PAULO GUSTAVO</t>
  </si>
  <si>
    <t xml:space="preserve">op-aaec808b0f53</t>
  </si>
  <si>
    <t xml:space="preserve">Edital nº 9/2023 - apoio a empresas do setor audiovisual - lei paulo gustavo — Goiás</t>
  </si>
  <si>
    <t xml:space="preserve">EDITAL Nº 9/2023 - APOIO A EMPRESAS DO SETOR AUDIOVISUAL - LEI PAULO GUSTAVO</t>
  </si>
  <si>
    <t xml:space="preserve">op-66f930b94f79</t>
  </si>
  <si>
    <t xml:space="preserve">Edital nº 8/2023 - formação e difusão audiovisual - lei paulo gustavo — Goiás</t>
  </si>
  <si>
    <t xml:space="preserve">EDITAL Nº 8/2023 - FORMAÇÃO E DIFUSÃO AUDIOVISUAL - LEI PAULO GUSTAVO</t>
  </si>
  <si>
    <t xml:space="preserve">op-8495a642ef7b</t>
  </si>
  <si>
    <t xml:space="preserve">Edital nº 7/2023 - dinamização de salas de cinema - lei paulo gustavo — Goiás</t>
  </si>
  <si>
    <t xml:space="preserve">EDITAL Nº 7/2023 - DINAMIZAÇÃO DE SALAS DE CINEMA - LEI PAULO GUSTAVO</t>
  </si>
  <si>
    <t xml:space="preserve">op-8c9d1cae36b1</t>
  </si>
  <si>
    <t xml:space="preserve">Edital nº 6/2023 - produção audiovisual (desenvolvimento e finalização) - lei paulo gustavo — Goiás</t>
  </si>
  <si>
    <t xml:space="preserve">EDITAL Nº 6/2023 - PRODUÇÃO AUDIOVISUAL (DESENVOLVIMENTO E FINALIZAÇÃO) - LEI PAULO GUSTAVO</t>
  </si>
  <si>
    <t xml:space="preserve">op-5eb8c461293c</t>
  </si>
  <si>
    <t xml:space="preserve">Edital nº 5/2023 - produção audiovisual (videoclipe, videodança, games) - lei paulo gustavo — Goiás</t>
  </si>
  <si>
    <t xml:space="preserve">EDITAL Nº 5/2023 - PRODUÇÃO AUDIOVISUAL (VIDEOCLIPE, VIDEODANÇA, GAMES) - LEI PAULO GUSTAVO</t>
  </si>
  <si>
    <t xml:space="preserve">op-cfb44471e6a4</t>
  </si>
  <si>
    <t xml:space="preserve">Edital nº 4/2023 - curta, seriada, telefilme, documentário - lei paulo gustavo — Goiás</t>
  </si>
  <si>
    <t xml:space="preserve">EDITAL Nº 4/2023 - CURTA, SERIADA, TELEFILME, DOCUMENTÁRIO - LEI PAULO GUSTAVO</t>
  </si>
  <si>
    <t xml:space="preserve">op-fd2a7afdda1a</t>
  </si>
  <si>
    <t xml:space="preserve">Edital nº 3/2023 - curta, seriada, telefilme ficção/animação - lei paulo gustavo — Goiás</t>
  </si>
  <si>
    <t xml:space="preserve">EDITAL Nº 3/2023 - CURTA, SERIADA, TELEFILME FICÇÃO/ANIMAÇÃO - LEI PAULO GUSTAVO</t>
  </si>
  <si>
    <t xml:space="preserve">op-0e4e4f549fd4</t>
  </si>
  <si>
    <t xml:space="preserve">Edital nº 2/2023 - longa documentário - lei paulo gustavo — Goiás</t>
  </si>
  <si>
    <t xml:space="preserve">EDITAL Nº 2/2023 - LONGA DOCUMENTÁRIO - LEI PAULO GUSTAVO</t>
  </si>
  <si>
    <t xml:space="preserve">op-2580a081c56b</t>
  </si>
  <si>
    <t xml:space="preserve">Edital nº 1/2023 - longa ficção/animação - lei paulo gustavo — Goiás</t>
  </si>
  <si>
    <t xml:space="preserve">EDITAL Nº 1/2023 - LONGA FICÇÃO/ANIMAÇÃO - LEI PAULO GUSTAVO</t>
  </si>
  <si>
    <t xml:space="preserve">op-87d7d643e436</t>
  </si>
  <si>
    <t xml:space="preserve">Edital 001/2023 Audiovisual - Goiânia-GO — Goiás / Goiânia</t>
  </si>
  <si>
    <t xml:space="preserve">Edital 001/2023 Audiovisual - Goiânia-GO</t>
  </si>
  <si>
    <t xml:space="preserve">2023-11-09</t>
  </si>
  <si>
    <t xml:space="preserve">2023-10-18 a 2023-11-09</t>
  </si>
  <si>
    <t xml:space="preserve">{'observacao': 'LPG Goiânia 2023 (prorrogada até 08/11/2023).'}</t>
  </si>
  <si>
    <t xml:space="preserve">op-b056deb0027a</t>
  </si>
  <si>
    <t xml:space="preserve">Edital 002/2023 Áreas - Inciso I - Goiânia-GO — Goiás / Goiânia</t>
  </si>
  <si>
    <t xml:space="preserve">Edital 002/2023 Áreas - Inciso I - Goiânia-GO</t>
  </si>
  <si>
    <t xml:space="preserve">op-1813643fb65f</t>
  </si>
  <si>
    <t xml:space="preserve">Edital 003/2023 Áreas - Inciso II - Goiânia-GO</t>
  </si>
  <si>
    <t xml:space="preserve">op-abc5f620a2fe</t>
  </si>
  <si>
    <t xml:space="preserve">Edital 004/2023 Áreas - Inciso III - Goiânia-GO — Goiás / Goiânia</t>
  </si>
  <si>
    <t xml:space="preserve">Edital 004/2023 Áreas - Inciso III - Goiânia-GO</t>
  </si>
  <si>
    <t xml:space="preserve">op-038d9dc85fb4</t>
  </si>
  <si>
    <t xml:space="preserve">Diretório de Artistas Al-Tiba9 2027 abriu candidaturas para projetos inovadores nas áreas das artes visuais — Internacional</t>
  </si>
  <si>
    <t xml:space="preserve">Diretório de Artistas Al-Tiba9 2027 abriu candidaturas para projetos inovadores nas áreas das artes visuais</t>
  </si>
  <si>
    <t xml:space="preserve">{'valor': 'iniciativa_privada', 'fundamento': 'Plataforma privada de arte contemporânea; a DGARTES só divulga.', 'em': '2026-10-02'}</t>
  </si>
  <si>
    <t xml:space="preserve">https://www.dgartes.gov.pt/pt/node/10288</t>
  </si>
  <si>
    <t xml:space="preserve">https://www.altiba9.com/open-call-for-artists-directory</t>
  </si>
  <si>
    <t xml:space="preserve">Seleção de artistas visuais para o diretório anual 2027 (página dedicada, imagens, biografia, divulgação em revista, site e redes e feiras na Espanha e em Portugal)</t>
  </si>
  <si>
    <t xml:space="preserve">Prazo anunciado 30/11/2026; o mesmo texto cita também 25/01/2027 23h30 (inconsistência na página)</t>
  </si>
  <si>
    <t xml:space="preserve">Al-Tiba9 Contemporary Art (plataforma privada), com parceiros institucionais citados (ArtsLibris Barcelona, ARCOmadrid, ARCOlisboa, Zsona Maco)</t>
  </si>
  <si>
    <t xml:space="preserve">Mundial (artistas de todos os países)</t>
  </si>
  <si>
    <t xml:space="preserve">Internacional (empresa/plataforma privada)</t>
  </si>
  <si>
    <t xml:space="preserve">Artistas visuais de qualquer técnica (artes digitais, fotografia, pintura, arquitetura, escultura, instalação, vídeo, moda, interiores, performance); uma candidatura por artista; pastas em links abertos (WeTransfer é rejeitado)</t>
  </si>
  <si>
    <t xml:space="preserve">Formulário online com portfólio por categoria, contatos e informação de apoio</t>
  </si>
  <si>
    <t xml:space="preserve">Página no diretório 2027 com divulgação; sem recurso financeiro ao artista</t>
  </si>
  <si>
    <t xml:space="preserve">Artes visuais</t>
  </si>
  <si>
    <t xml:space="preserve">{'observacao': 'Página oficial lida: serviço de divulgação com taxa de € 130 para selecionados; datas inconsistentes (30/11/2026 e 25/01/2027). Não recomendado.'}</t>
  </si>
  <si>
    <t xml:space="preserve">op-c23e52a642a1</t>
  </si>
  <si>
    <t xml:space="preserve">Edital Zurich Seguros 2026: Captação via Incentivo — Brasil</t>
  </si>
  <si>
    <t xml:space="preserve">Edital Zurich Seguros 2026: Captação via Incentivo</t>
  </si>
  <si>
    <t xml:space="preserve">{'valor': 'mista', 'fundamento': 'Empresa privada seleciona projetos e destina recurso de renúncia fiscal (Rouanet, FIA, Fundo do Idoso, Esporte).', 'em': '2026-10-02'}</t>
  </si>
  <si>
    <t xml:space="preserve">https://www.zurich.com.br/leis-de-incentivo-2026</t>
  </si>
  <si>
    <t xml:space="preserve">https://www.gov.br/cultura</t>
  </si>
  <si>
    <t xml:space="preserve">Seleção nacional de projetos sociais já aprovados em leis de incentivo (educação, inclusão</t>
  </si>
  <si>
    <t xml:space="preserve">21/09 a 19/10/2026</t>
  </si>
  <si>
    <t xml:space="preserve">Não fixado: apoio parcial ou integral, sem garantia de aporte, definido após análise</t>
  </si>
  <si>
    <t xml:space="preserve">Zurich Seguros, com apoio técnico do IDIS</t>
  </si>
  <si>
    <t xml:space="preserve">Nacional</t>
  </si>
  <si>
    <t xml:space="preserve">Privada (empresa) via incentivo fiscal</t>
  </si>
  <si>
    <t xml:space="preserve">OSC sem fins lucrativos; projeto aprovado e apto à captação; atuação nacional; regularidad</t>
  </si>
  <si>
    <t xml:space="preserve">Recursos incentivados: Rouanet, Esporte, Fundo da Pessoa Idosa, FIA</t>
  </si>
  <si>
    <t xml:space="preserve">Educação e desenvolvimento social; formação e inclusão produtiva; comunidades e resiliênci</t>
  </si>
  <si>
    <t xml:space="preserve">op-01f4758f64ba</t>
  </si>
  <si>
    <t xml:space="preserve">“CHAMAMENTO PÚBLICO NA FORMA DE CREDENCIAMENTO DE PESSOA JURÍDICA para prestação de serviços com profissional(… — Goiás</t>
  </si>
  <si>
    <t xml:space="preserve">O presente Edital tem como objeto o “CHAMAMENTO PÚBLICO NA FORMA DE CREDENCIAMENTO DE PESSOA JURÍDICA para prestação de serviços com profissional(is) na especia</t>
  </si>
  <si>
    <t xml:space="preserve">PNCP — FUNDO MUNICIPAL DE ASSISTENCIA SOCIAL DE BURITI ALEGRE</t>
  </si>
  <si>
    <t xml:space="preserve">https://pncp.gov.br/app/editais/14667287000112/2024/7</t>
  </si>
  <si>
    <t xml:space="preserve">op-4397054e9929</t>
  </si>
  <si>
    <t xml:space="preserve">Chamamento público na forma de credenciamento de pessoa jurídica para prestação de serviços médicos para atend… — Mato Grosso do Sul</t>
  </si>
  <si>
    <t xml:space="preserve">CHAMAMENTO PÚBLICO NA FORMA DE CREDENCIAMENTO DE PESSOA JURÍDICA PARA PRESTAÇÃO DE SERVIÇOS MÉDICOS PARA ATENDIMENTO NAS ESPECIALIDADES DE CIRURGIA GERAL (URGÊN</t>
  </si>
  <si>
    <t xml:space="preserve">PNCP — FUNDACAO SERVICOS DE SAUDE DE NOVA ANDRADINA</t>
  </si>
  <si>
    <t xml:space="preserve">MS</t>
  </si>
  <si>
    <t xml:space="preserve">https://pncp.gov.br/app/editais/12600146000157/2024/111</t>
  </si>
  <si>
    <t xml:space="preserve">op-199091a239bd</t>
  </si>
  <si>
    <t xml:space="preserve">Legenda: UNAIDS publica Edital para seleção de projetos focados no desenvolvimento de ações nos territórios. P… — Brasil</t>
  </si>
  <si>
    <t xml:space="preserve">Legenda: UNAIDS publica  Edital  para seleção de projetos focados no desenvolvimento de ações nos territórios. Prazo para envio de propostas se encerra em 22 de</t>
  </si>
  <si>
    <t xml:space="preserve">https://duckduckgo.com/l?uddg=https%3A%2F%2Fbrasil.un.org%2Fpt%2Dbr%2F314397%2Dunaids%2Dabre%2Dsele%25C3%25A7%25C3%25A3o%2Dde%2Dorganiza%25C3%25A7%25C3%25B5es%2Dda%2Dsociedade%2Dcivil%2Dpara%2Ddesenvolver%2Da%25C3%25A7%25C3%25B5es%2Dde%2Dsa%25C3%25BAde%2Dem&amp;rut=5732e635e41c3134a62a1814784fe7308565576cc19693f3356e74c4665eab1b</t>
  </si>
  <si>
    <t xml:space="preserve">op-ca4852c194cf</t>
  </si>
  <si>
    <t xml:space="preserve">Edital 2 | Seleção de OSCs para desenvolver ações nos territórios — Brasil</t>
  </si>
  <si>
    <t xml:space="preserve">Edital 2 | Seleção de OSCs para desenvolver ações nos territórios</t>
  </si>
  <si>
    <t xml:space="preserve">https://unaids.org.br/edital-2-acoes-comunitarias-nos-territorios</t>
  </si>
  <si>
    <t xml:space="preserve">op-aaed373e3236</t>
  </si>
  <si>
    <t xml:space="preserve">Seleção Pública de Projetos para Patrocínio Cultural nº 01/2025 - Projetos Audiovisuais de Longa-metragem — Brasil</t>
  </si>
  <si>
    <t xml:space="preserve">Seleção Pública de Projetos para Patrocínio Cultural nº 01/2025 - Projetos Audiovisuais de Longa-metragem</t>
  </si>
  <si>
    <t xml:space="preserve">BNDES — Área Social</t>
  </si>
  <si>
    <t xml:space="preserve">https://www.bndes.gov.br/wps/portal/site/home/transparencia/patrocinios?1dmy&amp;urile=wcm%3apath%3a%2Fbndes_institucional%2Fhome%2Ftransparencia%2Fpatrocinios%2Fselecao-publica-patrocinio-cultural-01-2025</t>
  </si>
  <si>
    <t xml:space="preserve">op-eb06e70ec784</t>
  </si>
  <si>
    <t xml:space="preserve">DEFENSORIA PUBLICA DO ESTADO — Concurso de artigos para publicação na 2ª edição da Revista da Defensoria Públi… — Brasil</t>
  </si>
  <si>
    <t xml:space="preserve">DEFENSORIA PUBLICA DO ESTADO — Concurso de artigos para publicação na 2ª edição da Revista da Defensoria Pública do Amapá.</t>
  </si>
  <si>
    <t xml:space="preserve">DEFENSORIA PUBLICA DO ESTADO</t>
  </si>
  <si>
    <t xml:space="preserve">https://pncp.gov.br/app/editais/11762144000100/2026/16</t>
  </si>
  <si>
    <t xml:space="preserve">{'inicio': None, 'fim': '2026-10-22'}</t>
  </si>
  <si>
    <t xml:space="preserve">op-24fdc5889aab</t>
  </si>
  <si>
    <t xml:space="preserve">Chamamento público para o credenciamento de propostas de artistas e fazedores de cultura para compor a… — fund… — Brasil</t>
  </si>
  <si>
    <t xml:space="preserve">CHAMAMENTO PÚBLICO para o CREDENCIAMENTO DE PROPOSTAS DE ARTISTAS E FAZEDORES DE CULTURA PARA COMPOR A… — FUNDACAO EDUCACIONAL E CULTURAL DE CARAGUATATUBA</t>
  </si>
  <si>
    <t xml:space="preserve">FUNDACAO EDUCACIONAL E CULTURAL DE CARAGUATATUBA</t>
  </si>
  <si>
    <t xml:space="preserve">{'valor': 'poder_publico', 'fundamento': 'Publica a Fundação Educacional e Cultural de Caraguatatuba (fundação pública municipal) com orçamento próprio.', 'em': '2026-10-02'}</t>
  </si>
  <si>
    <t xml:space="preserve">https://pncp.gov.br/app/editais/67652750000119/2026/21</t>
  </si>
  <si>
    <t xml:space="preserve">2027-02-09</t>
  </si>
  <si>
    <t xml:space="preserve">{'inicio': '2026-03-09', 'fim': '2027-02-09'}</t>
  </si>
  <si>
    <t xml:space="preserve">Credenciamento de artistas e fazedores de cultura – programação FUNDACC</t>
  </si>
  <si>
    <t xml:space="preserve">09/03/2026 a 09/02/2027</t>
  </si>
  <si>
    <t xml:space="preserve">R$ 1.116.500,00 (total estimado)</t>
  </si>
  <si>
    <t xml:space="preserve">Fundação Educacional e Cultural de Caraguatatuba (FUNDACC)</t>
  </si>
  <si>
    <t xml:space="preserve">Caraguatatuba/SP</t>
  </si>
  <si>
    <t xml:space="preserve">contratação de apresentações para a programação cultural</t>
  </si>
  <si>
    <t xml:space="preserve">op-ab777ebee256</t>
  </si>
  <si>
    <t xml:space="preserve">Credenciamento de artistas, bandas, grupos musicais, grupos de dança e fanfarras nos variados estilos para… — … — Brasil</t>
  </si>
  <si>
    <t xml:space="preserve">CREDENCIAMENTO DE ARTISTAS, BANDAS, GRUPOS MUSICAIS, GRUPOS DE DANÇA E FANFARRAS NOS VARIADOS ESTILOS PARA… — MUNICIPIO DE CORRENTINA</t>
  </si>
  <si>
    <t xml:space="preserve">MUNICIPIO DE CORRENTINA</t>
  </si>
  <si>
    <t xml:space="preserve">{'valor': 'poder_publico', 'fundamento': 'Publicado pelo Município de Correntina/BA (PNCP), pago com dotação orçamentária municipal.', 'em': '2026-10-02'}</t>
  </si>
  <si>
    <t xml:space="preserve">https://pncp.gov.br/app/editais/14221741000107/2026/64</t>
  </si>
  <si>
    <t xml:space="preserve">2026-05-13</t>
  </si>
  <si>
    <t xml:space="preserve">2027-05-13</t>
  </si>
  <si>
    <t xml:space="preserve">{'inicio': '2026-05-13', 'fim': '2027-05-13'}</t>
  </si>
  <si>
    <t xml:space="preserve">Credenciamento de artistas, bandas, dança e fanfarras para eventos</t>
  </si>
  <si>
    <t xml:space="preserve">12 meses a partir de 13/05/2026 (até 13/05/2027)</t>
  </si>
  <si>
    <t xml:space="preserve">Resultado publicado no Diário Oficial do Município</t>
  </si>
  <si>
    <t xml:space="preserve">3 dias úteis da resposta negativa</t>
  </si>
  <si>
    <t xml:space="preserve">Estimado R$ 1.310.369,75; cachês por porte (ex.: R$ 3.595,54)</t>
  </si>
  <si>
    <t xml:space="preserve">Município de Correntina/BA</t>
  </si>
  <si>
    <t xml:space="preserve">Correntina/BA</t>
  </si>
  <si>
    <t xml:space="preserve">PF/PJ do ramo com habilitação; envio por e-mail ou protocolo</t>
  </si>
  <si>
    <t xml:space="preserve">Anexos II/III (requerimento) e IV (declaração conjunta)</t>
  </si>
  <si>
    <t xml:space="preserve">Cachê por apresentação pública em eventos</t>
  </si>
  <si>
    <t xml:space="preserve">op-39214c07edb1</t>
  </si>
  <si>
    <t xml:space="preserve">Credenciamento dos serviços de artistas, grupos e bandas musicais, locais e regionais, visando eventual… — mun… — Brasil</t>
  </si>
  <si>
    <t xml:space="preserve">CREDENCIAMENTO DOS SERVIÇOS DE ARTISTAS, GRUPOS E BANDAS MUSICAIS, LOCAIS E REGIONAIS, VISANDO EVENTUAL… — MUNICIPIO DE CAMPO FORMOSO</t>
  </si>
  <si>
    <t xml:space="preserve">MUNICIPIO DE CAMPO FORMOSO</t>
  </si>
  <si>
    <t xml:space="preserve">{'valor': 'poder_publico', 'fundamento': 'Publicado por MUNICIPIO DE CAMPO FORMOSO no PNCP; despesa por dotação do orçamento municipal (dotação citada no edital).', 'em': '2026-10-02'}</t>
  </si>
  <si>
    <t xml:space="preserve">https://pncp.gov.br/app/editais/13908702000110/2026/75</t>
  </si>
  <si>
    <t xml:space="preserve">2026-05-28</t>
  </si>
  <si>
    <t xml:space="preserve">2027-05-28</t>
  </si>
  <si>
    <t xml:space="preserve">{'inicio': '2026-05-28', 'fim': '2027-05-28'}</t>
  </si>
  <si>
    <t xml:space="preserve">Credenciamento de artistas, grupos e bandas musicais locais e regionais para eventos tradi</t>
  </si>
  <si>
    <t xml:space="preserve">dispensado pelo tipo: Inscrições a partir da publicação; edital permanece aberto (PNCP: 28</t>
  </si>
  <si>
    <t xml:space="preserve">Lista de credenciados publicada e atualizada no PNCP</t>
  </si>
  <si>
    <t xml:space="preserve">R$ 463.541,75 estimado; tabela por item (ex.: R$ 13.500,00 e R$ 5.966,67 por show)</t>
  </si>
  <si>
    <t xml:space="preserve">Prefeitura de Campo Formoso — Secretaria Municipal de Turismo, Cultura, Esporte e Lazer</t>
  </si>
  <si>
    <t xml:space="preserve">Campo Formoso/BA (artistas locais e regionais)</t>
  </si>
  <si>
    <t xml:space="preserve">Atender às condições do edital e entregar documentos de habilitação; vedados impedidos de</t>
  </si>
  <si>
    <t xml:space="preserve">Edital e anexos (TR, modelos, minuta) — 8 arquivos no PNCP</t>
  </si>
  <si>
    <t xml:space="preserve">Projeto/Atividade 2138 — Departamento de Cultura; elemento 33903600</t>
  </si>
  <si>
    <t xml:space="preserve">op-5599b0178613</t>
  </si>
  <si>
    <t xml:space="preserve">Credenciamento e seleção de artistas, bandas e grupos musicais, nos variados estilos para eventuais e futuras…… — Brasil</t>
  </si>
  <si>
    <t xml:space="preserve">CREDENCIAMENTO E SELEÇÃO DE ARTISTAS, BANDAS E GRUPOS MUSICAIS, NOS VARIADOS ESTILOS PARA EVENTUAIS E FUTURAS… — MUNICIPIO DE PRADO</t>
  </si>
  <si>
    <t xml:space="preserve">MUNICIPIO DE PRADO</t>
  </si>
  <si>
    <t xml:space="preserve">{'valor': 'poder_publico', 'fundamento': 'Publicado por MUNICIPIO DE PRADO no PNCP; despesa por dotação do orçamento municipal (dotação citada no edital).', 'em': '2026-10-02'}</t>
  </si>
  <si>
    <t xml:space="preserve">https://pncp.gov.br/app/editais/13761713000110/2026/45</t>
  </si>
  <si>
    <t xml:space="preserve">2026-05-08</t>
  </si>
  <si>
    <t xml:space="preserve">2027-05-08</t>
  </si>
  <si>
    <t xml:space="preserve">{'inicio': '2026-05-08', 'fim': '2027-05-08'}</t>
  </si>
  <si>
    <t xml:space="preserve">Credenciamento e seleção de artistas, bandas e grupos musicais para eventos e projetos da</t>
  </si>
  <si>
    <t xml:space="preserve">dispensado pelo tipo: PNCP: abertura 08/05/2026, encerramento 08/05/2027 (credenciamento,</t>
  </si>
  <si>
    <t xml:space="preserve">R$ 24.000,00 estimado (metadado do PNCP)</t>
  </si>
  <si>
    <t xml:space="preserve">Município de Prado — Unidade de Turismo (PNCP)</t>
  </si>
  <si>
    <t xml:space="preserve">Prado/BA (eventos da Prefeitura)</t>
  </si>
  <si>
    <t xml:space="preserve">op-5eaa5f724e94</t>
  </si>
  <si>
    <t xml:space="preserve">Contratação de serviços artístico-culturais, por meio de grupos formais e/ou informais — inclusive grupos… — M… — Brasil</t>
  </si>
  <si>
    <t xml:space="preserve">Contratação de serviços artístico-culturais, por meio de grupos formais e/ou informais — inclusive grupos… — MUNICIPIO DE CAMPO FORMOSO</t>
  </si>
  <si>
    <t xml:space="preserve">https://pncp.gov.br/app/editais/13908702000110/2026/82</t>
  </si>
  <si>
    <t xml:space="preserve">2026-06-11</t>
  </si>
  <si>
    <t xml:space="preserve">{'inicio': '2026-06-11', 'fim': '2026-12-31'}</t>
  </si>
  <si>
    <t xml:space="preserve">Credenciamento de grupos formais/informais, PJ e MEIs culturais residentes/sediados em Cam</t>
  </si>
  <si>
    <t xml:space="preserve">dispensado pelo tipo: Inscrições a partir da publicação; edital vigente até 31/12/2026</t>
  </si>
  <si>
    <t xml:space="preserve">R$ 233.500,00 estimado, conforme custos unitários</t>
  </si>
  <si>
    <t xml:space="preserve">Campo Formoso/BA (residentes ou sediados)</t>
  </si>
  <si>
    <t xml:space="preserve">Atender às condições do edital; vedados impedidos de contratar com a administração</t>
  </si>
  <si>
    <t xml:space="preserve">Edital e anexos (formulário de inscrição, declarações, minuta) — 4 arquivos no PNCP</t>
  </si>
  <si>
    <t xml:space="preserve">Elementos 33903600 (PF) e 33903900 (PJ), recursos não vinculados de impostos</t>
  </si>
  <si>
    <t xml:space="preserve">Cultura local</t>
  </si>
  <si>
    <t xml:space="preserve">op-331aee5b28cd</t>
  </si>
  <si>
    <t xml:space="preserve">Credenciamento de artistas locais para prestação de serviços artísticos de cantores, grupos, bandas musicais… … — Brasil</t>
  </si>
  <si>
    <t xml:space="preserve">Credenciamento de artistas locais para prestação de serviços artísticos de cantores, grupos, bandas musicais… — MUNICIPIO DE SALINAS DA MARGARIDA</t>
  </si>
  <si>
    <t xml:space="preserve">MUNICIPIO DE SALINAS DA MARGARIDA</t>
  </si>
  <si>
    <t xml:space="preserve">{'valor': 'poder_publico', 'fundamento': 'Publicado por MUNICIPIO DE SALINAS DA MARGARIDA no PNCP; despesa por dotação do orçamento municipal (dotação citada no edital).', 'em': '2026-10-02'}</t>
  </si>
  <si>
    <t xml:space="preserve">https://pncp.gov.br/app/editais/13743281000114/2026/30</t>
  </si>
  <si>
    <t xml:space="preserve">2027-03-30</t>
  </si>
  <si>
    <t xml:space="preserve">{'inicio': '2026-03-30', 'fim': '2027-03-30'}</t>
  </si>
  <si>
    <t xml:space="preserve">Credenciamento de artistas locais (cantores, bandas, fanfarras, teatro, dança, grafite, co</t>
  </si>
  <si>
    <t xml:space="preserve">dispensado pelo tipo: Entrega a partir de 30/03/2026; vigência do edital de 12 meses (PNCP</t>
  </si>
  <si>
    <t xml:space="preserve">R$ 326.657,60 estimado; cachê de R$ 1.633,29 (1h) a R$ 4.083,22 (2h30)</t>
  </si>
  <si>
    <t xml:space="preserve">Prefeitura Municipal de Salinas da Margarida (Turismo e Social)</t>
  </si>
  <si>
    <t xml:space="preserve">Salinas da Margarida/BA ou região (critério de ordem)</t>
  </si>
  <si>
    <t xml:space="preserve">Cadastro prévio no SICAF e no Compras.gov.br</t>
  </si>
  <si>
    <t xml:space="preserve">Edital e anexos (TR e modelos) — 2 arquivos no PNCP</t>
  </si>
  <si>
    <t xml:space="preserve">Gestão 08.01/09.01; programas 2040/2041/2054; elementos 33.90.30/33.90.36</t>
  </si>
  <si>
    <t xml:space="preserve">Cultura (artes diversas)</t>
  </si>
  <si>
    <t xml:space="preserve">op-6cd3e86415b3</t>
  </si>
  <si>
    <t xml:space="preserve">Credenciamento de artistas, bandas e grupos musicais locais, nos variados estilos, objetivando apresentações… … — Brasil</t>
  </si>
  <si>
    <t xml:space="preserve">Credenciamento de artistas, bandas e grupos musicais locais, nos variados estilos, objetivando apresentações… — MUNICIPIO DE IBICOARA</t>
  </si>
  <si>
    <t xml:space="preserve">MUNICIPIO DE IBICOARA</t>
  </si>
  <si>
    <t xml:space="preserve">{'valor': 'poder_publico', 'fundamento': 'Publicado por MUNICIPIO DE IBICOARA no PNCP; despesa por dotação do orçamento municipal (dotação citada no edital).', 'em': '2026-10-02'}</t>
  </si>
  <si>
    <t xml:space="preserve">https://pncp.gov.br/app/editais/13922588000182/2026/58</t>
  </si>
  <si>
    <t xml:space="preserve">2026-04-23</t>
  </si>
  <si>
    <t xml:space="preserve">{'inicio': '2026-04-23', 'fim': '2026-12-31'}</t>
  </si>
  <si>
    <t xml:space="preserve">Credenciamento de artistas, bandas e grupos musicais locais para festejos e projetos da Pr</t>
  </si>
  <si>
    <t xml:space="preserve">dispensado pelo tipo: A qualquer tempo na vigência, até 31/12/2026; 1ª abertura em 30/04/2</t>
  </si>
  <si>
    <t xml:space="preserve">Lista de credenciados divulgada no site oficial após homologação</t>
  </si>
  <si>
    <t xml:space="preserve">Recurso nos termos da Lei 14.133/2021 (art. 165), com efeito suspensivo</t>
  </si>
  <si>
    <t xml:space="preserve">R$ 115.600,00 estimado; cachês de R$ 2.500,00 (solo) a R$ 9.000,00 (banda 10+)</t>
  </si>
  <si>
    <t xml:space="preserve">Prefeitura Municipal de Ibicoara (Secretaria Municipal de Administração)</t>
  </si>
  <si>
    <t xml:space="preserve">Ibicoara/BA (artistas locais)</t>
  </si>
  <si>
    <t xml:space="preserve">Entrega de documentação em envelope lacrado; habilitação após análise</t>
  </si>
  <si>
    <t xml:space="preserve">Edital e anexos (incl. Anexo IV minuta de contrato)</t>
  </si>
  <si>
    <t xml:space="preserve">Dotação própria do orçamento municipal (Secretaria de Administração)</t>
  </si>
  <si>
    <t xml:space="preserve">op-a6832f9f560a</t>
  </si>
  <si>
    <t xml:space="preserve">Credenciamento de interessados para a prestação de serviços artísticos e culturais para atender ao calendário…… — Brasil</t>
  </si>
  <si>
    <t xml:space="preserve">Credenciamento de interessados para a prestação de serviços artísticos e culturais para atender ao calendário… — MUNICIPIO DE CRUZ DAS ALMAS</t>
  </si>
  <si>
    <t xml:space="preserve">MUNICIPIO DE CRUZ DAS ALMAS</t>
  </si>
  <si>
    <t xml:space="preserve">{'valor': 'poder_publico', 'fundamento': 'Publica a Prefeitura de Cruz das Almas/BA no PNCP; cachês pagos com orçamento municipal.', 'em': '2026-10-02'}</t>
  </si>
  <si>
    <t xml:space="preserve">https://pncp.gov.br/app/editais/14006977000120/2026/56</t>
  </si>
  <si>
    <t xml:space="preserve">Credenciamento de interessados para prestação de serviços artísticos e culturais no calend</t>
  </si>
  <si>
    <t xml:space="preserve">Vigência de 12 meses (13/05/2026 a 13/05/2027, PNCP)</t>
  </si>
  <si>
    <t xml:space="preserve">Julgamento da documentação lavrado em ata e homologado pela autoridade competente</t>
  </si>
  <si>
    <t xml:space="preserve">3 dias úteis após a lavratura da ata</t>
  </si>
  <si>
    <t xml:space="preserve">Cachês por faixa: músico solo 1h R$ 1.000,00 a 3.000,00 até banda acima de 12 integrantes</t>
  </si>
  <si>
    <t xml:space="preserve">Município de Cruz das Almas/BA — Departamento de Cultura / Secretaria Municipal de Cultura</t>
  </si>
  <si>
    <t xml:space="preserve">Cruz das Almas/BA — artistas locais/regionais</t>
  </si>
  <si>
    <t xml:space="preserve">Pessoas físicas ou jurídicas com comprovação na atividade credenciada e documentos de habi</t>
  </si>
  <si>
    <t xml:space="preserve">Anexo I-A (ETP), Anexo I-B (Termo de Referência), Anexo II e demais modelos</t>
  </si>
  <si>
    <t xml:space="preserve">Pagamento de cachê por apresentação artística contratada nos eventos do município</t>
  </si>
  <si>
    <t xml:space="preserve">Cultura (apresentações artísticas e culturais)</t>
  </si>
  <si>
    <t xml:space="preserve">op-dc44e75786b7</t>
  </si>
  <si>
    <t xml:space="preserve">Contratação dos serviços de cantores e bandas locais e regionais para apresentações em eventos da prefeitura… … — Brasil</t>
  </si>
  <si>
    <t xml:space="preserve">contratação dos serviços de cantores e bandas locais e regionais para apresentações em eventos da prefeitura… — MUNICIPIO DE CASA NOVA</t>
  </si>
  <si>
    <t xml:space="preserve">MUNICIPIO DE CASA NOVA</t>
  </si>
  <si>
    <t xml:space="preserve">{'valor': 'poder_publico', 'fundamento': 'Publica a Prefeitura de Casa Nova/BA no PNCP; cachês pagos com orçamento municipal.', 'em': '2026-10-02'}</t>
  </si>
  <si>
    <t xml:space="preserve">https://pncp.gov.br/app/editais/13691811000128/2026/5</t>
  </si>
  <si>
    <t xml:space="preserve">2027-01-12</t>
  </si>
  <si>
    <t xml:space="preserve">{'inicio': '2026-01-12', 'fim': '2027-01-12'}</t>
  </si>
  <si>
    <t xml:space="preserve">Credenciamento de cantores e bandas locais e regionais para apresentações nos festejos do</t>
  </si>
  <si>
    <t xml:space="preserve">A partir de 12/01/2026 (PNCP: até 12/01/2027)</t>
  </si>
  <si>
    <t xml:space="preserve">Resultado publicado e homologado pela autoridade competente</t>
  </si>
  <si>
    <t xml:space="preserve">3 dias úteis da publicação do resultado</t>
  </si>
  <si>
    <t xml:space="preserve">Estimativa R$ 410.000,00: R$ 5.000,00 (até 4 componentes) e R$ 8.000,00 (acima de 5 compon</t>
  </si>
  <si>
    <t xml:space="preserve">Município de Casa Nova/BA — Secretaria de Cultura</t>
  </si>
  <si>
    <t xml:space="preserve">Casa Nova/BA — cantores e bandas locais e regionais</t>
  </si>
  <si>
    <t xml:space="preserve">PF ou PJ com regularidade fiscal, social e trabalhista</t>
  </si>
  <si>
    <t xml:space="preserve">Anexos I (TR), I.I (tabela de preços), II (formulário), III a VIII (declarações e minuta)</t>
  </si>
  <si>
    <t xml:space="preserve">op-ac8d13318a8c</t>
  </si>
  <si>
    <t xml:space="preserve">Credenciamento de artistas, grupos e/ou bandas para apresentação musical em eventos do calendário festivo do… … — Brasil</t>
  </si>
  <si>
    <t xml:space="preserve">credenciamento de artistas, grupos e/ou bandas para apresentação musical em eventos do calendário festivo do… — MUNICIPIO DE BARRA</t>
  </si>
  <si>
    <t xml:space="preserve">MUNICIPIO DE BARRA</t>
  </si>
  <si>
    <t xml:space="preserve">{'valor': 'poder_publico', 'fundamento': 'Publica a Prefeitura de Barra/BA no PNCP; cachês pagos com orçamento municipal.', 'em': '2026-10-02'}</t>
  </si>
  <si>
    <t xml:space="preserve">https://pncp.gov.br/app/editais/13880703000101/2026/4</t>
  </si>
  <si>
    <t xml:space="preserve">2026-02-02</t>
  </si>
  <si>
    <t xml:space="preserve">Credenciamento de artistas, grupos e/ou bandas para apresentação musical em eventos do cal</t>
  </si>
  <si>
    <t xml:space="preserve">02/02/2026 a 02/02/2027</t>
  </si>
  <si>
    <t xml:space="preserve">Credenciamentos acatados pela Comissão e homologados pelo Prefeito</t>
  </si>
  <si>
    <t xml:space="preserve">3 dias úteis da publicação</t>
  </si>
  <si>
    <t xml:space="preserve">Cachês por categoria: A R$ 500,00 a 1.500,00; B R$ 1.501,00 a 3.000,00; C R$ 3.001,00 a 5.</t>
  </si>
  <si>
    <t xml:space="preserve">Município de Barra/BA — Secretaria Municipal de Educação, Cultura, Esporte e Lazer</t>
  </si>
  <si>
    <t xml:space="preserve">Barra/BA — sem exigência de residência; categorias de artista regional</t>
  </si>
  <si>
    <t xml:space="preserve">Interessados com atividade compatível; PJ com ato constitutivo e regularidade; comprovação</t>
  </si>
  <si>
    <t xml:space="preserve">Anexo I (TR), II (requerimento), III (declaração conjunta)</t>
  </si>
  <si>
    <t xml:space="preserve">op-7346710e2293</t>
  </si>
  <si>
    <t xml:space="preserve">Applying for an UNDEF project grant and selection process | Democracy Fund — Brasil</t>
  </si>
  <si>
    <t xml:space="preserve">Applying for an UNDEF project grant and selection process | Democracy Fund</t>
  </si>
  <si>
    <t xml:space="preserve">UNDEF</t>
  </si>
  <si>
    <t xml:space="preserve">{'valor': 'iniciativa_privada', 'fundamento': 'Organismo internacional (ONU) com contribuições voluntárias; pela regra do projeto, organismo internacional = iniciativa privada.', 'em': '2026-10-02'}</t>
  </si>
  <si>
    <t xml:space="preserve">https://www.un.org/democracyfund/en/apply-for-funding</t>
  </si>
  <si>
    <t xml:space="preserve">UNDEF — chamada anual 2025 (Rodada 19) — janela 1 a 28 de fevereiro de 2025</t>
  </si>
  <si>
    <t xml:space="preserve">2025-02-01 a 2025-02-28</t>
  </si>
  <si>
    <t xml:space="preserve">US$ 100.000 a US$ 200.000 por projeto, projetos de 2 anos em geral</t>
  </si>
  <si>
    <t xml:space="preserve">Fundo das Nações Unidas para a Democracia (UNDEF) — UN Office for Partnerships</t>
  </si>
  <si>
    <t xml:space="preserve">op-851f7df4e7ed</t>
  </si>
  <si>
    <t xml:space="preserve">BNDES abre inscrições para apoiar projetos de até R$ 2 milhões em periferias — Brasil</t>
  </si>
  <si>
    <t xml:space="preserve">BNDES abre inscrições para apoiar projetos de até R$ 2 milhões em periferias</t>
  </si>
  <si>
    <t xml:space="preserve">{'valor': 'poder_publico', 'fundamento': 'Publica o BNDES (empresa pública federal), com recursos do Fundo Socioambiental do banco.', 'em': '2026-10-02'}</t>
  </si>
  <si>
    <t xml:space="preserve">https://bndes.gov.br/wps/portal/site/home/onde-atuamos/social/!ut/p/z0/04_Sj9CPykssy0xPLMnMz0vMAfIjo8zifSy9XT1M_A18_F0MzA0cXZzN_ALMjA0NnAz1vbgUwIALTuhH4dcRAdUBVQ6n9CMzswoLoxz1o5Lz80pSK0r0I5LyUlKL4zPziksyS0qTwS5SNcjIz01VNcgHSukmlpQm5uYXqxoU5ydnguTAGnQLUosy04A4sVi_IDsqEgA9va2I/</t>
  </si>
  <si>
    <t xml:space="preserve">{'inicio': None, 'fim': '2026-12-04'}</t>
  </si>
  <si>
    <t xml:space="preserve">informado (motor agregadores · observatorio-3setor, 2026-10-04)</t>
  </si>
  <si>
    <t xml:space="preserve">Chamada permanente de projetos BNDES Periferias, ciclo de seleção para apoio a periferias</t>
  </si>
  <si>
    <t xml:space="preserve">6º ciclo: até 17h de 04/12/2026</t>
  </si>
  <si>
    <t xml:space="preserve">BNDES (iniciativa BNDES Periferias)</t>
  </si>
  <si>
    <t xml:space="preserve">Periferias urbanas em municípios elegíveis (estudo IBGE)</t>
  </si>
  <si>
    <t xml:space="preserve">Federal (banco público)</t>
  </si>
  <si>
    <t xml:space="preserve">Roteiro de apresentação de projetos do 6º ciclo (PDF)</t>
  </si>
  <si>
    <t xml:space="preserve">Desenvolvimento urbano / periferias</t>
  </si>
  <si>
    <t xml:space="preserve">op-ebedc19f5258</t>
  </si>
  <si>
    <t xml:space="preserve">Edital de Intercâmbio Cultural - Circulação e Participação Audiovisual no Exterior — Brasil</t>
  </si>
  <si>
    <t xml:space="preserve">Edital de Intercâmbio Cultural - Circulação e Participação Audiovisual no Exterior</t>
  </si>
  <si>
    <t xml:space="preserve">{'valor': 'poder_publico', 'fundamento': 'Publicado pelo MinC/SAV com recurso do orçamento federal.', 'em': '2026-10-02'}</t>
  </si>
  <si>
    <t xml:space="preserve">https://www.gov.br/cultura/pt-br/assuntos/editais/inscricoes-em-andamento/edital-de-intercambio-cultural-circulacao-e-participacao-audiovisual-no-exterior</t>
  </si>
  <si>
    <t xml:space="preserve">2026-06-15</t>
  </si>
  <si>
    <t xml:space="preserve">{'inicio': '2026-06-15', 'fim': '2026-11-06'}</t>
  </si>
  <si>
    <t xml:space="preserve">Edital de Intercâmbio Cultural MinC nº 1/2026 — Circulação e Participação Audiovisual no Exterior</t>
  </si>
  <si>
    <t xml:space="preserve">2026-06-15 a 2026-11-06</t>
  </si>
  <si>
    <t xml:space="preserve">divulgação em reuniões de enquadramento e qualificação; resultado final ao fim das etapas</t>
  </si>
  <si>
    <t xml:space="preserve">contrarrazões de 2 dias úteis após prazo de recurso</t>
  </si>
  <si>
    <t xml:space="preserve">R$ 1.000.000,00 (total; fluxo contínuo até esgotar)</t>
  </si>
  <si>
    <t xml:space="preserve">Ministério da Cultura — Secretaria do Audiovisual</t>
  </si>
  <si>
    <t xml:space="preserve">distribuição nacional, máx. 40% por região</t>
  </si>
  <si>
    <t xml:space="preserve">pessoas físicas, estudantes ou profissionais do audiovisual; cotas afirmativas de 40%</t>
  </si>
  <si>
    <t xml:space="preserve">participação e circulação em eventos do setor no exterior</t>
  </si>
  <si>
    <t xml:space="preserve">audiovisual / intercâmbio cultural</t>
  </si>
  <si>
    <t xml:space="preserve">op-f67a78c33399</t>
  </si>
  <si>
    <t xml:space="preserve">Fundação Grupo Volkswagen abre edital para fortalecer projetos de inclusão produtiva — Brasil</t>
  </si>
  <si>
    <t xml:space="preserve">Fundação Grupo Volkswagen abre edital para fortalecer projetos de inclusão produtiva</t>
  </si>
  <si>
    <t xml:space="preserve">{'valor': 'mista', 'fundamento': 'Fundação empresarial que seleciona projetos aprovados em leis de incentivo (recurso de renúncia fiscal).', 'em': '2026-10-02'}</t>
  </si>
  <si>
    <t xml:space="preserve">https://selecao.simbi.social/fgvw</t>
  </si>
  <si>
    <t xml:space="preserve">2º Edital Somando Impactos</t>
  </si>
  <si>
    <t xml:space="preserve">Fundação Grupo Volkswagen</t>
  </si>
  <si>
    <t xml:space="preserve">territórios prioritários (SP, PR e outros)</t>
  </si>
  <si>
    <t xml:space="preserve">op-e9a55d35c04a</t>
  </si>
  <si>
    <t xml:space="preserve">Edital de chamamento público nº 07/2026 - ii festival multicultural de senador pompeu — Ceará</t>
  </si>
  <si>
    <t xml:space="preserve">EDITAL DE CHAMAMENTO PÚBLICO Nº 07/2026 - II FESTIVAL MULTICULTURAL DE SENADOR POMPEU</t>
  </si>
  <si>
    <t xml:space="preserve">https://mapacultural.secult.ce.gov.br/oportunidade/8383/</t>
  </si>
  <si>
    <t xml:space="preserve">{'inicio': '2026-09-23', 'fim': '2026-10-23'}</t>
  </si>
  <si>
    <t xml:space="preserve">Resultado, Destinação</t>
  </si>
  <si>
    <t xml:space="preserve">Seleção e apoio a iniciativa de promoção, preservação e difusão de tradições culturais (II</t>
  </si>
  <si>
    <t xml:space="preserve">23/09/2026 a 23/10/2026</t>
  </si>
  <si>
    <t xml:space="preserve">3 dias úteis a contar da publicação do resultado, por formulário enviado por e-mail</t>
  </si>
  <si>
    <t xml:space="preserve">R$ 128.738,97 para o projeto selecionado</t>
  </si>
  <si>
    <t xml:space="preserve">Secretaria de Cultura, Diversidade e Turismo de Senador Pompeu (PNAB)</t>
  </si>
  <si>
    <t xml:space="preserve">Município de Senador Pompeu/CE</t>
  </si>
  <si>
    <t xml:space="preserve">Pessoas jurídicas de direito privado sem fins lucrativos do município, inscrição de 1 prop</t>
  </si>
  <si>
    <t xml:space="preserve">Anexos publicados na página do Mapa Cultural (edital e modelos)</t>
  </si>
  <si>
    <t xml:space="preserve">Cultura (tradições culturais, festival)</t>
  </si>
  <si>
    <t xml:space="preserve">op-f7f5315fbf56</t>
  </si>
  <si>
    <t xml:space="preserve">Russas- edital de chamamento público nº 003/2026 – para seleção de organização da sociedade civil para realiza… — Ceará</t>
  </si>
  <si>
    <t xml:space="preserve">RUSSAS- EDITAL DE CHAMAMENTO PÚBLICO Nº 003/2026 – PARA SELEÇÃO DE ORGANIZAÇÃO DA SOCIEDADE CIVIL PARA REALIZAÇÃO DO XIII FESTIVAL BEIJA-FLOR</t>
  </si>
  <si>
    <t xml:space="preserve">https://mapacultural.secult.ce.gov.br/oportunidade/8348/</t>
  </si>
  <si>
    <t xml:space="preserve">2026-10-10</t>
  </si>
  <si>
    <t xml:space="preserve">{'inicio': '2026-09-10', 'fim': '2026-10-10'}</t>
  </si>
  <si>
    <t xml:space="preserve">Seleção de 1 OSC para realizar o 13º Festival Beija-Flor (PNAB), Russas/CE, em parceria</t>
  </si>
  <si>
    <t xml:space="preserve">2026-09-10 a 2026-10-10 23:59</t>
  </si>
  <si>
    <t xml:space="preserve">Resultado preliminar divulgado no Mapa Cultural do Ceará (sem data fixa)</t>
  </si>
  <si>
    <t xml:space="preserve">3 dias úteis da publicação do resultado preliminar</t>
  </si>
  <si>
    <t xml:space="preserve">R$ 80.623,00 (termo de colaboração)</t>
  </si>
  <si>
    <t xml:space="preserve">Secretaria de Cultura, Turismo e Esporte de Russas (recursos PNAB)</t>
  </si>
  <si>
    <t xml:space="preserve">Russas/CE; OSC deve ter sede em Russas</t>
  </si>
  <si>
    <t xml:space="preserve">OSC com atuação em cultura, capacidade técnica e operacional e sede em Russas; pessoa físi</t>
  </si>
  <si>
    <t xml:space="preserve">Anexos I a V (Termo de Referência, Plano de Trabalho, Formulário de Recurso, Acessibilidad</t>
  </si>
  <si>
    <t xml:space="preserve">Realização do festival com recursos da PNAB</t>
  </si>
  <si>
    <t xml:space="preserve">Cultura (festival)</t>
  </si>
  <si>
    <t xml:space="preserve">op-5b43947af175</t>
  </si>
  <si>
    <t xml:space="preserve">CONCURSO, do tipo Melhor Conteúdo Artístico – 5º Concurso Fotográfico de Linha Nova, com o tema “Linha Nova:… … — Brasil</t>
  </si>
  <si>
    <t xml:space="preserve">CONCURSO, do tipo Melhor Conteúdo Artístico – 5º Concurso Fotográfico de Linha Nova, com o tema “Linha Nova:… — MUNICIPIO DE LINHA NOVA</t>
  </si>
  <si>
    <t xml:space="preserve">MUNICIPIO DE LINHA NOVA</t>
  </si>
  <si>
    <t xml:space="preserve">https://pncp.gov.br/app/editais/92123900000144/2026/140</t>
  </si>
  <si>
    <t xml:space="preserve">op-c1e9943dc4f4</t>
  </si>
  <si>
    <t xml:space="preserve">Contratação de artistas (individuais ou grupos), bandas, dj’s, locutores, locação de equipamentos e grupos… — … — Brasil</t>
  </si>
  <si>
    <t xml:space="preserve">CONTRATAÇÃO DE ARTISTAS (INDIVIDUAIS OU GRUPOS), BANDAS, DJ’S, LOCUTORES, LOCAÇÃO DE EQUIPAMENTOS E GRUPOS… — MUNICIPIO DE CHAPADA GAUCHA</t>
  </si>
  <si>
    <t xml:space="preserve">MUNICIPIO DE CHAPADA GAUCHA</t>
  </si>
  <si>
    <t xml:space="preserve">https://pncp.gov.br/app/editais/01612489000115/2026/49</t>
  </si>
  <si>
    <t xml:space="preserve">op-ebab83bc078b</t>
  </si>
  <si>
    <t xml:space="preserve">Credenciamento de artistas locais, a fim de possibilitar contratações futuras ao município dos serviços de… — … — Brasil</t>
  </si>
  <si>
    <t xml:space="preserve">CREDENCIAMENTO DE ARTISTAS LOCAIS, A FIM DE POSSIBILITAR CONTRATAÇÕES FUTURAS AO MUNICÍPIO DOS SERVIÇOS DE… — MUNICIPIO DE FORMIGA</t>
  </si>
  <si>
    <t xml:space="preserve">MUNICIPIO DE FORMIGA</t>
  </si>
  <si>
    <t xml:space="preserve">https://pncp.gov.br/app/editais/16784720000125/2026/220</t>
  </si>
  <si>
    <t xml:space="preserve">2025-04-24</t>
  </si>
  <si>
    <t xml:space="preserve">2026-04-24</t>
  </si>
  <si>
    <t xml:space="preserve">https://pncp.gov.br/app/editais/16784720000125/2025/131</t>
  </si>
  <si>
    <t xml:space="preserve">op-48bed3d9211f</t>
  </si>
  <si>
    <t xml:space="preserve">Credenciamento de artistas, bandas ou grupos musicais amadores, de renome local e regional, e bandas de… — mun… — Brasil</t>
  </si>
  <si>
    <t xml:space="preserve">CREDENCIAMENTO DE ARTISTAS, BANDAS OU GRUPOS MUSICAIS AMADORES, DE RENOME LOCAL E REGIONAL, E BANDAS DE… — MUNICIPIO DE FELICIO DOS SANTOS</t>
  </si>
  <si>
    <t xml:space="preserve">MUNICIPIO DE FELICIO DOS SANTOS</t>
  </si>
  <si>
    <t xml:space="preserve">https://pncp.gov.br/app/editais/17754201000187/2026/45</t>
  </si>
  <si>
    <t xml:space="preserve">op-e84e8b05cb33</t>
  </si>
  <si>
    <t xml:space="preserve">Credenciamento de grupos, bandas e artistas musicais, em diferentes estilos, para atender aos eventos… — munic… — Brasil</t>
  </si>
  <si>
    <t xml:space="preserve">CREDENCIAMENTO DE GRUPOS, BANDAS E ARTISTAS MUSICAIS, EM DIFERENTES ESTILOS, PARA ATENDER AOS EVENTOS… — MUNICIPIO DE CORACAO DE JESUS</t>
  </si>
  <si>
    <t xml:space="preserve">MUNICIPIO DE CORACAO DE JESUS</t>
  </si>
  <si>
    <t xml:space="preserve">https://pncp.gov.br/app/editais/22680672000128/2026/6</t>
  </si>
  <si>
    <t xml:space="preserve">op-e0f13d445e16</t>
  </si>
  <si>
    <t xml:space="preserve">Credenciamento de interessados para apresentação musical e artística em eventos promovidos pela secretaria de…… — Brasil</t>
  </si>
  <si>
    <t xml:space="preserve">CREDENCIAMENTO DE INTERESSADOS PARA APRESENTAÇÃO MUSICAL E ARTÍSTICA EM EVENTOS PROMOVIDOS PELA SECRETARIA DE… — MUNICIPIO DE POUSO ALEGRE</t>
  </si>
  <si>
    <t xml:space="preserve">MUNICIPIO DE POUSO ALEGRE</t>
  </si>
  <si>
    <t xml:space="preserve">https://pncp.gov.br/app/editais/18675983000121/2026/52</t>
  </si>
  <si>
    <t xml:space="preserve">op-f01615ad269e</t>
  </si>
  <si>
    <t xml:space="preserve">Credenciamento de artistas do município de Santa Bárbara e demais municípios da região do Entre Serras (Barão…… — Brasil</t>
  </si>
  <si>
    <t xml:space="preserve">Credenciamento de artistas do município de Santa Bárbara e demais municípios da região do Entre Serras (Barão… — MUNICIPIO DE SANTA BARBARA</t>
  </si>
  <si>
    <t xml:space="preserve">MUNICIPIO DE SANTA BARBARA</t>
  </si>
  <si>
    <t xml:space="preserve">['Artistas e produtores culturais', 'Municípios e gestores públicos']</t>
  </si>
  <si>
    <t xml:space="preserve">https://pncp.gov.br/app/editais/19391945000100/2026/174</t>
  </si>
  <si>
    <t xml:space="preserve">2025-08-15</t>
  </si>
  <si>
    <t xml:space="preserve">2026-01-29</t>
  </si>
  <si>
    <t xml:space="preserve">https://pncp.gov.br/app/editais/19391945000100/2025/109</t>
  </si>
  <si>
    <t xml:space="preserve">op-ad1a5b92a4bf</t>
  </si>
  <si>
    <t xml:space="preserve">Credenciamento, de shows artísticos de profissionais sem renome nacional para realização de apresentações… — M… — Brasil</t>
  </si>
  <si>
    <t xml:space="preserve">Credenciamento, de shows artísticos de profissionais sem renome nacional para realização de apresentações… — MUNICIPIO DE CARBONITA</t>
  </si>
  <si>
    <t xml:space="preserve">MUNICIPIO DE CARBONITA</t>
  </si>
  <si>
    <t xml:space="preserve">https://pncp.gov.br/app/editais/21154174000189/2026/8</t>
  </si>
  <si>
    <t xml:space="preserve">2025-02-27</t>
  </si>
  <si>
    <t xml:space="preserve">2026-02-27</t>
  </si>
  <si>
    <t xml:space="preserve">https://pncp.gov.br/app/editais/21154174000189/2025/16</t>
  </si>
  <si>
    <t xml:space="preserve">op-4337894a9966</t>
  </si>
  <si>
    <t xml:space="preserve">Banco do Nordeste abre inscrições para editais sociais com aportes de até R$ 1,5 milhão por projeto — Brasil</t>
  </si>
  <si>
    <t xml:space="preserve">Banco do Nordeste abre inscrições para editais sociais com aportes de até R$ 1,5 milhão por projeto</t>
  </si>
  <si>
    <t xml:space="preserve">https://www.bnb.gov.br/ConveniosWeb/Logar.aspx?ReturnUrl=%2fconveniosweb%2f</t>
  </si>
  <si>
    <t xml:space="preserve">op-77f50e469b07</t>
  </si>
  <si>
    <t xml:space="preserve">Contratação de grupos musicais, artistas ou bandas locais com o objetivo de realizarem apresentações em… — mun… — Brasil</t>
  </si>
  <si>
    <t xml:space="preserve">CONTRATAÇÃO DE GRUPOS MUSICAIS, ARTISTAS OU BANDAS LOCAIS COM O OBJETIVO DE REALIZAREM APRESENTAÇÕES EM… — MUNICIPIO DE JANDAIRA</t>
  </si>
  <si>
    <t xml:space="preserve">MUNICIPIO DE JANDAIRA</t>
  </si>
  <si>
    <t xml:space="preserve">https://pncp.gov.br/app/editais/08309239000150/2026/65</t>
  </si>
  <si>
    <t xml:space="preserve">2025-06-27</t>
  </si>
  <si>
    <t xml:space="preserve">2026-01-27</t>
  </si>
  <si>
    <t xml:space="preserve">https://pncp.gov.br/app/editais/08309239000150/2025/73</t>
  </si>
  <si>
    <t xml:space="preserve">op-af1cdacf9f5f</t>
  </si>
  <si>
    <t xml:space="preserve">Credenciamento de artistas locais, compreendendo artistas individuais, grupos musicais e bandas, para fins de…… — Brasil</t>
  </si>
  <si>
    <t xml:space="preserve">Credenciamento de artistas locais, compreendendo artistas individuais, grupos musicais e bandas, para fins de… — MUNICIPIO DE MONTE ALEGRE</t>
  </si>
  <si>
    <t xml:space="preserve">MUNICIPIO DE MONTE ALEGRE</t>
  </si>
  <si>
    <t xml:space="preserve">https://pncp.gov.br/app/editais/08365900000144/2026/36</t>
  </si>
  <si>
    <t xml:space="preserve">op-ca4f97c60178</t>
  </si>
  <si>
    <t xml:space="preserve">Credenciamento de artistas para possíveis e futuras contratações, com vistas a realizarem apresentações… — MUN… — Brasil</t>
  </si>
  <si>
    <t xml:space="preserve">Credenciamento de artistas para possíveis e futuras contratações, com vistas a realizarem apresentações… — MUNICIPIO DE NOVA CRUZ</t>
  </si>
  <si>
    <t xml:space="preserve">MUNICIPIO DE NOVA CRUZ</t>
  </si>
  <si>
    <t xml:space="preserve">https://pncp.gov.br/app/editais/08144784000133/2026/8</t>
  </si>
  <si>
    <t xml:space="preserve">op-852423a0d92f</t>
  </si>
  <si>
    <t xml:space="preserve">Credenciamento para futuras contratações de atrações artísticas e culturais locais, para atender ao… — MUNICIP… — Brasil</t>
  </si>
  <si>
    <t xml:space="preserve">Credenciamento para futuras contratações de atrações artísticas e culturais locais, para atender ao… — MUNICIPIO DE CERRO-CORA</t>
  </si>
  <si>
    <t xml:space="preserve">MUNICIPIO DE CERRO-CORA</t>
  </si>
  <si>
    <t xml:space="preserve">https://pncp.gov.br/app/editais/08173502000126/2026/22</t>
  </si>
  <si>
    <t xml:space="preserve">op-75f57f9f52c6</t>
  </si>
  <si>
    <t xml:space="preserve">Credenciamento de artistas locais para participação nos eventos e festividades previstos no calendário anual… … — Brasil</t>
  </si>
  <si>
    <t xml:space="preserve">CREDENCIAMENTO DE ARTISTAS LOCAIS PARA PARTICIPAÇÃO NOS EVENTOS E FESTIVIDADES PREVISTOS NO CALENDÁRIO ANUAL… — MUNICIPIO DE VARRE-SAI</t>
  </si>
  <si>
    <t xml:space="preserve">MUNICIPIO DE VARRE-SAI</t>
  </si>
  <si>
    <t xml:space="preserve">https://pncp.gov.br/app/editais/39217831000155/2026/26</t>
  </si>
  <si>
    <t xml:space="preserve">2025-02-20</t>
  </si>
  <si>
    <t xml:space="preserve">2026-02-20</t>
  </si>
  <si>
    <t xml:space="preserve">https://pncp.gov.br/app/editais/39217831000155/2025/7</t>
  </si>
  <si>
    <t xml:space="preserve">op-0075a9f76fbc</t>
  </si>
  <si>
    <t xml:space="preserve">Credenciamento de artistas, bandas e grupos musicais para prestação de serviços culturais e artísticos nos… — … — Brasil</t>
  </si>
  <si>
    <t xml:space="preserve">Credenciamento de artistas, bandas e grupos musicais para prestação de serviços culturais e artísticos nos… — MUNICIPIO DE BOA VENTURA</t>
  </si>
  <si>
    <t xml:space="preserve">MUNICIPIO DE BOA VENTURA</t>
  </si>
  <si>
    <t xml:space="preserve">https://pncp.gov.br/app/editais/08940702000167/2026/24</t>
  </si>
  <si>
    <t xml:space="preserve">op-9d9eb6203b16</t>
  </si>
  <si>
    <t xml:space="preserve">Credenciamento de artistas individuais, grupos culturais, grupos musicais e grupos diversos, interessados em… … — Brasil</t>
  </si>
  <si>
    <t xml:space="preserve">CREDENCIAMENTO DE ARTISTAS INDIVIDUAIS, GRUPOS CULTURAIS, GRUPOS MUSICAIS E GRUPOS DIVERSOS, INTERESSADOS EM… — MUNICIPIO DE CHA GRANDE</t>
  </si>
  <si>
    <t xml:space="preserve">MUNICIPIO DE CHA GRANDE</t>
  </si>
  <si>
    <t xml:space="preserve">https://pncp.gov.br/app/editais/11049806000190/2026/49</t>
  </si>
  <si>
    <t xml:space="preserve">2025-04-28</t>
  </si>
  <si>
    <t xml:space="preserve">https://pncp.gov.br/app/editais/11049806000190/2025/29</t>
  </si>
  <si>
    <t xml:space="preserve">op-477a319c0b84</t>
  </si>
  <si>
    <t xml:space="preserve">Credenciamento de músicos, bandas e/ou grupos musicais, de renome local ou regional para apresentações… — MUNI… — Brasil</t>
  </si>
  <si>
    <t xml:space="preserve">Credenciamento de músicos, bandas e/ou grupos musicais, de renome local ou regional para apresentações… — MUNICIPIO DE MACHADOS</t>
  </si>
  <si>
    <t xml:space="preserve">MUNICIPIO DE MACHADOS</t>
  </si>
  <si>
    <t xml:space="preserve">https://pncp.gov.br/app/editais/11097375000138/2026/46</t>
  </si>
  <si>
    <t xml:space="preserve">op-f54051cc57f5</t>
  </si>
  <si>
    <t xml:space="preserve">Credenciamento de músicos, cantores, bandas e/ou grupos musicais, de renome local ou regional para… — MUNICIPI… — Brasil</t>
  </si>
  <si>
    <t xml:space="preserve">Credenciamento de músicos, cantores, bandas e/ou grupos musicais, de renome local ou regional para… — MUNICIPIO DE CASINHAS</t>
  </si>
  <si>
    <t xml:space="preserve">MUNICIPIO DE CASINHAS</t>
  </si>
  <si>
    <t xml:space="preserve">https://pncp.gov.br/app/editais/01618704000195/2026/135</t>
  </si>
  <si>
    <t xml:space="preserve">op-1361aa4befd8</t>
  </si>
  <si>
    <t xml:space="preserve">Credenciamento de artistas e profissionais do setor artístico para a prestação de serviços culturais, visando…… — Brasil</t>
  </si>
  <si>
    <t xml:space="preserve">credenciamento de artistas e profissionais do setor artístico para a prestação de serviços culturais, visando… — MUNICIPIO DE RIO FORMOSO</t>
  </si>
  <si>
    <t xml:space="preserve">MUNICIPIO DE RIO FORMOSO</t>
  </si>
  <si>
    <t xml:space="preserve">https://pncp.gov.br/app/editais/10291177000148/2026/1</t>
  </si>
  <si>
    <t xml:space="preserve">op-19b88685cd2a</t>
  </si>
  <si>
    <t xml:space="preserve">FUNDO MUNICIPAL DE SAUDE — Credenciamento de instituições privadas com ou sem fins lucrativos de assistência à… — Brasil</t>
  </si>
  <si>
    <t xml:space="preserve">FUNDO MUNICIPAL DE SAUDE — Credenciamento de instituições privadas com ou sem fins lucrativos de assistência à saúde, interessadas em prestar serviços de proced</t>
  </si>
  <si>
    <t xml:space="preserve">FUNDO MUNICIPAL DE SAUDE</t>
  </si>
  <si>
    <t xml:space="preserve">https://pncp.gov.br/api/consulta/v1/orgaos/10491693000116/compras/2026/25</t>
  </si>
  <si>
    <t xml:space="preserve">https://pncp.gov.br/app/editais/10491693000116/2026/25</t>
  </si>
  <si>
    <t xml:space="preserve">2025, 2031</t>
  </si>
  <si>
    <t xml:space="preserve">2026-06-29</t>
  </si>
  <si>
    <t xml:space="preserve">2031-06-28</t>
  </si>
  <si>
    <t xml:space="preserve">{'inicio': '2026-06-29', 'fim': '2031-06-28'}</t>
  </si>
  <si>
    <t xml:space="preserve">Credenciamento de instituições privadas com ou sem fins lucrativos de assistência à saúde,</t>
  </si>
  <si>
    <t xml:space="preserve">abertura 2026-06-29; encerramento 2031-06-28</t>
  </si>
  <si>
    <t xml:space="preserve">R$ 38,876.40 (estimado)</t>
  </si>
  <si>
    <t xml:space="preserve">saúde</t>
  </si>
  <si>
    <t xml:space="preserve">op-6bdd21d35bd1</t>
  </si>
  <si>
    <t xml:space="preserve">Municipio de vargem alta — ccredenciamento de instituição de longa permanência para pessoa idosa – ilpi, espec… — Brasil</t>
  </si>
  <si>
    <t xml:space="preserve">MUNICIPIO DE VARGEM ALTA — CCREDENCIAMENTO DE INSTITUIÇÃO DE LONGA PERMANÊNCIA PARA PESSOA IDOSA – ILPI, ESPECIALIZADAS NA PRESTAÇÃO DO SERVIÇO DE ACOLHIMENTO I</t>
  </si>
  <si>
    <t xml:space="preserve">MUNICIPIO DE VARGEM ALTA</t>
  </si>
  <si>
    <t xml:space="preserve">https://pncp.gov.br/app/editais/31723570000133/2026/90</t>
  </si>
  <si>
    <t xml:space="preserve">2025, 2029</t>
  </si>
  <si>
    <t xml:space="preserve">2026-07-30</t>
  </si>
  <si>
    <t xml:space="preserve">2029-07-30</t>
  </si>
  <si>
    <t xml:space="preserve">{'inicio': '2026-07-30', 'fim': '2029-07-30'}</t>
  </si>
  <si>
    <t xml:space="preserve">CCREDENCIAMENTO DE INSTITUIÇÃO DE LONGA PERMANÊNCIA PARA PESSOA IDOSA – ILPI, ESPECIALIZAD</t>
  </si>
  <si>
    <t xml:space="preserve">abertura 2026-07-30; encerramento das propostas 2029-07-30</t>
  </si>
  <si>
    <t xml:space="preserve">valor total estimado R$ 1.024.816,92</t>
  </si>
  <si>
    <t xml:space="preserve">Vargem Alta/ES</t>
  </si>
  <si>
    <t xml:space="preserve">Assistência social (ILPI)</t>
  </si>
  <si>
    <t xml:space="preserve">op-9fe1bb18cd6d</t>
  </si>
  <si>
    <t xml:space="preserve">Edital de Mobilidade Cultural - MinC / Funarte - Programa de Intercâmbio Cultural — Brasil</t>
  </si>
  <si>
    <t xml:space="preserve">Edital de Mobilidade Cultural - MinC / Funarte - Programa de Intercâmbio Cultural</t>
  </si>
  <si>
    <t xml:space="preserve">https://www.gov.br/funarte/pt-br/editais/2024/edital-de-mobilidade-cultural-minc-funarte-programa-de-intercambio-cultural</t>
  </si>
  <si>
    <t xml:space="preserve">R$ 1,4 milhão; PF R$ 7 mil a R$ 17 mil; grupos até R$ 68 mil (nacional) e R$ 148 mil (internacional)</t>
  </si>
  <si>
    <t xml:space="preserve">Ministério da Cultura / Funarte</t>
  </si>
  <si>
    <t xml:space="preserve">op-39ef4bcbd41d</t>
  </si>
  <si>
    <t xml:space="preserve">PRESTAÇÃO DE INFORMAÇÕES - Edital de Patrocínio MINC/SECOM-PR nº 1/2024 - Cultura Viva - Apoio Cultural às Rád… — Brasil</t>
  </si>
  <si>
    <t xml:space="preserve">PRESTAÇÃO DE INFORMAÇÕES - Edital de Patrocínio MINC/SECOM-PR nº 1/2024 - Cultura Viva - Apoio Cultural às Rádios Comunitárias</t>
  </si>
  <si>
    <t xml:space="preserve">https://mapa.cultura.gov.br/oportunidade/9806/</t>
  </si>
  <si>
    <t xml:space="preserve">{'observacao': 'Edições anteriores achadas em Mapa da Cultura (API) (mesmo publicador e mesmo programa, conferidas por leitura).'}</t>
  </si>
  <si>
    <t xml:space="preserve">op-130fc285fe28</t>
  </si>
  <si>
    <t xml:space="preserve">Programa Funarte Brasil Conexões Internacionais — Brasil</t>
  </si>
  <si>
    <t xml:space="preserve">Programa Funarte Brasil Conexões Internacionais</t>
  </si>
  <si>
    <t xml:space="preserve">https://www.gov.br/funarte/pt-br/editais/2025/programa-funarte-brasil-conexoes-internacionais</t>
  </si>
  <si>
    <t xml:space="preserve">op-10408777208d</t>
  </si>
  <si>
    <t xml:space="preserve">Programa Funarte de Apoio a Ações Continuadas 2025 — Brasil</t>
  </si>
  <si>
    <t xml:space="preserve">Programa Funarte de Apoio a Ações Continuadas 2025</t>
  </si>
  <si>
    <t xml:space="preserve">https://www.gov.br/funarte/pt-br/editais/2025/programa-funarte-de-apoio-a-acoes-continuadas-2025</t>
  </si>
  <si>
    <t xml:space="preserve">op-41c0827235c3</t>
  </si>
  <si>
    <t xml:space="preserve">Edital de credenciamento de pareceristas nº 08/2025 - cachoeiro de itrapemirim — Espírito Santo</t>
  </si>
  <si>
    <t xml:space="preserve">EDITAL DE CREDENCIAMENTO DE PARECERISTAS Nº 08/2025 - CACHOEIRO DE ITRAPEMIRIM</t>
  </si>
  <si>
    <t xml:space="preserve">https://mapa.cultura.es.gov.br/oportunidade/2297/</t>
  </si>
  <si>
    <t xml:space="preserve">op-871716fe0305</t>
  </si>
  <si>
    <t xml:space="preserve">Chamamento público visando celebrar termo de colaboração com organizações da sociedade civil (osc) para, em… —… — Brasil</t>
  </si>
  <si>
    <t xml:space="preserve">CHAMAMENTO PÚBLICO VISANDO CELEBRAR TERMO DE COLABORAÇÃO COM ORGANIZAÇÕES DA SOCIEDADE CIVIL (OSC) PARA, EM… — MUNICIPIO DE PIRENOPOLIS</t>
  </si>
  <si>
    <t xml:space="preserve">op-1d315d557bf2</t>
  </si>
  <si>
    <t xml:space="preserve">FUNDO MUNICIPAL DE ASSISTENCIA SOCIAL DE XANXERE — Credenciamento, para fins de contratação de pessoas jurídic… — Brasil</t>
  </si>
  <si>
    <t xml:space="preserve">FUNDO MUNICIPAL DE ASSISTENCIA SOCIAL DE XANXERE — Credenciamento, para fins de contratação de pessoas jurídicas especializadas na prestação de serviços de acol</t>
  </si>
  <si>
    <t xml:space="preserve">FUNDO MUNICIPAL DE ASSISTENCIA SOCIAL DE XANXERE</t>
  </si>
  <si>
    <t xml:space="preserve">https://pncp.gov.br/app/editais/11431387000157/2026/6</t>
  </si>
  <si>
    <t xml:space="preserve">2026-07-14</t>
  </si>
  <si>
    <t xml:space="preserve">2027-07-13</t>
  </si>
  <si>
    <t xml:space="preserve">{'inicio': '2026-07-14', 'fim': '2027-07-13'}</t>
  </si>
  <si>
    <t xml:space="preserve">Credenciamento, para fins de contratação de pessoas jurídicas especializadas na prestação</t>
  </si>
  <si>
    <t xml:space="preserve">proposta de 2026-07-14 até 2027-07-13 (campos do PNCP; o intervalo de ~12 meses sugere vig</t>
  </si>
  <si>
    <t xml:space="preserve">R$ 2.027.251,20 (valor total estimado)</t>
  </si>
  <si>
    <t xml:space="preserve">Fundo Municipal De Assistencia Social De Xanxere / SC</t>
  </si>
  <si>
    <t xml:space="preserve">conforme objeto: Credenciamento, para fins de contratação de pessoas jurídicas especializa</t>
  </si>
  <si>
    <t xml:space="preserve">op-62203f116666</t>
  </si>
  <si>
    <t xml:space="preserve">Edital da Jornada TransformAção de 2026 é lançado — Brasil</t>
  </si>
  <si>
    <t xml:space="preserve">Edital da Jornada TransformAção de 2026 é lançado</t>
  </si>
  <si>
    <t xml:space="preserve">https://institutosabin.org.br/edital-da-jornada-transformacao-de-2026-e-lancado</t>
  </si>
  <si>
    <t xml:space="preserve">informado (motor f260-captacao-237, 2026-10-03)</t>
  </si>
  <si>
    <t xml:space="preserve">op-64a6a36bd7d4</t>
  </si>
  <si>
    <t xml:space="preserve">Fundo municipal de assistencia social de jaguaruna — credenciamento de instituições sem fins lucrativos, desti… — Santa Catarina</t>
  </si>
  <si>
    <t xml:space="preserve">FUNDO MUNICIPAL DE ASSISTENCIA SOCIAL DE JAGUARUNA — CREDENCIAMENTO DE INSTITUIÇÕES SEM FINS LUCRATIVOS, DESTINADAS À PRESTAÇÃO DE SERVIÇOS SOCIOASSISTENCIAIS D</t>
  </si>
  <si>
    <t xml:space="preserve">PNCP — FUNDO MUNICIPAL DE ASSISTENCIA SOCIAL DE JAGUARUNA</t>
  </si>
  <si>
    <t xml:space="preserve">https://pncp.gov.br/app/editais/01746656000110/2025/8</t>
  </si>
  <si>
    <t xml:space="preserve">op-d3b332a83db8</t>
  </si>
  <si>
    <t xml:space="preserve">Municipio de apiuna — credenciamento de serviços de acolhimento institucional de longa permanência para idosos… — Santa Catarina</t>
  </si>
  <si>
    <t xml:space="preserve">MUNICIPIO DE APIUNA — CREDENCIAMENTO DE SERVIÇOS DE ACOLHIMENTO INSTITUCIONAL DE LONGA PERMANÊNCIA PARA IDOSOS (ILPI), DE ACORDO COM A LEI FEDERAL Nº 14.133/202</t>
  </si>
  <si>
    <t xml:space="preserve">PNCP — MUNICIPIO DE APIUNA</t>
  </si>
  <si>
    <t xml:space="preserve">https://pncp.gov.br/app/editais/79373767000116/2024/79</t>
  </si>
  <si>
    <t xml:space="preserve">op-6e6eb6004502</t>
  </si>
  <si>
    <t xml:space="preserve">MUNICIPIO DE IELMO MARINHO — Seleção de Organização da Sociedade Civil – OSC, em regime de mútua cooperação, p… — Rio Grande do Norte</t>
  </si>
  <si>
    <t xml:space="preserve">MUNICIPIO DE IELMO MARINHO — Seleção de Organização da Sociedade Civil – OSC, em regime de mútua cooperação, para celebração de parceria com a administração púb</t>
  </si>
  <si>
    <t xml:space="preserve">PNCP — MUNICIPIO DE IELMO MARINHO</t>
  </si>
  <si>
    <t xml:space="preserve">op-0335c03e85d0</t>
  </si>
  <si>
    <t xml:space="preserve">MUNICIPIO DE PORTO UNIAO — Credenciamento de Instituição de Longa Permanência, especializada em acolhimento In… — Santa Catarina</t>
  </si>
  <si>
    <t xml:space="preserve">MUNICIPIO DE PORTO UNIAO — Credenciamento de Instituição de Longa Permanência, especializada em acolhimento Institucional para de idosos nos graus de necessidad</t>
  </si>
  <si>
    <t xml:space="preserve">PNCP — MUNICIPIO DE PORTO UNIAO</t>
  </si>
  <si>
    <t xml:space="preserve">https://pncp.gov.br/app/editais/83102541000158/2025/185</t>
  </si>
  <si>
    <t xml:space="preserve">2025-07-09</t>
  </si>
  <si>
    <t xml:space="preserve">2026-08-01</t>
  </si>
  <si>
    <t xml:space="preserve">https://pncp.gov.br/app/editais/83102541000158/2025/119</t>
  </si>
  <si>
    <t xml:space="preserve">op-de426f9a9a4f</t>
  </si>
  <si>
    <t xml:space="preserve">Municipio de arvoredo — chamamento público para credenciamento de instituição de longa permanência para a pres… — Santa Catarina</t>
  </si>
  <si>
    <t xml:space="preserve">MUNICIPIO DE ARVOREDO — CHAMAMENTO PÚBLICO PARA CREDENCIAMENTO DE INSTITUIÇÃO DE LONGA PERMANÊNCIA PARA A PRESTAÇÃO DE SERVIÇOS COM ACOLHIMENTO INSTITUCIONAL DE</t>
  </si>
  <si>
    <t xml:space="preserve">PNCP — MUNICIPIO DE ARVOREDO</t>
  </si>
  <si>
    <t xml:space="preserve">https://pncp.gov.br/app/editais/95995247000100/2025/133</t>
  </si>
  <si>
    <t xml:space="preserve">op-3d992a381040</t>
  </si>
  <si>
    <t xml:space="preserve">FUNDO MUNICIPAL DO DESENVOLVIMENTO SOCIAL — Credenciamento de serviços de acolhimento nas modalidades de Resid… — Santa Catarina</t>
  </si>
  <si>
    <t xml:space="preserve">FUNDO MUNICIPAL DO DESENVOLVIMENTO SOCIAL — Credenciamento de serviços de acolhimento nas modalidades de Residência Inclusiva (RI) e/ou serviços de acolhimento </t>
  </si>
  <si>
    <t xml:space="preserve">PNCP — FUNDO MUNICIPAL DO DESENVOLVIMENTO SOCIAL</t>
  </si>
  <si>
    <t xml:space="preserve">https://pncp.gov.br/app/editais/13806951000102/2025/4</t>
  </si>
  <si>
    <t xml:space="preserve">op-5123825eb9f4</t>
  </si>
  <si>
    <t xml:space="preserve">Edital Educação e Trabalho 2026 – Escola e Território — Brasil</t>
  </si>
  <si>
    <t xml:space="preserve">Edital Educação e Trabalho 2026 – Escola e Território</t>
  </si>
  <si>
    <t xml:space="preserve">https://www.itausocial.org.br/editais/edital-educacao-e-trabalho-2026-escola-e-territorio</t>
  </si>
  <si>
    <t xml:space="preserve">nova-78972c1465c9</t>
  </si>
  <si>
    <t xml:space="preserve">Credenciamento de pessoas físicas e jurídicas de Ituaçu e cidades vizinhas para apresentações artísticas — Mun… — Bahia / Ituaçu</t>
  </si>
  <si>
    <t xml:space="preserve">Credenciamento de pessoas físicas e jurídicas de Ituaçu e cidades vizinhas para apresentações artísticas — Município de Ituaçu/BA</t>
  </si>
  <si>
    <t xml:space="preserve">MUNICIPIO DE ITUACU</t>
  </si>
  <si>
    <t xml:space="preserve">Ituaçu</t>
  </si>
  <si>
    <t xml:space="preserve">https://pncp.gov.br/app/editais/14106280000121/2026/42</t>
  </si>
  <si>
    <t xml:space="preserve">2024-05-28</t>
  </si>
  <si>
    <t xml:space="preserve">2025-05-28</t>
  </si>
  <si>
    <t xml:space="preserve">https://pncp.gov.br/app/editais/14106280000121/2024/51</t>
  </si>
  <si>
    <t xml:space="preserve">{'inicio': '2026-05-13', 'fim': '2026-12-31'}</t>
  </si>
  <si>
    <t xml:space="preserve">op-651b47cdca0b</t>
  </si>
  <si>
    <t xml:space="preserve">WomenStrong International — Brasil</t>
  </si>
  <si>
    <t xml:space="preserve">WomenStrong International</t>
  </si>
  <si>
    <t xml:space="preserve">https://www.womenstrong.org/news-resources/funding-for-climate-environmental-justice-expressions-of-interest/</t>
  </si>
  <si>
    <t xml:space="preserve">2024-11-01</t>
  </si>
  <si>
    <t xml:space="preserve">Resultado, Prazo de recurso, Valor, Órgão / financiador, Território, Esfera, Requisitos, Destinação, Área de atuação</t>
  </si>
  <si>
    <t xml:space="preserve">informado (Motor 18 — GIFE (seleção mensal de editais) — histórico de 3, 2026-10-03)</t>
  </si>
  <si>
    <t xml:space="preserve">A WomenStrong International recebe até o dia 30 de novembro inscrições para o edital “Funding For Climate &amp; Environmental Justice”. A iniciativa visa apoiar organizações de qualquer região do país, li</t>
  </si>
  <si>
    <t xml:space="preserve">2024-11-30</t>
  </si>
  <si>
    <t xml:space="preserve">op-602ab2f5b5fc</t>
  </si>
  <si>
    <t xml:space="preserve">BNDES — Edital de Cinema 2026 (Seleção Pública de Patrocínio Cultural 01/2026) — Brasil</t>
  </si>
  <si>
    <t xml:space="preserve">BNDES — Edital de Cinema 2026 (Seleção Pública de Patrocínio Cultural 01/2026)</t>
  </si>
  <si>
    <t xml:space="preserve">https://www.bndes.gov.br/wps/portal/site/home/transparencia/patrocinios/selecao-publica-patrocinio-cultural-01-2026</t>
  </si>
  <si>
    <t xml:space="preserve">2026-08-13</t>
  </si>
  <si>
    <t xml:space="preserve">R$ 10.800.000,00 (valor total)</t>
  </si>
  <si>
    <t xml:space="preserve">op-2be94e2e3fe6</t>
  </si>
  <si>
    <t xml:space="preserve">Seleção de 07 projetos de Pontos de Cultura — Minas Gerais</t>
  </si>
  <si>
    <t xml:space="preserve">Seleção de 07 projetos de Pontos de Cultura</t>
  </si>
  <si>
    <t xml:space="preserve">MUNICIPIO DE RIBEIRAO DAS NEVES</t>
  </si>
  <si>
    <t xml:space="preserve">https://pncp.gov.br/app/editais/18314609000109/2026/43</t>
  </si>
  <si>
    <t xml:space="preserve">op-eb0eb5af2020</t>
  </si>
  <si>
    <t xml:space="preserve">Premiação de 14 iniciativas — Bahia</t>
  </si>
  <si>
    <t xml:space="preserve">Premiação de 14 iniciativas</t>
  </si>
  <si>
    <t xml:space="preserve">MUNICIPIO DE DIAS D'AVILA</t>
  </si>
  <si>
    <t xml:space="preserve">https://pncp.gov.br/app/editais/13394044000195/2026/73</t>
  </si>
  <si>
    <t xml:space="preserve">op-036ffdc2c883</t>
  </si>
  <si>
    <t xml:space="preserve">Edital padronizado chamamento público 12/2026 rede — Espírito Santo</t>
  </si>
  <si>
    <t xml:space="preserve">EDITAL PADRONIZADO CHAMAMENTO PÚBLICO 12/2026 REDE</t>
  </si>
  <si>
    <t xml:space="preserve">https://mapa.cultura.es.gov.br/oportunidade/2551/</t>
  </si>
  <si>
    <t xml:space="preserve">op-b76de691643d</t>
  </si>
  <si>
    <t xml:space="preserve">Credenciamento visando à contratação de artistas — Pernambuco</t>
  </si>
  <si>
    <t xml:space="preserve">Credenciamento visando à contratação de artistas</t>
  </si>
  <si>
    <t xml:space="preserve">SECRETARIA MUNICIPAL DE EDUCACAO, ESPORTE E LAZER</t>
  </si>
  <si>
    <t xml:space="preserve">https://pncp.gov.br/app/editais/30382029000146/2026/43</t>
  </si>
  <si>
    <t xml:space="preserve">op-53bc38247d14</t>
  </si>
  <si>
    <t xml:space="preserve">Cidade ocidental — edital de chamamento público nº 006/2023 – promoção das expressões culturais em cidade ocid… — Goiás / Cidade Ocidental</t>
  </si>
  <si>
    <t xml:space="preserve">Cidade Ocidental — EDITAL DE CHAMAMENTO PÚBLICO Nº 006/2023 – PROMOÇÃO DAS EXPRESSÕES CULTURAIS EM CIDADE OCIDENTAL GO</t>
  </si>
  <si>
    <t xml:space="preserve">https://cidadeocidental.go.gov.br/edital-de-chamamento-publico-no-006-2023-promocao-das-expressoes-culturais-em-cidade-ocidental-go/</t>
  </si>
  <si>
    <t xml:space="preserve">seleção de projetos culturais de fomento ao segmento audiovisual para receberem apoio fina</t>
  </si>
  <si>
    <t xml:space="preserve">R$ 60.000,00 (sessenta mil reais) na categoria de apoio descritas no Anexo I deste edital</t>
  </si>
  <si>
    <t xml:space="preserve">agente cultural, pessoa física ou jurídica, residente no município da Cidade Ocidental ou</t>
  </si>
  <si>
    <t xml:space="preserve">op-7255826dcbeb</t>
  </si>
  <si>
    <t xml:space="preserve">Cidade ocidental — lei paulo gustavo – edital de chamamento público nº 002/2024 — Goiás / Cidade Ocidental</t>
  </si>
  <si>
    <t xml:space="preserve">Cidade Ocidental — LEI PAULO GUSTAVO – EDITAL DE CHAMAMENTO PÚBLICO Nº 002/2024</t>
  </si>
  <si>
    <t xml:space="preserve">https://cidadeocidental.go.gov.br/lei-paulo-gustavo-edital-de-chamamento-publico-no-002-2024/</t>
  </si>
  <si>
    <t xml:space="preserve">utilização dos recursos remanescente para seleção de agentes culturais de audiovisual e de</t>
  </si>
  <si>
    <t xml:space="preserve">R$ 34.300,00 (trinta e quatro mil e trezentos reais) dividido entre as categorias de apoio</t>
  </si>
  <si>
    <t xml:space="preserve">agente cultural residente no município de Cidade Ocidental há pelo menos 2 (dois) anos e q</t>
  </si>
  <si>
    <t xml:space="preserve">op-5171995d2b70</t>
  </si>
  <si>
    <t xml:space="preserve">Edital nº 1/2023 - longa ficção/animação - lei paulo gustavo — Goiás — Goiás</t>
  </si>
  <si>
    <t xml:space="preserve">https://goias.gov.br/cultura/edital-2025-lei-paulo-gustavo/</t>
  </si>
  <si>
    <t xml:space="preserve">https://leipaulogustavo.cultura.go.gov.br</t>
  </si>
  <si>
    <t xml:space="preserve">selecionar projetos culturais de empresas do setor audiovisual de Goiás para concessão de</t>
  </si>
  <si>
    <t xml:space="preserve">R$ 47.000,00 (quarenta e sete mil reais), divididos da seguinte forma: a) Categoria - APOI</t>
  </si>
  <si>
    <t xml:space="preserve">SECRETARIA DE ESTADO DA CULTURA</t>
  </si>
  <si>
    <t xml:space="preserve">cadastro ativo e atualizado na Plataforma Baru, Pessoas jurídicas de direito privado, com</t>
  </si>
  <si>
    <t xml:space="preserve">op-e2f989370174</t>
  </si>
  <si>
    <t xml:space="preserve">Seleção de projetos para firmar termo de execução cultural com recursos da política nacional Aldir Blanc de fo… — Minas Gerais</t>
  </si>
  <si>
    <t xml:space="preserve">Seleção de projetos para firmar termo de execução cultural com recursos da política nacional Aldir Blanc de fomento à cultura – PNAB (lei nº 14.399/2022) - Proc</t>
  </si>
  <si>
    <t xml:space="preserve">{'valor': 'poder_publico', 'fundamento': 'Publica órgão municipal de SP com recurso público (não confirmado na fonte nesta sessão).', 'em': '2026-10-02'}</t>
  </si>
  <si>
    <t xml:space="preserve">https://culteditais.cultura.gov.br/oportunidade/8177/</t>
  </si>
  <si>
    <t xml:space="preserve">https://pncp.gov.br/app/editais/46634127000163/2026/1974</t>
  </si>
  <si>
    <t xml:space="preserve">Seleção de projetos para firmar termo de execução cultural com recursos da política nacional Aldir Blanc de fomento à cultura – PNAB (lei nº 14.399/2022) - Proc. Administ</t>
  </si>
  <si>
    <t xml:space="preserve">MUNICIPIO DE ITATINGA</t>
  </si>
  <si>
    <t xml:space="preserve">termo de execução cultural — PNAB</t>
  </si>
  <si>
    <t xml:space="preserve">op-c72794ff7c92</t>
  </si>
  <si>
    <t xml:space="preserve">Edital Fundo do Idoso Veja as regras do edital do BNDES para apoiar projetos de assistência ao idoso, por meio… — Brasil</t>
  </si>
  <si>
    <t xml:space="preserve">Edital Fundo do Idoso Veja as regras do edital do BNDES para apoiar projetos de assistência ao idoso, por meio de doações incentivadas via Fundo do Idoso. Parti</t>
  </si>
  <si>
    <t xml:space="preserve">{'valor': 'mista', 'fundamento': 'BNDES (empresa pública) seleciona projetos e destina doação incentivada aos Fundos do Idoso (fundos públicos).', 'em': '2026-10-02'}</t>
  </si>
  <si>
    <t xml:space="preserve">https://www.bndes.gov.br/wps/portal/site/home?1dmy&amp;urile=wcm%3apath%3a%2Fbndes_institucional%2Fhome%2Fonde-atuamos%2Fsocial%2Fedital-projetos-fundo-idoso</t>
  </si>
  <si>
    <t xml:space="preserve">informado (motor f260-captacao-176, 2026-10-02)</t>
  </si>
  <si>
    <t xml:space="preserve">op-4f6187e4aa1d</t>
  </si>
  <si>
    <t xml:space="preserve">Floresta+ Amazônia abre edital de até R$ 650 mil para projetos de povos e comunidades da Amazônia Legal — Brasil</t>
  </si>
  <si>
    <t xml:space="preserve">Floresta+ Amazônia abre edital de até R$ 650 mil para projetos de povos e comunidades da Amazônia Legal</t>
  </si>
  <si>
    <t xml:space="preserve">https://observatorio3setor.org.br/floresta-amazonia-abre-edital-de-ate-r-650-mil-para-projetos-de-povos-e-comunidades-da-amazonia-legal</t>
  </si>
  <si>
    <t xml:space="preserve">nova-d9551be7f363</t>
  </si>
  <si>
    <t xml:space="preserve">Google para organizações sem fins lucrativos — Internacional</t>
  </si>
  <si>
    <t xml:space="preserve">Google para organizações sem fins lucrativos</t>
  </si>
  <si>
    <t xml:space="preserve">{'valor': 'iniciativa_privada', 'fundamento': 'Empresa privada (Google) oferece seus próprios produtos.', 'em': '2026-10-02'}</t>
  </si>
  <si>
    <t xml:space="preserve">https://www.google.com/intl/pt-BR/nonprofits/eligibility/</t>
  </si>
  <si>
    <t xml:space="preserve">informado (motor f260-captacao-251, 2026-10-04)</t>
  </si>
  <si>
    <t xml:space="preserve">Programa de produtos Google gratuitos ou com desconto para ONGs (Workspace, Ad Grants, You</t>
  </si>
  <si>
    <t xml:space="preserve">Contínuo: solicitação de conta sem data final</t>
  </si>
  <si>
    <t xml:space="preserve">Verificação por parceiro e e-mail de confirmação</t>
  </si>
  <si>
    <t xml:space="preserve">Google (Google para organizações sem fins lucrativos)</t>
  </si>
  <si>
    <t xml:space="preserve">Brasil consta entre os países atendidos</t>
  </si>
  <si>
    <t xml:space="preserve">Privada (empresa)</t>
  </si>
  <si>
    <t xml:space="preserve">Ser instituição de caridade regular; não ser governo, hospital ou escola</t>
  </si>
  <si>
    <t xml:space="preserve">Uso de ferramentas e produtos (não repasse em dinheiro)</t>
  </si>
  <si>
    <t xml:space="preserve">Organizações sem fins lucrativos em geral</t>
  </si>
  <si>
    <t xml:space="preserve">{'observacao': "Programa contínuo do Google (Google for Nonprofits / Google Ad Grants), sem 'edições' datadas: a elegibilidade é permanente por cadastro. Não gera janela de inscrição; selo ouro não se aplica por edição. "}</t>
  </si>
  <si>
    <t xml:space="preserve">op-8abd564fc915</t>
  </si>
  <si>
    <t xml:space="preserve">Aviso de Chamamento Público 02/2026 — Goiás</t>
  </si>
  <si>
    <t xml:space="preserve">Aviso de Chamamento Público 02/2026</t>
  </si>
  <si>
    <t xml:space="preserve">Diário Oficial do Estado de Goiás</t>
  </si>
  <si>
    <t xml:space="preserve">https://goias.gov.br/cultura/wp-content/uploads/sites/25/2026/02/SEI_86425409_Aviso_de_Chamamento_Publico_02.pdf</t>
  </si>
  <si>
    <t xml:space="preserve">{'observacao': 'VERIFICADO em 03/10/2026 (anexo oficial SEI 86425409, Secult-GO, fev/2026): Aviso de Chamamento Público 02/2026 sob a Lei 13.019; a numeração 02/2026 indica série anual da Secult, anteriores não lidas.'}</t>
  </si>
  <si>
    <t xml:space="preserve">op-b337d78b8f5f</t>
  </si>
  <si>
    <t xml:space="preserve">Aviso de Chamamento Público – Complexo Serra Dourada — Goiás</t>
  </si>
  <si>
    <t xml:space="preserve">Aviso de Chamamento Público – Complexo Serra Dourada</t>
  </si>
  <si>
    <t xml:space="preserve">https://goias.gov.br/esporte/aviso-de-chamamento-publico-complexo-serra-dourada</t>
  </si>
  <si>
    <t xml:space="preserve">op-d6c0f6979d45</t>
  </si>
  <si>
    <t xml:space="preserve">Chamamento público — Goiás</t>
  </si>
  <si>
    <t xml:space="preserve">Chamamento público</t>
  </si>
  <si>
    <t xml:space="preserve">https://goias.gov.br/esporte/chamamento-publico</t>
  </si>
  <si>
    <t xml:space="preserve">{'observacao': 'VERIFICADO em 03/10/2026 (busca web e página goias.gov.br/esporte/chamamento-publico): chamamento do programa estadual de eventos esportivos da Secretaria de Esporte e Lazer; datas de edições anteriores não localizadas.'}</t>
  </si>
  <si>
    <t xml:space="preserve">op-f906f17ab63d</t>
  </si>
  <si>
    <t xml:space="preserve">Gráfica do Exército — AVISO DE CHAMAMENTO PÚBLICO Nº 1/2026 — é selecionar as associações e/ou cooperativas de… — Brasil</t>
  </si>
  <si>
    <t xml:space="preserve">Gráfica do Exército — AVISO DE CHAMAMENTO PÚBLICO Nº 1/2026 — é selecionar as associações e/ou cooperativas de catadores de materiais recicláveis e reutilizávei</t>
  </si>
  <si>
    <t xml:space="preserve">Diário Oficial da União</t>
  </si>
  <si>
    <t xml:space="preserve">https://www.in.gov.br/web/dou/-/aviso-de-chamamento-publico-n-1/2026-735271941</t>
  </si>
  <si>
    <t xml:space="preserve">{'inicio': None, 'fim': '2026-11-09'}</t>
  </si>
  <si>
    <t xml:space="preserve">op-c164ab14c73c</t>
  </si>
  <si>
    <t xml:space="preserve">Parque Bondinho Pão de Açúcar abre edital para projetos culturais incentivados — Brasil</t>
  </si>
  <si>
    <t xml:space="preserve">Parque Bondinho Pão de Açúcar abre edital para projetos culturais incentivados</t>
  </si>
  <si>
    <t xml:space="preserve">https://observatorio3setor.org.br/parque-bondinho-pao-de-acucar-abre-edital-para-projetos-culturais-incentivados</t>
  </si>
  <si>
    <t xml:space="preserve">op-9bb37b7994e7</t>
  </si>
  <si>
    <t xml:space="preserve">Prazo para inscrição no edital de Conservação da Biodiversidade Legado Verdes do Cerrado termina no próximo di… — Goiás</t>
  </si>
  <si>
    <t xml:space="preserve">Prazo para inscrição no edital de Conservação da Biodiversidade Legado Verdes do Cerrado termina no próximo dia 23</t>
  </si>
  <si>
    <t xml:space="preserve">https://goias.gov.br/fapeg/prazo-para-inscricao-no-edital-de-conservacao-da-biodiversidade-legado-verdes-do-cerrado-termina-no-proximo-dia-23</t>
  </si>
  <si>
    <t xml:space="preserve">nova-e5fb908f6b88</t>
  </si>
  <si>
    <t xml:space="preserve">Rede Memória Viva abre inscrições para organizações que preservam a memória africana e afro-brasileira — Brasil</t>
  </si>
  <si>
    <t xml:space="preserve">Rede Memória Viva abre inscrições para organizações que preservam a memória africana e afro-brasileira</t>
  </si>
  <si>
    <t xml:space="preserve">{'valor': 'mista', 'fundamento': 'Consórcio de organizações privadas executa iniciativa com apoio do BNDES (banco público).', 'em': '2026-10-02'}</t>
  </si>
  <si>
    <t xml:space="preserve">https://prosas.com.br/editais/18659-edital-rede-memoria-viva-iniciativa-viva-pequena-africa</t>
  </si>
  <si>
    <t xml:space="preserve">{'inicio': '2026-08-03', 'fim': '2026-10-05'}</t>
  </si>
  <si>
    <t xml:space="preserve">Adesão à Rede Memória Viva e seleção de até 4 ações para projetos técnico-conceituais (arq</t>
  </si>
  <si>
    <t xml:space="preserve">03/08/2026 08:00 a 05/10/2026 18:00 (Brasília), via Prosas</t>
  </si>
  <si>
    <t xml:space="preserve">Selecionadas divulgadas em 22/10/2026</t>
  </si>
  <si>
    <t xml:space="preserve">dispensado pelo edital: Regulamento privado/ONG sem recurso (provável)</t>
  </si>
  <si>
    <t xml:space="preserve">Consórcio Viva Pequena África (CEAP, Diaspora.Black, Feira Preta) com apoio do BNDES</t>
  </si>
  <si>
    <t xml:space="preserve">Privada/OSC com apoio do BNDES (nacional)</t>
  </si>
  <si>
    <t xml:space="preserve">Organizações que atuem com memória, patrimônio e herança cultural africana e afro-brasilei</t>
  </si>
  <si>
    <t xml:space="preserve">Documentos obrigatórios e FAQ em 'Arquivos Complementares' da Prosas (não abertos)</t>
  </si>
  <si>
    <t xml:space="preserve">Projetos técnicos e conceituais para qualificar territórios de memória</t>
  </si>
  <si>
    <t xml:space="preserve">Cultura afro-brasileira, patrimônio, museus</t>
  </si>
  <si>
    <t xml:space="preserve">{'observacao': "VERIFICADO no site oficial do Viva Pequena África (página do edital, 03/10/2026): a Rede Memória Viva é lançada em 03/08/2026 com inscrições até 05/10/2026 ('a Rede nasce'); é a 1ª edição, sem série anterior (bronze legítimo). Os livros desta família são cópias do mesmo edital em agregadores."}</t>
  </si>
  <si>
    <t xml:space="preserve">nova-63ac222433cf</t>
  </si>
  <si>
    <t xml:space="preserve">Sonhar o Mundo 2026 abre inscrições para instituições culturais de São Paulo — Brasil</t>
  </si>
  <si>
    <t xml:space="preserve">Sonhar o Mundo 2026 abre inscrições para instituições culturais de São Paulo</t>
  </si>
  <si>
    <t xml:space="preserve">{'valor': 'mista', 'fundamento': 'Secretaria da Cultura de SP (SISEM) em parceria com fundação privada.', 'em': '2026-10-02'}</t>
  </si>
  <si>
    <t xml:space="preserve">https://www.energiaesaneamento.org.br/sonhar-o-mundo-2026-abre-inscricoes-para-instituicoes-de-todo-o-estado-de-sao-paulo/</t>
  </si>
  <si>
    <t xml:space="preserve">2026-11-13</t>
  </si>
  <si>
    <t xml:space="preserve">{'inicio': None, 'fim': '2026-11-13'}</t>
  </si>
  <si>
    <t xml:space="preserve">Inscrições gratuitas até 13/11/2026</t>
  </si>
  <si>
    <t xml:space="preserve">dispensado pelo edital: Campanha de adesão sem seleção competitiva (provável)</t>
  </si>
  <si>
    <t xml:space="preserve">Secretaria da Cultura, Economia e Indústria Criativas de SP (SISEM) com Fundação Energia e</t>
  </si>
  <si>
    <t xml:space="preserve">Estado de São Paulo</t>
  </si>
  <si>
    <t xml:space="preserve">Estadual (SP)</t>
  </si>
  <si>
    <t xml:space="preserve">Museus, memoriais, centros de memória, casas de cultura e instituições museológicas; sem e</t>
  </si>
  <si>
    <t xml:space="preserve">https://observatorio3setor.org.br/sonhar-o-mundo-2026-abre-inscricoes-para-instituicoes-culturais-de-sao-paulo</t>
  </si>
  <si>
    <t xml:space="preserve">Programação de 1 a 13/12/2026 nas instituições participantes</t>
  </si>
  <si>
    <t xml:space="preserve">Cultura/museus e saúde mental</t>
  </si>
  <si>
    <t xml:space="preserve">op-ff6d0df35e5a</t>
  </si>
  <si>
    <t xml:space="preserve">APOIO FINANCEIRO O edital destinou apoio financeiro a propostas de organizações da sociedade civil , conforme … — Brasil</t>
  </si>
  <si>
    <t xml:space="preserve">APOIO FINANCEIRO O  edital  destinou apoio financeiro a propostas de  organizações   da   sociedade   civil , conforme as seguintes condições: recursos totais d</t>
  </si>
  <si>
    <t xml:space="preserve">https://duckduckgo.com/l?uddg=https%3A%2F%2Fwww.gov.br%2Fmulheres%2Fpt%2Dbr%2Facesso%2Da%2Dinformacao%2Feditais%2F2026%2Fedital%2Dno%2D3%2D2026%2Dapoio%2Da%2Dorganizacao%2Destruturacao%2De%2Dformalizacao%2Dde%2Dcooperativas%2Dassociacoes%2Dempreendimentos%2Dde%2Deconomia%2Dsolidaria%2De%2Dcoletivos%2Dde%2Dmulheres%2F&amp;rut=bdd48b431be96354a58ae01aeb8b90db9ed9b950c51741f1bf9391823044d8d5</t>
  </si>
  <si>
    <t xml:space="preserve">op-e7174b0a4052</t>
  </si>
  <si>
    <t xml:space="preserve">Edital 001/ 2026 - fundo semente para resiliência - parceiros voluntários seleção de propostas de organizações… — Brasil</t>
  </si>
  <si>
    <t xml:space="preserve">EDITAL  001/ 2026  - FUNDO SEMENTE PARA RESILIÊNCIA - PARCEIROS VOLUNTÁRIOS SELEÇÃO DE PROPOSTAS DE  ORGANIZAÇÕES   DA   SOCIEDADE   CIVIL  PARA FORTALECIMENTO,</t>
  </si>
  <si>
    <t xml:space="preserve">https://duckduckgo.com/l?uddg=https%3A%2F%2Fparceirosvoluntarios.org.br%2Fwp%2Dcontent%2Fuploads%2F2026%2F04%2FEdital%2D001%2D2026.pdf&amp;rut=1cfe90e819e5c912f0a330beec5f4074b788278c1f28e9fee854bde88a861b51</t>
  </si>
  <si>
    <t xml:space="preserve">op-1d8f072643da</t>
  </si>
  <si>
    <t xml:space="preserve">O UNAIDS publica, nesta quinta-feira (23), o Edital para seleção de Organizações da Sociedade Civil (OSC), que… — Brasil</t>
  </si>
  <si>
    <t xml:space="preserve">O UNAIDS publica, nesta quinta-feira (23), o  Edital  para seleção de  Organizações   da   Sociedade   Civil  (OSC), que selecionará até 10 propostas. Cada uma </t>
  </si>
  <si>
    <t xml:space="preserve">https://duckduckgo.com/l?uddg=https%3A%2F%2Funaids.org.br%2F2026%2F04%2Funaids%2Dpublica%2Dedital%2Dpara%2Dselecao%2Dde%2Dprojetos%2Dfocados%2Dno%2Ddesenvolvimento%2Dde%2Dacoes%2Dde%2Dbase%2Dcomunitaria%2F&amp;rut=b20ae7b1f880cd6d5a065437ef2e87a05d72fd39e6be6f8d84ed7222c21c8a68</t>
  </si>
  <si>
    <t xml:space="preserve">op-4aa1222546a5</t>
  </si>
  <si>
    <t xml:space="preserve">Os editais aqui disponibilizados são oportunidades voltadas ao desenvolvimento institucional de organizações d… — Brasil</t>
  </si>
  <si>
    <t xml:space="preserve">Os  editais  aqui disponibilizados são oportunidades voltadas ao desenvolvimento institucional de organizações da sociedade civil, realização de projetos sociai</t>
  </si>
  <si>
    <t xml:space="preserve">https://duckduckgo.com/l?uddg=https%3A%2F%2Fwww.itausocial.org.br%2Feditais%2F&amp;rut=178675466b10ac3a74943b9cd2117d86099f5bbc5e0471269afd1890a45a6b10</t>
  </si>
  <si>
    <t xml:space="preserve">nova-da16936d9a2e</t>
  </si>
  <si>
    <t xml:space="preserve">Ver edital — São Paulo</t>
  </si>
  <si>
    <t xml:space="preserve">Ver edital</t>
  </si>
  <si>
    <t xml:space="preserve">https://rededobem.org.br/editais/12-edital-de-microprojetos-rj</t>
  </si>
  <si>
    <t xml:space="preserve">informado (motor f260-curadoria-004, 2026-10-04)</t>
  </si>
  <si>
    <t xml:space="preserve">op-17dda5a29761</t>
  </si>
  <si>
    <t xml:space="preserve">Parceirosvoluntarios.org.br/wp-content/uploads/2026/01/Edital-Programa-Impulsionar-2026.pdf — Brasil</t>
  </si>
  <si>
    <t xml:space="preserve">parceirosvoluntarios.org.br/wp-content/uploads/2026/01/Edital-Programa-Impulsionar-2026.pdf</t>
  </si>
  <si>
    <t xml:space="preserve">https://duckduckgo.com/l?uddg=https%3A%2F%2Fparceirosvoluntarios.org.br%2Fwp%2Dcontent%2Fuploads%2F2026%2F01%2FEdital%2DPrograma%2DImpulsionar%2D2026.pdf&amp;rut=852f790f09b78e7e1aa15028160c0809e9fef6b21a7c3b7e4344ba80b48baa7f</t>
  </si>
  <si>
    <t xml:space="preserve">op-0576aa81cecb</t>
  </si>
  <si>
    <t xml:space="preserve">DGARTES apoia o Programa IETM "Global Connect" 2027 — Internacional</t>
  </si>
  <si>
    <t xml:space="preserve">DGARTES apoia o Programa IETM "Global Connect" 2027</t>
  </si>
  <si>
    <t xml:space="preserve">{'valor': 'mista', 'fundamento': 'Programa da rede IETM (associação internacional) com apoio de membros associados e da DGARTES (órgão público português).', 'em': '2026-10-02'}</t>
  </si>
  <si>
    <t xml:space="preserve">https://www.ietm.org/en/projects/ietm-global-connect/apply-to-the-call</t>
  </si>
  <si>
    <t xml:space="preserve">2026-10-15</t>
  </si>
  <si>
    <t xml:space="preserve">{'inicio': None, 'fim': '2026-10-15'}</t>
  </si>
  <si>
    <t xml:space="preserve">Seleção de até 10 profissionais de artes performativas do mundo todo para o programa Global Connect 2027 (membresia gratuita do IETM por cinco anos e atividades online de formação em rede)</t>
  </si>
  <si>
    <t xml:space="preserve">Até quinta-feira 15 de outubro (2026) às 23h59 CEST</t>
  </si>
  <si>
    <t xml:space="preserve">Sem dinheiro: associação gratuita ao IETM por 5 anos (2027-2031)</t>
  </si>
  <si>
    <t xml:space="preserve">IETM (Bruxelas), com apoio de financiadores listados no site</t>
  </si>
  <si>
    <t xml:space="preserve">Mundial (profissionais de qualquer país; atenção a países com baixa ou nenhuma presença no IETM)</t>
  </si>
  <si>
    <t xml:space="preserve">Internacional (rede associativa)</t>
  </si>
  <si>
    <t xml:space="preserve">Profissionais atuantes em artes performativas contemporâneas (exceto música ao vivo), com mínimo de 5 anos de experiência e compromisso demonstrado com igualdade, inclusão, diversidade e sustentabilidade; domínio do inglês; conta no IETM</t>
  </si>
  <si>
    <t xml:space="preserve">Formulário online no portal IETM (conta aprovada em até 2 dias); FAQ</t>
  </si>
  <si>
    <t xml:space="preserve">Membresia gratuita por cinco anos e atividades de construção de comunidade</t>
  </si>
  <si>
    <t xml:space="preserve">Artes performativas</t>
  </si>
  <si>
    <t xml:space="preserve">{'observacao': 'Página oficial do IETM lida. Individual, qualquer país; sem valor em dinheiro.'}</t>
  </si>
  <si>
    <t xml:space="preserve">op-33c02152c0c8</t>
  </si>
  <si>
    <t xml:space="preserve">Designers em Residência | EMMA – Creative Center Pforzheim 2027 — Internacional</t>
  </si>
  <si>
    <t xml:space="preserve">Designers em Residência | EMMA – Creative Center Pforzheim 2027</t>
  </si>
  <si>
    <t xml:space="preserve">{'valor': 'mista', 'fundamento': 'Programa do EMMA em cooperação com a Universidade de Pforzheim (pública) e o Design Center Baden-Württemberg; a natureza jurídica do EMMA não foi confirmada.', 'em': '2026-10-02'}</t>
  </si>
  <si>
    <t xml:space="preserve">https://veranstaltungen.emma-pf.de/en/events/designers-in-residence-2027</t>
  </si>
  <si>
    <t xml:space="preserve">2026-11-02</t>
  </si>
  <si>
    <t xml:space="preserve">{'inicio': None, 'fim': '2026-11-02'}</t>
  </si>
  <si>
    <t xml:space="preserve">Três bolsas de residência em design (joalheria, moda, acessórios, design industrial e de comunicação) em Pforzheim, de 01/04 a 30/06/2027</t>
  </si>
  <si>
    <t xml:space="preserve">Até 02/11/2026, 23h59 CET (a página lista 'End Date 01/11/2026')</t>
  </si>
  <si>
    <t xml:space="preserve">Residência totalmente financiada: alojamento gratuito, ajuda de custo mensal de € 1.000, reembolso de viagem e verba para materiais (valor da verba não informado) — segundo DGARTES</t>
  </si>
  <si>
    <t xml:space="preserve">EMMA – Creative Center Pforzheim (Alemanha), em cooperação com a Escola de Design da Universidade de Pforzheim e o Design Center Baden-Württemberg</t>
  </si>
  <si>
    <t xml:space="preserve">Pforzheim, Alemanha; candidatos de qualquer país (candidatura em inglês)</t>
  </si>
  <si>
    <t xml:space="preserve">Internacional (centro criativo municipal/universitário)</t>
  </si>
  <si>
    <t xml:space="preserve">Estudos concluídos em universidade; no máximo 35 anos ou formado há no máximo 2 anos; uma candidatura por pessoa; em inglês; plano de projeto e materiais</t>
  </si>
  <si>
    <t xml:space="preserve">Portfólio (PDF, até 10 páginas), currículo, comprovante do diploma, esboço do projeto, formulário online</t>
  </si>
  <si>
    <t xml:space="preserve">Residência de três meses com ateliê/coworking e exposição final no EMMA</t>
  </si>
  <si>
    <t xml:space="preserve">Design (joalheria, moda, acessórios, industrial, gráfico)</t>
  </si>
  <si>
    <t xml:space="preserve">{'observacao': 'Página oficial do EMMA lida. Designers até 35 anos/formados há ≤2 anos; não é para OSC.'}</t>
  </si>
  <si>
    <t xml:space="preserve">op-e4a9218ac67f</t>
  </si>
  <si>
    <t xml:space="preserve">A presidente do CONSELHO REGIONAL DE CONTABILIDADE DO ESTADO DE GOIAS torna público, aos interessados, que rea… — Goiás</t>
  </si>
  <si>
    <t xml:space="preserve">A presidente do CONSELHO REGIONAL DE CONTABILIDADE DO ESTADO DE GOIAS torna público, aos interessados, que realizará Chamamento Público para seleção e credencia</t>
  </si>
  <si>
    <t xml:space="preserve">PNCP — CONSELHO REGIONAL DE CONTABILIDADE DO ESTADO DE GOIAS</t>
  </si>
  <si>
    <t xml:space="preserve">https://pncp.gov.br/app/editais/01015676000111/2025/1</t>
  </si>
  <si>
    <t xml:space="preserve">op-bc0332c94e22</t>
  </si>
  <si>
    <t xml:space="preserve">Edital SCFV Cafelândia 2026: Capte Recursos para ONGs — Brasil</t>
  </si>
  <si>
    <t xml:space="preserve">Edital SCFV Cafelândia 2026: Capte Recursos para ONGs</t>
  </si>
  <si>
    <t xml:space="preserve">Ministério do Desenvolvimento e Assistência Social, Família e Combate à Fome</t>
  </si>
  <si>
    <t xml:space="preserve">https://scbrnews.com.br/arcelormittal-abre-edital-e-promete-apoio-a-projetos-sociais-em-sc-ate-2023/</t>
  </si>
  <si>
    <t xml:space="preserve">Valor</t>
  </si>
  <si>
    <t xml:space="preserve">op-aa0203a30025</t>
  </si>
  <si>
    <t xml:space="preserve">Celebração de Termo de Fomento com a Associação dos Universitários de Osório para subsidiar o transporte de es… — Brasil</t>
  </si>
  <si>
    <t xml:space="preserve">Celebração de Termo de Fomento com a Associação dos Universitários de Osório para subsidiar o transporte de estudantes universitários no ano de 2026.</t>
  </si>
  <si>
    <t xml:space="preserve">https://pncp.gov.br/app/editais/88814181000130/2026/474</t>
  </si>
  <si>
    <t xml:space="preserve">op-2bcc013bdeac</t>
  </si>
  <si>
    <t xml:space="preserve">Edital Cultura Goiatuba 2026: PNAB Ciclo 2 — Goiás / Goiatuba — Goiás / Goiatuba</t>
  </si>
  <si>
    <t xml:space="preserve">https://goiatuba.go.gov.br</t>
  </si>
  <si>
    <t xml:space="preserve">Seleção de projetos culturais com recursos PNAB Ciclo 2</t>
  </si>
  <si>
    <t xml:space="preserve">1º a 13/10/2026, presencial ou eletrônico</t>
  </si>
  <si>
    <t xml:space="preserve">Goiatuba/GO</t>
  </si>
  <si>
    <t xml:space="preserve">op-4466ce0ec6f1</t>
  </si>
  <si>
    <t xml:space="preserve">Edital Fundação Grupo Boticário Litoral SP PR SC 2026 — Brasil</t>
  </si>
  <si>
    <t xml:space="preserve">Edital Fundação Grupo Boticário Litoral SP PR SC 2026</t>
  </si>
  <si>
    <t xml:space="preserve">{'valor': 'iniciativa_privada', 'fundamento': 'Fundação empresarial do Grupo Boticário com recurso próprio.', 'em': '2026-10-02'}</t>
  </si>
  <si>
    <t xml:space="preserve">https://fundacaogrupoboticario.org.br/chamada-busca-negocios-de-impacto-ambiental-positivo-nos-litorais-de-sp-pr-e-sc</t>
  </si>
  <si>
    <t xml:space="preserve">{'observacao': 'VERIFICADO no site da Fundação Grupo Boticário (587 itens, API, 03/10/2026): sem edição anterior do mesmo edital; o Conexão Oceano (jornalismo/arte) e a chamada de incêndios são linhas distintas.'}</t>
  </si>
  <si>
    <t xml:space="preserve">op-9c20d4e08c44</t>
  </si>
  <si>
    <t xml:space="preserve">Edital Marinha 2026: Guia de Permuta e Imóveis Ociosos — Brasil</t>
  </si>
  <si>
    <t xml:space="preserve">Edital Marinha 2026: Guia de Permuta e Imóveis Ociosos</t>
  </si>
  <si>
    <t xml:space="preserve">{'valor': 'poder_publico', 'fundamento': 'Marinha do Brasil (União), imóveis da União', 'em': '2026-10-02'}</t>
  </si>
  <si>
    <t xml:space="preserve">https://www.marinha.mil.br/compras</t>
  </si>
  <si>
    <t xml:space="preserve">op-ff20213995f2</t>
  </si>
  <si>
    <t xml:space="preserve">Prefeitura de Goiatuba — Edital nº 004/2026 — Goiás / Goiatuba</t>
  </si>
  <si>
    <t xml:space="preserve">Prefeitura de Goiatuba — Edital nº 004/2026</t>
  </si>
  <si>
    <t xml:space="preserve">Prefeitura de Goiatuba</t>
  </si>
  <si>
    <t xml:space="preserve">https://diariooficial.abc.go.gov.br/portal/visualizacoes/pdf/7376/</t>
  </si>
  <si>
    <t xml:space="preserve">https://diariooficial.abc.go.gov.br/portal/visualizacoes/pdf/7376/#e:7376</t>
  </si>
  <si>
    <t xml:space="preserve">informado (motor do-goias, 2026-10-04)</t>
  </si>
  <si>
    <t xml:space="preserve">Seleção de projetos culturais para Termo de Execução Cultural com recursos da PNAB Ciclo 2</t>
  </si>
  <si>
    <t xml:space="preserve">2026-10-01 a 2026-10-13, presencial ou por e-mail</t>
  </si>
  <si>
    <t xml:space="preserve">informado (motor do-goias, 2026-10-03)</t>
  </si>
  <si>
    <t xml:space="preserve">Município de Goiatuba, Secretaria Municipal de Educação e Cultura</t>
  </si>
  <si>
    <t xml:space="preserve">Apoio financeiro a projetos culturais (PNAB, Lei 14.399/2022)</t>
  </si>
  <si>
    <t xml:space="preserve">op-e8af24936609</t>
  </si>
  <si>
    <t xml:space="preserve">SECTI-GO (ciência e tecnologia) — Edital nº 002/2026 — Goiás</t>
  </si>
  <si>
    <t xml:space="preserve">SECTI-GO (ciência e tecnologia) — Edital nº 002/2026</t>
  </si>
  <si>
    <t xml:space="preserve">SECTI-GO (ciência e tecnologia)</t>
  </si>
  <si>
    <t xml:space="preserve">{'valor': 'poder_publico', 'fundamento': 'Publica a SECTI-GO; recurso do orçamento estadual.', 'em': '2026-10-02'}</t>
  </si>
  <si>
    <t xml:space="preserve">https://goias.gov.br/inovacao/wp-content/uploads/sites/26/2026/09/Edital-1.pdf</t>
  </si>
  <si>
    <t xml:space="preserve">https://diariooficial.abc.go.gov.br/portal/visualizacoes/pdf/7374/#e:7374</t>
  </si>
  <si>
    <t xml:space="preserve">operacionalização do Programa Cidadão Tech 60+ por OSC</t>
  </si>
  <si>
    <t xml:space="preserve">até 18h de 26/10/2026 (sessão pública de abertura em 27/10/2026, 10h)</t>
  </si>
  <si>
    <t xml:space="preserve">5 dias úteis da publicação do resultado preliminar; contrarrazões em 5 dias úteis</t>
  </si>
  <si>
    <t xml:space="preserve">R$ 1.000.000,00 (máximo), em 3 parcelas</t>
  </si>
  <si>
    <t xml:space="preserve">Secretaria de Estado de Ciência, Tecnologia e Inovação (SECTI-GO)</t>
  </si>
  <si>
    <t xml:space="preserve">OSC do art. 2º, I, da Lei 13.019; 2 anos de CNPJ; 1 ano de experiência no objeto ou semelh</t>
  </si>
  <si>
    <t xml:space="preserve">Anexo 1 Estudo Técnico Preliminar; 2 Termo de Referência; 3 Plano de Trabalho de Referênci</t>
  </si>
  <si>
    <t xml:space="preserve">pessoa idosa / inclusão digital</t>
  </si>
  <si>
    <t xml:space="preserve">op-73c0b982aa92</t>
  </si>
  <si>
    <t xml:space="preserve">{'valor': 'poder_publico', 'fundamento': 'Prefeitura de Goiânia publica; recurso municipal (seleção de pessoal).', 'em': '2026-10-02'}</t>
  </si>
  <si>
    <t xml:space="preserve">https://sme.goiania.go.gov.br/site/index.php/servicos/processo-seletivo-de-diretores/processo-seletivo-de-diretores-2025</t>
  </si>
  <si>
    <t xml:space="preserve">Promover os Jogos Educacionais no contexto virtual e/ou presencial, a fim de possibilitar</t>
  </si>
  <si>
    <t xml:space="preserve">op-8daf9662dea1</t>
  </si>
  <si>
    <t xml:space="preserve">Credenciamento/chamamento público na area da saúde. — Goiás — Brasil</t>
  </si>
  <si>
    <t xml:space="preserve">Credenciamento/chamamento público na area da saúde. — Goiás</t>
  </si>
  <si>
    <t xml:space="preserve">https://pncp.gov.br/app/editais/10842697000100/2025/1</t>
  </si>
  <si>
    <t xml:space="preserve">op-aface4f1d06a</t>
  </si>
  <si>
    <t xml:space="preserve">Recursos livres e carimbados devem financiar tanto os projetos quanto a estrutura das OSCs — Brasil</t>
  </si>
  <si>
    <t xml:space="preserve">Recursos livres e carimbados devem financiar tanto os projetos quanto a estrutura das OSCs</t>
  </si>
  <si>
    <t xml:space="preserve">https://captadores.org.br/captamos/recursos-livres-e-carimbados-devem-financiar-tanto-os-projetos-quanto-a-estrutura-das-oscs</t>
  </si>
  <si>
    <t xml:space="preserve">op-6d8bf1c2d6da</t>
  </si>
  <si>
    <t xml:space="preserve">Resultado definitivo das entidades habilitadas do Edital de Convocação nº 1/2026 nas eleições do Conselho Esta… — Goiás</t>
  </si>
  <si>
    <t xml:space="preserve">Resultado definitivo das entidades habilitadas do Edital de Convocação nº 1/2026 nas eleições do Conselho Estadual de Direitos Humanos, Igualdade Racial e Comba</t>
  </si>
  <si>
    <t xml:space="preserve">https://goias.gov.br/social/resultado-preliminar-das-entidades-habilitadas-e-inabilitadas-do-edital-de-convocacao-no-1-2026-nas-eleicoes-do-conselho-estadual-de-direitos-humanos-igualdade-racial-e-combate-ao-preconceito-cedhir</t>
  </si>
  <si>
    <t xml:space="preserve">op-f0f816ed768d</t>
  </si>
  <si>
    <t xml:space="preserve">Outorga para permissão de uso onerosa de espaços físicos (stands) no Galpão a ser montado na Praça Menino João… — Rio de Janeiro / Rio de Janeiro</t>
  </si>
  <si>
    <t xml:space="preserve">Outorga para permissão de uso onerosa de espaços físicos (stands) no Galpão a ser montado na Praça Menino João Hélio, no período de 26 a 28 de julho de 2024, po</t>
  </si>
  <si>
    <t xml:space="preserve">PNCP — ESTADO DO RIO DE JANEIRO</t>
  </si>
  <si>
    <t xml:space="preserve">https://pncp.gov.br/app/editais/42498600000171/2024/4461</t>
  </si>
  <si>
    <t xml:space="preserve">op-3773bdd6a031</t>
  </si>
  <si>
    <t xml:space="preserve">Continue lendo Fundação Tide Setubal abre inscrições para edital de saúde mental nas periferias de São Paulo — Brasil</t>
  </si>
  <si>
    <t xml:space="preserve">Continue lendo Fundação Tide Setubal abre inscrições para edital de saúde mental nas periferias de São Paulo</t>
  </si>
  <si>
    <t xml:space="preserve">https://captadores.org.br/editais/fundacao-tide-setubal-abre-inscricoes-para-edital-de-saude-mental-nas-periferias-de-sao-paulo</t>
  </si>
  <si>
    <t xml:space="preserve">op-34c155a86aab</t>
  </si>
  <si>
    <t xml:space="preserve">Edital de chamamento para manifestação de interesse das organizações sociais para celebração de contrato de ge… — Goiás</t>
  </si>
  <si>
    <t xml:space="preserve">EDITAL DE CHAMAMENTO PARA MANIFESTAÇÃO DE INTERESSE DAS ORGANIZAÇÕES SOCIAIS PARA CELEBRAÇÃO DE CONTRATO DE GESTÃO</t>
  </si>
  <si>
    <t xml:space="preserve">PNCP — FUNDO MUNICIPAL DE SAUDE DE ALTO PARAISO</t>
  </si>
  <si>
    <t xml:space="preserve">https://pncp.gov.br/app/editais/07720960000175/2024/30</t>
  </si>
  <si>
    <t xml:space="preserve">op-a74ea23aea0b</t>
  </si>
  <si>
    <t xml:space="preserve">Criação de chamamento público para pessoas jurídicas, com ou sem fins lucrativos (livreiros, distribuidoras e … — Rio Grande do Sul</t>
  </si>
  <si>
    <t xml:space="preserve">CRIAÇÃO DE CHAMAMENTO PÚBLICO PARA PESSOAS JURÍDICAS, COM OU SEM FINS LUCRATIVOS (LIVREIROS, DISTRIBUIDORAS E EDITORAS), PARA EXPOSIÇÃO E COMERCIALIZAÇÃO DE MAT</t>
  </si>
  <si>
    <t xml:space="preserve">PNCP — FUNDACAO CASA DAS ARTES DE BENTO GONCALVES</t>
  </si>
  <si>
    <t xml:space="preserve">https://pncp.gov.br/app/editais/91982819000157/2024/6</t>
  </si>
  <si>
    <t xml:space="preserve">op-e9f71fc7fd89</t>
  </si>
  <si>
    <t xml:space="preserve">Sfo3.digitaloceanspaces.com/iweventos/imagens/ccm/2026-06/EDITAL_ONGS_CONGRESSO_SBOC_2026.pdf — Brasil</t>
  </si>
  <si>
    <t xml:space="preserve">sfo3.digitaloceanspaces.com/iweventos/imagens/ccm/2026-06/EDITAL_ONGS_CONGRESSO_SBOC_2026.pdf</t>
  </si>
  <si>
    <t xml:space="preserve">https://duckduckgo.com/l?uddg=https%3A%2F%2Fsfo3.digitaloceanspaces.com%2Fiweventos%2Fimagens%2Fccm%2F2026%2D06%2FEDITAL_ONGS_CONGRESSO_SBOC_2026.pdf&amp;rut=67a92b9c048b72fbcea6a5080e35fc9a4af33186f6d33b6e7b7dc58f86be791c</t>
  </si>
  <si>
    <t xml:space="preserve">op-5e2866ec627b</t>
  </si>
  <si>
    <t xml:space="preserve">Edital Conta que soma oferece formação gratuita em educação financeira para jovens Co.liga selecionará mil jov… — Brasil</t>
  </si>
  <si>
    <t xml:space="preserve">Edital Conta que soma oferece formação gratuita em educação financeira para jovens Co.liga selecionará mil jovens de todo o país; 30 projetos avançam para labor</t>
  </si>
  <si>
    <t xml:space="preserve">https://duckduckgo.com/l?uddg=https%3A%2F%2Fobservatorio3setor.org.br%2Fsecoes_tematicas%2Feditais%2F&amp;rut=eebcd1002a59143e482e3f14690c6d8ab3b35713f1479e9e052b6e891f40de9d</t>
  </si>
  <si>
    <t xml:space="preserve">op-3f5241a15743</t>
  </si>
  <si>
    <t xml:space="preserve">Ambev abre edital de até R$ 67 milhões para projetos culturais e esportivos em todo o Brasil Observatório 3º S… — Brasil</t>
  </si>
  <si>
    <t xml:space="preserve">Ambev abre edital de até R$ 67 milhões para projetos culturais e esportivos em todo o Brasil Observatório 3º Setor (fonte) R$ 67,0 mi Aceita:   organizações da </t>
  </si>
  <si>
    <t xml:space="preserve">https://capitaai.com.br/captacao/ambev-abre-edital-ate-milhoes-projetos-culturais-esportivos-biwuta</t>
  </si>
  <si>
    <t xml:space="preserve">op-feb883b9f15a</t>
  </si>
  <si>
    <t xml:space="preserve">ª edição do Prêmio Fundação Banco do Brasil de Tecnologia Social recebe inscrições — Brasil</t>
  </si>
  <si>
    <t xml:space="preserve">12ª edição do Prêmio Fundação Banco do Brasil de Tecnologia Social recebe inscrições</t>
  </si>
  <si>
    <t xml:space="preserve">https://captadores.org.br/editais/12a-edicao-do-premio-fundacao-banco-do-brasil-de-tecnologia-social-recebe-inscricoes</t>
  </si>
  <si>
    <t xml:space="preserve">op-6ecea0de4f66</t>
  </si>
  <si>
    <t xml:space="preserve">Parque Bondinho Pão de Açúcar abre edital para projetos culturais incentivados Iniciativas aprovadas na Lei do… — Brasil</t>
  </si>
  <si>
    <t xml:space="preserve">Parque Bondinho Pão de Açúcar abre edital para projetos culturais incentivados Iniciativas aprovadas na Lei do ISS do Rio de Janeiro podem receber incentivo em </t>
  </si>
  <si>
    <t xml:space="preserve">https://duckduckgo.com/l?uddg=https%3A%2F%2Fobservatorio3setor.org.br%2Fsecoes_tematicas%2Feditais%2F&amp;rut=71e76025cf29251e29b331a6fd2f94e7215aff028875a7f549e64f491361f1f3</t>
  </si>
  <si>
    <t xml:space="preserve">op-76c63ca78ae5</t>
  </si>
  <si>
    <t xml:space="preserve">Edital para Seleção de Organizações da Sociedade Civil para o Desenvolvimento de Ações de Mobilização Social e… — Brasil</t>
  </si>
  <si>
    <t xml:space="preserve">Edital  para Seleção de  Organizações   da   Sociedade   Civil  para o Desenvolvimento de Ações de Mobilização Social e de Base Comunitária voltadas à Promoção </t>
  </si>
  <si>
    <t xml:space="preserve">https://duckduckgo.com/l?uddg=https%3A%2F%2Funaids.org.br%2Fwp%2Dcontent%2Fuploads%2F2026%2F01%2F2026_Edital_UNAIDS_DATHI_Sociedade_Civil.pdf&amp;rut=72de7c14c56224031c1bfffe6714e1c30cd81007daf1a909b5dd17abf9c1e0e6</t>
  </si>
  <si>
    <t xml:space="preserve">op-ef5b9cbe657b</t>
  </si>
  <si>
    <t xml:space="preserve">Edital BNDES de Cinema — Brasil</t>
  </si>
  <si>
    <t xml:space="preserve">Edital BNDES de Cinema</t>
  </si>
  <si>
    <t xml:space="preserve">Editais incentivados de empresas — destinação tributária (Rouanet, LIE, FIA, PRONON)</t>
  </si>
  <si>
    <t xml:space="preserve">https://www.bndes.gov.br/wps/portal/site/home/onde-atuamos/cultura-e-economia-criativa/selecao-de-projetos-cinematograficos/selecao-publica-projetos-cinematograficos/!ut/p/z0/jU49b8IwEP0tDBmtsxBCMEYIhNpQEOqQekEXY8LRxBfsM23_fd0OjIjtPb1PMFCD8XijFoXYY5f5h5keqvnrcj3Z6mq7X890WS2q991qpndvU3gB89iQG-hyvZoSjGUv7lugbvzRxQP5KCTJ_i8V-sy9KzRnSaEk7DkW2qZOUkDlcpR7QmUD5Ws3LHR0nbPId6CG1HRkUQ2BL044Kkve9SjcBjyR5fh3Z</t>
  </si>
  <si>
    <t xml:space="preserve">op-8957df886b04</t>
  </si>
  <si>
    <t xml:space="preserve">O Edital nº 7/2026 tem como objetivo selecionar organizações da sociedade civil para compor o Fórum Nacional p… — Brasil</t>
  </si>
  <si>
    <t xml:space="preserve">O  Edital  nº 7/2026 tem como objetivo selecionar  organizações   da   sociedade   civil  para compor o Fórum Nacional pelo Protagonismo  das  Mulheres Idosas. </t>
  </si>
  <si>
    <t xml:space="preserve">['Pessoas idosas', 'Mulheres']</t>
  </si>
  <si>
    <t xml:space="preserve">https://duckduckgo.com/l?uddg=https%3A%2F%2Fwww.gov.br%2Fmulheres%2Fpt%2Dbr%2Facesso%2Da%2Dinformacao%2Feditais%2F2026%2Fedital%2Dno%2D7%2D2026%2Dselecao%2Dde%2Dorganizacoes%2Dda%2Dsociedade%2Dcivil%2Dpara%2Dcomposicao%2Ddo%2Dforum%2Dnacional%2Dpelo%2Dprotagonismo%2Ddas%2Dmulheres%2Didosas&amp;rut=a2b32931f929949207cc0d25c6d1f32b815f187877fe8988906708bce9601b87</t>
  </si>
  <si>
    <t xml:space="preserve">op-721b59fae1e1</t>
  </si>
  <si>
    <t xml:space="preserve">Pnab - edital nº 003/2024 (fomento) — Goiás</t>
  </si>
  <si>
    <t xml:space="preserve">PNAB - EDITAL Nº 003/2024 (FOMENTO)</t>
  </si>
  <si>
    <t xml:space="preserve">PNCP — FUNDO MUNICIPAL DE EDUCACAO E CULTURA - FMEC</t>
  </si>
  <si>
    <t xml:space="preserve">https://pncp.gov.br/app/editais/25107525000151/2024/82</t>
  </si>
  <si>
    <t xml:space="preserve">op-f316e848ab5c</t>
  </si>
  <si>
    <t xml:space="preserve">Chamamento público para fins de contratação de pessoas jurídicas para prestação de serviços especializados na … — Minas Gerais</t>
  </si>
  <si>
    <t xml:space="preserve">CHAMAMENTO PÚBLICO PARA FINS DE CONTRATAÇÃO DE PESSOAS JURÍDICAS PARA PRESTAÇÃO DE SERVIÇOS ESPECIALIZADOS NA REMOÇÃO DE PACIENTES GRAVES (ADULTO, INFANTIL E NE</t>
  </si>
  <si>
    <t xml:space="preserve">PNCP — CONSORCIO INTERM SAUDE MUNIC MICROREGIAO ALTO SAPUCAI</t>
  </si>
  <si>
    <t xml:space="preserve">https://pncp.gov.br/app/editais/01111142000199/2023/6</t>
  </si>
  <si>
    <t xml:space="preserve">op-b2594281fffd</t>
  </si>
  <si>
    <t xml:space="preserve">Fundo Hydro abre inscrições para projetos comunitários e negócios sustentáveis no Pará Edital do Programa Corr… — Brasil</t>
  </si>
  <si>
    <t xml:space="preserve">Fundo Hydro abre inscrições para projetos comunitários e negócios sustentáveis no Pará Edital do Programa Corredor, do Fundo Hydro vai selecionar iniciativas de</t>
  </si>
  <si>
    <t xml:space="preserve">https://duckduckgo.com/l?uddg=https%3A%2F%2Fobservatorio3setor.org.br%2Fcategory%2Fnoticias%2Feditais%2F&amp;rut=3e7636992125199c63ba2e746aae6d53984f89aa3518bdce0a25926f01953cf1</t>
  </si>
  <si>
    <t xml:space="preserve">op-5500a3439f3d</t>
  </si>
  <si>
    <t xml:space="preserve">I3s.org.br/edital/ — Brasil</t>
  </si>
  <si>
    <t xml:space="preserve">i3s.org.br/edital/</t>
  </si>
  <si>
    <t xml:space="preserve">https://duckduckgo.com/l?uddg=https%3A%2F%2Fi3s.org.br%2Fedital%2F&amp;rut=224369f930e5e80a39521d32beff6b26987e5be4b421185f60a7112d99aa7395</t>
  </si>
  <si>
    <t xml:space="preserve">{'observacao': 'VERIFICADO em 03/10/2026 (site i3s.org.br): Instituto Terceiro Setor publica editais próprios de apoio a OSCs e lista de selecionados; calendário datado de edições anteriores não lido.'}</t>
  </si>
  <si>
    <t xml:space="preserve">op-93545b4f2f05</t>
  </si>
  <si>
    <t xml:space="preserve">Contratação de Pessoas Jurídica atuante na área da saúde para prestação de serviços nas especialidades constan… — Paraná</t>
  </si>
  <si>
    <t xml:space="preserve">Contratação de Pessoas Jurídica atuante na área da saúde para prestação de serviços nas especialidades constantes na Tabela de Valores Objeto do Chamamento Públ</t>
  </si>
  <si>
    <t xml:space="preserve">https://pncp.gov.br/app/editais/95640322000101/2026/75</t>
  </si>
  <si>
    <t xml:space="preserve">op-078349badf28</t>
  </si>
  <si>
    <t xml:space="preserve">Edital de chamamento público o credenciamento de Microempreendedores Individuais (MEI): para, sem qualquer car… — São Paulo</t>
  </si>
  <si>
    <t xml:space="preserve">Edital de chamamento público o credenciamento de Microempreendedores
Individuais (MEI):  para, sem qualquer caráter de exclusividade, visando a prestação dos se</t>
  </si>
  <si>
    <t xml:space="preserve">PNCP — FUNDACAO UNIVERSIDADE FEDERAL DE SAO CARLOS</t>
  </si>
  <si>
    <t xml:space="preserve">https://pncp.gov.br/app/editais/45358058000140/2024/8</t>
  </si>
  <si>
    <t xml:space="preserve">op-26aeab1a9f26</t>
  </si>
  <si>
    <t xml:space="preserve">Chamamento público resíduos sólidos — Paraná</t>
  </si>
  <si>
    <t xml:space="preserve">CHAMAMENTO PÚBLICO RESÍDUOS SÓLIDOS</t>
  </si>
  <si>
    <t xml:space="preserve">PNCP — DEPARTAMENTO DE ESTRADAS DE RODAGEM DO ESTADO DO PARANA</t>
  </si>
  <si>
    <t xml:space="preserve">https://pncp.gov.br/app/editais/76669324000189/2026/128</t>
  </si>
  <si>
    <t xml:space="preserve">op-649c9981f243</t>
  </si>
  <si>
    <t xml:space="preserve">Credenciamento de pessoa jurídica, interessada na área da saúde, para a prestação de serviços complementares e… — Paraná</t>
  </si>
  <si>
    <t xml:space="preserve">CREDENCIAMENTO DE PESSOA JURÍDICA, INTERESSADA NA ÁREA DA SAÚDE, PARA A PRESTAÇÃO DE SERVIÇOS COMPLEMENTARES ESPECIALIZADOS (EXAMES CLÍNICOS, PROCEDIMENTOS, FIS</t>
  </si>
  <si>
    <t xml:space="preserve">PNCP — CONSORCIO METROPOLITANO DE SAUDE DO PARANA - COMESP</t>
  </si>
  <si>
    <t xml:space="preserve">https://pncp.gov.br/app/editais/08061295000118/2023/4</t>
  </si>
  <si>
    <t xml:space="preserve">op-9902f3723ad9</t>
  </si>
  <si>
    <t xml:space="preserve">Acesse aqui o formulário e os documentos do edital — Brasil</t>
  </si>
  <si>
    <t xml:space="preserve">Acesse aqui o formulário e os documentos do edital</t>
  </si>
  <si>
    <t xml:space="preserve">https://brasil.unwomen.org/pt-br/stories/noticia/2026/04/onu-mulheres-brasil-e-ministerio-das-mulheres-lancam-edital-de-apoio-financeiro-para-organizacoes-da-sociedade-civil-na-area-de-justica-climatica</t>
  </si>
  <si>
    <t xml:space="preserve">op-c1dd7956bc00</t>
  </si>
  <si>
    <t xml:space="preserve">Inscrição e seleção, mediante credenciamento, de profissionais com formação superior em comunicação, publicida… — Distrito Federal</t>
  </si>
  <si>
    <t xml:space="preserve">Inscrição e seleção, mediante credenciamento, de profissionais com formação superior em comunicação, publicidade ou marketing, ou com atuação comprovada em uma </t>
  </si>
  <si>
    <t xml:space="preserve">PNCP — MUTUA DE ASSISTENCIA DOS PROFISSIO DA ENG ARQ AGRONOMIA</t>
  </si>
  <si>
    <t xml:space="preserve">https://pncp.gov.br/app/editais/00509026000160/2025/12</t>
  </si>
  <si>
    <t xml:space="preserve">op-27c9b5dfa51f</t>
  </si>
  <si>
    <t xml:space="preserve">Chamamento publico, com o intuito de promover o credenciamento, para viabilizar a prestacao de servicos medico… — Minas Gerais</t>
  </si>
  <si>
    <t xml:space="preserve">CHAMAMENTO PUBLICO, COM O INTUITO DE PROMOVER O CREDENCIAMENTO, PARA VIABILIZAR A PRESTACAO DE SERVICOS MEDICOS PARA ATENDER AS DEMANDAS AMBULATORIAIS E HOSPITA</t>
  </si>
  <si>
    <t xml:space="preserve">PNCP — ESTADO DE MINAS GERAIS</t>
  </si>
  <si>
    <t xml:space="preserve">https://pncp.gov.br/app/editais/18715615000160/2024/803</t>
  </si>
  <si>
    <t xml:space="preserve">op-96363267cff9</t>
  </si>
  <si>
    <t xml:space="preserve">Edital N° 2 Para Seleção De Organizações Da Sociedade Civil Para ... — Brasil</t>
  </si>
  <si>
    <t xml:space="preserve">Edital N° 2 Para Seleção De Organizações Da Sociedade Civil Para ...</t>
  </si>
  <si>
    <t xml:space="preserve">https://duckduckgo.com/l?uddg=https%3A%2F%2Finstitutoinad.org.br%2Feditais%2Fedital%2Dn%2D2%2Dpara%2Dselecao%2Dde%2Dorganizacoes%2Dda%2Dsociedade%2Dcivil%2Dpara%2Ddesenvolver%2Dacoes%2Destrategicas%2Dde%2Dbase%2Dcomunitaria%2Dnos%2Dterritorios%2Dunaids%2Ddathi%2F&amp;rut=30b2b2e573aba3a4e4a6a811bb66e98e7097bdf69c3098ddb96fe395f1693a50</t>
  </si>
  <si>
    <t xml:space="preserve">op-fb479018b1a7</t>
  </si>
  <si>
    <t xml:space="preserve">Chamamento Público para contratação de instituição especializada na prestação de serviços técnico- especializa… — Rondônia</t>
  </si>
  <si>
    <t xml:space="preserve">Chamamento Público para contratação de instituição especializada na prestação de serviços técnico- especializados no planejamento, organização e realização de C</t>
  </si>
  <si>
    <t xml:space="preserve">PNCP — ESTADO DE RONDONIA</t>
  </si>
  <si>
    <t xml:space="preserve">RO</t>
  </si>
  <si>
    <t xml:space="preserve">https://pncp.gov.br/app/editais/00394585000171/2024/270</t>
  </si>
  <si>
    <t xml:space="preserve">op-4a35ef9f6e43</t>
  </si>
  <si>
    <t xml:space="preserve">CREDENCIAMENTO/CHAMAMENTO PÚBLICO NA AREA DA SAÚDE.</t>
  </si>
  <si>
    <t xml:space="preserve">PNCP — FUNDO MUNICIPAL DE SAUDE DE PALESTINA DE GOIAS</t>
  </si>
  <si>
    <t xml:space="preserve">op-7aa687d0cc24</t>
  </si>
  <si>
    <t xml:space="preserve">Chamamento Público nº 0001/2026-5688 Centralizadora Nacional Contratações Aceita: organizações da sociedade ci… — Brasil</t>
  </si>
  <si>
    <t xml:space="preserve">Chamamento Público nº 0001/2026-5688 Centralizadora Nacional Contratações Aceita:   organizações da sociedade civil Prazo:  28/09/2026 (1d) Ver detalhes →</t>
  </si>
  <si>
    <t xml:space="preserve">https://capitaai.com.br/captacao/chamamento-publico-000120265688-centralizadora-nacional-contratacoes-vribf3</t>
  </si>
  <si>
    <t xml:space="preserve">op-e07d19581da2</t>
  </si>
  <si>
    <t xml:space="preserve">Contratação de pessoas jurídicas, por meio de credenciamento, para prestação de serviços de consultoria e asse… — Rio Grande do Sul</t>
  </si>
  <si>
    <t xml:space="preserve">O presente Edital tem por objeto a contratação de pessoas jurídicas, por meio
de credenciamento, para prestação de serviços de consultoria e assessoria técnica</t>
  </si>
  <si>
    <t xml:space="preserve">PNCP — SUBSECRETARIA DA ADMINISTRACAO CENTRAL DE LICITACOES</t>
  </si>
  <si>
    <t xml:space="preserve">https://portal.tce.rs.gov.br/aplicprod/f?p=50500:10:::NO:10:P10_ID_LICITACAO,P10_PAG_RETORNO,F50500_CD_ORGAO:1144921,14,88370&amp;cs=11ObdU0sTI2SbzK0p7eHr3VujB2Q</t>
  </si>
  <si>
    <t xml:space="preserve">op-7539f8f6dea1</t>
  </si>
  <si>
    <t xml:space="preserve">Credenciamento através de Chamamento Público de Agricultores familiares, Empreendedores Familiares Rurais e su… — Internacional</t>
  </si>
  <si>
    <t xml:space="preserve">Credenciamento através de Chamamento Público de Agricultores familiares, Empreendedores Familiares Rurais e suas organizações detentores de Declaração de Aptidã</t>
  </si>
  <si>
    <t xml:space="preserve">https://pncp.gov.br/app/editais/42498600000171/2024/359</t>
  </si>
  <si>
    <t xml:space="preserve">op-b0f7b36d18b7</t>
  </si>
  <si>
    <t xml:space="preserve">O UNAIDS publicou edital para seleção de Organizações da Sociedade Civil para desenvolver ações de mobilização… — Brasil</t>
  </si>
  <si>
    <t xml:space="preserve">O UNAIDS publicou  edital  para seleção de  Organizações   da   Sociedade   Civil  para desenvolver ações de mobilização social e de base comunitária visando à </t>
  </si>
  <si>
    <t xml:space="preserve">https://duckduckgo.com/l?uddg=https%3A%2F%2Fbrasil.un.org%2Fpt%2Dbr%2F308564%2Dunaids%2De%2Dminist%25C3%25A9rio%2Dda%2Dsa%25C3%25BAde%2Dabrem%2Dsele%25C3%25A7%25C3%25A3o%2Dde%2Dorganiza%25C3%25A7%25C3%25B5es%2Dda%2Dsociedade%2Dcivil%2Dvoltadas%2Da%25C3%25A7%25C3%25B5es&amp;rut=f376926901a1143983b9c627e63707827d4de7dc37bb70ceb0cda3c12b0de420</t>
  </si>
  <si>
    <t xml:space="preserve">op-60084c8e0a7b</t>
  </si>
  <si>
    <t xml:space="preserve">ChildFund Brasil lança edital para seleção de OSCs que trabalham com crianças e adolescentes — Brasil</t>
  </si>
  <si>
    <t xml:space="preserve">ChildFund Brasil lança edital para seleção de OSCs que trabalham com crianças e adolescentes</t>
  </si>
  <si>
    <t xml:space="preserve">https://captadores.org.br/editais/childfund-brasil-lanca-edital-para-selecao-de-oscs-que-trabalham-com-criancas-e-adolescentes</t>
  </si>
  <si>
    <t xml:space="preserve">op-30a02ec91f27</t>
  </si>
  <si>
    <t xml:space="preserve">Divulgado resultado de edital que levará 70 pesquisadores goianos a — Goiás</t>
  </si>
  <si>
    <t xml:space="preserve">Divulgado resultado de edital que levará 70 pesquisadores goianos a</t>
  </si>
  <si>
    <t xml:space="preserve">https://goias.gov.br/fapeg/divulgado-resultado-de-edital-que-levara-70-pesquisadores-goianos-a-eventos-cientificos-no-exterior</t>
  </si>
  <si>
    <t xml:space="preserve">op-3369fb0e8c50</t>
  </si>
  <si>
    <t xml:space="preserve">Referente ao 2º chamamento público - credenciamento 002, para credenciamento e contratação de pessoa jurídica … — Goiás</t>
  </si>
  <si>
    <t xml:space="preserve">REFERENTE AO 2º CHAMAMENTO PÚBLICO - CREDENCIAMENTO 002, PARA CREDENCIAMENTO E CONTRATAÇÃO DE PESSOA JURÍDICA PARA PRESTAÇÃO DE SERVIÇOS/PROCEDIMENTOS/CONSULTAS</t>
  </si>
  <si>
    <t xml:space="preserve">PNCP — IPASLUZ SAUDE</t>
  </si>
  <si>
    <t xml:space="preserve">https://pncp.gov.br/app/editais/08147606000166/2025/2</t>
  </si>
  <si>
    <t xml:space="preserve">op-a2ce466b5f92</t>
  </si>
  <si>
    <t xml:space="preserve">Comunicação para Ação Climática no Brasil — Brasil</t>
  </si>
  <si>
    <t xml:space="preserve">Comunicação para Ação Climática no Brasil</t>
  </si>
  <si>
    <t xml:space="preserve">https://climaesociedade.org/edital/comunicacao-para-acao-climatica-no-brasil</t>
  </si>
  <si>
    <t xml:space="preserve">2026-08-03 a 2026-08-31</t>
  </si>
  <si>
    <t xml:space="preserve">R$ 200 mil a R$ 500 mil por projeto; R$ 4 milhões no total</t>
  </si>
  <si>
    <t xml:space="preserve">Instituto Clima e Sociedade (iCS)</t>
  </si>
  <si>
    <t xml:space="preserve">https://climaesociedade.org/edital/comunicacao-para-acao-climatica-no-brasil/</t>
  </si>
  <si>
    <t xml:space="preserve">{'observacao': 'VERIFICADO no site do Instituto Clima e Sociedade (1.453 itens, API, 03/10/2026): sem edital anterior com o mesmo objeto/nome na janela de 3 anos; editais vizinhos do iCS (economia, adaptação, tecnologia) são linhas distintas e não foram contados como a mesma série.'}</t>
  </si>
  <si>
    <t xml:space="preserve">op-4f629f4cfe25</t>
  </si>
  <si>
    <t xml:space="preserve">º Edital de Apoio à Filantropia Comunitária seleciona 25 campanhas para o Dia de Doar 2025 — Brasil</t>
  </si>
  <si>
    <t xml:space="preserve">5º Edital de Apoio à Filantropia Comunitária seleciona 25 campanhas para o Dia de Doar 2025</t>
  </si>
  <si>
    <t xml:space="preserve">https://captadores.org.br/abcr/5o-edital-de-apoio-a-filantropia-comunitaria-seleciona-25-campanhas-para-o-dia-de-doar-2025</t>
  </si>
  <si>
    <t xml:space="preserve">op-1de70fc0f063</t>
  </si>
  <si>
    <t xml:space="preserve">Clima na Economia: integrando a questão climática à agenda econômica — Brasil</t>
  </si>
  <si>
    <t xml:space="preserve">Clima na Economia: integrando a questão climática à agenda econômica</t>
  </si>
  <si>
    <t xml:space="preserve">https://climaesociedade.org/edital/clima-na-economia-integrando-a-questao-climatica-a-agenda-economica</t>
  </si>
  <si>
    <t xml:space="preserve">Edital – Clima na Economia: integrando a questão climática à agenda econômica</t>
  </si>
  <si>
    <t xml:space="preserve">2026-03-09 a 2026-04-08</t>
  </si>
  <si>
    <t xml:space="preserve">R$ 2,5 milhões (até R$ 500 mil por proposta)</t>
  </si>
  <si>
    <t xml:space="preserve">https://climaesociedade.org/edital/clima-na-economia-integrando-a-questao-climatica-a-agenda-economica/</t>
  </si>
  <si>
    <t xml:space="preserve">op-6a9857cad595</t>
  </si>
  <si>
    <t xml:space="preserve">Refere-se a abertura de processo licitatório do CHAMAMENTO PÚBLICO, visando a contratação através de credencia… — Paraná</t>
  </si>
  <si>
    <t xml:space="preserve">Refere-se a abertura de processo licitatório do CHAMAMENTO PÚBLICO, visando a contratação através de credenciamento  de pessoas jurídicas para fornecimento de b</t>
  </si>
  <si>
    <t xml:space="preserve">https://pncp.gov.br/app/editais/95640322000101/2023/36</t>
  </si>
  <si>
    <t xml:space="preserve">op-26a092cac276</t>
  </si>
  <si>
    <t xml:space="preserve">Edital de chamada pública nº 29/2024 de credenciamento nº 11 /2024 de júri artístico para compor comissões de … — São Paulo</t>
  </si>
  <si>
    <t xml:space="preserve">Edital de chamada pública nº 29/2024 de credenciamento nº 11 /2024 de júri artístico para compor comissões de julgamento de editais de Concurso da Fundação de A</t>
  </si>
  <si>
    <t xml:space="preserve">PNCP — FUNDACAO DE ARTE E CULTURA DE UBATUBA</t>
  </si>
  <si>
    <t xml:space="preserve">https://pncp.gov.br/app/editais/55555957000196/2024/181</t>
  </si>
  <si>
    <t xml:space="preserve">op-be90f87f3a53</t>
  </si>
  <si>
    <t xml:space="preserve">Edital nº 019/2026 – Ciência na Mesa 5: Base de Dados e Sistemas de Informações para Tomada de Decisão em Sobe… — Brasil</t>
  </si>
  <si>
    <t xml:space="preserve">Edital nº 019/2026 – Ciência na Mesa 5: Base de Dados e Sistemas de Informações para Tomada de Decisão em Soberania Alimentar e Nutricional FAPESB Aceita:   ins</t>
  </si>
  <si>
    <t xml:space="preserve">https://capitaai.com.br/captacao/edital-0192026-ciencia-mesa-base-dados-sistemas-informacoes-zncqav</t>
  </si>
  <si>
    <t xml:space="preserve">op-8e0a537d4253</t>
  </si>
  <si>
    <t xml:space="preserve">Instituto Lojas Renner lança edital nacional para investir mais de R$ 1 milhão em projetos de inclusão sociopr… — Brasil</t>
  </si>
  <si>
    <t xml:space="preserve">Instituto Lojas Renner lança edital nacional para investir mais de R$ 1 milhão em projetos de inclusão socioprodutiva de mulheres Observatório 3º Setor (fonte) </t>
  </si>
  <si>
    <t xml:space="preserve">https://capitaai.com.br/captacao/instituto-lojas-renner-lanca-edital-nacional-investir-mais-wpopu0</t>
  </si>
  <si>
    <t xml:space="preserve">op-a867acbdc2de</t>
  </si>
  <si>
    <t xml:space="preserve">Edital vai apoiar projetos de adaptação climática em comunidades vulneráveis de 7 estados brasileiros Observat… — Brasil</t>
  </si>
  <si>
    <t xml:space="preserve">Edital vai apoiar projetos de adaptação climática em comunidades vulneráveis de 7 estados brasileiros Observatório 3º Setor (fonte) R$ 700 mil Aceita:   organiz</t>
  </si>
  <si>
    <t xml:space="preserve">https://capitaai.com.br/captacao/edital-vai-apoiar-projetos-adaptacao-climatica-comunidades-vulneraveis-64wtni</t>
  </si>
  <si>
    <t xml:space="preserve">op-d348b89cadc9</t>
  </si>
  <si>
    <t xml:space="preserve">Edital de Chamamento Público nº 001/2025 – Programa Mentes Azuis Fundação de Amparo à Pesquisa do Estado do Ac… — Brasil</t>
  </si>
  <si>
    <t xml:space="preserve">Edital de Chamamento Público nº 001/2025 – Programa Mentes Azuis Fundação de Amparo à Pesquisa do Estado do Acre – FAPAC R$ 130 mil Aceita:   organizações da so</t>
  </si>
  <si>
    <t xml:space="preserve">https://capitaai.com.br/captacao/edital-chamamento-publico-0012025-programa-mentes-azuis-fundacao-vxdgbk</t>
  </si>
  <si>
    <t xml:space="preserve">op-d05354faf6aa</t>
  </si>
  <si>
    <t xml:space="preserve">Prêmio Nacional Liga STEAM 2026 prorroga inscrições para 26 de junho Observatório 3º Setor (fonte) R$ 25 mil A… — Brasil</t>
  </si>
  <si>
    <t xml:space="preserve">Prêmio Nacional Liga STEAM 2026 prorroga inscrições para 26 de junho Observatório 3º Setor (fonte) R$ 25 mil Aceita:   organizações da sociedade civil Prazo:  C</t>
  </si>
  <si>
    <t xml:space="preserve">https://capitaai.com.br/captacao/premio-nacional-liga-steam-2026-prorroga-inscricoes-junho-q419kv</t>
  </si>
  <si>
    <t xml:space="preserve">op-c5f6d8aa2670</t>
  </si>
  <si>
    <t xml:space="preserve">Secretaria de Estado da Segurança Pública (SSP) — EDITAL DE CHAMAMENTO PÚBLICO Nº 01/2024 — Goiás</t>
  </si>
  <si>
    <t xml:space="preserve">Secretaria de Estado da Segurança Pública (SSP) — EDITAL DE CHAMAMENTO PÚBLICO Nº 01/2024</t>
  </si>
  <si>
    <t xml:space="preserve">Secretaria de Estado da Segurança Pública (SSP)</t>
  </si>
  <si>
    <t xml:space="preserve">https://goias.gov.br/seguranca/edital-de-chamamento-publico-2/</t>
  </si>
  <si>
    <t xml:space="preserve">op-85677c4c99d2</t>
  </si>
  <si>
    <t xml:space="preserve">Goiás Turismo — Governo de Goiás lança edital de R$ 2,5 milhões com foco na retomada dos eventos nos município… — Goiás</t>
  </si>
  <si>
    <t xml:space="preserve">Goiás Turismo — Governo de Goiás lança edital de R$ 2,5 milhões com foco na retomada dos eventos nos municípios</t>
  </si>
  <si>
    <t xml:space="preserve">['Municípios e gestores públicos']</t>
  </si>
  <si>
    <t xml:space="preserve">https://goias.gov.br/turismo/governo-de-goias-lanca-edital-de-r-2-5-milhoes-com-foco-na-retomada-dos-eventos-nos-municipios/</t>
  </si>
  <si>
    <t xml:space="preserve">{'observacao': 'SERIE CONFIRMADA SEM DATAS (Agência Goiás e Goiás Turismo, leitura de 03/10/2026): chamamento de R$ 2,5 milhões para retomada de eventos nos municípios em 2025 (Termo de Referência 01/2025, anexado em fev/2025) e Chamamento Público 2026 publicado em 06/03/2026; datas de inscrição da edição de 2025 não lidas.'}</t>
  </si>
  <si>
    <t xml:space="preserve">op-23f097ae48eb</t>
  </si>
  <si>
    <t xml:space="preserve">Goiás Turismo — Prêmio Nacional do Turismo: saiba quais são as categorias — Goiás</t>
  </si>
  <si>
    <t xml:space="preserve">Goiás Turismo — Prêmio Nacional do Turismo: saiba quais são as categorias</t>
  </si>
  <si>
    <t xml:space="preserve">https://goias.gov.br/turismo/premio-nacional-do-turismo-saiba-quais-sao-as-categorias/</t>
  </si>
  <si>
    <t xml:space="preserve">2025-10-14</t>
  </si>
  <si>
    <t xml:space="preserve">op-78e24d01cfc4</t>
  </si>
  <si>
    <t xml:space="preserve">Secretaria de Estado da Cultura (Secult) — Secult Goiás lança edital para levar produção artística goiana ao R… — Goiás</t>
  </si>
  <si>
    <t xml:space="preserve">Secretaria de Estado da Cultura (Secult) — Secult Goiás lança edital para levar produção artística goiana ao Rio de Janeiro</t>
  </si>
  <si>
    <t xml:space="preserve">op-89527e779a3b</t>
  </si>
  <si>
    <t xml:space="preserve">Contratação de prestação de serviço especializado de Produtor Cultural para a Implementação e Curadoria… — EST… — Brasil</t>
  </si>
  <si>
    <t xml:space="preserve">Contratação de prestação de serviço especializado de Produtor Cultural para a Implementação e Curadoria… — ESTADO DA BAHIA</t>
  </si>
  <si>
    <t xml:space="preserve">{'valor': 'poder_publico', 'fundamento': 'Publicado pelo IPAC/Secretaria de Cultura do Estado da Bahia; despesa por dotação estadual (FIPLAN).', 'em': '2026-10-02'}</t>
  </si>
  <si>
    <t xml:space="preserve">https://pncp.gov.br/app/editais/13937032000160/2026/2273</t>
  </si>
  <si>
    <t xml:space="preserve">op-a25ddbd7a904</t>
  </si>
  <si>
    <t xml:space="preserve">Edital de chamamento público nº 16 /2026 - seleção de projetos para fomento à execução de ações culturais - pn… — Espírito Santo</t>
  </si>
  <si>
    <t xml:space="preserve">EDITAL DE CHAMAMENTO PÚBLICO Nº 16 /2026 - SELEÇÃO DE PROJETOS PARA FOMENTO À EXECUÇÃO DE AÇÕES CULTURAIS - PNAB</t>
  </si>
  <si>
    <t xml:space="preserve">https://mapa.cultura.es.gov.br/oportunidade/2593/</t>
  </si>
  <si>
    <t xml:space="preserve">{'inicio': '2026-09-04', 'fim': '2026-10-07'}</t>
  </si>
  <si>
    <t xml:space="preserve">04/09/2026 a 07/10/2026 12h (campo da plataforma)</t>
  </si>
  <si>
    <t xml:space="preserve">Secretaria Municipal de Cultura e Turismo de Cachoeiro de Itapemirim (recursos PNAB/MinC)</t>
  </si>
  <si>
    <t xml:space="preserve">Cachoeiro de Itapemirim/ES</t>
  </si>
  <si>
    <t xml:space="preserve">municipal, com recursos federais (PNAB)</t>
  </si>
  <si>
    <t xml:space="preserve">fomento via Termo de Execução Cultural</t>
  </si>
  <si>
    <t xml:space="preserve">op-4cfd0e075877</t>
  </si>
  <si>
    <t xml:space="preserve">Edital de chamamento público para seleção de projetos - pnab — Ceará</t>
  </si>
  <si>
    <t xml:space="preserve">EDITAL DE CHAMAMENTO PÚBLICO PARA SELEÇÃO DE PROJETOS - PNAB</t>
  </si>
  <si>
    <t xml:space="preserve">https://mapacultural.secult.ce.gov.br/oportunidade/8369/</t>
  </si>
  <si>
    <t xml:space="preserve">{'inicio': '2026-09-23', 'fim': '2026-10-07'}</t>
  </si>
  <si>
    <t xml:space="preserve">Resultado, Prazo de recurso, Valor, Requisitos, Destinação</t>
  </si>
  <si>
    <t xml:space="preserve">23/09/2026 a 07/10/2026</t>
  </si>
  <si>
    <t xml:space="preserve">Município de Pacatuba/CE (recursos federais do MinC, PNAB)</t>
  </si>
  <si>
    <t xml:space="preserve">Município de Pacatuba/CE</t>
  </si>
  <si>
    <t xml:space="preserve">municipal (recurso federal)</t>
  </si>
  <si>
    <t xml:space="preserve">Cultura (PNAB)</t>
  </si>
  <si>
    <t xml:space="preserve">op-cd408c5b6b6c</t>
  </si>
  <si>
    <t xml:space="preserve">Secretaria de Cultura de Guaramiranga — Ceará</t>
  </si>
  <si>
    <t xml:space="preserve">Secretaria de Cultura de Guaramiranga</t>
  </si>
  <si>
    <t xml:space="preserve">https://mapacultural.secult.ce.gov.br/oportunidade/8381/</t>
  </si>
  <si>
    <t xml:space="preserve">Prazo de inscrição, Resultado, Prazo de recurso, Valor, Órgão / financiador, Esfera, Requisitos, Destinação, Área de atuação</t>
  </si>
  <si>
    <t xml:space="preserve">op-785cd7b1785d</t>
  </si>
  <si>
    <t xml:space="preserve">Vila Pavão - EDITAL DE CHAMAMENTO PÚBLICO Nº 001/2026 - Circulação e Intercâmbio de Grupos — Espírito Santo</t>
  </si>
  <si>
    <t xml:space="preserve">Vila Pavão - EDITAL DE CHAMAMENTO PÚBLICO Nº 001/2026 - Circulação e Intercâmbio de Grupos</t>
  </si>
  <si>
    <t xml:space="preserve">https://mapa.cultura.es.gov.br/oportunidade/2605/</t>
  </si>
  <si>
    <t xml:space="preserve">2026-09-22</t>
  </si>
  <si>
    <t xml:space="preserve">{'inicio': '2026-09-22', 'fim': '2026-10-08'}</t>
  </si>
  <si>
    <t xml:space="preserve">22/09/2026 a 08/10/2026 22h</t>
  </si>
  <si>
    <t xml:space="preserve">Secretaria Municipal de Cultura e Turismo de Vila Pavão/ES (recursos PNAB)</t>
  </si>
  <si>
    <t xml:space="preserve">apoio financeiro cultural</t>
  </si>
  <si>
    <t xml:space="preserve">op-4794f0a9dc57</t>
  </si>
  <si>
    <t xml:space="preserve">Vila Pavão - EDITAL DE CHAMAMENTO PÚBLICO Nº 002/2026 - Apoio a Projetos Contínuos — Espírito Santo</t>
  </si>
  <si>
    <t xml:space="preserve">Vila Pavão - EDITAL DE CHAMAMENTO PÚBLICO Nº 002/2026 - Apoio a Projetos Contínuos</t>
  </si>
  <si>
    <t xml:space="preserve">https://mapa.cultura.es.gov.br/oportunidade/2616/</t>
  </si>
  <si>
    <t xml:space="preserve">22/09/2026 a 08/10/2026 às 22:00</t>
  </si>
  <si>
    <t xml:space="preserve">Análise de 13/10 a 15/10/2026; resultado final com data não detalhada na página</t>
  </si>
  <si>
    <t xml:space="preserve">3 dias úteis após publicação do resultado da habilitação</t>
  </si>
  <si>
    <t xml:space="preserve">R$ 12.000,00 total do edital; valor por projeto no Anexo I</t>
  </si>
  <si>
    <t xml:space="preserve">Secretaria Municipal de Cultura e Turismo de Vila Pavão; recursos PNAB (MinC)</t>
  </si>
  <si>
    <t xml:space="preserve">Municipal, com recurso federal (PNAB)</t>
  </si>
  <si>
    <t xml:space="preserve">Agente cultural com 2 anos de atuação/residência em Vila Pavão; PF maior de 18, MEI local,</t>
  </si>
  <si>
    <t xml:space="preserve">Projetos culturais contínuos (Termo de Execução Cultural)</t>
  </si>
  <si>
    <t xml:space="preserve">Cultura (pomerana, dança afro, capoeira, etc.)</t>
  </si>
  <si>
    <t xml:space="preserve">op-46728bd48ce0</t>
  </si>
  <si>
    <t xml:space="preserve">Vila Pavão - EDITAL DE CHAMAMENTO PÚBLICO Nº 003/2026 - Artistas da Terra e Tocadores de Concertina — Espírito Santo</t>
  </si>
  <si>
    <t xml:space="preserve">Vila Pavão - EDITAL DE CHAMAMENTO PÚBLICO Nº 003/2026 - Artistas da Terra e Tocadores de Concertina</t>
  </si>
  <si>
    <t xml:space="preserve">https://mapa.cultura.es.gov.br/oportunidade/2620/</t>
  </si>
  <si>
    <t xml:space="preserve">op-c2a0a8da1eec</t>
  </si>
  <si>
    <t xml:space="preserve">Vila Pavão - EDITAL DE CHAMAMENTO PÚBLICO Nº 004/2026 - Oficinas de Artesanato — Espírito Santo</t>
  </si>
  <si>
    <t xml:space="preserve">Vila Pavão - EDITAL DE CHAMAMENTO PÚBLICO Nº 004/2026 - Oficinas de Artesanato</t>
  </si>
  <si>
    <t xml:space="preserve">https://mapa.cultura.es.gov.br/oportunidade/2624/</t>
  </si>
  <si>
    <t xml:space="preserve">op-efcd284e1bc7</t>
  </si>
  <si>
    <t xml:space="preserve">Secretaria municipal de educacao — contratação, pelo poder concedente, representado pela secretaria municipal … — Brasil</t>
  </si>
  <si>
    <t xml:space="preserve">SECRETARIA MUNICIPAL DE EDUCACAO — Contratação, pelo PODER CONCEDENTE, representado pela SECRETARIA MUNICIPAL DE EDUCAÇÃO (“CONTRATANTE”), de pessoa jurídica pa</t>
  </si>
  <si>
    <t xml:space="preserve">https://pncp.gov.br/app/editais/46392114000125/2026/941</t>
  </si>
  <si>
    <t xml:space="preserve">op-4d6ae06a4182</t>
  </si>
  <si>
    <t xml:space="preserve">(UO) ESP-CIA.PTA DE TRENS METROPS-CPTM — Credenciamento de associações e/ou cooperativas de catadores de mater… — Brasil</t>
  </si>
  <si>
    <t xml:space="preserve">(UO) ESP-CIA.PTA DE TRENS METROPS-CPTM — Credenciamento de associações e/ou cooperativas de catadores de materiais recicláveis para coleta, transporte, fragment</t>
  </si>
  <si>
    <t xml:space="preserve">(UO) ESP-CIA.PTA DE TRENS METROPS-CPTM</t>
  </si>
  <si>
    <t xml:space="preserve">https://pncp.gov.br/app/editais/71832679000123/2026/64</t>
  </si>
  <si>
    <t xml:space="preserve">2026-05-04</t>
  </si>
  <si>
    <t xml:space="preserve">2027-05-04</t>
  </si>
  <si>
    <t xml:space="preserve">{'inicio': '2026-05-04', 'fim': '2027-05-04'}</t>
  </si>
  <si>
    <t xml:space="preserve">Credenciamento de associações e/ou cooperativas de catadores de materiais recicláveis para</t>
  </si>
  <si>
    <t xml:space="preserve">proposta de 2026-05-04 até 2027-05-04 (campos do PNCP; o intervalo de ~12 meses sugere vig</t>
  </si>
  <si>
    <t xml:space="preserve">(Uo) Esp-Cia.Pta De Trens Metrops-Cptm / SP</t>
  </si>
  <si>
    <t xml:space="preserve">conforme objeto: Credenciamento de associações e/ou cooperativas de catadores de materiais</t>
  </si>
  <si>
    <t xml:space="preserve">op-342a90a9c465</t>
  </si>
  <si>
    <t xml:space="preserve">SAO PAULO TRIBUNAL DE JUSTICA — Chamamento Público para seleção e cadastro de cooperativas e/ou associações de… — São Paulo / São Paulo</t>
  </si>
  <si>
    <t xml:space="preserve">SAO PAULO TRIBUNAL DE JUSTICA — Chamamento Público para seleção e cadastro de cooperativas e/ou associações de catadores de materiais recicláveis aptas a realiz</t>
  </si>
  <si>
    <t xml:space="preserve">SAO PAULO TRIBUNAL DE JUSTICA</t>
  </si>
  <si>
    <t xml:space="preserve">São Paulo</t>
  </si>
  <si>
    <t xml:space="preserve">https://pncp.gov.br/app/editais/51174001000193/2025/260</t>
  </si>
  <si>
    <t xml:space="preserve">2030-09-07</t>
  </si>
  <si>
    <t xml:space="preserve">{'inicio': None, 'fim': '2030-09-07'}</t>
  </si>
  <si>
    <t xml:space="preserve">op-b6a42892d4a6</t>
  </si>
  <si>
    <t xml:space="preserve">Municipio de artur nogueira — edital de credenciamento para execução de termo de colaboração para osc’s presta… — São Paulo</t>
  </si>
  <si>
    <t xml:space="preserve">MUNICIPIO DE ARTUR NOGUEIRA — EDITAL DE CREDENCIAMENTO PARA EXECUÇÃO DE TERMO DE COLABORAÇÃO PARA OSC’S PRESTADORAS DE SERVIÇO DA ASSISTENCIA SOCIAL NO AMBITO D</t>
  </si>
  <si>
    <t xml:space="preserve">https://pncp.gov.br/app/editais/45735552000186/2025/207</t>
  </si>
  <si>
    <t xml:space="preserve">2030-11-18</t>
  </si>
  <si>
    <t xml:space="preserve">{'inicio': None, 'fim': '2030-11-18'}</t>
  </si>
  <si>
    <t xml:space="preserve">op-b140f48b9f42</t>
  </si>
  <si>
    <t xml:space="preserve">Municipio de artur nogueira — edital de credenciamento para parceria em regime de colaboração entre a secretar… — Brasil</t>
  </si>
  <si>
    <t xml:space="preserve">MUNICIPIO DE ARTUR NOGUEIRA — EDITAL DE CREDENCIAMENTO PARA PARCERIA EM REGIME DE COLABORAÇÃO ENTRE A SECRETARIA DE EDUCAÇÃO E ORGANIZAÇÃO DA SOCIEDADE CIVIL. A</t>
  </si>
  <si>
    <t xml:space="preserve">https://pncp.gov.br/api/consulta/v1/orgaos/45735552000186/compras/2030/4</t>
  </si>
  <si>
    <t xml:space="preserve">https://pncp.gov.br/app/editais/45735552000186/2030/4</t>
  </si>
  <si>
    <t xml:space="preserve">2030</t>
  </si>
  <si>
    <t xml:space="preserve">2025-11-25</t>
  </si>
  <si>
    <t xml:space="preserve">2030-11-25</t>
  </si>
  <si>
    <t xml:space="preserve">{'inicio': '2025-11-25', 'fim': '2030-11-25'}</t>
  </si>
  <si>
    <t xml:space="preserve">EDITAL DE CREDENCIAMENTO PARA PARCERIA EM REGIME DE COLABORAÇÃO ENTRE A SECRETARIA DE EDUC</t>
  </si>
  <si>
    <t xml:space="preserve">abertura 2025-11-25; encerramento 2030-11-25</t>
  </si>
  <si>
    <t xml:space="preserve">R$ 501,542.42 (estimado)</t>
  </si>
  <si>
    <t xml:space="preserve">educação especial</t>
  </si>
  <si>
    <t xml:space="preserve">op-59b917a8d20c</t>
  </si>
  <si>
    <t xml:space="preserve">Municipio de artur nogueira — edital de credenciamento de organização de sociedade civil (osc´s) para prestaçã… — Brasil</t>
  </si>
  <si>
    <t xml:space="preserve">MUNICIPIO DE ARTUR NOGUEIRA — EDITAL DE CREDENCIAMENTO DE ORGANIZAÇÃO DE SOCIEDADE CIVIL (OSC´S) PARA PRESTAÇÃO DE SERVIÇOS EM ATENDIMENTO À DEMANDA DESTA SECRE</t>
  </si>
  <si>
    <t xml:space="preserve">{'valor': 'poder_publico', 'fundamento': 'Município de Artur Nogueira publica; recurso municipal.', 'em': '2026-10-02'}</t>
  </si>
  <si>
    <t xml:space="preserve">https://pncp.gov.br/api/consulta/v1/orgaos/45735552000186/compras/2030/5</t>
  </si>
  <si>
    <t xml:space="preserve">https://pncp.gov.br/app/editais/45735552000186/2030/5</t>
  </si>
  <si>
    <t xml:space="preserve">2025-12-03</t>
  </si>
  <si>
    <t xml:space="preserve">2030-12-02</t>
  </si>
  <si>
    <t xml:space="preserve">{'inicio': '2025-12-03', 'fim': '2030-12-02'}</t>
  </si>
  <si>
    <t xml:space="preserve">EDITAL DE CREDENCIAMENTO DE ORGANIZAÇÃO DE SOCIEDADE CIVIL (OSC´S) PARA PRESTAÇÃO DE SERVI</t>
  </si>
  <si>
    <t xml:space="preserve">abertura 2025-12-03; encerramento 2030-12-02</t>
  </si>
  <si>
    <t xml:space="preserve">Publicado por Ato Público no Diário Oficial e no site da Prefeitura</t>
  </si>
  <si>
    <t xml:space="preserve">3 dias úteis da intimação/lavratura da ata</t>
  </si>
  <si>
    <t xml:space="preserve">R$ 336,000.00 (estimado)</t>
  </si>
  <si>
    <t xml:space="preserve">Cadastro na plataforma Licita Mais Brasil e documentos do Anexo II</t>
  </si>
  <si>
    <t xml:space="preserve">Anexo I (termo de referência) e Anexo II (habilitação), minuta de contrato</t>
  </si>
  <si>
    <t xml:space="preserve">Pagamento por hora/aula de iniciação musical</t>
  </si>
  <si>
    <t xml:space="preserve">cultura (iniciação musical)</t>
  </si>
  <si>
    <t xml:space="preserve">op-5366e4cb496c</t>
  </si>
  <si>
    <t xml:space="preserve">“chamamento público para credenciamento de artistas locais/regionais”, mediante pagamento de cachê, com base… … — Brasil</t>
  </si>
  <si>
    <t xml:space="preserve">“CHAMAMENTO PÚBLICO PARA CREDENCIAMENTO DE ARTISTAS LOCAIS/REGIONAIS”, mediante pagamento de cachê, com base… — MUNICIPIO DE ALMIRANTE TAMANDARE</t>
  </si>
  <si>
    <t xml:space="preserve">https://pncp.gov.br/app/editais/76105659000174/2026/227</t>
  </si>
  <si>
    <t xml:space="preserve">op-e520da727edc</t>
  </si>
  <si>
    <t xml:space="preserve">Municipio de ivaipora — premiação por trajetória, previsto em plano de ação da pnab, em atendimento às necessi… — Brasil</t>
  </si>
  <si>
    <t xml:space="preserve">MUNICIPIO DE IVAIPORA — PREMIAÇÃO POR TRAJETÓRIA, PREVISTO EM PLANO DE AÇÃO DA PNAB, EM ATENDIMENTO ÀS NECESSIDADES DA SECRETARIA MUNICIPAL DE CULTURA</t>
  </si>
  <si>
    <t xml:space="preserve">MUNICIPIO DE IVAIPORA</t>
  </si>
  <si>
    <t xml:space="preserve">https://pncp.gov.br/app/editais/75741330000137/2026/334</t>
  </si>
  <si>
    <t xml:space="preserve">op-b5ed3d6f82af</t>
  </si>
  <si>
    <t xml:space="preserve">Municipio de santa helena — chamamento público com a finalidade de selecionar projetos esportivos visando aten… — Paraná</t>
  </si>
  <si>
    <t xml:space="preserve">MUNICIPIO DE SANTA HELENA — CHAMAMENTO PÚBLICO COM A FINALIDADE DE SELECIONAR PROJETOS ESPORTIVOS VISANDO ATENDER O PROGRAMA DE FOMENTO E INVENTIVO AO ESPORTE N</t>
  </si>
  <si>
    <t xml:space="preserve">MUNICIPIO DE SANTA HELENA</t>
  </si>
  <si>
    <t xml:space="preserve">https://pncp.gov.br/app/editais/76206457000119/2025/299</t>
  </si>
  <si>
    <t xml:space="preserve">{'inicio': None, 'fim': '2026-11-30'}</t>
  </si>
  <si>
    <t xml:space="preserve">op-22c0f9a5fc02</t>
  </si>
  <si>
    <t xml:space="preserve">DEFENSORIA PUBLICA DO ESTADO DO PARANA — O objeto do presente credenciamento selecionar associações e/ou coope… — Brasil</t>
  </si>
  <si>
    <t xml:space="preserve">DEFENSORIA PUBLICA DO ESTADO DO PARANA — O objeto do presente credenciamento selecionar associações e/ou cooperativas de catadores de materiais recicláveis para</t>
  </si>
  <si>
    <t xml:space="preserve">DEFENSORIA PUBLICA DO ESTADO DO PARANA</t>
  </si>
  <si>
    <t xml:space="preserve">https://pncp.gov.br/api/consulta/v1/orgaos/13950733000139/compras/2026/2</t>
  </si>
  <si>
    <t xml:space="preserve">https://pncp.gov.br/app/editais/13950733000139/2026/2</t>
  </si>
  <si>
    <t xml:space="preserve">2025-09-25</t>
  </si>
  <si>
    <t xml:space="preserve">{'inicio': '2025-09-25', 'fim': '2026-12-31'}</t>
  </si>
  <si>
    <t xml:space="preserve">O objeto do presente credenciamento selecionar associações e/ou cooperativas de catadores</t>
  </si>
  <si>
    <t xml:space="preserve">Abertura de propostas 2025-09-25; encerramento 2026-12-31 (campos do PNCP)</t>
  </si>
  <si>
    <t xml:space="preserve">R$ 5.814,18 estimado</t>
  </si>
  <si>
    <t xml:space="preserve">unidades da Defensoria em Curitiba e Colombo (PR)</t>
  </si>
  <si>
    <t xml:space="preserve">Meio ambiente / resíduos recicláveis (catadores)</t>
  </si>
  <si>
    <t xml:space="preserve">op-95a3a52a9382</t>
  </si>
  <si>
    <t xml:space="preserve">MUNICIPIO DE CAMPINA DA LAGOA — Chamamento Público de Instituições/Associações Estudantis e de Acadêmicos, sem… — Brasil</t>
  </si>
  <si>
    <t xml:space="preserve">MUNICIPIO DE CAMPINA DA LAGOA — Chamamento Público de Instituições/Associações Estudantis e de Acadêmicos, sem ?ns lucrativos, regularmente constituídas, locali</t>
  </si>
  <si>
    <t xml:space="preserve">MUNICIPIO DE CAMPINA DA LAGOA</t>
  </si>
  <si>
    <t xml:space="preserve">https://pncp.gov.br/api/consulta/v1/orgaos/76950070000172/compras/2026/25</t>
  </si>
  <si>
    <t xml:space="preserve">https://pncp.gov.br/app/editais/76950070000172/2026/25</t>
  </si>
  <si>
    <t xml:space="preserve">{'inicio': '2026-03-10', 'fim': '2026-12-31'}</t>
  </si>
  <si>
    <t xml:space="preserve">Chamamento Público de Instituições/Associações Estudantis e de Acadêmicos, sem ?ns lucrati</t>
  </si>
  <si>
    <t xml:space="preserve">Abertura de propostas 2026-03-10; encerramento 2026-12-31 (campos do PNCP)</t>
  </si>
  <si>
    <t xml:space="preserve">R$ 576.381,00 estimado</t>
  </si>
  <si>
    <t xml:space="preserve">Município de Campina da Lagoa (PR)</t>
  </si>
  <si>
    <t xml:space="preserve">Educação / apoio a estudantes universitários</t>
  </si>
  <si>
    <t xml:space="preserve">op-668b86d4dc91</t>
  </si>
  <si>
    <t xml:space="preserve">MUNICIPIO DE QUATIGUA — Credenciamento para seleção de associação de estudantes regularmente constituída, sem … — Brasil</t>
  </si>
  <si>
    <t xml:space="preserve">MUNICIPIO DE QUATIGUA — Credenciamento para seleção de associação de estudantes regularmente constituída, sem fins lucrativos, para a cessão de uso, a título gr</t>
  </si>
  <si>
    <t xml:space="preserve">MUNICIPIO DE QUATIGUA</t>
  </si>
  <si>
    <t xml:space="preserve">https://pncp.gov.br/app/editais/76966852000108/2026/17</t>
  </si>
  <si>
    <t xml:space="preserve">2027-04-22</t>
  </si>
  <si>
    <t xml:space="preserve">{'inicio': '2026-04-23', 'fim': '2027-04-22'}</t>
  </si>
  <si>
    <t xml:space="preserve">Credenciamento para seleção de associação de estudantes regularmente constituída, sem fins</t>
  </si>
  <si>
    <t xml:space="preserve">proposta de 2026-04-23 até 2027-04-22 (campos do PNCP; o intervalo de ~12 meses sugere vig</t>
  </si>
  <si>
    <t xml:space="preserve">Municipio De Quatigua / PR</t>
  </si>
  <si>
    <t xml:space="preserve">conforme objeto: Credenciamento para seleção de associação de estudantes regularmente cons</t>
  </si>
  <si>
    <t xml:space="preserve">op-db3a5b5a861e</t>
  </si>
  <si>
    <t xml:space="preserve">Municipio de castro — chamamento público para fins de credenciamento de cooperativa ou associação ou da inici­… — Brasil</t>
  </si>
  <si>
    <t xml:space="preserve">MUNICIPIO DE CASTRO — CHAMAMENTO PÚBLICO PARA FINS DE CREDENCIAMENTO DE COOPERATIVA OU ASSOCIAÇÃO OU DA INICI­ATIVA PRIVADA DE MATERIAIS RECICLÁVEIS ESPECIALIZA</t>
  </si>
  <si>
    <t xml:space="preserve">MUNICIPIO DE CASTRO</t>
  </si>
  <si>
    <t xml:space="preserve">https://pncp.gov.br/app/editais/77001311000108/2026/307</t>
  </si>
  <si>
    <t xml:space="preserve">2027-06-11</t>
  </si>
  <si>
    <t xml:space="preserve">{'inicio': '2026-06-12', 'fim': '2027-06-11'}</t>
  </si>
  <si>
    <t xml:space="preserve">CHAMAMENTO PÚBLICO PARA FINS DE CREDENCIAMENTO DE COOPERATIVA OU ASSOCIAÇÃO OU DA INICI­AT</t>
  </si>
  <si>
    <t xml:space="preserve">proposta de 2026-06-12 até 2027-06-11 (campos do PNCP; o intervalo de ~12 meses sugere vig</t>
  </si>
  <si>
    <t xml:space="preserve">Municipio De Castro / PR</t>
  </si>
  <si>
    <t xml:space="preserve">conforme objeto: CHAMAMENTO PÚBLICO PARA FINS DE CREDENCIAMENTO DE COOPERATIVA OU ASSOCIAÇ</t>
  </si>
  <si>
    <t xml:space="preserve">op-93bf84cd4b54</t>
  </si>
  <si>
    <t xml:space="preserve">MUNICIPIO DE CEU AZUL — CREDENCIAMENTO de Instituições de Longa Permanência para Idosos (ILPIs), que tenham in… — Brasil</t>
  </si>
  <si>
    <t xml:space="preserve">MUNICIPIO DE CEU AZUL — CREDENCIAMENTO de Instituições de Longa Permanência para Idosos (ILPIs), que tenham interesse em prestar serviços de acolhimento institu</t>
  </si>
  <si>
    <t xml:space="preserve">MUNICIPIO DE CEU AZUL</t>
  </si>
  <si>
    <t xml:space="preserve">https://pncp.gov.br/app/editais/76206473000101/2026/130</t>
  </si>
  <si>
    <t xml:space="preserve">2027-06-22</t>
  </si>
  <si>
    <t xml:space="preserve">{'inicio': '2026-06-22', 'fim': '2027-06-22'}</t>
  </si>
  <si>
    <t xml:space="preserve">CREDENCIAMENTO de Instituições de Longa Permanência para Idosos (ILPIs), que tenham intere</t>
  </si>
  <si>
    <t xml:space="preserve">proposta de 2026-06-22 até 2027-06-22 (campos do PNCP; o intervalo de ~12 meses sugere vig</t>
  </si>
  <si>
    <t xml:space="preserve">R$ 118.350,24 (valor total estimado)</t>
  </si>
  <si>
    <t xml:space="preserve">Municipio De Ceu Azul / PR</t>
  </si>
  <si>
    <t xml:space="preserve">conforme objeto: CREDENCIAMENTO de Instituições de Longa Permanência para Idosos (ILPIs),</t>
  </si>
  <si>
    <t xml:space="preserve">op-531a7fa2f804</t>
  </si>
  <si>
    <t xml:space="preserve">MUNICIPIO DE GUAIRA — Credenciamento de cooperativas de crédito autorizadas a funcionar pelo Banco Central do … — Brasil</t>
  </si>
  <si>
    <t xml:space="preserve">MUNICIPIO DE GUAIRA — Credenciamento de cooperativas de crédito autorizadas a funcionar pelo Banco Central do Brasil e legalmente aptas à captação de recursos m</t>
  </si>
  <si>
    <t xml:space="preserve">https://pncp.gov.br/app/editais/77857183000190/2026/233</t>
  </si>
  <si>
    <t xml:space="preserve">2027-07-21</t>
  </si>
  <si>
    <t xml:space="preserve">{'inicio': None, 'fim': '2027-07-21'}</t>
  </si>
  <si>
    <t xml:space="preserve">op-6ff37055ad13</t>
  </si>
  <si>
    <t xml:space="preserve">MUNICIPIO DE RIO BRANCO DO SUL — Credenciamento de associações e/ou cooperativas de catadores de materiais rec… — Brasil</t>
  </si>
  <si>
    <t xml:space="preserve">MUNICIPIO DE RIO BRANCO DO SUL — Credenciamento de associações e/ou cooperativas de catadores de materiais recicláveis para a prestação de serviços de processam</t>
  </si>
  <si>
    <t xml:space="preserve">MUNICIPIO DE RIO BRANCO DO SUL</t>
  </si>
  <si>
    <t xml:space="preserve">https://pncp.gov.br/app/editais/76105576000185/2026/39</t>
  </si>
  <si>
    <t xml:space="preserve">2026-03-18</t>
  </si>
  <si>
    <t xml:space="preserve">2028-03-17</t>
  </si>
  <si>
    <t xml:space="preserve">{'inicio': '2026-03-18', 'fim': '2028-03-17'}</t>
  </si>
  <si>
    <t xml:space="preserve">abertura 2026-03-18; encerramento das propostas 2028-03-17</t>
  </si>
  <si>
    <t xml:space="preserve">valor total estimado R$ 40.535,40</t>
  </si>
  <si>
    <t xml:space="preserve">Rio Branco do Sul/PR</t>
  </si>
  <si>
    <t xml:space="preserve">Meio ambiente (catadores/resíduos)</t>
  </si>
  <si>
    <t xml:space="preserve">op-2c93c1c729bb</t>
  </si>
  <si>
    <t xml:space="preserve">MUNICIPIO DE GUARATUBA — Credenciamento de Organizações da Sociedade Civil (OSC), conforme o disposto na Lei F… — Paraná</t>
  </si>
  <si>
    <t xml:space="preserve">MUNICIPIO DE GUARATUBA — Credenciamento de Organizações da Sociedade Civil (OSC), conforme o disposto na Lei Federal nº 13.019/2014, alterada pela Lei nº. 13.20</t>
  </si>
  <si>
    <t xml:space="preserve">MUNICIPIO DE GUARATUBA</t>
  </si>
  <si>
    <t xml:space="preserve">https://pncp.gov.br/app/editais/76017474000108/2025/101</t>
  </si>
  <si>
    <t xml:space="preserve">2028-11-14</t>
  </si>
  <si>
    <t xml:space="preserve">{'inicio': None, 'fim': '2028-11-14'}</t>
  </si>
  <si>
    <t xml:space="preserve">op-774f3ae3d4ac</t>
  </si>
  <si>
    <t xml:space="preserve">MUNICIPIO DE SAO JOSE DOS PINHAIS — Credenciar preferencialmente Cooperativas e Associações de Produtores Rura… — Brasil</t>
  </si>
  <si>
    <t xml:space="preserve">MUNICIPIO DE SAO JOSE DOS PINHAIS — Credenciar preferencialmente Cooperativas e Associações de Produtores Rurais vinculados á Agricultura Familiar do Município </t>
  </si>
  <si>
    <t xml:space="preserve">https://pncp.gov.br/app/editais/76105543000135/2024/63</t>
  </si>
  <si>
    <t xml:space="preserve">2029-06-13</t>
  </si>
  <si>
    <t xml:space="preserve">{'inicio': None, 'fim': '2029-06-13'}</t>
  </si>
  <si>
    <t xml:space="preserve">op-224b42fd5df3</t>
  </si>
  <si>
    <t xml:space="preserve">MUNICIPIO DE TELEMACO BORBA — Credenciamento de cooperativas e associações de catadores de materiais recicláve… — Brasil</t>
  </si>
  <si>
    <t xml:space="preserve">MUNICIPIO DE TELEMACO BORBA — Credenciamento de cooperativas e associações de catadores de materiais recicláveis, bem como organizações não governamentais (ongs</t>
  </si>
  <si>
    <t xml:space="preserve">MUNICIPIO DE TELEMACO BORBA</t>
  </si>
  <si>
    <t xml:space="preserve">https://pncp.gov.br/api/consulta/v1/orgaos/76170240000104/compras/2027/3</t>
  </si>
  <si>
    <t xml:space="preserve">https://pncp.gov.br/app/editais/76170240000104/2027/3</t>
  </si>
  <si>
    <t xml:space="preserve">2030-08-16</t>
  </si>
  <si>
    <t xml:space="preserve">{'inicio': '2026-08-18', 'fim': '2030-08-16'}</t>
  </si>
  <si>
    <t xml:space="preserve">Credenciamento de cooperativas e associações de catadores de materiais recicláveis, bem co</t>
  </si>
  <si>
    <t xml:space="preserve">abertura 2026-08-18; encerramento 2030-08-16</t>
  </si>
  <si>
    <t xml:space="preserve">resíduos sólidos / catadores</t>
  </si>
  <si>
    <t xml:space="preserve">op-52f57c81e9f9</t>
  </si>
  <si>
    <t xml:space="preserve">MUNICIPIO DE CURITIBA — Chamamento público nº 001/2023 para Credenciamento de agricultores familiares, coopera… — Paraná / Curitiba</t>
  </si>
  <si>
    <t xml:space="preserve">MUNICIPIO DE CURITIBA — Chamamento público nº 001/2023 para Credenciamento de agricultores familiares, cooperativas e associações interessados em fornecer produ</t>
  </si>
  <si>
    <t xml:space="preserve">MUNICIPIO DE CURITIBA</t>
  </si>
  <si>
    <t xml:space="preserve">https://pncp.gov.br/app/editais/76417005001743/2023/7</t>
  </si>
  <si>
    <t xml:space="preserve">2033-12-20</t>
  </si>
  <si>
    <t xml:space="preserve">{'inicio': None, 'fim': '2033-12-20'}</t>
  </si>
  <si>
    <t xml:space="preserve">op-95d641fc23f4</t>
  </si>
  <si>
    <t xml:space="preserve">Municipio de curitiba — credenciamento de agricultores familiares, cooperativas e associações, interessadas em… — Paraná / Curitiba</t>
  </si>
  <si>
    <t xml:space="preserve">MUNICIPIO DE CURITIBA — CREDENCIAMENTO DE AGRICULTORES FAMILIARES, COOPERATIVAS E ASSOCIAÇÕES, INTERESSADAS EM FORNECER PRODUTOS DE HORTIFRUTIS ORIUNDOS DA AGRI</t>
  </si>
  <si>
    <t xml:space="preserve">https://pncp.gov.br/app/editais/76417005001743/2025/18</t>
  </si>
  <si>
    <t xml:space="preserve">2035-02-27</t>
  </si>
  <si>
    <t xml:space="preserve">{'inicio': None, 'fim': '2035-02-27'}</t>
  </si>
  <si>
    <t xml:space="preserve">op-f1ca705ce530</t>
  </si>
  <si>
    <t xml:space="preserve">MINISTERIO PUBLICO DO ESTADO DO PARANA — Selecionar associação e/ou cooperativa de catadores de materiais reci… — Brasil</t>
  </si>
  <si>
    <t xml:space="preserve">MINISTERIO PUBLICO DO ESTADO DO PARANA — Selecionar associação e/ou cooperativa de catadores de materiais recicláveis, sem fins lucrativos, apta a realizar a co</t>
  </si>
  <si>
    <t xml:space="preserve">MINISTERIO PUBLICO DO ESTADO DO PARANA</t>
  </si>
  <si>
    <t xml:space="preserve">https://pncp.gov.br/app/editais/78206307000130/2025/238</t>
  </si>
  <si>
    <t xml:space="preserve">2035</t>
  </si>
  <si>
    <t xml:space="preserve">2035-06-15</t>
  </si>
  <si>
    <t xml:space="preserve">{'inicio': None, 'fim': '2035-06-15'}</t>
  </si>
  <si>
    <t xml:space="preserve">op-ec46868d52e8</t>
  </si>
  <si>
    <t xml:space="preserve">Fundacao municipal de cultura de bombinhas — edital de credenciamento eletrônico de pessoas jurídicas para a p… — Brasil</t>
  </si>
  <si>
    <t xml:space="preserve">FUNDACAO MUNICIPAL DE CULTURA DE BOMBINHAS — EDITAL DE CREDENCIAMENTO ELETRÔNICO DE PESSOAS JURÍDICAS PARA A PRESTAÇÃO DE SERVIÇOS DE CAPTAÇÃO DE RECURSOS ATRAV</t>
  </si>
  <si>
    <t xml:space="preserve">FUNDACAO MUNICIPAL DE CULTURA DE BOMBINHAS</t>
  </si>
  <si>
    <t xml:space="preserve">https://pncp.gov.br/app/editais/09362501000192/2026/14</t>
  </si>
  <si>
    <t xml:space="preserve">2026-12-21</t>
  </si>
  <si>
    <t xml:space="preserve">{'inicio': None, 'fim': '2026-12-21'}</t>
  </si>
  <si>
    <t xml:space="preserve">op-8bd6084d832b</t>
  </si>
  <si>
    <t xml:space="preserve">Consorcio intermunicipal multifinalitario da regiao da amfri - cim-amfri — chamamento público, para credenciam… — Brasil</t>
  </si>
  <si>
    <t xml:space="preserve">CONSORCIO INTERMUNICIPAL MULTIFINALITARIO DA REGIAO DA AMFRI - CIM-AMFRI — CHAMAMENTO PÚBLICO, para CREDENCIAMENTO ELETRÔNICO de pessoas jurídicas para a presta</t>
  </si>
  <si>
    <t xml:space="preserve">CONSORCIO INTERMUNICIPAL MULTIFINALITARIO DA REGIAO DA AMFRI - CIM-AMFRI</t>
  </si>
  <si>
    <t xml:space="preserve">https://pncp.gov.br/app/editais/32980376000104/2026/29</t>
  </si>
  <si>
    <t xml:space="preserve">2026-07-20</t>
  </si>
  <si>
    <t xml:space="preserve">2027-07-20</t>
  </si>
  <si>
    <t xml:space="preserve">{'inicio': '2026-07-20', 'fim': '2027-07-20'}</t>
  </si>
  <si>
    <t xml:space="preserve">Resultado, Requisitos, Anexos, Destinação</t>
  </si>
  <si>
    <t xml:space="preserve">CHAMAMENTO PÚBLICO, para CREDENCIAMENTO ELETRÔNICO de pessoas jurídicas para a prestação d</t>
  </si>
  <si>
    <t xml:space="preserve">proposta de 2026-07-20 até 2027-07-20 (campos do PNCP; o intervalo de ~12 meses sugere vig</t>
  </si>
  <si>
    <t xml:space="preserve">Consorcio Intermunicipal Multifinalitario Da Regiao Da Amfri - Cim-Amfri / SC</t>
  </si>
  <si>
    <t xml:space="preserve">não classificada (esferaId N no PNCP)</t>
  </si>
  <si>
    <t xml:space="preserve">conforme objeto: CHAMAMENTO PÚBLICO, para CREDENCIAMENTO ELETRÔNICO de pessoas jurídicas p</t>
  </si>
  <si>
    <t xml:space="preserve">op-0925b197576b</t>
  </si>
  <si>
    <t xml:space="preserve">MUNICIPIO DE CRICIUMA — Convocação de pessoas jurídicas, com ou sem fins lucrativos, interessadas em se creden… — Brasil</t>
  </si>
  <si>
    <t xml:space="preserve">MUNICIPIO DE CRICIUMA — Convocação de pessoas jurídicas, com ou sem fins lucrativos, interessadas em se credenciar para a prestação do serviço de acolhimento in</t>
  </si>
  <si>
    <t xml:space="preserve">https://pncp.gov.br/app/editais/82916818000113/2025/113</t>
  </si>
  <si>
    <t xml:space="preserve">2027-07-22</t>
  </si>
  <si>
    <t xml:space="preserve">{'inicio': None, 'fim': '2027-07-22'}</t>
  </si>
  <si>
    <t xml:space="preserve">op-ce70207bbc94</t>
  </si>
  <si>
    <t xml:space="preserve">Municipio de brusque — [portal de compras públicas] - credenciamento de artistas, grupos artísticos, profissio… — Brasil</t>
  </si>
  <si>
    <t xml:space="preserve">MUNICIPIO DE BRUSQUE — [Portal de Compras Públicas] - CREDENCIAMENTO DE ARTISTAS, GRUPOS ARTÍSTICOS, PROFISSIONAIS DA CULTURA, OFICINEIROS, RECREADORES, INTÉRPR</t>
  </si>
  <si>
    <t xml:space="preserve">MUNICIPIO DE BRUSQUE</t>
  </si>
  <si>
    <t xml:space="preserve">https://pncp.gov.br/app/editais/83102343000194/2026/220</t>
  </si>
  <si>
    <t xml:space="preserve">2027-09-10</t>
  </si>
  <si>
    <t xml:space="preserve">{'inicio': None, 'fim': '2027-09-10'}</t>
  </si>
  <si>
    <t xml:space="preserve">op-bdb02a186ffa</t>
  </si>
  <si>
    <t xml:space="preserve">MUNICIPIO DE CASTELO — Credenciamento de cooperativas e associações que estejam legalmente habilitadas para Co… — Brasil</t>
  </si>
  <si>
    <t xml:space="preserve">MUNICIPIO DE CASTELO — Credenciamento de cooperativas e associações que estejam legalmente habilitadas para Coleta Seletiva de resíduos recicláveis, classificad</t>
  </si>
  <si>
    <t xml:space="preserve">MUNICIPIO DE CASTELO</t>
  </si>
  <si>
    <t xml:space="preserve">https://pncp.gov.br/app/editais/27165638000139/2026/241</t>
  </si>
  <si>
    <t xml:space="preserve">2027-07-23</t>
  </si>
  <si>
    <t xml:space="preserve">{'inicio': '2027-07-23', 'fim': '2027-07-23'}</t>
  </si>
  <si>
    <t xml:space="preserve">Credenciamento de cooperativas e associações que estejam legalmente habilitadas para Colet</t>
  </si>
  <si>
    <t xml:space="preserve">abertura 2027-07-23; encerramento das propostas 2027-07-23</t>
  </si>
  <si>
    <t xml:space="preserve">valor total estimado R$ 43.200,00</t>
  </si>
  <si>
    <t xml:space="preserve">Castelo/ES</t>
  </si>
  <si>
    <t xml:space="preserve">Meio ambiente (coleta seletiva)</t>
  </si>
  <si>
    <t xml:space="preserve">op-33aa6c17b941</t>
  </si>
  <si>
    <t xml:space="preserve">TRIBUNAL SUPERIOR DO TRABALHO — Credenciamento, visando a contratação onerosa de associações, cooperativas e/o… — Brasil</t>
  </si>
  <si>
    <t xml:space="preserve">TRIBUNAL SUPERIOR DO TRABALHO — Credenciamento, visando a contratação onerosa de associações, cooperativas e/ou centrais de cooperativas de catadores de materia</t>
  </si>
  <si>
    <t xml:space="preserve">TRIBUNAL SUPERIOR DO TRABALHO</t>
  </si>
  <si>
    <t xml:space="preserve">https://pncp.gov.br/app/editais/00509968000148/2025/1992</t>
  </si>
  <si>
    <t xml:space="preserve">2030-07-05</t>
  </si>
  <si>
    <t xml:space="preserve">{'inicio': None, 'fim': '2030-07-05'}</t>
  </si>
  <si>
    <t xml:space="preserve">op-71dc1333b116</t>
  </si>
  <si>
    <t xml:space="preserve">MUNICIPIO DE ANGRA DOS REIS — Credenciamento de Cooperativas e Associações interessadas em receber Remuneração… — Brasil</t>
  </si>
  <si>
    <t xml:space="preserve">MUNICIPIO DE ANGRA DOS REIS — Credenciamento de Cooperativas e Associações interessadas em receber Remuneração Complementar pela prestação de serviços de coleta</t>
  </si>
  <si>
    <t xml:space="preserve">MUNICIPIO DE ANGRA DOS REIS</t>
  </si>
  <si>
    <t xml:space="preserve">https://pncp.gov.br/app/editais/29172467000109/2027/92</t>
  </si>
  <si>
    <t xml:space="preserve">2026-06-18</t>
  </si>
  <si>
    <t xml:space="preserve">2027-06-17</t>
  </si>
  <si>
    <t xml:space="preserve">{'inicio': '2026-06-18', 'fim': '2027-06-17'}</t>
  </si>
  <si>
    <t xml:space="preserve">Credenciamento de Cooperativas e Associações interessadas em receber Remuneração Complemen</t>
  </si>
  <si>
    <t xml:space="preserve">proposta de 2026-06-18 até 2027-06-17 (campos do PNCP; o intervalo de ~12 meses sugere vig</t>
  </si>
  <si>
    <t xml:space="preserve">R$ 198.770,00 (valor total estimado)</t>
  </si>
  <si>
    <t xml:space="preserve">Municipio De Angra Dos Reis / RJ</t>
  </si>
  <si>
    <t xml:space="preserve">conforme objeto: Credenciamento de Cooperativas e Associações interessadas em receber Remu</t>
  </si>
  <si>
    <t xml:space="preserve">op-06c1b2360f31</t>
  </si>
  <si>
    <t xml:space="preserve">Conselho de arquitetura e urbanismo do estado de minas gerais — o concurso prêmio de boas práticas urbanas: am… — Brasil</t>
  </si>
  <si>
    <t xml:space="preserve">CONSELHO DE ARQUITETURA E URBANISMO DO ESTADO DE MINAS GERAIS — O concurso PRÊMIO DE BOAS PRÁTICAS URBANAS: AMBIENTAL, SANEAMENTO E SOCIAL - 2026, visa a seleçã</t>
  </si>
  <si>
    <t xml:space="preserve">CONSELHO DE ARQUITETURA E URBANISMO DO ESTADO DE MINAS GERAIS</t>
  </si>
  <si>
    <t xml:space="preserve">https://pncp.gov.br/app/editais/14951451000119/2026/45</t>
  </si>
  <si>
    <t xml:space="preserve">2026-10-21</t>
  </si>
  <si>
    <t xml:space="preserve">{'inicio': None, 'fim': '2026-10-21'}</t>
  </si>
  <si>
    <t xml:space="preserve">op-fe4f78c047f4</t>
  </si>
  <si>
    <t xml:space="preserve">MUNICIPIO DE ITAMONTE — Credenciamento de entidades privadas sem fins lucrativos para a prestação de serviços … — Minas Gerais</t>
  </si>
  <si>
    <t xml:space="preserve">MUNICIPIO DE ITAMONTE — Credenciamento de entidades privadas sem fins lucrativos para a prestação de serviços de acolhimento institucional para crianças e adole</t>
  </si>
  <si>
    <t xml:space="preserve">MUNICIPIO DE ITAMONTE</t>
  </si>
  <si>
    <t xml:space="preserve">https://pncp.gov.br/app/editais/18666750000162/2025/158</t>
  </si>
  <si>
    <t xml:space="preserve">2026-10-27</t>
  </si>
  <si>
    <t xml:space="preserve">{'inicio': None, 'fim': '2026-10-27'}</t>
  </si>
  <si>
    <t xml:space="preserve">op-ce6ad5846629</t>
  </si>
  <si>
    <t xml:space="preserve">PONTE NOVA CAMARA MUNICIPAL — Concurso Parlamento em Ação, projeto desenvolvido e gerenciado pela Escola do Le… — Brasil</t>
  </si>
  <si>
    <t xml:space="preserve">PONTE NOVA CAMARA MUNICIPAL — Concurso Parlamento em Ação, projeto desenvolvido e gerenciado pela Escola do Legislativo da Câmara Municipal de Ponte Nova, integ</t>
  </si>
  <si>
    <t xml:space="preserve">PONTE NOVA CAMARA MUNICIPAL</t>
  </si>
  <si>
    <t xml:space="preserve">https://pncp.gov.br/app/editais/21087648000117/2026/24</t>
  </si>
  <si>
    <t xml:space="preserve">2026-11-26</t>
  </si>
  <si>
    <t xml:space="preserve">{'inicio': None, 'fim': '2026-11-26'}</t>
  </si>
  <si>
    <t xml:space="preserve">op-a4c70dd66c01</t>
  </si>
  <si>
    <t xml:space="preserve">Municipio de montes claros — chamamento publico para o credenciamento de estabelecimentos hospitalares de saud… — Minas Gerais</t>
  </si>
  <si>
    <t xml:space="preserve">MUNICIPIO DE MONTES CLAROS — CHAMAMENTO PUBLICO PARA O CREDENCIAMENTO DE ESTABELECIMENTOS HOSPITALARES DE SAUDE DE NATUREZA PUBLICA FILANTROPICA E OU PRIVADA CO</t>
  </si>
  <si>
    <t xml:space="preserve">MUNICIPIO DE MONTES CLAROS</t>
  </si>
  <si>
    <t xml:space="preserve">https://pncp.gov.br/app/editais/22678874000135/2025/349</t>
  </si>
  <si>
    <t xml:space="preserve">op-1699b476a8cf</t>
  </si>
  <si>
    <t xml:space="preserve">PONTE NOVA CAMARA MUNICIPAL — Concurso, referente a 5a edição da gincana “Sua casa, nossa Câmara!", que premia… — Brasil</t>
  </si>
  <si>
    <t xml:space="preserve">PONTE NOVA CAMARA MUNICIPAL — Concurso, referente a 5a edição da gincana “Sua casa, nossa Câmara!", que premiará cidadãos e moradores de Ponte Nova participante</t>
  </si>
  <si>
    <t xml:space="preserve">https://pncp.gov.br/app/editais/21087648000117/2026/23</t>
  </si>
  <si>
    <t xml:space="preserve">2026-12-17</t>
  </si>
  <si>
    <t xml:space="preserve">{'inicio': None, 'fim': '2026-12-17'}</t>
  </si>
  <si>
    <t xml:space="preserve">op-ea5dcc842783</t>
  </si>
  <si>
    <t xml:space="preserve">Municipio de lagoa santa — credenciamento de propostas artísticas, individuais, e/ou coletivos, e profissionai… — Brasil</t>
  </si>
  <si>
    <t xml:space="preserve">MUNICIPIO DE LAGOA SANTA — CREDENCIAMENTO DE PROPOSTAS ARTÍSTICAS, INDIVIDUAIS, E/OU COLETIVOS, E PROFISSIONAIS DE SEGUIMENTOS ARTÍSTICOCULTURAIS, PARA A RESTAÇ</t>
  </si>
  <si>
    <t xml:space="preserve">MUNICIPIO DE LAGOA SANTA</t>
  </si>
  <si>
    <t xml:space="preserve">https://pncp.gov.br/app/editais/73357469000156/2026/55</t>
  </si>
  <si>
    <t xml:space="preserve">2027-04-10</t>
  </si>
  <si>
    <t xml:space="preserve">{'inicio': None, 'fim': '2027-04-10'}</t>
  </si>
  <si>
    <t xml:space="preserve">op-1d10c500fc10</t>
  </si>
  <si>
    <t xml:space="preserve">Municipio de confins — chamada pública para credenciamento de artistas, bandas, grupos culturais, coletivos ar… — Brasil</t>
  </si>
  <si>
    <t xml:space="preserve">MUNICIPIO DE CONFINS — CHAMADA PÚBLICA PARA CREDENCIAMENTO DE ARTISTAS, BANDAS, GRUPOS CULTURAIS, COLETIVOS ARTÍSTICOS, PROFISSIONAIS DO AUDIOVISUAL E DEMAIS AG</t>
  </si>
  <si>
    <t xml:space="preserve">MUNICIPIO DE CONFINS</t>
  </si>
  <si>
    <t xml:space="preserve">https://pncp.gov.br/app/editais/01006232000110/2026/40</t>
  </si>
  <si>
    <t xml:space="preserve">2026-06-02</t>
  </si>
  <si>
    <t xml:space="preserve">2027-06-01</t>
  </si>
  <si>
    <t xml:space="preserve">{'inicio': '2026-06-02', 'fim': '2027-06-01'}</t>
  </si>
  <si>
    <t xml:space="preserve">CHAMADA PÚBLICA PARA CREDENCIAMENTO DE ARTISTAS, BANDAS, GRUPOS CULTURAIS, COLETIVOS ARTÍS</t>
  </si>
  <si>
    <t xml:space="preserve">proposta de 2026-06-02 até 2027-06-01 (campos do PNCP; o intervalo de ~12 meses sugere vig</t>
  </si>
  <si>
    <t xml:space="preserve">R$ 274.410,63 (valor total estimado)</t>
  </si>
  <si>
    <t xml:space="preserve">Municipio De Confins / MG</t>
  </si>
  <si>
    <t xml:space="preserve">conforme objeto: CHAMADA PÚBLICA PARA CREDENCIAMENTO DE ARTISTAS, BANDAS, GRUPOS CULTURAIS</t>
  </si>
  <si>
    <t xml:space="preserve">op-03c70c51481b</t>
  </si>
  <si>
    <t xml:space="preserve">FUNDACAO UBERLANDENSE DO TURISMO ESPORTE E LAZER — Credenciamento de interessados (terceiro facilitador) na ca… — Brasil</t>
  </si>
  <si>
    <t xml:space="preserve">FUNDACAO UBERLANDENSE DO TURISMO ESPORTE E LAZER — Credenciamento de interessados (terceiro facilitador) na captação de recursos vinculados à lei estadual de in</t>
  </si>
  <si>
    <t xml:space="preserve">FUNDACAO UBERLANDENSE DO TURISMO ESPORTE E LAZER</t>
  </si>
  <si>
    <t xml:space="preserve">https://pncp.gov.br/app/editais/20260121000180/2026/1</t>
  </si>
  <si>
    <t xml:space="preserve">2030-12-11</t>
  </si>
  <si>
    <t xml:space="preserve">{'inicio': None, 'fim': '2030-12-11'}</t>
  </si>
  <si>
    <t xml:space="preserve">op-ae5b9c2eed9f</t>
  </si>
  <si>
    <t xml:space="preserve">MUNICIPIO DE PASSOS — Credenciamento de Instituições de Longa Permanência para Idosos – ILPI, pessoas jurídica… — Brasil</t>
  </si>
  <si>
    <t xml:space="preserve">MUNICIPIO DE PASSOS — Credenciamento de Instituições de Longa Permanência para Idosos – ILPI, pessoas jurídicas de direito privado, com ou sem fins lucrativos, </t>
  </si>
  <si>
    <t xml:space="preserve">MUNICIPIO DE PASSOS</t>
  </si>
  <si>
    <t xml:space="preserve">https://pncp.gov.br/api/consulta/v1/orgaos/18241745000108/compras/2026/37</t>
  </si>
  <si>
    <t xml:space="preserve">https://pncp.gov.br/app/editais/18241745000108/2026/37</t>
  </si>
  <si>
    <t xml:space="preserve">2026-06-25</t>
  </si>
  <si>
    <t xml:space="preserve">2031-06-25</t>
  </si>
  <si>
    <t xml:space="preserve">{'inicio': '2026-06-25', 'fim': '2031-06-25'}</t>
  </si>
  <si>
    <t xml:space="preserve">Credenciamento de Instituições de Longa Permanência para Idosos – ILPI, pessoas jurídicas</t>
  </si>
  <si>
    <t xml:space="preserve">abertura 2026-06-25; encerramento 2031-06-25</t>
  </si>
  <si>
    <t xml:space="preserve">R$ 644,550.00 (estimado)</t>
  </si>
  <si>
    <t xml:space="preserve">assistência social / idosos (ILPI)</t>
  </si>
  <si>
    <t xml:space="preserve">op-afc234961ea4</t>
  </si>
  <si>
    <t xml:space="preserve">INSTITUTO FEDERAL DE EDUCACAO, CIENCIA E TECNOLOGIA DO SUL DE MINAS GERAIS — O presente procedimento tem por o… — Brasil</t>
  </si>
  <si>
    <t xml:space="preserve">INSTITUTO FEDERAL DE EDUCACAO, CIENCIA E TECNOLOGIA DO SUL DE MINAS GERAIS — O presente procedimento tem por objeto o credenciamento de associações e/ou coopera</t>
  </si>
  <si>
    <t xml:space="preserve">INSTITUTO FEDERAL DE EDUCACAO, CIENCIA E TECNOLOGIA DO SUL DE MINAS GERAIS</t>
  </si>
  <si>
    <t xml:space="preserve">https://pncp.gov.br/app/editais/10648539000105/2025/3</t>
  </si>
  <si>
    <t xml:space="preserve">2035-01-15</t>
  </si>
  <si>
    <t xml:space="preserve">{'inicio': None, 'fim': '2035-01-15'}</t>
  </si>
  <si>
    <t xml:space="preserve">op-21e20bbec125</t>
  </si>
  <si>
    <t xml:space="preserve">MUNICIPIO DE PORTALEGRE — Realização de Procedimento Auxiliar de Credenciamento, visando selecionar e habilita… — Rio Grande do Norte</t>
  </si>
  <si>
    <t xml:space="preserve">MUNICIPIO DE PORTALEGRE — Realização de Procedimento Auxiliar de Credenciamento, visando selecionar e habilitar artistas na categoria musical e agentes culturai</t>
  </si>
  <si>
    <t xml:space="preserve">MUNICIPIO DE PORTALEGRE</t>
  </si>
  <si>
    <t xml:space="preserve">https://pncp.gov.br/app/editais/08358053000190/2025/221</t>
  </si>
  <si>
    <t xml:space="preserve">op-a6ff7d547a92</t>
  </si>
  <si>
    <t xml:space="preserve">MUNICIPIO DE SANTA CRUZ — Credenciamento de artistas individuais, grupos ou coletivos para a pintura de painéi… — Brasil</t>
  </si>
  <si>
    <t xml:space="preserve">MUNICIPIO DE SANTA CRUZ — Credenciamento de artistas individuais, grupos ou coletivos para a pintura de painéis, tipificados como “intervenções artísticas”, uti</t>
  </si>
  <si>
    <t xml:space="preserve">MUNICIPIO DE SANTA CRUZ</t>
  </si>
  <si>
    <t xml:space="preserve">https://pncp.gov.br/app/editais/08358889000195/2026/102</t>
  </si>
  <si>
    <t xml:space="preserve">2027-06-03</t>
  </si>
  <si>
    <t xml:space="preserve">{'inicio': None, 'fim': '2027-06-03'}</t>
  </si>
  <si>
    <t xml:space="preserve">op-bd40446f78b0</t>
  </si>
  <si>
    <t xml:space="preserve">Municipio de jandaira — credenciamento de artistas, grupos, coletivos e agentes culturais, nos termos da lei f… — Brasil</t>
  </si>
  <si>
    <t xml:space="preserve">MUNICIPIO DE JANDAIRA — CREDENCIAMENTO DE ARTISTAS, GRUPOS, COLETIVOS E AGENTES CULTURAIS, NOS TERMOS DA LEI FEDERAL Nº 14.399/2022 (POLÍTICA NACIONAL ALDIR BLA</t>
  </si>
  <si>
    <t xml:space="preserve">https://pncp.gov.br/app/editais/08309239000150/2026/91</t>
  </si>
  <si>
    <t xml:space="preserve">2027-08-11</t>
  </si>
  <si>
    <t xml:space="preserve">{'inicio': None, 'fim': '2027-08-11'}</t>
  </si>
  <si>
    <t xml:space="preserve">op-6dbc58b47faf</t>
  </si>
  <si>
    <t xml:space="preserve">MUNICIPIO DE PORTALEGRE — Contratação de artistas, grupos artísticos e agentes culturais para os eventos e dem… — Brasil</t>
  </si>
  <si>
    <t xml:space="preserve">MUNICIPIO DE PORTALEGRE — Contratação de artistas, grupos artísticos e agentes culturais para os eventos e demais programações do município de Portalegre/RN, ab</t>
  </si>
  <si>
    <t xml:space="preserve">https://pncp.gov.br/app/editais/08358053000190/2026/163</t>
  </si>
  <si>
    <t xml:space="preserve">2027-10-01</t>
  </si>
  <si>
    <t xml:space="preserve">{'inicio': None, 'fim': '2027-10-01'}</t>
  </si>
  <si>
    <t xml:space="preserve">op-b2008e34275c</t>
  </si>
  <si>
    <t xml:space="preserve">COMPANHIA DE PESQUISA DE RECURSOS MINERAIS — Programa de Aprendizagem, com dois Jovens Aprendizes, para atuaçã… — Brasil</t>
  </si>
  <si>
    <t xml:space="preserve">COMPANHIA DE PESQUISA DE RECURSOS MINERAIS — Programa de Aprendizagem, com dois Jovens Aprendizes, para atuação junto à Companhia de Pesquisa de Recursos Minera</t>
  </si>
  <si>
    <t xml:space="preserve">COMPANHIA DE PESQUISA DE RECURSOS MINERAIS</t>
  </si>
  <si>
    <t xml:space="preserve">{'valor': 'poder_publico', 'fundamento': 'CPRM (empresa pública federal) contrata com recurso próprio.', 'em': '2026-10-02'}</t>
  </si>
  <si>
    <t xml:space="preserve">https://pncp.gov.br/app/editais/00091652000189/2026/333</t>
  </si>
  <si>
    <t xml:space="preserve">op-11dbfcb0f246</t>
  </si>
  <si>
    <t xml:space="preserve">MUNICIPIO DE ITAGIBA — Chamamento Público a seleção de associação ou cooperativa de catadores de materiais rec… — Brasil</t>
  </si>
  <si>
    <t xml:space="preserve">MUNICIPIO DE ITAGIBA — Chamamento Público a seleção de associação ou cooperativa de catadores de materiais recicláveis para a CONTRATAÇÃO REMUNERADA da prestaçã</t>
  </si>
  <si>
    <t xml:space="preserve">MUNICIPIO DE ITAGIBA</t>
  </si>
  <si>
    <t xml:space="preserve">{'valor': 'poder_publico', 'fundamento': 'Publica a Prefeitura de Itagibá (Fundo Municipal de Meio Ambiente); pagamento com orçamento municipal.', 'em': '2026-10-02'}</t>
  </si>
  <si>
    <t xml:space="preserve">https://pncp.gov.br/app/editais/13701966000106/2026/141</t>
  </si>
  <si>
    <t xml:space="preserve">{'inicio': '2026-09-14', 'fim': '2026-10-14'}</t>
  </si>
  <si>
    <t xml:space="preserve">Contratação remunerada de associação/cooperativa de catadores para coleta seletiva integra</t>
  </si>
  <si>
    <t xml:space="preserve">14/09/2026 a 14/10/2026</t>
  </si>
  <si>
    <t xml:space="preserve">Resultado final e entidade selecionada em 27/10/2026</t>
  </si>
  <si>
    <t xml:space="preserve">16 a 21/10/2026 (5 dias úteis)</t>
  </si>
  <si>
    <t xml:space="preserve">R$ 631.416,00 (valor total da contratação)</t>
  </si>
  <si>
    <t xml:space="preserve">Município de Itagibá/BA — Fundo Municipal de Meio Ambiente</t>
  </si>
  <si>
    <t xml:space="preserve">Itagibá/BA — quadro de catadores do município</t>
  </si>
  <si>
    <t xml:space="preserve">Associação/cooperativa formada só por catadores de baixa renda reconhecidos pelo poder púb</t>
  </si>
  <si>
    <t xml:space="preserve">Anexo I (TR), Anexo II (planilha de custos), minuta de contrato e declarações</t>
  </si>
  <si>
    <t xml:space="preserve">Remuneração da prestação continuada de coleta seletiva, transporte, triagem e destinação d</t>
  </si>
  <si>
    <t xml:space="preserve">Meio ambiente — resíduos sólidos e inclusão de catadores</t>
  </si>
  <si>
    <t xml:space="preserve">op-b1fa835db3b4</t>
  </si>
  <si>
    <t xml:space="preserve">MUNICIPIO DE OLINDINA — Chamamento Público é o credenciamento de artistas, grupos e coletivos culturais para c… — Brasil</t>
  </si>
  <si>
    <t xml:space="preserve">MUNICIPIO DE OLINDINA — Chamamento Público é o credenciamento de artistas, grupos e coletivos culturais para compor a programação dos eventos realizados pela SE</t>
  </si>
  <si>
    <t xml:space="preserve">{'valor': 'poder_publico', 'fundamento': 'Município de Olindina/BA publica e paga com recurso próprio.', 'em': '2026-10-02'}</t>
  </si>
  <si>
    <t xml:space="preserve">https://pncp.gov.br/app/editais/13647854000106/2026/33</t>
  </si>
  <si>
    <t xml:space="preserve">{'inicio': '2026-05-28', 'fim': '2026-12-31'}</t>
  </si>
  <si>
    <t xml:space="preserve">Credenciamento de artistas/grupos/coletivos para eventos 2026</t>
  </si>
  <si>
    <t xml:space="preserve">2026-05-28 a 2026-12-31 16:30</t>
  </si>
  <si>
    <t xml:space="preserve">R$ 30.050,00 (estimado)</t>
  </si>
  <si>
    <t xml:space="preserve">Município de Olindina</t>
  </si>
  <si>
    <t xml:space="preserve">Olindina/BA</t>
  </si>
  <si>
    <t xml:space="preserve">cultura (música, dança, artes cênicas, quadrilhas)</t>
  </si>
  <si>
    <t xml:space="preserve">op-2f7f1e183702</t>
  </si>
  <si>
    <t xml:space="preserve">Municipio de porto vera cruz — credenciamento de instituições de longa permanência para atender abrigamento de… — Rio Grande do Sul / Porto Vera Cruz</t>
  </si>
  <si>
    <t xml:space="preserve">MUNICIPIO DE PORTO VERA CRUZ — Credenciamento de INSTITUIÇÕES DE LONGA PERMANÊNCIA PARA ATENDER ABRIGAMENTO DE IDOSOS oriundos do Município de Porto Vera Cruz- </t>
  </si>
  <si>
    <t xml:space="preserve">MUNICIPIO DE PORTO VERA CRUZ</t>
  </si>
  <si>
    <t xml:space="preserve">Porto Vera Cruz</t>
  </si>
  <si>
    <t xml:space="preserve">https://pncp.gov.br/app/editais/91105452000193/2025/418</t>
  </si>
  <si>
    <t xml:space="preserve">op-575b9463fb1b</t>
  </si>
  <si>
    <t xml:space="preserve">MUNICIPIO DE SAPUCAIA DO SUL — O presente Termo de Colaboração tem por objeto estabelecer as condições para o … — Brasil</t>
  </si>
  <si>
    <t xml:space="preserve">MUNICIPIO DE SAPUCAIA DO SUL — O presente Termo de Colaboração tem por objeto estabelecer as condições para o atendimento à 50 crianças, em turno integral, admi</t>
  </si>
  <si>
    <t xml:space="preserve">MUNICIPIO DE SAPUCAIA DO SUL</t>
  </si>
  <si>
    <t xml:space="preserve">https://pncp.gov.br/app/editais/88185020000125/2025/73</t>
  </si>
  <si>
    <t xml:space="preserve">{'inicio': None, 'fim': '2027-04-09'}</t>
  </si>
  <si>
    <t xml:space="preserve">op-044c4134f4c4</t>
  </si>
  <si>
    <t xml:space="preserve">MUNICIPIO DE LAJEADO — Chamamento Público para credenciamento de Instituições de Longa Permanência de Idosos, … — Rio Grande do Sul</t>
  </si>
  <si>
    <t xml:space="preserve">MUNICIPIO DE LAJEADO — Chamamento Público para credenciamento de Instituições de Longa Permanência de Idosos, do município de Lajeado/RS, para oferecimento de v</t>
  </si>
  <si>
    <t xml:space="preserve">MUNICIPIO DE LAJEADO</t>
  </si>
  <si>
    <t xml:space="preserve">https://pncp.gov.br/app/editais/87297982000103/2024/131</t>
  </si>
  <si>
    <t xml:space="preserve">2029-03-07</t>
  </si>
  <si>
    <t xml:space="preserve">{'inicio': None, 'fim': '2029-03-07'}</t>
  </si>
  <si>
    <t xml:space="preserve">op-28d5ee680f80</t>
  </si>
  <si>
    <t xml:space="preserve">MUNICIPIO DE BOM PRINCIPIO — Serviços de acolhimento institucional — Brasil</t>
  </si>
  <si>
    <t xml:space="preserve">MUNICIPIO DE BOM PRINCIPIO — Serviços de acolhimento institucional</t>
  </si>
  <si>
    <t xml:space="preserve">MUNICIPIO DE BOM PRINCIPIO</t>
  </si>
  <si>
    <t xml:space="preserve">https://pncp.gov.br/app/editais/90873787000199/2024/2108</t>
  </si>
  <si>
    <t xml:space="preserve">2029-09-05</t>
  </si>
  <si>
    <t xml:space="preserve">{'inicio': None, 'fim': '2029-09-05'}</t>
  </si>
  <si>
    <t xml:space="preserve">op-6d6589c5cc54</t>
  </si>
  <si>
    <t xml:space="preserve">MUNICIPIO DE CARAZINHO — Atendimento de matrículas na educação infantil oferecida em escolas ou centros de edu… — Brasil</t>
  </si>
  <si>
    <t xml:space="preserve">MUNICIPIO DE CARAZINHO — Atendimento de matrículas na educação infantil oferecida em escolas ou centros de educação infantil para crianças de zero até cinco ano</t>
  </si>
  <si>
    <t xml:space="preserve">https://pncp.gov.br/app/editais/87613535000116/2025/769</t>
  </si>
  <si>
    <t xml:space="preserve">2029-11-12</t>
  </si>
  <si>
    <t xml:space="preserve">{'inicio': None, 'fim': '2029-11-12'}</t>
  </si>
  <si>
    <t xml:space="preserve">op-6e38beadc0f6</t>
  </si>
  <si>
    <t xml:space="preserve">MUNICIPIO DE ESTANCIA VELHA — 1.1. O presente Edital tem como objeto o credenciamento de Organizações da Socie… — Rio Grande do Sul</t>
  </si>
  <si>
    <t xml:space="preserve">MUNICIPIO DE ESTANCIA VELHA — 1.1. O presente Edital tem como objeto o credenciamento de Organizações da Sociedade Civil (OSCs) sem fins lucrativos, para a cele</t>
  </si>
  <si>
    <t xml:space="preserve">MUNICIPIO DE ESTANCIA VELHA</t>
  </si>
  <si>
    <t xml:space="preserve">https://pncp.gov.br/app/editais/88254883000107/2025/230</t>
  </si>
  <si>
    <t xml:space="preserve">2030-11-11</t>
  </si>
  <si>
    <t xml:space="preserve">{'inicio': None, 'fim': '2030-11-11'}</t>
  </si>
  <si>
    <t xml:space="preserve">op-32038dfd646e</t>
  </si>
  <si>
    <t xml:space="preserve">TRIBUNAL SUPERIOR DO TRABALHO — EDITAL CREDENCIAMENTO 001/2024 - Credenciamento de associações e/ou cooperativ… — Brasil</t>
  </si>
  <si>
    <t xml:space="preserve">TRIBUNAL SUPERIOR DO TRABALHO — EDITAL CREDENCIAMENTO 001/2024 - Credenciamento de associações e/ou cooperativas de catadores de materiais recicláveis para reco</t>
  </si>
  <si>
    <t xml:space="preserve">https://pncp.gov.br/app/editais/00509968000148/2024/178</t>
  </si>
  <si>
    <t xml:space="preserve">2034-02-15</t>
  </si>
  <si>
    <t xml:space="preserve">{'inicio': None, 'fim': '2034-02-15'}</t>
  </si>
  <si>
    <t xml:space="preserve">op-6b8887bef5bb</t>
  </si>
  <si>
    <t xml:space="preserve">TRIBUNAL SUPERIOR DO TRABALHO — Credenciamento TRT4 n° 01/2023 Credenciamento de associações e/ou cooperativas… — Brasil</t>
  </si>
  <si>
    <t xml:space="preserve">TRIBUNAL SUPERIOR DO TRABALHO — Credenciamento TRT4 n° 01/2023 Credenciamento de associações e/ou cooperativas de catadores de materiais recicláveis para recolh</t>
  </si>
  <si>
    <t xml:space="preserve">https://pncp.gov.br/app/editais/00509968000148/2024/969</t>
  </si>
  <si>
    <t xml:space="preserve">2034</t>
  </si>
  <si>
    <t xml:space="preserve">2034-04-26</t>
  </si>
  <si>
    <t xml:space="preserve">{'inicio': None, 'fim': '2034-04-26'}</t>
  </si>
  <si>
    <t xml:space="preserve">op-43a1dfa15f53</t>
  </si>
  <si>
    <t xml:space="preserve">MUNICIPIO DE SAPUCAIA DO SUL — Credenciamento de instituições e/ou organizações da sociedade civil que ofertem… — Rio Grande do Sul</t>
  </si>
  <si>
    <t xml:space="preserve">MUNICIPIO DE SAPUCAIA DO SUL — Credenciamento de instituições e/ou organizações da sociedade civil que ofertem vagas para acolhimento institucional de pessoas i</t>
  </si>
  <si>
    <t xml:space="preserve">https://pncp.gov.br/app/editais/88185020000125/2024/355</t>
  </si>
  <si>
    <t xml:space="preserve">2035-01-17</t>
  </si>
  <si>
    <t xml:space="preserve">{'inicio': None, 'fim': '2035-01-17'}</t>
  </si>
  <si>
    <t xml:space="preserve">op-59dd4bc4fd2e</t>
  </si>
  <si>
    <t xml:space="preserve">Aracaju camara municipal — este edital dispõe sobre as normas, procedimentos e prazos para participação na 9ª … — Brasil</t>
  </si>
  <si>
    <t xml:space="preserve">ARACAJU CAMARA MUNICIPAL — ESTE EDITAL DISPÕE SOBRE AS NORMAS, PROCEDIMENTOS E PRAZOS PARA PARTICIPAÇÃO NA 9ª EDIÇÃO DO PRÊMIO DE POESIA GOVERNADOR MARCELO DÉDA</t>
  </si>
  <si>
    <t xml:space="preserve">ARACAJU CAMARA MUNICIPAL</t>
  </si>
  <si>
    <t xml:space="preserve">https://pncp.gov.br/app/editais/13167804000121/2026/22</t>
  </si>
  <si>
    <t xml:space="preserve">op-597d53cbacb6</t>
  </si>
  <si>
    <t xml:space="preserve">Municipio de palmeira dos indios — credenciamento de caráter permanente das organizações da sociedade civil – … — Alagoas</t>
  </si>
  <si>
    <t xml:space="preserve">MUNICIPIO DE PALMEIRA DOS INDIOS — CREDENCIAMENTO DE CARÁTER PERMANENTE DAS ORGANIZAÇÕES DA SOCIEDADE CIVIL – OSC, na forma estabelecida neste Edital, com o obj</t>
  </si>
  <si>
    <t xml:space="preserve">MUNICIPIO DE PALMEIRA DOS INDIOS</t>
  </si>
  <si>
    <t xml:space="preserve">https://pncp.gov.br/app/editais/12356879000198/2025/58</t>
  </si>
  <si>
    <t xml:space="preserve">2027-05-20</t>
  </si>
  <si>
    <t xml:space="preserve">{'inicio': None, 'fim': '2027-05-20'}</t>
  </si>
  <si>
    <t xml:space="preserve">op-562812c67e81</t>
  </si>
  <si>
    <t xml:space="preserve">MUNICIPIO DE PALMEIRA DOS INDIOS — Constitui-se objeto do presente Edital estabelecer o cumprimento das normas… — Alagoas</t>
  </si>
  <si>
    <t xml:space="preserve">MUNICIPIO DE PALMEIRA DOS INDIOS — Constitui-se objeto do presente Edital estabelecer o cumprimento das normas previstas na Lei Federal nº 13.019/2014, para o c</t>
  </si>
  <si>
    <t xml:space="preserve">https://pncp.gov.br/app/editais/12356879000198/2025/82</t>
  </si>
  <si>
    <t xml:space="preserve">2027-06-28</t>
  </si>
  <si>
    <t xml:space="preserve">{'inicio': None, 'fim': '2027-06-28'}</t>
  </si>
  <si>
    <t xml:space="preserve">op-628b281e0b9e</t>
  </si>
  <si>
    <t xml:space="preserve">TRIBUNAL DE JUSTICA DO ESTADO DE ALAGOAS — [LICITANET] - Chamamento público na forma de credenciamento de asso… — Alagoas</t>
  </si>
  <si>
    <t xml:space="preserve">TRIBUNAL DE JUSTICA DO ESTADO DE ALAGOAS — [LICITANET] - Chamamento público na forma de credenciamento de associações e/ou cooperativas de trabalhadores catador</t>
  </si>
  <si>
    <t xml:space="preserve">TRIBUNAL DE JUSTICA DO ESTADO DE ALAGOAS</t>
  </si>
  <si>
    <t xml:space="preserve">https://pncp.gov.br/app/editais/12473062000108/2024/121</t>
  </si>
  <si>
    <t xml:space="preserve">2030-12-04</t>
  </si>
  <si>
    <t xml:space="preserve">{'inicio': None, 'fim': '2030-12-04'}</t>
  </si>
  <si>
    <t xml:space="preserve">op-126df3d4e7d2</t>
  </si>
  <si>
    <t xml:space="preserve">MUNICIPIO DE SANTA CRUZ DO CAPIBARIBE — Seleção de propostas de projetos para celebração de Termo de Colaboraç… — Pernambuco</t>
  </si>
  <si>
    <t xml:space="preserve">MUNICIPIO DE SANTA CRUZ DO CAPIBARIBE — Seleção de propostas de projetos para celebração de Termo de Colaboração com Instituição Brasileira incumbida regimental</t>
  </si>
  <si>
    <t xml:space="preserve">MUNICIPIO DE SANTA CRUZ DO CAPIBARIBE</t>
  </si>
  <si>
    <t xml:space="preserve">https://pncp.gov.br/app/editais/10091569000163/2025/137</t>
  </si>
  <si>
    <t xml:space="preserve">op-bb05d56d1dae</t>
  </si>
  <si>
    <t xml:space="preserve">UNIVERSIDADE FEDERAL DE PERNAMBUCO — Selecionar e habilitar as associações e/ou cooperativas de catadores de m… — Brasil</t>
  </si>
  <si>
    <t xml:space="preserve">UNIVERSIDADE FEDERAL DE PERNAMBUCO — Selecionar e habilitar as associações e/ou cooperativas de catadores de materiais recicláveis aptas a firmar Termo de Compr</t>
  </si>
  <si>
    <t xml:space="preserve">UNIVERSIDADE FEDERAL DE PERNAMBUCO</t>
  </si>
  <si>
    <t xml:space="preserve">['OSC e associações', 'Pesquisadores e instituições de ensino']</t>
  </si>
  <si>
    <t xml:space="preserve">https://pncp.gov.br/app/editais/24134488000108/2027/3</t>
  </si>
  <si>
    <t xml:space="preserve">2026-05-11</t>
  </si>
  <si>
    <t xml:space="preserve">2028-02-08</t>
  </si>
  <si>
    <t xml:space="preserve">{'inicio': '2026-05-11', 'fim': '2028-02-08'}</t>
  </si>
  <si>
    <t xml:space="preserve">Selecionar e habilitar as associações e/ou cooperativas de catadores de materiais recicláv</t>
  </si>
  <si>
    <t xml:space="preserve">abertura 2026-05-11; encerramento das propostas 2028-02-08</t>
  </si>
  <si>
    <t xml:space="preserve">valor total estimado R$ 0,00</t>
  </si>
  <si>
    <t xml:space="preserve">Recife/PE (UFPE)</t>
  </si>
  <si>
    <t xml:space="preserve">op-20637754e778</t>
  </si>
  <si>
    <t xml:space="preserve">RECIFE CAMARA MUNICIPAL — Credenciamento, mediante prévio chamamento público, de entidades de lazer, associaçõ… — Pernambuco / Recife</t>
  </si>
  <si>
    <t xml:space="preserve">RECIFE CAMARA MUNICIPAL — Credenciamento, mediante prévio chamamento público, de entidades de lazer, associações, clubes e cooperativas de crédito.</t>
  </si>
  <si>
    <t xml:space="preserve">RECIFE CAMARA MUNICIPAL</t>
  </si>
  <si>
    <t xml:space="preserve">Recife</t>
  </si>
  <si>
    <t xml:space="preserve">['OSC e associações', 'Atletas e entidades esportivas']</t>
  </si>
  <si>
    <t xml:space="preserve">https://pncp.gov.br/app/editais/08903189000134/2024/4</t>
  </si>
  <si>
    <t xml:space="preserve">2029-09-11</t>
  </si>
  <si>
    <t xml:space="preserve">{'inicio': None, 'fim': '2029-09-11'}</t>
  </si>
  <si>
    <t xml:space="preserve">op-73ab9be95221</t>
  </si>
  <si>
    <t xml:space="preserve">Tribunal superior do trabalho — chamamento público de instituições de ensino superior (ies) interessadas em ce… — Brasil</t>
  </si>
  <si>
    <t xml:space="preserve">TRIBUNAL SUPERIOR DO TRABALHO — CHAMAMENTO PÚBLICO DE INSTITUIÇÕES DE ENSINO SUPERIOR (IES) INTERESSADAS EM CELEBRAR ACORDO DE COOPERAÇÃO TÉCNICA E ACORDO DE CO</t>
  </si>
  <si>
    <t xml:space="preserve">https://pncp.gov.br/app/editais/00509968000148/2026/8</t>
  </si>
  <si>
    <t xml:space="preserve">2030-02-13</t>
  </si>
  <si>
    <t xml:space="preserve">{'inicio': None, 'fim': '2030-02-13'}</t>
  </si>
  <si>
    <t xml:space="preserve">op-412f91dae8d1</t>
  </si>
  <si>
    <t xml:space="preserve">Universidade federal rural da amazonia — procedimento de habilitação das associações e/ou cooperativasdecatado… — Brasil</t>
  </si>
  <si>
    <t xml:space="preserve">UNIVERSIDADE FEDERAL RURAL DA AMAZONIA — PROCEDIMENTO DE HABILITAÇÃO DAS ASSOCIAÇÕES E/OU COOPERATIVASDECATADORES DE MATERIAIS RECICLÁVEIS E REUTILIZÁVEIS, no i</t>
  </si>
  <si>
    <t xml:space="preserve">UNIVERSIDADE FEDERAL RURAL DA AMAZONIA</t>
  </si>
  <si>
    <t xml:space="preserve">https://pncp.gov.br/app/editais/05200001000101/2027/1</t>
  </si>
  <si>
    <t xml:space="preserve">op-4c282607bda1</t>
  </si>
  <si>
    <t xml:space="preserve">TRIBUNAL REGIONAL ELEITORAL DO AMAZONAS — O presente procedimento tem por objeto selecionar as associações e/o… — Brasil</t>
  </si>
  <si>
    <t xml:space="preserve">TRIBUNAL REGIONAL ELEITORAL DO AMAZONAS — O presente procedimento tem por objeto selecionar as associações e/ou cooperativas de catadores de materiais recicláve</t>
  </si>
  <si>
    <t xml:space="preserve">TRIBUNAL REGIONAL ELEITORAL DO AMAZONAS</t>
  </si>
  <si>
    <t xml:space="preserve">https://pncp.gov.br/app/editais/05959999000114/2026/52</t>
  </si>
  <si>
    <t xml:space="preserve">2026-05-25</t>
  </si>
  <si>
    <t xml:space="preserve">2028-01-31</t>
  </si>
  <si>
    <t xml:space="preserve">{'inicio': '2026-05-25', 'fim': '2028-01-31'}</t>
  </si>
  <si>
    <t xml:space="preserve">O presente procedimento tem por objeto selecionar as associações e/ou cooperativas de cata</t>
  </si>
  <si>
    <t xml:space="preserve">abertura 2026-05-25; encerramento das propostas 2028-01-31</t>
  </si>
  <si>
    <t xml:space="preserve">Manaus/AM (TRE-AM)</t>
  </si>
  <si>
    <t xml:space="preserve">op-a9fe075a6563</t>
  </si>
  <si>
    <t xml:space="preserve">Estado do acre — 4º prêmio de comunicação do governo do estado do acre “moisés alencastro" — Brasil</t>
  </si>
  <si>
    <t xml:space="preserve">ESTADO DO ACRE — 4º PRÊMIO DE COMUNICAÇÃO DO GOVERNO DO ESTADO DO ACRE “MOISÉS ALENCASTRO"</t>
  </si>
  <si>
    <t xml:space="preserve">ESTADO DO ACRE</t>
  </si>
  <si>
    <t xml:space="preserve">https://pncp.gov.br/app/editais/63606479000124/2026/123</t>
  </si>
  <si>
    <t xml:space="preserve">op-0f80746cf4b3</t>
  </si>
  <si>
    <t xml:space="preserve">COMPANHIA NACIONAL DE ABASTECIMENTO — Contratação de entidade sem fins lucrativos, inscrita e aprovada no Cada… — Brasil</t>
  </si>
  <si>
    <t xml:space="preserve">COMPANHIA NACIONAL DE ABASTECIMENTO — Contratação de entidade sem fins lucrativos, inscrita e aprovada no Cadastro Nacional de Aprendizagem, com capacidade técn</t>
  </si>
  <si>
    <t xml:space="preserve">COMPANHIA NACIONAL DE ABASTECIMENTO</t>
  </si>
  <si>
    <t xml:space="preserve">https://pncp.gov.br/app/editais/26461699000180/2026/323</t>
  </si>
  <si>
    <t xml:space="preserve">op-44b1ae074203</t>
  </si>
  <si>
    <t xml:space="preserve">DNIT-DEPARTAMENTO NACIONAL DE INFRAEST DE TRANSPORTES — Seleção de associações e/ou cooperativas de catadores … — Brasil</t>
  </si>
  <si>
    <t xml:space="preserve">DNIT-DEPARTAMENTO NACIONAL DE INFRAEST DE TRANSPORTES — Seleção de associações e/ou cooperativas de catadores de materiais recicláveis, cadastradas e habilitada</t>
  </si>
  <si>
    <t xml:space="preserve">DNIT-DEPARTAMENTO NACIONAL DE INFRAEST DE TRANSPORTES</t>
  </si>
  <si>
    <t xml:space="preserve">https://pncp.gov.br/app/editais/04892707000100/2026/136</t>
  </si>
  <si>
    <t xml:space="preserve">2028-09-22</t>
  </si>
  <si>
    <t xml:space="preserve">{'inicio': '2026-09-22', 'fim': '2028-09-22'}</t>
  </si>
  <si>
    <t xml:space="preserve">Seleção de associações e/ou cooperativas de catadores de materiais recicláveis, cadastrada</t>
  </si>
  <si>
    <t xml:space="preserve">abertura 2026-09-22; encerramento das propostas 2028-09-22</t>
  </si>
  <si>
    <t xml:space="preserve">Brasília/DF (DNIT)</t>
  </si>
  <si>
    <t xml:space="preserve">op-282b8b176c85</t>
  </si>
  <si>
    <t xml:space="preserve">TRIBUNAL SUPERIOR DO TRABALHO — Seleção de associações e cooperativas de catadores de materiais recicláveis ap… — Brasil</t>
  </si>
  <si>
    <t xml:space="preserve">TRIBUNAL SUPERIOR DO TRABALHO — Seleção de associações e cooperativas de catadores de materiais recicláveis aptas a recolherem os resíduos destinados à reciclag</t>
  </si>
  <si>
    <t xml:space="preserve">https://pncp.gov.br/app/editais/00509968000148/2026/83</t>
  </si>
  <si>
    <t xml:space="preserve">2025-12-12</t>
  </si>
  <si>
    <t xml:space="preserve">2028-12-04</t>
  </si>
  <si>
    <t xml:space="preserve">{'inicio': '2025-12-12', 'fim': '2028-12-04'}</t>
  </si>
  <si>
    <t xml:space="preserve">Seleção de associações e cooperativas de catadores de materiais recicláveis aptas a recolh</t>
  </si>
  <si>
    <t xml:space="preserve">abertura 2025-12-12; encerramento das propostas 2028-12-04</t>
  </si>
  <si>
    <t xml:space="preserve">Brasília/DF (TST)</t>
  </si>
  <si>
    <t xml:space="preserve">op-0d9320351ce9</t>
  </si>
  <si>
    <t xml:space="preserve">JUSTICA FEDERAL DE PRIMEIRA INSTANCIA — CREDENCIAMENTO de associações e cooperativas para coleta de material e… — Brasil</t>
  </si>
  <si>
    <t xml:space="preserve">JUSTICA FEDERAL DE PRIMEIRA INSTANCIA — CREDENCIAMENTO de associações e cooperativas para coleta de material eletroeletrônico para destinação de logística rever</t>
  </si>
  <si>
    <t xml:space="preserve">JUSTICA FEDERAL DE PRIMEIRA INSTANCIA</t>
  </si>
  <si>
    <t xml:space="preserve">https://pncp.gov.br/app/editais/00508903000188/2024/293</t>
  </si>
  <si>
    <t xml:space="preserve">2034-03-10</t>
  </si>
  <si>
    <t xml:space="preserve">{'inicio': None, 'fim': '2034-03-10'}</t>
  </si>
  <si>
    <t xml:space="preserve">op-66ca048d7db5</t>
  </si>
  <si>
    <t xml:space="preserve">TRIBUNAL DE JUSTICA DO ESTADO DO TOCANTINS — Credenciamento de associação e/ou cooperativa de catadores de mat… — Brasil</t>
  </si>
  <si>
    <t xml:space="preserve">TRIBUNAL DE JUSTICA DO ESTADO DO TOCANTINS — Credenciamento de associação e/ou cooperativa de catadores de materiais recicláveis por meio do Projeto Coleta Sele</t>
  </si>
  <si>
    <t xml:space="preserve">TRIBUNAL DE JUSTICA DO ESTADO DO TOCANTINS</t>
  </si>
  <si>
    <t xml:space="preserve">https://pncp.gov.br/app/editais/25053190000136/2026/1</t>
  </si>
  <si>
    <t xml:space="preserve">2030-04-01</t>
  </si>
  <si>
    <t xml:space="preserve">{'inicio': None, 'fim': '2030-04-01'}</t>
  </si>
  <si>
    <t xml:space="preserve">op-5e8cc7e38c06</t>
  </si>
  <si>
    <t xml:space="preserve">MUNICIPIO DE NOVA PALMEIRA — Credenciamento de facilitadores, profissionais e assessoria técnica para atuar no… — Brasil</t>
  </si>
  <si>
    <t xml:space="preserve">MUNICIPIO DE NOVA PALMEIRA — Credenciamento de facilitadores, profissionais e assessoria técnica para atuar no projeto "DE TODOS PARA TODOS" centro de inclusão </t>
  </si>
  <si>
    <t xml:space="preserve">MUNICIPIO DE NOVA PALMEIRA</t>
  </si>
  <si>
    <t xml:space="preserve">https://pncp.gov.br/app/editais/08739930000173/2026/42</t>
  </si>
  <si>
    <t xml:space="preserve">2027-01-19</t>
  </si>
  <si>
    <t xml:space="preserve">{'inicio': None, 'fim': '2027-01-19'}</t>
  </si>
  <si>
    <t xml:space="preserve">op-c0c4db5ca468</t>
  </si>
  <si>
    <t xml:space="preserve">MUNICIPIO DE NOVA PALMEIRA — credenciamento de articuladores, profissionais e assessoria técnica para atuar no… — Brasil</t>
  </si>
  <si>
    <t xml:space="preserve">MUNICIPIO DE NOVA PALMEIRA — credenciamento de articuladores, profissionais e assessoria técnica para atuar no projeto “TENDA ITINERANTE - ESPAÇO DAS HISTÓRIAS </t>
  </si>
  <si>
    <t xml:space="preserve">https://pncp.gov.br/app/editais/08739930000173/2026/41</t>
  </si>
  <si>
    <t xml:space="preserve">op-69ee703be4a1</t>
  </si>
  <si>
    <t xml:space="preserve">UNIVERSIDADE FEDERAL DE CAMPINA GRANDE — Credenciamento de Instituições Financeiras visando a operacionalizaçã… — Brasil</t>
  </si>
  <si>
    <t xml:space="preserve">UNIVERSIDADE FEDERAL DE CAMPINA GRANDE — Credenciamento de Instituições Financeiras visando a operacionalização de “CONTADEPÓSITO VINCULADA - BLOQUEADA PARA MOV</t>
  </si>
  <si>
    <t xml:space="preserve">UNIVERSIDADE FEDERAL DE CAMPINA GRANDE</t>
  </si>
  <si>
    <t xml:space="preserve">https://pncp.gov.br/app/editais/05055128000176/2024/164</t>
  </si>
  <si>
    <t xml:space="preserve">2029-09-25</t>
  </si>
  <si>
    <t xml:space="preserve">{'inicio': None, 'fim': '2029-09-25'}</t>
  </si>
  <si>
    <t xml:space="preserve">op-a6132345a958</t>
  </si>
  <si>
    <t xml:space="preserve">Municipio de boa hora — contratação de prestador de serviços para execução de capacitação, qualificação e form… — Brasil</t>
  </si>
  <si>
    <t xml:space="preserve">MUNICIPIO DE BOA HORA — CONTRATAÇÃO DE PRESTADOR DE SERVIÇOS PARA EXECUÇÃO DE CAPACITAÇÃO, QUALIFICAÇÃO E FORMAÇÃO DE AGENTES CULTURAIS (AUDIOVISUAL, TEATRO), N</t>
  </si>
  <si>
    <t xml:space="preserve">MUNICIPIO DE BOA HORA</t>
  </si>
  <si>
    <t xml:space="preserve">https://pncp.gov.br/app/editais/01612568000126/2026/33</t>
  </si>
  <si>
    <t xml:space="preserve">op-f4ffdbb22b25</t>
  </si>
  <si>
    <t xml:space="preserve">Vila Pavão - EDITAL DE CHAMAMENTO PÚBLICO Nº 005/2026 - Credenciamento para aquisição de Ativos Culturais — Espírito Santo</t>
  </si>
  <si>
    <t xml:space="preserve">Vila Pavão - EDITAL DE CHAMAMENTO PÚBLICO Nº 005/2026 - Credenciamento para aquisição de Ativos Culturais</t>
  </si>
  <si>
    <t xml:space="preserve">https://mapa.cultura.es.gov.br/oportunidade/2628/</t>
  </si>
  <si>
    <t xml:space="preserve">op-90179e8cfcbb</t>
  </si>
  <si>
    <t xml:space="preserve">Chamamento público nº 001/2023 para Credenciamento de agricultores familiares, cooperativas e associações inte… — Paraná / Curitiba</t>
  </si>
  <si>
    <t xml:space="preserve">Chamamento  público  nº  001/2023  para  Credenciamento  de  agricultores  familiares, 
cooperativas e associações interessados em fornecer produtos agroalimen</t>
  </si>
  <si>
    <t xml:space="preserve">PNCP — MUNICIPIO DE CURITIBA</t>
  </si>
  <si>
    <t xml:space="preserve">op-6aa3618b9161</t>
  </si>
  <si>
    <t xml:space="preserve">MUNICIPIO DE ITATINGA — Seleção de projetos para firmar termo de execução cultural com recursos da política na… — São Paulo</t>
  </si>
  <si>
    <t xml:space="preserve">MUNICIPIO DE ITATINGA — Seleção de projetos para firmar termo de execução cultural com recursos da política nacional Aldir Blanc de fomento à cultura – PNAB (le</t>
  </si>
  <si>
    <t xml:space="preserve">op-4da424d1ec49</t>
  </si>
  <si>
    <t xml:space="preserve">Municipio de sao jose do rio preto — o presente chamamento tem por objeto selecionar 1 (uma) pessoa jurídica d… — Brasil</t>
  </si>
  <si>
    <t xml:space="preserve">MUNICIPIO DE SAO JOSE DO RIO PRETO — O PRESENTE CHAMAMENTO TEM POR OBJETO SELECIONAR 1 (UMA) PESSOA JURÍDICA DE DIREITO PRIVADO, COM OU SEM FINS LUCRATIVOS, PAR</t>
  </si>
  <si>
    <t xml:space="preserve">{'valor': 'mista', 'fundamento': 'Publica o Município de São José do Rio Preto; a PJ selecionada estrutura e capta recursos para o festival (cooperação ente público + privado).', 'em': '2026-10-02'}</t>
  </si>
  <si>
    <t xml:space="preserve">{'inicio': '2026-09-28', 'fim': '2026-10-05'}</t>
  </si>
  <si>
    <t xml:space="preserve">Resultado, Prazo de recurso, Valor, Requisitos, Anexos</t>
  </si>
  <si>
    <t xml:space="preserve">Termo de Cooperação Cultural – FIT Rio Preto 2027/2028</t>
  </si>
  <si>
    <t xml:space="preserve">28/09/2026 08h00 a 05/10/2026 17h00</t>
  </si>
  <si>
    <t xml:space="preserve">Município de São José do Rio Preto</t>
  </si>
  <si>
    <t xml:space="preserve">São José do Rio Preto/SP</t>
  </si>
  <si>
    <t xml:space="preserve">Termo de Cooperação Cultural</t>
  </si>
  <si>
    <t xml:space="preserve">cultura (festival FIT Rio Preto)</t>
  </si>
  <si>
    <t xml:space="preserve">op-242442dd1040</t>
  </si>
  <si>
    <t xml:space="preserve">Municipio de porto feliz — premio cultural com recursos da politica nacional aldir blanc de fomento a cultura … — Brasil</t>
  </si>
  <si>
    <t xml:space="preserve">MUNICIPIO DE PORTO FELIZ — PREMIO CULTURAL COM RECURSOS DA POLITICA NACIONAL ALDIR BLANC DE FOMENTO A CULTURA NO MUNICIPIO DE PORTO FELIZ SP LEI N 14.399 2022</t>
  </si>
  <si>
    <t xml:space="preserve">MUNICIPIO DE PORTO FELIZ</t>
  </si>
  <si>
    <t xml:space="preserve">{'valor': 'poder_publico', 'fundamento': 'Publica o Município de Porto Feliz; recurso federal da PNAB.', 'em': '2026-10-02'}</t>
  </si>
  <si>
    <t xml:space="preserve">https://pncp.gov.br/app/editais/46634481000198/2026/203</t>
  </si>
  <si>
    <t xml:space="preserve">Resultado, Prazo de recurso, Requisitos, Anexos</t>
  </si>
  <si>
    <t xml:space="preserve">Prêmio cultural PNAB</t>
  </si>
  <si>
    <t xml:space="preserve">09/09/2026 08h00 a 09/10/2026 23h59</t>
  </si>
  <si>
    <t xml:space="preserve">R$ 292.678,10 (total estimado)</t>
  </si>
  <si>
    <t xml:space="preserve">Município de Porto Feliz / PNAB</t>
  </si>
  <si>
    <t xml:space="preserve">Porto Feliz/SP</t>
  </si>
  <si>
    <t xml:space="preserve">premiação cultural</t>
  </si>
  <si>
    <t xml:space="preserve">op-7b44389e1794</t>
  </si>
  <si>
    <t xml:space="preserve">MUNICIPIO DE VERA CRUZ — Formalização de parceria através de Termo de Colaboração, com Organizações da Socieda… — Rio Grande do Sul</t>
  </si>
  <si>
    <t xml:space="preserve">MUNICIPIO DE VERA CRUZ — Formalização de parceria através de Termo de Colaboração, com Organizações da Sociedade Civil (OSC), para atender até 30 (trinta) crian</t>
  </si>
  <si>
    <t xml:space="preserve">https://www.veracruz.rs.gov.br/editais/edital_de_chamamento_publico_007-2026_-_assinado_29024548.pdf</t>
  </si>
  <si>
    <t xml:space="preserve">{'inicio': '2026-09-29', 'fim': '2026-11-12'}</t>
  </si>
  <si>
    <t xml:space="preserve">Gestão de Instituição de Educação Infantil para até 30 crianças de 0 a 4 anos, por Termo d</t>
  </si>
  <si>
    <t xml:space="preserve">apresentação de propostas até 12/11/2026 (impugnação até 05/11/2026)</t>
  </si>
  <si>
    <t xml:space="preserve">julgamento preliminar divulgado 17/11/2026; resultado final publicado 27/11/2026</t>
  </si>
  <si>
    <t xml:space="preserve">recursos de 18/11/2026 a 25/11/2026</t>
  </si>
  <si>
    <t xml:space="preserve">R$ 335.534,40 por ano; R$ 1.677.672,00 em 60 meses; máximo mensal R$ 27.961,20</t>
  </si>
  <si>
    <t xml:space="preserve">Município de Vera Cruz/RS - Secretaria Municipal de Educação</t>
  </si>
  <si>
    <t xml:space="preserve">OSC localizadas ou que venham a se instalar no território municipal de Vera Cruz/RS</t>
  </si>
  <si>
    <t xml:space="preserve">CNPJ com no mínimo 1 ano de funcionamento, entre outros</t>
  </si>
  <si>
    <t xml:space="preserve">Anexo I Plano de Trabalho da Administração e demais modelos</t>
  </si>
  <si>
    <t xml:space="preserve">Gestão de unidade de educação infantil no exercício de 2026</t>
  </si>
  <si>
    <t xml:space="preserve">op-b642db9c81d1</t>
  </si>
  <si>
    <t xml:space="preserve">Fundação de Amparo à Pesquisa do Estado de Goiás (FAPEG) — Edital Sebrae/Confap nº [[01/2025]] – Seleção de Pr… — Goiás</t>
  </si>
  <si>
    <t xml:space="preserve">Fundação de Amparo à Pesquisa do Estado de Goiás (FAPEG) — Edital Sebrae/Confap nº [[01/2025]] – Seleção de Projetos de inovação para o Programa Inova Cerrado – Módulo Tração</t>
  </si>
  <si>
    <t xml:space="preserve">https://goias.gov.br/fapeg/edital-sebrae-confap-no-01-2025-selecao-de-projetos-de-inovacao-para-o-programa-inova-cerrado-modulo-tracao/</t>
  </si>
  <si>
    <t xml:space="preserve">op-d108c1dc0e6e</t>
  </si>
  <si>
    <t xml:space="preserve">Fundo Municipal do Idoso de Goiânia — Goiás / Goiânia — Brasil</t>
  </si>
  <si>
    <t xml:space="preserve">https://www.bndes.gov.br/wps/portal/site/home/onde-atuamos/social/edital-projetos-fundo-idoso</t>
  </si>
  <si>
    <t xml:space="preserve">apoiar projetos que beneficiem idosos nas cidades em que o BNDES possui sede ou escritório</t>
  </si>
  <si>
    <t xml:space="preserve">orçamento global de cada projeto deve ser de, no mínimo, R$ 500 mil e, no máximo, de R$ 5</t>
  </si>
  <si>
    <t xml:space="preserve">projetos devem ser propostos e realizados por pessoas jurídicas de direito privado sem fin</t>
  </si>
  <si>
    <t xml:space="preserve">op-94bc0e79405c</t>
  </si>
  <si>
    <t xml:space="preserve">COMANDO DA AERONAUTICA — Habilitação de associação ou cooperativa, para estabelecimento de Termo de Compromiss… — Brasil</t>
  </si>
  <si>
    <t xml:space="preserve">COMANDO DA AERONAUTICA — Habilitação de associação ou cooperativa, para estabelecimento de Termo de Compromisso para coleta seletiva solidária de resíduos recic</t>
  </si>
  <si>
    <t xml:space="preserve">COMANDO DA AERONAUTICA</t>
  </si>
  <si>
    <t xml:space="preserve">https://pncp.gov.br/app/editais/00394429000100/2026/1995</t>
  </si>
  <si>
    <t xml:space="preserve">2026-12-08</t>
  </si>
  <si>
    <t xml:space="preserve">{'inicio': None, 'fim': '2026-12-08'}</t>
  </si>
  <si>
    <t xml:space="preserve">op-382b8e9e0446</t>
  </si>
  <si>
    <t xml:space="preserve">MUNICIPIO DE IGUAPE — Credenciamento de Instituições de Longa Permanência para Idosos(ILPIs), classificadas no… — São Paulo</t>
  </si>
  <si>
    <t xml:space="preserve">MUNICIPIO DE IGUAPE — Credenciamento de Instituições de Longa Permanência para Idosos(ILPIs), classificadas nos Graus I, II e III de complexidade, visa àcontrat</t>
  </si>
  <si>
    <t xml:space="preserve">MUNICIPIO DE IGUAPE</t>
  </si>
  <si>
    <t xml:space="preserve">https://www.iguape.sp.gov.br/editais/edital_e_anexos_chp_0062026_credenciamento_de_instituiCOes_i_26031241.pdf</t>
  </si>
  <si>
    <t xml:space="preserve">https://pncp.gov.br/app/editais/45550167000164/2026/492</t>
  </si>
  <si>
    <t xml:space="preserve">2026-06-26</t>
  </si>
  <si>
    <t xml:space="preserve">{'inicio': '2026-06-26', 'fim': '2026-12-31'}</t>
  </si>
  <si>
    <t xml:space="preserve">Credenciamento de ILPIs para acolhimento institucional de idosos (graus I, II e III), para</t>
  </si>
  <si>
    <t xml:space="preserve">aberto até 31/12/2026 23h59 (portal de editais de Iguape)</t>
  </si>
  <si>
    <t xml:space="preserve">Valor mensal estimado por vaga: Grau I R$ 4.004,13; Grau II R$ 5.947,65; Grau III R$ 6.793</t>
  </si>
  <si>
    <t xml:space="preserve">Município de Iguape/SP - Secretaria de Assistência e Desenvolvimento Social</t>
  </si>
  <si>
    <t xml:space="preserve">Pagamento mensal por vaga ocupada, mediante encaminhamento da SMADS</t>
  </si>
  <si>
    <t xml:space="preserve">Assistência social - acolhimento institucional de pessoas idosas</t>
  </si>
  <si>
    <t xml:space="preserve">op-c1e189d8e647</t>
  </si>
  <si>
    <t xml:space="preserve">MUNICIPIO DE TARUMA — Credenciamento de Instituições de Longa Permanência para Idosos - ILPIs, para acolhiment… — Brasil</t>
  </si>
  <si>
    <t xml:space="preserve">MUNICIPIO DE TARUMA — Credenciamento de Instituições de Longa Permanência para Idosos - ILPIs, para acolhimento institucional integral de pessoas idosas com 60 </t>
  </si>
  <si>
    <t xml:space="preserve">MUNICIPIO DE TARUMA</t>
  </si>
  <si>
    <t xml:space="preserve">https://pncp.gov.br/app/editais/64614449000122/2026/2143</t>
  </si>
  <si>
    <t xml:space="preserve">2027-09-19</t>
  </si>
  <si>
    <t xml:space="preserve">{'inicio': '2026-09-18', 'fim': '2027-09-19'}</t>
  </si>
  <si>
    <t xml:space="preserve">Credenciamento de Instituições de Longa Permanência para Idosos - ILPIs, para acolhimento</t>
  </si>
  <si>
    <t xml:space="preserve">abertura 2026-09-18; encerramento das propostas 2027-09-19</t>
  </si>
  <si>
    <t xml:space="preserve">valor total estimado R$ 439.478,40</t>
  </si>
  <si>
    <t xml:space="preserve">Tarumã/SP</t>
  </si>
  <si>
    <t xml:space="preserve">op-0dfd6fb42c37</t>
  </si>
  <si>
    <t xml:space="preserve">Municipio de artur nogueira — credenciamento para firmar acordo de cooperação técnica, sem ônus para a adminis… — Brasil</t>
  </si>
  <si>
    <t xml:space="preserve">MUNICIPIO DE ARTUR NOGUEIRA — CREDENCIAMENTO PARA FIRMAR ACORDO DE COOPERAÇÃO TÉCNICA, SEM ÔNUS PARA A ADMINISTRAÇÃO PÚBLICA COM EMPRESA DE ENGENHARIA ESPECIALI</t>
  </si>
  <si>
    <t xml:space="preserve">https://pncp.gov.br/app/editais/45735552000186/2030/1</t>
  </si>
  <si>
    <t xml:space="preserve">2030-09-22</t>
  </si>
  <si>
    <t xml:space="preserve">{'inicio': None, 'fim': '2030-09-22'}</t>
  </si>
  <si>
    <t xml:space="preserve">op-b77a274d9d13</t>
  </si>
  <si>
    <t xml:space="preserve">MUNICIPIO DE JAGUARIUNA — CH001/2026 (SEOS) - Credenciamento, de caráter não competitivo, de pessoas jurídicas… — Brasil</t>
  </si>
  <si>
    <t xml:space="preserve">MUNICIPIO DE JAGUARIUNA — CH001/2026 (SEOS) - Credenciamento, de caráter não competitivo, de pessoas jurídicas, cooperativas e associações legalmente constituíd</t>
  </si>
  <si>
    <t xml:space="preserve">MUNICIPIO DE JAGUARIUNA</t>
  </si>
  <si>
    <t xml:space="preserve">https://pncp.gov.br/api/consulta/v1/orgaos/46410866000171/compras/2026/545</t>
  </si>
  <si>
    <t xml:space="preserve">https://pncp.gov.br/app/editais/46410866000171/2026/545</t>
  </si>
  <si>
    <t xml:space="preserve">2036</t>
  </si>
  <si>
    <t xml:space="preserve">2026-05-27</t>
  </si>
  <si>
    <t xml:space="preserve">2036-05-27</t>
  </si>
  <si>
    <t xml:space="preserve">{'inicio': '2026-05-27', 'fim': '2036-05-27'}</t>
  </si>
  <si>
    <t xml:space="preserve">Resultado, Prazo de recurso, Requisitos, Anexos, Destinação, Área de atuação</t>
  </si>
  <si>
    <t xml:space="preserve">CH001/2026 (SEOS) - Credenciamento, de caráter não competitivo, de pessoas jurídicas, coop</t>
  </si>
  <si>
    <t xml:space="preserve">abertura 2026-05-27; encerramento 2036-05-27</t>
  </si>
  <si>
    <t xml:space="preserve">op-995f372750c8</t>
  </si>
  <si>
    <t xml:space="preserve">Agência Nacional de Assistência Técnica e Extensão Rural — AVISO DE SELEÇÃO PÚBLICA — Brasil</t>
  </si>
  <si>
    <t xml:space="preserve">Agência Nacional de Assistência Técnica e Extensão Rural — AVISO DE SELEÇÃO PÚBLICA</t>
  </si>
  <si>
    <t xml:space="preserve">Agência Nacional de Assistência Técnica e Extensão Rural</t>
  </si>
  <si>
    <t xml:space="preserve">{'valor': 'mista', 'fundamento': 'ANATER (serviço social autônomo federal) publica; recursos do PRE Rural do Novo Acordo do Rio Doce.', 'em': '2026-10-02'}</t>
  </si>
  <si>
    <t xml:space="preserve">https://www.in.gov.br/web/dou/-/aviso-de-selecao-publica-735913080</t>
  </si>
  <si>
    <t xml:space="preserve">2026-11-18</t>
  </si>
  <si>
    <t xml:space="preserve">{'inicio': '2026-10-09', 'fim': '2026-11-18'}</t>
  </si>
  <si>
    <t xml:space="preserve">informado (motor dou, 2026-10-04)</t>
  </si>
  <si>
    <t xml:space="preserve">Seleção de OSC para executar o projeto Agroindústrias e Mercados Cooperativos no Rio Doce</t>
  </si>
  <si>
    <t xml:space="preserve">Apresentação de documentos de 09/10/2026 a 18/11/2026 (ainda não iniciou em 03/10)</t>
  </si>
  <si>
    <t xml:space="preserve">ANATER, recursos do Novo Acordo do Rio Doce (PRE Rural)</t>
  </si>
  <si>
    <t xml:space="preserve">Municípios da Bacia do Rio Doce, conforme lotes do edital</t>
  </si>
  <si>
    <t xml:space="preserve">Federal (agência vinculada ao governo federal) com recursos de acordo de reparação</t>
  </si>
  <si>
    <t xml:space="preserve">OSC de direito privado, sem fins lucrativos, legalmente constituída</t>
  </si>
  <si>
    <t xml:space="preserve">Edital em www.anater.org e editalpre.anater.org (não localizado na página lida)</t>
  </si>
  <si>
    <t xml:space="preserve">Assessoramento técnico e gerencial a associações e cooperativas da agricultura familiar</t>
  </si>
  <si>
    <t xml:space="preserve">Agricultura familiar, agroindustrialização e comercialização</t>
  </si>
  <si>
    <t xml:space="preserve">op-9fef97e2cbf3</t>
  </si>
  <si>
    <t xml:space="preserve">Esse edital tem por objetivo apoiar organizações da sociedade civil (OSCs) e organizações de base comunitárias… — Brasil</t>
  </si>
  <si>
    <t xml:space="preserve">Esse edital tem por objetivo apoiar organizações da sociedade civil (OSCs) e organizações de base comunitárias (OBCs) dos biomas Cerrado e Caatinga na promoção </t>
  </si>
  <si>
    <t xml:space="preserve">{'valor': 'iniciativa_privada', 'fundamento': 'Fundo filantrópico (ISPN) com recursos da estratégia Forests, People, Climate.', 'em': '2026-10-02'}</t>
  </si>
  <si>
    <t xml:space="preserve">https://fundoecos.org.br/edital/edital-49o-3o-2026-para-apoio-a-organizacoes-na-amazonia-legal</t>
  </si>
  <si>
    <t xml:space="preserve">informado (motor plat-piloto-aberto, 2026-10-02)</t>
  </si>
  <si>
    <t xml:space="preserve">op-03c5c664933f</t>
  </si>
  <si>
    <t xml:space="preserve">MUNICIPIO DE CACHOEIRINHA — Seleção de Organização da Sociedade Civil - OSC, por meio de Chamamento Público, p… — Brasil</t>
  </si>
  <si>
    <t xml:space="preserve">MUNICIPIO DE CACHOEIRINHA — Seleção de Organização da Sociedade Civil - OSC, por meio de Chamamento Público, para celebração de Termo de Colaboração, visando à </t>
  </si>
  <si>
    <t xml:space="preserve">MUNICIPIO DE CACHOEIRINHA</t>
  </si>
  <si>
    <t xml:space="preserve">https://pncp.gov.br/app/editais/87990800000185/2026/361</t>
  </si>
  <si>
    <t xml:space="preserve">2026-11-04</t>
  </si>
  <si>
    <t xml:space="preserve">{'inicio': None, 'fim': '2026-11-04'}</t>
  </si>
  <si>
    <t xml:space="preserve">op-b1bcb659521d</t>
  </si>
  <si>
    <t xml:space="preserve">FUNDO MUNICIPAL DE ASSISTENCIA SOCIAL DE PORTO BELO — Credenciamento de Instituições de Longa Permanência para… — Brasil</t>
  </si>
  <si>
    <t xml:space="preserve">FUNDO MUNICIPAL DE ASSISTENCIA SOCIAL DE PORTO BELO — Credenciamento de Instituições de Longa Permanência para Idosos (ILPI) para prestação desserviços de acolh</t>
  </si>
  <si>
    <t xml:space="preserve">FUNDO MUNICIPAL DE ASSISTENCIA SOCIAL DE PORTO BELO</t>
  </si>
  <si>
    <t xml:space="preserve">https://pncp.gov.br/api/consulta/v1/orgaos/10721741000115/compras/2026/15</t>
  </si>
  <si>
    <t xml:space="preserve">https://pncp.gov.br/app/editais/10721741000115/2026/15</t>
  </si>
  <si>
    <t xml:space="preserve">2026-02-13</t>
  </si>
  <si>
    <t xml:space="preserve">{'inicio': '2026-02-13', 'fim': '2027-02-12'}</t>
  </si>
  <si>
    <t xml:space="preserve">Credenciamento de Instituições de Longa Permanência para Idosos (ILPI) para prestação dess</t>
  </si>
  <si>
    <t xml:space="preserve">Abertura de propostas 2026-02-13; encerramento 2027-02-12 (campos do PNCP)</t>
  </si>
  <si>
    <t xml:space="preserve">R$ 197.466,70 estimado</t>
  </si>
  <si>
    <t xml:space="preserve">op-f55f67246ae3</t>
  </si>
  <si>
    <t xml:space="preserve">FUNDO MUNICIPAL DE ASSISTENCIA SOCIAL DE MAFRA — Credenciamento de Instituição de Longa Permanência para Idoso… — Brasil</t>
  </si>
  <si>
    <t xml:space="preserve">FUNDO MUNICIPAL DE ASSISTENCIA SOCIAL DE MAFRA — Credenciamento de Instituição de Longa Permanência para Idosos, através da Secretaria Municipal de Assistência </t>
  </si>
  <si>
    <t xml:space="preserve">FUNDO MUNICIPAL DE ASSISTENCIA SOCIAL DE MAFRA</t>
  </si>
  <si>
    <t xml:space="preserve">https://pncp.gov.br/api/consulta/v1/orgaos/15470555000174/compras/2026/4</t>
  </si>
  <si>
    <t xml:space="preserve">https://pncp.gov.br/app/editais/15470555000174/2026/4</t>
  </si>
  <si>
    <t xml:space="preserve">2031-06-11</t>
  </si>
  <si>
    <t xml:space="preserve">{'inicio': '2026-06-11', 'fim': '2031-06-11'}</t>
  </si>
  <si>
    <t xml:space="preserve">Credenciamento de Instituição de Longa Permanência para Idosos, através da Secretaria Muni</t>
  </si>
  <si>
    <t xml:space="preserve">abertura 2026-06-11; encerramento 2031-06-11</t>
  </si>
  <si>
    <t xml:space="preserve">R$ 2,136,760.20 (estimado)</t>
  </si>
  <si>
    <t xml:space="preserve">op-d6cb09ce46ae</t>
  </si>
  <si>
    <t xml:space="preserve">Prefeitura de Corumbá de Goiás — AVISO DE CHAMAMENTO PÚBLICO Nº 3/2026 — Brasil</t>
  </si>
  <si>
    <t xml:space="preserve">Prefeitura de Corumbá de Goiás — AVISO DE CHAMAMENTO PÚBLICO Nº 3/2026</t>
  </si>
  <si>
    <t xml:space="preserve">Prefeitura de Corumbá de Goiás</t>
  </si>
  <si>
    <t xml:space="preserve">{'valor': 'poder_publico', 'fundamento': 'Publica o Fundo Municipal de Cultura de Corumbá de Goiás; recurso federal da PNAB (Lei 14.399/2022).', 'em': '2026-10-02'}</t>
  </si>
  <si>
    <t xml:space="preserve">https://www.in.gov.br/web/dou/-/aviso-de-chamamento-publico-n-3/2026-736008019</t>
  </si>
  <si>
    <t xml:space="preserve">{'inicio': '2026-10-01', 'fim': '2026-10-15'}</t>
  </si>
  <si>
    <t xml:space="preserve">Premiação de agentes culturais com relevante contribuição cultural em Corumbá de Goiás (PN</t>
  </si>
  <si>
    <t xml:space="preserve">01/10 a 15/10/2026, presencial na Secretaria de Cultura</t>
  </si>
  <si>
    <t xml:space="preserve">Fundo Municipal de Cultura / Secretaria Municipal de Cultura de Corumbá de Goiás</t>
  </si>
  <si>
    <t xml:space="preserve">Corumbá de Goiás/GO</t>
  </si>
  <si>
    <t xml:space="preserve">op-706aa566d2e3</t>
  </si>
  <si>
    <t xml:space="preserve">Goiás Turismo — Prêmio Nacional do Turismo: saiba quais são as categorias — Goiás — Goiás</t>
  </si>
  <si>
    <t xml:space="preserve">{'valor': 'poder_publico', 'fundamento': 'Prêmio do Ministério do Turismo com o Conselho Nacional do Turismo; divulgado pela Goiás Turismo.', 'em': '2026-10-02'}</t>
  </si>
  <si>
    <t xml:space="preserve">https://goias.gov.br/turismo/categoria/publicacoes/</t>
  </si>
  <si>
    <t xml:space="preserve">Prazo de inscrição, Resultado, Prazo de recurso, Valor, Requisitos, Anexos, Destinação, Área de atuação</t>
  </si>
  <si>
    <t xml:space="preserve">Realização de obras e serviços de engenharia e sinalização para a construção de remanescen</t>
  </si>
  <si>
    <t xml:space="preserve">op-a94fd2c771e8</t>
  </si>
  <si>
    <t xml:space="preserve">MUNICIPIO DE BANDEIRANTES DO TOCANTINS — Credenciamento de serviços gráficos especializados para confecção de … — Brasil</t>
  </si>
  <si>
    <t xml:space="preserve">MUNICIPIO DE BANDEIRANTES DO TOCANTINS — Credenciamento de serviços gráficos especializados para confecção de materiais institucionais e informativos destinados</t>
  </si>
  <si>
    <t xml:space="preserve">MUNICIPIO DE BANDEIRANTES DO TOCANTINS</t>
  </si>
  <si>
    <t xml:space="preserve">https://pncp.gov.br/app/editais/01612819000172/2026/40</t>
  </si>
  <si>
    <t xml:space="preserve">2027-07-02</t>
  </si>
  <si>
    <t xml:space="preserve">{'inicio': None, 'fim': '2027-07-02'}</t>
  </si>
  <si>
    <t xml:space="preserve">op-d93ed976694e</t>
  </si>
  <si>
    <t xml:space="preserve">UNIVERSIDADE FEDERAL DE RORAIMA — seleção de ensaios fotográficos inéditos sobre a temática “Onde os meus pés … — Brasil</t>
  </si>
  <si>
    <t xml:space="preserve">UNIVERSIDADE FEDERAL DE RORAIMA — seleção de ensaios fotográficos inéditos sobre a temática “Onde os meus pés me levam?”, mediante avaliação técnico-artística d</t>
  </si>
  <si>
    <t xml:space="preserve">UNIVERSIDADE FEDERAL DE RORAIMA</t>
  </si>
  <si>
    <t xml:space="preserve">['Artistas e produtores culturais', 'Pesquisadores e instituições de ensino']</t>
  </si>
  <si>
    <t xml:space="preserve">https://pncp.gov.br/app/editais/34792077000163/2026/49</t>
  </si>
  <si>
    <t xml:space="preserve">2026-11-25</t>
  </si>
  <si>
    <t xml:space="preserve">{'inicio': None, 'fim': '2026-11-25'}</t>
  </si>
  <si>
    <t xml:space="preserve">op-a65f0e054dda</t>
  </si>
  <si>
    <t xml:space="preserve">Prefeitura (município a confirmar) — Edital nº 004/2026 — a aquisição parcelada e contínua de gêneros alimentí… — Goiás</t>
  </si>
  <si>
    <t xml:space="preserve">Prefeitura (município a confirmar) — Edital nº 004/2026 — a aquisição parcelada e contínua de gêneros alimentícios hortifrutigranjeiros, produzidos pela Agricul</t>
  </si>
  <si>
    <t xml:space="preserve">Prefeitura (município a confirmar)</t>
  </si>
  <si>
    <t xml:space="preserve">{'valor': 'poder_publico', 'fundamento': 'Prefeitura compra com recurso público (provável PNAE).', 'em': '2026-10-02'}</t>
  </si>
  <si>
    <t xml:space="preserve">https://diariooficial.abc.go.gov.br/portal/visualizacoes/pdf/7390/#e:7390</t>
  </si>
  <si>
    <t xml:space="preserve">op-8f289b3d5dc3</t>
  </si>
  <si>
    <t xml:space="preserve">Chamamento publico de artesao e culinarista para realizar exposicao e comercializacao de seus produtos em… — m… — Brasil</t>
  </si>
  <si>
    <t xml:space="preserve">CHAMAMENTO PUBLICO DE ARTESAO E CULINARISTA PARA REALIZAR EXPOSICAO E COMERCIALIZACAO DE SEUS PRODUTOS EM… — MUNICIPIO DE PORTO FELIZ</t>
  </si>
  <si>
    <t xml:space="preserve">{'valor': 'poder_publico', 'fundamento': 'Município de Porto Feliz cede espaço em eventos; não há repasse.', 'em': '2026-10-02'}</t>
  </si>
  <si>
    <t xml:space="preserve">https://pncp.gov.br/app/editais/46634481000198/2026/90</t>
  </si>
  <si>
    <t xml:space="preserve">op-cc87a0708859</t>
  </si>
  <si>
    <t xml:space="preserve">Credenciamento de monitores para oficinas de dança e música em diversas modalidades — municipio de andradina — Brasil</t>
  </si>
  <si>
    <t xml:space="preserve">CREDENCIAMENTO DE MONITORES PARA OFICINAS DE DANÇA E MÚSICA EM DIVERSAS MODALIDADES — MUNICIPIO DE ANDRADINA</t>
  </si>
  <si>
    <t xml:space="preserve">MUNICIPIO DE ANDRADINA</t>
  </si>
  <si>
    <t xml:space="preserve">{'valor': 'poder_publico', 'fundamento': 'Prefeitura de Andradina contrata com recurso municipal.', 'em': '2026-10-02'}</t>
  </si>
  <si>
    <t xml:space="preserve">https://pncp.gov.br/app/editais/44428506000171/2026/35</t>
  </si>
  <si>
    <t xml:space="preserve">2026-04-06</t>
  </si>
  <si>
    <t xml:space="preserve">2027-04-02</t>
  </si>
  <si>
    <t xml:space="preserve">{'inicio': '2026-04-06', 'fim': '2027-04-02'}</t>
  </si>
  <si>
    <t xml:space="preserve">Monitores para oficinas de dança e música</t>
  </si>
  <si>
    <t xml:space="preserve">PNCP: 06/04/2026 a 02/04/2027</t>
  </si>
  <si>
    <t xml:space="preserve">dispensado pelo tipo: R$ 27,00/hora-aula (10.560 h dança; 2.880 h música)</t>
  </si>
  <si>
    <t xml:space="preserve">Prefeitura Municipal de Andradina</t>
  </si>
  <si>
    <t xml:space="preserve">Andradina/SP</t>
  </si>
  <si>
    <t xml:space="preserve">Pessoa jurídica de ramo compatível</t>
  </si>
  <si>
    <t xml:space="preserve">Pagamento de horas/aula de instrutores</t>
  </si>
  <si>
    <t xml:space="preserve">cultura (dança e música)</t>
  </si>
  <si>
    <t xml:space="preserve">op-cff691786063</t>
  </si>
  <si>
    <t xml:space="preserve">Credenciamento de propostas de apresentações artísticas para compor a programação dos eventos da secretaria… —… — Brasil</t>
  </si>
  <si>
    <t xml:space="preserve">CREDENCIAMENTO DE PROPOSTAS DE APRESENTAÇÕES ARTÍSTICAS PARA COMPOR A PROGRAMAÇÃO DOS EVENTOS DA SECRETARIA… — MUNICIPIO DE ATIBAIA</t>
  </si>
  <si>
    <t xml:space="preserve">MUNICIPIO DE ATIBAIA</t>
  </si>
  <si>
    <t xml:space="preserve">{'valor': 'poder_publico', 'fundamento': 'Prefeitura de Atibaia; recurso municipal.', 'em': '2026-10-02'}</t>
  </si>
  <si>
    <t xml:space="preserve">https://pncp.gov.br/app/editais/45279635000108/2026/49</t>
  </si>
  <si>
    <t xml:space="preserve">op-ada34905cb8e</t>
  </si>
  <si>
    <t xml:space="preserve">Credenciamento e possível contratação de pessoas jurídicas para prestação de serviços culturais, na condição… … — Brasil</t>
  </si>
  <si>
    <t xml:space="preserve">CREDENCIAMENTO E POSSÍVEL CONTRATAÇÃO DE PESSOAS JURÍDICAS PARA PRESTAÇÃO DE SERVIÇOS CULTURAIS, NA CONDIÇÃO… — MUNICIPIO DE ASSIS</t>
  </si>
  <si>
    <t xml:space="preserve">MUNICIPIO DE ASSIS</t>
  </si>
  <si>
    <t xml:space="preserve">{'valor': 'poder_publico', 'fundamento': 'Prefeitura de Assis contrata com recurso municipal.', 'em': '2026-10-02'}</t>
  </si>
  <si>
    <t xml:space="preserve">https://pncp.gov.br/app/editais/46179941000135/2026/308</t>
  </si>
  <si>
    <t xml:space="preserve">2026-07-31</t>
  </si>
  <si>
    <t xml:space="preserve">{'inicio': '2026-07-31', 'fim': '2027-07-30'}</t>
  </si>
  <si>
    <t xml:space="preserve">Oficineiros, artistas e facilitadores culturais (PJ)</t>
  </si>
  <si>
    <t xml:space="preserve">dispensado pelo tipo: 31/07/2026 a 30/07/2027</t>
  </si>
  <si>
    <t xml:space="preserve">Atas de habilitação e lista de credenciados publicadas no PNCP (ex.: lista de 10/08/2026)</t>
  </si>
  <si>
    <t xml:space="preserve">R$ 701.640,00 estimados por ano</t>
  </si>
  <si>
    <t xml:space="preserve">Prefeitura Municipal de Assis</t>
  </si>
  <si>
    <t xml:space="preserve">Assis/SP</t>
  </si>
  <si>
    <t xml:space="preserve">Empresas com ramo compatível, estabelecidas no País</t>
  </si>
  <si>
    <t xml:space="preserve">cultura (oficinas e apresentações)</t>
  </si>
  <si>
    <t xml:space="preserve">op-a5e9f8f793fe</t>
  </si>
  <si>
    <t xml:space="preserve">Chamamento Público para Credenciamento de artistas de âmbito municipal e regional destinados à realização de… … — Brasil</t>
  </si>
  <si>
    <t xml:space="preserve">Chamamento Público para Credenciamento de artistas de âmbito municipal e regional destinados à realização de… — MUNICIPIO DE MONTEIRO LOBATO</t>
  </si>
  <si>
    <t xml:space="preserve">MUNICIPIO DE MONTEIRO LOBATO</t>
  </si>
  <si>
    <t xml:space="preserve">https://pncp.gov.br/app/editais/46643482000107/2026/10</t>
  </si>
  <si>
    <t xml:space="preserve">op-2399e323a73e</t>
  </si>
  <si>
    <t xml:space="preserve">Credenciamento de artistas, com vista a contratações para apresentações musicais na Programação Cultural do… —… — Brasil</t>
  </si>
  <si>
    <t xml:space="preserve">Credenciamento de artistas, com vista a contratações para apresentações musicais na Programação Cultural do… — MUNICIPIO DE MARIAPOLIS</t>
  </si>
  <si>
    <t xml:space="preserve">MUNICIPIO DE MARIAPOLIS</t>
  </si>
  <si>
    <t xml:space="preserve">https://pncp.gov.br/app/editais/51405231000116/2026/2</t>
  </si>
  <si>
    <t xml:space="preserve">op-1089e6f55d89</t>
  </si>
  <si>
    <t xml:space="preserve">Credenciamento de profissional para desenvolvimento de oficina pedagógica intercultural de língua materna e… —… — Brasil</t>
  </si>
  <si>
    <t xml:space="preserve">Credenciamento de profissional para desenvolvimento de oficina pedagógica intercultural de língua materna e… — MUNICIPIO DE TAPIRAI</t>
  </si>
  <si>
    <t xml:space="preserve">MUNICIPIO DE TAPIRAI</t>
  </si>
  <si>
    <t xml:space="preserve">https://pncp.gov.br/app/editais/46634465000103/2026/25</t>
  </si>
  <si>
    <t xml:space="preserve">op-5d7f1e05a220</t>
  </si>
  <si>
    <t xml:space="preserve">Credenciamento para fins de eventual e futura contratação de serviços artísticos de músicos, duplas, trios… — … — Brasil</t>
  </si>
  <si>
    <t xml:space="preserve">Credenciamento para fins de eventual e futura contratação de serviços artísticos de músicos, duplas, trios… — MUNICIPIO DE PEDREGULHO</t>
  </si>
  <si>
    <t xml:space="preserve">MUNICIPIO DE PEDREGULHO</t>
  </si>
  <si>
    <t xml:space="preserve">https://pncp.gov.br/app/editais/45318466000178/2026/201</t>
  </si>
  <si>
    <t xml:space="preserve">op-93424573d587</t>
  </si>
  <si>
    <t xml:space="preserve">Fundação Tide Setubal abre edital com apoio de R$ 200 mil para projetos de saúde mental — São Paulo</t>
  </si>
  <si>
    <t xml:space="preserve">Fundação Tide Setubal abre edital com apoio de R$ 200 mil para projetos de saúde mental</t>
  </si>
  <si>
    <t xml:space="preserve">https://conteudo.fundacaotidesetubal.org.br/edital-territorios-clinicos-2026</t>
  </si>
  <si>
    <t xml:space="preserve">Edital Territórios Clínicos (3ª edição)</t>
  </si>
  <si>
    <t xml:space="preserve">R$ 200 mil por organização (10)</t>
  </si>
  <si>
    <t xml:space="preserve">Fundação Tide Setubal</t>
  </si>
  <si>
    <t xml:space="preserve">{'observacao': 'VERIFICADO em 03/10/2026 (busca web e site da Fundação Tide Setubal): o edital de saúde mental de 2026 (inscrições até 31/08/2026) aparece como chamada nova; a página de editais da fundação não mostra edição equivalente anterior. Primeira edição conhecida.'}</t>
  </si>
  <si>
    <t xml:space="preserve">op-0b0edf798844</t>
  </si>
  <si>
    <t xml:space="preserve">º cisco cultural | diversas áreas culturais | ibiassucê-ba — Brasil</t>
  </si>
  <si>
    <t xml:space="preserve">1º CISCO CULTURAL | DIVERSAS ÁREAS CULTURAIS | IBIASSUCÊ-BA</t>
  </si>
  <si>
    <t xml:space="preserve">{'valor': 'poder_publico', 'fundamento': 'Coordenação municipal de cultura de Ibiassucê/BA publica; recurso federal PNAB (Aldir Blanc ciclo 2).', 'em': '2026-10-02'}</t>
  </si>
  <si>
    <t xml:space="preserve">https://mapa.cultura.gov.br/oportunidade/11455/</t>
  </si>
  <si>
    <t xml:space="preserve">op-bfd14031a75e</t>
  </si>
  <si>
    <t xml:space="preserve">º prêmio cultura viva | pontos de cultura | ibiassucê-ba — Brasil</t>
  </si>
  <si>
    <t xml:space="preserve">2º PRÊMIO CULTURA VIVA | PONTOS DE CULTURA | IBIASSUCÊ-BA</t>
  </si>
  <si>
    <t xml:space="preserve">https://mapa.cultura.gov.br/oportunidade/11683/</t>
  </si>
  <si>
    <t xml:space="preserve">op-59e8b1891642</t>
  </si>
  <si>
    <t xml:space="preserve">º prêmio trajetórias culturais | quadrilhas juninas | ibiassucê-ba — Brasil</t>
  </si>
  <si>
    <t xml:space="preserve">2º PRÊMIO TRAJETÓRIAS CULTURAIS | QUADRILHAS JUNINAS | IBIASSUCÊ-BA</t>
  </si>
  <si>
    <t xml:space="preserve">https://mapa.cultura.gov.br/oportunidade/11453/</t>
  </si>
  <si>
    <t xml:space="preserve">op-40dc2e1b7719</t>
  </si>
  <si>
    <t xml:space="preserve">CHAMAMENTO PÚBLICO para o Credenciamento de artistas, grupos culturais, nos variados estilos, bem como outros…… — Brasil</t>
  </si>
  <si>
    <t xml:space="preserve">CHAMAMENTO PÚBLICO para o Credenciamento de artistas, grupos culturais, nos variados estilos, bem como outros… — MUNICIPIO DE INHAMBUPE</t>
  </si>
  <si>
    <t xml:space="preserve">MUNICIPIO DE INHAMBUPE</t>
  </si>
  <si>
    <t xml:space="preserve">{'valor': 'poder_publico', 'fundamento': 'Publicado pelo Município de Inhambupe/BA (PNCP), pago com dotação orçamentária municipal.', 'em': '2026-10-02'}</t>
  </si>
  <si>
    <t xml:space="preserve">https://pncp.gov.br/app/editais/13647185000172/2026/67</t>
  </si>
  <si>
    <t xml:space="preserve">2026-03-31</t>
  </si>
  <si>
    <t xml:space="preserve">2026-12-18</t>
  </si>
  <si>
    <t xml:space="preserve">{'inicio': '2026-03-31', 'fim': '2026-12-18'}</t>
  </si>
  <si>
    <t xml:space="preserve">Credenciamento de artistas e grupos culturais para apresentações públicas</t>
  </si>
  <si>
    <t xml:space="preserve">31/03/2026 08h a 18/12/2026 17h</t>
  </si>
  <si>
    <t xml:space="preserve">Lista de credenciados por categoria a cada 60 dias no Diário Oficial</t>
  </si>
  <si>
    <t xml:space="preserve">3 dias da publicação da decisão</t>
  </si>
  <si>
    <t xml:space="preserve">Estimado R$ 712.200,00; cachês de referência por categoria (ex.: solo R$ 500,00)</t>
  </si>
  <si>
    <t xml:space="preserve">Município de Inhambupe/BA</t>
  </si>
  <si>
    <t xml:space="preserve">Inhambupe/BA</t>
  </si>
  <si>
    <t xml:space="preserve">PF ou PJ representando até 1 artista/grupo, com 1 ano de atividade artística comprovada</t>
  </si>
  <si>
    <t xml:space="preserve">Anexos I a XII (formulário de inscrição, uso de imagem, declaração única, recurso, minuta)</t>
  </si>
  <si>
    <t xml:space="preserve">Cachê por apresentação pública em eventos municipais</t>
  </si>
  <si>
    <t xml:space="preserve">op-c8e9140b5be0</t>
  </si>
  <si>
    <t xml:space="preserve">Credenciamento de artistas individuais, duplas ou grupos musicais locais, com a finalidade de integrar a… — mu… — Brasil</t>
  </si>
  <si>
    <t xml:space="preserve">CREDENCIAMENTO DE ARTISTAS INDIVIDUAIS, DUPLAS OU GRUPOS MUSICAIS LOCAIS, COM A FINALIDADE DE INTEGRAR A… — MUNICIPIO DE RIBEIRA DO AMPARO</t>
  </si>
  <si>
    <t xml:space="preserve">MUNICIPIO DE RIBEIRA DO AMPARO</t>
  </si>
  <si>
    <t xml:space="preserve">{'valor': 'poder_publico', 'fundamento': 'Publicado pelo Município de Ribeira do Amparo/BA (PNCP), pago com dotação orçamentária municipal.', 'em': '2026-10-02'}</t>
  </si>
  <si>
    <t xml:space="preserve">https://pncp.gov.br/app/editais/13809405000117/2026/3</t>
  </si>
  <si>
    <t xml:space="preserve">2026-01-13</t>
  </si>
  <si>
    <t xml:space="preserve">2027-01-13</t>
  </si>
  <si>
    <t xml:space="preserve">{'inicio': '2026-01-13', 'fim': '2027-01-13'}</t>
  </si>
  <si>
    <t xml:space="preserve">Credenciamento de artistas/grupos musicais locais para eventos</t>
  </si>
  <si>
    <t xml:space="preserve">A partir de 13/01/2026; encerramento no PNCP em 13/01/2027</t>
  </si>
  <si>
    <t xml:space="preserve">Lista de credenciados no site e Diário Oficial do Município</t>
  </si>
  <si>
    <t xml:space="preserve">Estimado R$ 95.000,00; cachês R$ 1.500 (solo), R$ 2.000 (dupla), R$ 6.000 (grupo)</t>
  </si>
  <si>
    <t xml:space="preserve">Município de Ribeira do Amparo/BA</t>
  </si>
  <si>
    <t xml:space="preserve">Ribeira do Amparo/BA</t>
  </si>
  <si>
    <t xml:space="preserve">PF/PJ que atendam ao edital; artistas locais</t>
  </si>
  <si>
    <t xml:space="preserve">Termo de Referência (Anexo I)</t>
  </si>
  <si>
    <t xml:space="preserve">Cachê por apresentação; também ações de patrocínio/apoio a eventos</t>
  </si>
  <si>
    <t xml:space="preserve">op-89fca84cbfa5</t>
  </si>
  <si>
    <t xml:space="preserve">Credenciamento de artistas para a caravana da cultura 2026/2027 — municipio de vitoria da conquista — Brasil</t>
  </si>
  <si>
    <t xml:space="preserve">CREDENCIAMENTO DE ARTISTAS PARA A CARAVANA DA CULTURA 2026/2027 — MUNICIPIO DE VITORIA DA CONQUISTA</t>
  </si>
  <si>
    <t xml:space="preserve">MUNICIPIO DE VITORIA DA CONQUISTA</t>
  </si>
  <si>
    <t xml:space="preserve">{'valor': 'poder_publico', 'fundamento': 'Publicado pelo Município de Vitória da Conquista/BA (PNCP), pago com dotação orçamentária municipal.', 'em': '2026-10-02'}</t>
  </si>
  <si>
    <t xml:space="preserve">https://pncp.gov.br/app/editais/14239578000100/2027/3</t>
  </si>
  <si>
    <t xml:space="preserve">2026-06-01</t>
  </si>
  <si>
    <t xml:space="preserve">{'inicio': '2026-06-01', 'fim': '2027-06-01'}</t>
  </si>
  <si>
    <t xml:space="preserve">Banco de credenciados da Caravana da Cultura</t>
  </si>
  <si>
    <t xml:space="preserve">01/06/2026 a 01/06/2027 (inscrições ininterruptas)</t>
  </si>
  <si>
    <t xml:space="preserve">Resultado mensal até o dia 10 do mês seguinte, no Diário Oficial</t>
  </si>
  <si>
    <t xml:space="preserve">Estimado R$ 200.000,00; tabela de valor fixo (ex.: solo R$ 700, banda 7+ R$ 2.200)</t>
  </si>
  <si>
    <t xml:space="preserve">Município de Vitória da Conquista/BA</t>
  </si>
  <si>
    <t xml:space="preserve">Vitória da Conquista/BA</t>
  </si>
  <si>
    <t xml:space="preserve">Documentos de habilitação em envelope (Envelope A) e material artístico para curadoria</t>
  </si>
  <si>
    <t xml:space="preserve">Anexo I TR; II declaração conjunta; III minuta de contrato</t>
  </si>
  <si>
    <t xml:space="preserve">Cachê fixo por apresentação na Caravana da Cultura</t>
  </si>
  <si>
    <t xml:space="preserve">op-cdcf9ffb2703</t>
  </si>
  <si>
    <t xml:space="preserve">Credenciamento de artistas, bandas, grupos musicais e atrações artísticas de diversos estilos para futuras… — … — Brasil</t>
  </si>
  <si>
    <t xml:space="preserve">CREDENCIAMENTO DE ARTISTAS, BANDAS, GRUPOS MUSICAIS E ATRAÇÕES ARTÍSTICAS DE DIVERSOS ESTILOS PARA FUTURAS… — MUNICIPIO DE AURELINO LEAL</t>
  </si>
  <si>
    <t xml:space="preserve">MUNICIPIO DE AURELINO LEAL</t>
  </si>
  <si>
    <t xml:space="preserve">{'valor': 'poder_publico', 'fundamento': 'Publicado pelo Município de Aurelino Leal (esferaId M) no PNCP; contratação com recurso municipal.', 'em': '2026-10-02'}</t>
  </si>
  <si>
    <t xml:space="preserve">https://pncp.gov.br/api/consulta/v1/orgaos/16137291000102/compras/2026/55</t>
  </si>
  <si>
    <t xml:space="preserve">CREDENCIAMENTO DE ARTISTAS, BANDAS, GRUPOS MUSICAIS E ATRAÇÕES ARTÍSTICAS DE DIVERSOS ESTI</t>
  </si>
  <si>
    <t xml:space="preserve">2026-06-12 a 2027-06-12</t>
  </si>
  <si>
    <t xml:space="preserve">Município de Aurelino Leal (Prefeitura Municipal)</t>
  </si>
  <si>
    <t xml:space="preserve">Aurelino Leal/BA</t>
  </si>
  <si>
    <t xml:space="preserve">cultura (música e atrações artísticas)</t>
  </si>
  <si>
    <t xml:space="preserve">op-8fedcdb06452</t>
  </si>
  <si>
    <t xml:space="preserve">Credenciamento de artistas, grupos culturais e bandas musicais, nos variados estilos, para possíveis e… — muni… — Brasil</t>
  </si>
  <si>
    <t xml:space="preserve">CREDENCIAMENTO DE ARTISTAS, GRUPOS CULTURAIS E BANDAS MUSICAIS, NOS VARIADOS ESTILOS, PARA POSSÍVEIS E… — MUNICIPIO DE ANTONIO CARDOSO</t>
  </si>
  <si>
    <t xml:space="preserve">MUNICIPIO DE ANTONIO CARDOSO</t>
  </si>
  <si>
    <t xml:space="preserve">{'valor': 'poder_publico', 'fundamento': 'Publicado pelo Município de Antônio Cardoso/BA (PNCP), pago com dotação orçamentária municipal.', 'em': '2026-10-02'}</t>
  </si>
  <si>
    <t xml:space="preserve">https://pncp.gov.br/app/editais/13607494000119/2026/18</t>
  </si>
  <si>
    <t xml:space="preserve">{'inicio': '2026-06-03', 'fim': '2027-06-03'}</t>
  </si>
  <si>
    <t xml:space="preserve">Credenciamento de artistas, grupos culturais e bandas</t>
  </si>
  <si>
    <t xml:space="preserve">03/06/2026 a 03/06/2027</t>
  </si>
  <si>
    <t xml:space="preserve">Relação de habilitados e credenciados no Diário Oficial</t>
  </si>
  <si>
    <t xml:space="preserve">Estimado R$ 186.000,00; cachês de R$ 2.000 a R$ 2.500 por categoria</t>
  </si>
  <si>
    <t xml:space="preserve">Município de Antônio Cardoso/BA</t>
  </si>
  <si>
    <t xml:space="preserve">Antônio Cardoso/BA</t>
  </si>
  <si>
    <t xml:space="preserve">PF/PJ, privadas ou públicas, lucrativas ou não; PF maior de 18 anos</t>
  </si>
  <si>
    <t xml:space="preserve">Anexos I a V (TR, formulário, minuta, declarações)</t>
  </si>
  <si>
    <t xml:space="preserve">op-b113566dc1ef</t>
  </si>
  <si>
    <t xml:space="preserve">Credenciamento de bandas e artistas em diferentes estilos musicais, a fim de atender de maneira presencial os…… — Brasil</t>
  </si>
  <si>
    <t xml:space="preserve">CREDENCIAMENTO DE BANDAS E ARTISTAS EM DIFERENTES ESTILOS MUSICAIS, A FIM DE ATENDER DE MANEIRA PRESENCIAL OS… — MUNICIPIO DE FEIRA DE SANTANA</t>
  </si>
  <si>
    <t xml:space="preserve">{'valor': 'poder_publico', 'fundamento': 'Publicado pelo Município de Feira de Santana/BA (PNCP), pago com dotação orçamentária municipal.', 'em': '2026-10-02'}</t>
  </si>
  <si>
    <t xml:space="preserve">https://pncp.gov.br/app/editais/14043574000151/2026/136</t>
  </si>
  <si>
    <t xml:space="preserve">Credenciamento de bandas e artistas para eventos do calendário oficial</t>
  </si>
  <si>
    <t xml:space="preserve">03/06/2026 a 03/06/2027 (PNCP)</t>
  </si>
  <si>
    <t xml:space="preserve">Lista de credenciados e inabilitados publicada com homologação</t>
  </si>
  <si>
    <t xml:space="preserve">Estimado R$ 1.980.000,00; cachês por classe (C R$ 8.000, B R$ 15.000, A R$ 22.000)</t>
  </si>
  <si>
    <t xml:space="preserve">Município de Feira de Santana/BA</t>
  </si>
  <si>
    <t xml:space="preserve">Feira de Santana/BA</t>
  </si>
  <si>
    <t xml:space="preserve">PF maior de 18 anos residente em Feira de Santana com atuação comprovada; PJ com ato const</t>
  </si>
  <si>
    <t xml:space="preserve">Anexo I TR; Anexos A a E (formulários, tabela de remuneração, fichas de parecer)</t>
  </si>
  <si>
    <t xml:space="preserve">Cachê por apresentação em eventos do calendário oficial</t>
  </si>
  <si>
    <t xml:space="preserve">op-4b7d51a46b74</t>
  </si>
  <si>
    <t xml:space="preserve">Chamamento Público por meio do procedimento auxiliar de Credenciamento, com a finalidade de credenciar… — MUNI… — Brasil</t>
  </si>
  <si>
    <t xml:space="preserve">Chamamento Público por meio do procedimento auxiliar de Credenciamento, com a finalidade de credenciar… — MUNICIPIO DE WENCESLAU GUIMARAES</t>
  </si>
  <si>
    <t xml:space="preserve">MUNICIPIO DE WENCESLAU GUIMARAES</t>
  </si>
  <si>
    <t xml:space="preserve">{'valor': 'poder_publico', 'fundamento': 'Publicado por MUNICIPIO DE WENCESLAU GUIMARAES no PNCP; despesa por dotação do orçamento municipal (dotação citada no edital).', 'em': '2026-10-02'}</t>
  </si>
  <si>
    <t xml:space="preserve">https://pncp.gov.br/app/editais/13758842000159/2026/66</t>
  </si>
  <si>
    <t xml:space="preserve">2026-06-08</t>
  </si>
  <si>
    <t xml:space="preserve">{'inicio': '2026-06-08', 'fim': '2026-12-31'}</t>
  </si>
  <si>
    <t xml:space="preserve">Credenciamento de artistas, grupos musicais e bandas para eventos e manifestações culturai</t>
  </si>
  <si>
    <t xml:space="preserve">dispensado pelo tipo: Envio de documentos desde 08/06/2026; inscrições abertas até a valid</t>
  </si>
  <si>
    <t xml:space="preserve">Publicação de cada resultado; análises mensais ou próximas a eventos</t>
  </si>
  <si>
    <t xml:space="preserve">Art. 165, I, da Lei 14.133/2021 (3 dias úteis), contado da publicação do resultado</t>
  </si>
  <si>
    <t xml:space="preserve">R$ 190.704,00 estimado; tabela por categoria (ex.: R$ 3.800,82 por apresentação local)</t>
  </si>
  <si>
    <t xml:space="preserve">Prefeitura de Wenceslau Guimarães — Secretaria Municipal de Educação, Cultura e Desportos</t>
  </si>
  <si>
    <t xml:space="preserve">Wenceslau Guimarães/BA (itens locais exigem domicílio/sede no município)</t>
  </si>
  <si>
    <t xml:space="preserve">PF ou PJ que comprovem a condição de artistas, grupos musicais, bandas ou grupos culturais</t>
  </si>
  <si>
    <t xml:space="preserve">Edital, TR e anexos do Processo Administrativo nº 310/2026</t>
  </si>
  <si>
    <t xml:space="preserve">Órgão 09, unidade 09.09, atividade 2.018, elemento 33.90.36.00</t>
  </si>
  <si>
    <t xml:space="preserve">op-211fb3dbc90d</t>
  </si>
  <si>
    <t xml:space="preserve">Contratação de artistas, bandas e grupos musicais locais, para apresentações e manifestações culturais… — MUNI… — Brasil</t>
  </si>
  <si>
    <t xml:space="preserve">Contratação de artistas, bandas e grupos musicais locais, para apresentações e manifestações culturais… — MUNICIPIO DE SENHOR DO BONFIM</t>
  </si>
  <si>
    <t xml:space="preserve">MUNICIPIO DE SENHOR DO BONFIM</t>
  </si>
  <si>
    <t xml:space="preserve">{'valor': 'poder_publico', 'fundamento': 'Publicado por MUNICIPIO DE SENHOR DO BONFIM no PNCP; despesa por dotação do orçamento municipal (dotação citada no edital).', 'em': '2026-10-02'}</t>
  </si>
  <si>
    <t xml:space="preserve">https://pncp.gov.br/app/editais/13988308000139/2026/82</t>
  </si>
  <si>
    <t xml:space="preserve">Credenciamento de artistas, bandas e grupos musicais locais para São João, festejos tradic</t>
  </si>
  <si>
    <t xml:space="preserve">dispensado pelo tipo: Vigência de 28/05/2026 por prazo indeterminado (PNCP mostra 31/12/20</t>
  </si>
  <si>
    <t xml:space="preserve">Atualização da lista de credenciados após os dias 1º e 15 de cada mês</t>
  </si>
  <si>
    <t xml:space="preserve">R$ 629.950,00 estimado; tabela (ex.: individual R$ 800,00; grupos R$ 1.200,00 a R$ 2.000,0</t>
  </si>
  <si>
    <t xml:space="preserve">Prefeitura de Senhor do Bonfim — Secretaria Municipal de Cultura</t>
  </si>
  <si>
    <t xml:space="preserve">Senhor do Bonfim/BA (artistas locais)</t>
  </si>
  <si>
    <t xml:space="preserve">Atender às exigências do edital e anexos; impedidos os suspensos</t>
  </si>
  <si>
    <t xml:space="preserve">Edital nº 010/2026 e anexos (formulário com categorias e valores, declarações)</t>
  </si>
  <si>
    <t xml:space="preserve">Dotações da Secretaria Municipal de Cultura (órgão 12)</t>
  </si>
  <si>
    <t xml:space="preserve">Cultura (música e cultura popular)</t>
  </si>
  <si>
    <t xml:space="preserve">op-c523a342b80f</t>
  </si>
  <si>
    <t xml:space="preserve">Contratação, mediante credenciamento, de bandas e artistas locais para apresentações nos tradicionais… — MUNIC… — Brasil</t>
  </si>
  <si>
    <t xml:space="preserve">Contratação, mediante credenciamento, de bandas e artistas locais para apresentações nos tradicionais… — MUNICIPIO DE CRISOPOLIS</t>
  </si>
  <si>
    <t xml:space="preserve">MUNICIPIO DE CRISOPOLIS</t>
  </si>
  <si>
    <t xml:space="preserve">['Artistas e produtores culturais', 'Povos e comunidades tradicionais']</t>
  </si>
  <si>
    <t xml:space="preserve">{'valor': 'poder_publico', 'fundamento': 'Publicado por MUNICIPIO DE CRISOPOLIS no PNCP; despesa por dotação do orçamento municipal (dotação citada no edital).', 'em': '2026-10-02'}</t>
  </si>
  <si>
    <t xml:space="preserve">https://pncp.gov.br/app/editais/13646922000112/2026/16</t>
  </si>
  <si>
    <t xml:space="preserve">2026-05-26</t>
  </si>
  <si>
    <t xml:space="preserve">2027-06-26</t>
  </si>
  <si>
    <t xml:space="preserve">{'inicio': '2026-05-26', 'fim': '2027-06-26'}</t>
  </si>
  <si>
    <t xml:space="preserve">Credenciamento de bandas e artistas locais para festejos e eventos culturais anuais de Cri</t>
  </si>
  <si>
    <t xml:space="preserve">dispensado pelo tipo: Inscrições a partir de 26/05/2026; credenciamento por 12 meses (PNCP</t>
  </si>
  <si>
    <t xml:space="preserve">Resultado publicado no Diário Oficial em até 5 dias úteis</t>
  </si>
  <si>
    <t xml:space="preserve">3 dias úteis, sem efeito suspensivo</t>
  </si>
  <si>
    <t xml:space="preserve">R$ 39.000,00 estimado; tabela: R$ 2.500,00 (3–4 integrantes), R$ 3.000,00 (5+), R$ 1.200,0</t>
  </si>
  <si>
    <t xml:space="preserve">Prefeitura de Crisópolis — Secretaria Municipal de Administração</t>
  </si>
  <si>
    <t xml:space="preserve">Crisópolis/BA (artistas locais)</t>
  </si>
  <si>
    <t xml:space="preserve">PF ou PJ que atendam ao TR e ao edital; um grupo por proponente</t>
  </si>
  <si>
    <t xml:space="preserve">ETP, TR e Anexo II (requerimento), entre outros</t>
  </si>
  <si>
    <t xml:space="preserve">Atividade 2015 — Promoção e Patrocínio de Festas Populares</t>
  </si>
  <si>
    <t xml:space="preserve">op-d4edf3a0da9b</t>
  </si>
  <si>
    <t xml:space="preserve">Credenciamento de artistas, grupos culturais, bandas musicais e demais atrações artísticas locais e… — MUNICIP… — Brasil</t>
  </si>
  <si>
    <t xml:space="preserve">Credenciamento de artistas, grupos culturais, bandas musicais e demais atrações artísticas locais e… — MUNICIPIO DE DOM MACEDO COSTA</t>
  </si>
  <si>
    <t xml:space="preserve">MUNICIPIO DE DOM MACEDO COSTA</t>
  </si>
  <si>
    <t xml:space="preserve">{'valor': 'poder_publico', 'fundamento': 'Publicado por MUNICIPIO DE DOM MACEDO COSTA no PNCP; despesa por dotação do orçamento municipal (dotação citada no edital).', 'em': '2026-10-02'}</t>
  </si>
  <si>
    <t xml:space="preserve">https://pncp.gov.br/app/editais/13827019000158/2026/41</t>
  </si>
  <si>
    <t xml:space="preserve">2026-06-09</t>
  </si>
  <si>
    <t xml:space="preserve">2027-06-09</t>
  </si>
  <si>
    <t xml:space="preserve">{'inicio': '2026-06-09', 'fim': '2027-06-09'}</t>
  </si>
  <si>
    <t xml:space="preserve">Credenciamento de artistas, grupos culturais e bandas locais e regionais (PF/PJ) para even</t>
  </si>
  <si>
    <t xml:space="preserve">dispensado pelo tipo: Credenciamento permanente na vigência de 09/06/2026 a 09/06/2027</t>
  </si>
  <si>
    <t xml:space="preserve">Relação geral dos credenciados, complementada a cada novo credenciamento; divulgada em sít</t>
  </si>
  <si>
    <t xml:space="preserve">R$ 107.250,00 estimado; cachês de R$ 750,00 a R$ 3.500,00 por apresentação</t>
  </si>
  <si>
    <t xml:space="preserve">Prefeitura de Dom Macedo Costa — Secretaria de Cultura, Turismo e Desporto</t>
  </si>
  <si>
    <t xml:space="preserve">Dom Macedo Costa/BA (atrações locais e regionais)</t>
  </si>
  <si>
    <t xml:space="preserve">Documentação de habilitação enviada por e-mail à comissão/agente (PF: RG, CPF, comprovante</t>
  </si>
  <si>
    <t xml:space="preserve">Edital e anexos (Anexo I Termo de Referência com tabela de cachês)</t>
  </si>
  <si>
    <t xml:space="preserve">Dotação constante do Termo de Referência; remuneração pela tabela do item 1.1 do TR</t>
  </si>
  <si>
    <t xml:space="preserve">Cultura (música e artes)</t>
  </si>
  <si>
    <t xml:space="preserve">op-57396352afa7</t>
  </si>
  <si>
    <t xml:space="preserve">Credenciamento de artistas, grupos, companhias e profissionais da área artística, cultural e formativa, para… … — Brasil</t>
  </si>
  <si>
    <t xml:space="preserve">Credenciamento de artistas, grupos, companhias e profissionais da área artística, cultural e formativa, para… — MUNICIPIO DE IRECE</t>
  </si>
  <si>
    <t xml:space="preserve">MUNICIPIO DE IRECE</t>
  </si>
  <si>
    <t xml:space="preserve">{'valor': 'poder_publico', 'fundamento': 'Publica a Prefeitura de Irecê/BA no PNCP; cachês pagos com orçamento municipal.', 'em': '2026-10-02'}</t>
  </si>
  <si>
    <t xml:space="preserve">https://pncp.gov.br/app/editais/13715891000104/2026/56</t>
  </si>
  <si>
    <t xml:space="preserve">2027-04-17</t>
  </si>
  <si>
    <t xml:space="preserve">{'inicio': '2026-04-17', 'fim': '2027-04-17'}</t>
  </si>
  <si>
    <t xml:space="preserve">Credenciamento de artistas, grupos, companhias e profissionais da área artística, cultural</t>
  </si>
  <si>
    <t xml:space="preserve">17/04/2026 a 17/04/2027</t>
  </si>
  <si>
    <t xml:space="preserve">Resultado da sessão divulgado no Diário Oficial do Município</t>
  </si>
  <si>
    <t xml:space="preserve">5 dias úteis da publicação (habilitação/inabilitação)</t>
  </si>
  <si>
    <t xml:space="preserve">Estimativa total R$ 1.313.499,96 (PNCP); cachês tabelados por categoria (ex.: R$ 700,00, R</t>
  </si>
  <si>
    <t xml:space="preserve">Município de Irecê/BA — Secretaria de Cultura, Esporte e Lazer</t>
  </si>
  <si>
    <t xml:space="preserve">Irecê/BA — artistas locais</t>
  </si>
  <si>
    <t xml:space="preserve">Pessoa física ou jurídica com habilitação jurídica, regularidade fiscal/trabalhista e comp</t>
  </si>
  <si>
    <t xml:space="preserve">Anexo I (Termo de Referência), Anexo II-A/II-B (requerimentos PJ/PF), Anexo III (declaraçã</t>
  </si>
  <si>
    <t xml:space="preserve">op-165c2957c22c</t>
  </si>
  <si>
    <t xml:space="preserve">Edital de credenciamento 004-2026 - musicos — municipio de santana — Brasil</t>
  </si>
  <si>
    <t xml:space="preserve">EDITAL DE CREDENCIAMENTO 004-2026 - MUSICOS — MUNICIPIO DE SANTANA</t>
  </si>
  <si>
    <t xml:space="preserve">MUNICIPIO DE SANTANA</t>
  </si>
  <si>
    <t xml:space="preserve">{'valor': 'poder_publico', 'fundamento': 'Publica a Prefeitura de Santana/BA no PNCP; cachês pagos com orçamento municipal.', 'em': '2026-10-02'}</t>
  </si>
  <si>
    <t xml:space="preserve">https://pncp.gov.br/app/editais/13913140000100/2026/6</t>
  </si>
  <si>
    <t xml:space="preserve">2026-01-28</t>
  </si>
  <si>
    <t xml:space="preserve">{'inicio': '2026-01-28', 'fim': '2026-12-31'}</t>
  </si>
  <si>
    <t xml:space="preserve">Credenciamento de artistas locais e/ou regionais para apresentações em eventos próprios ou</t>
  </si>
  <si>
    <t xml:space="preserve">A partir de 28/01/2026; vigência de 1 ano (PNCP: até 31/12/2026)</t>
  </si>
  <si>
    <t xml:space="preserve">Relação de credenciados homologada pelo Prefeito e publicada no Diário Oficial</t>
  </si>
  <si>
    <t xml:space="preserve">3 dias úteis da intimação ou da ata</t>
  </si>
  <si>
    <t xml:space="preserve">Estimativa R$ 761.000,00; cachês tabelados (solo R$ 500,00; dupla R$ 1.200,00 etc.)</t>
  </si>
  <si>
    <t xml:space="preserve">Município de Santana/BA — Secretaria de Administração (demanda da Secretaria Municipal de</t>
  </si>
  <si>
    <t xml:space="preserve">Santana/BA — artistas locais e/ou regionais</t>
  </si>
  <si>
    <t xml:space="preserve">Entrega de envelopes com documentos de credenciamento no Setor de Licitações</t>
  </si>
  <si>
    <t xml:space="preserve">Anexo I (ETP), Anexo II (TR), Anexo III (minuta do contrato)</t>
  </si>
  <si>
    <t xml:space="preserve">op-c76c3b43959c</t>
  </si>
  <si>
    <t xml:space="preserve">O credenciamento de artistas, músicos, profissionais diversos e produtores/ fomentadores de arte e cultura… — … — Brasil</t>
  </si>
  <si>
    <t xml:space="preserve">O credenciamento de artistas, músicos, profissionais diversos e produtores/ fomentadores de arte e cultura… — MUNICIPIO DE ITABERABA</t>
  </si>
  <si>
    <t xml:space="preserve">MUNICIPIO DE ITABERABA</t>
  </si>
  <si>
    <t xml:space="preserve">{'valor': 'poder_publico', 'fundamento': 'Publica a Prefeitura de Itaberaba/BA no PNCP; cachês pagos com orçamento municipal.', 'em': '2026-10-02'}</t>
  </si>
  <si>
    <t xml:space="preserve">https://pncp.gov.br/app/editais/13719646000175/2026/34</t>
  </si>
  <si>
    <t xml:space="preserve">2026-03-04</t>
  </si>
  <si>
    <t xml:space="preserve">2027-03-04</t>
  </si>
  <si>
    <t xml:space="preserve">{'inicio': '2026-03-04', 'fim': '2027-03-04'}</t>
  </si>
  <si>
    <t xml:space="preserve">Credenciamento de artistas, músicos, profissionais e produtores de arte e cultura (artista</t>
  </si>
  <si>
    <t xml:space="preserve">1ª etapa 04/03 a 24/03/2026; 2ª etapa contínua enquanto vigente (PNCP: até 04/03/2027)</t>
  </si>
  <si>
    <t xml:space="preserve">Estimativa R$ 1.045.500,00; tabela de preços (Anexo I.I), ex.: banda local R$ 3.500,00 e R</t>
  </si>
  <si>
    <t xml:space="preserve">Município de Itaberaba/BA — Secretaria de Cultura, Turismo e Economia Criativa</t>
  </si>
  <si>
    <t xml:space="preserve">Itaberaba/BA — artistas locais amadores</t>
  </si>
  <si>
    <t xml:space="preserve">Pessoa física ou jurídica que mantenha as condições de habilitação e qualificação</t>
  </si>
  <si>
    <t xml:space="preserve">Anexos I (TR), I.I (tabela de preços), II (formulário), III (declarações), IV (minuta), V</t>
  </si>
  <si>
    <t xml:space="preserve">op-b9a5b7e96c20</t>
  </si>
  <si>
    <t xml:space="preserve">O presente instrumento tem como objetivo o credenciamento de bandas e artistas locais e regionais para… — MUNI… — Brasil</t>
  </si>
  <si>
    <t xml:space="preserve">O presente instrumento tem como objetivo o credenciamento de bandas e artistas locais e regionais para… — MUNICIPIO DE RIO DE CONTAS</t>
  </si>
  <si>
    <t xml:space="preserve">MUNICIPIO DE RIO DE CONTAS</t>
  </si>
  <si>
    <t xml:space="preserve">{'valor': 'poder_publico', 'fundamento': 'Publica a Prefeitura de Rio de Contas/BA no PNCP; cachês pagos com orçamento municipal.', 'em': '2026-10-02'}</t>
  </si>
  <si>
    <t xml:space="preserve">https://pncp.gov.br/app/editais/14263859000106/2026/21</t>
  </si>
  <si>
    <t xml:space="preserve">2026-04-14</t>
  </si>
  <si>
    <t xml:space="preserve">2027-04-13</t>
  </si>
  <si>
    <t xml:space="preserve">{'inicio': '2026-04-14', 'fim': '2027-04-13'}</t>
  </si>
  <si>
    <t xml:space="preserve">Credenciamento de bandas e artistas locais e regionais para os shows dos eventos promovido</t>
  </si>
  <si>
    <t xml:space="preserve">14/04/2026 a 13/04/2027 (edital); PNCP: 19/08/2026 a 18/08/2027</t>
  </si>
  <si>
    <t xml:space="preserve">Resultado publicado no Diário Oficial do Município e lista de credenciados no PNCP</t>
  </si>
  <si>
    <t xml:space="preserve">5 dias úteis da publicação do resultado</t>
  </si>
  <si>
    <t xml:space="preserve">Estimativa anual máxima R$ 2.015.785,00 (PNCP); valores por apresentação definidos no edit</t>
  </si>
  <si>
    <t xml:space="preserve">Município de Rio de Contas/BA — Gabinete do Executivo / Secretaria Municipal de Administra</t>
  </si>
  <si>
    <t xml:space="preserve">Rio de Contas/BA — artistas locais e regionais</t>
  </si>
  <si>
    <t xml:space="preserve">Somente pessoas jurídicas que cumpram as exigências de habilitação</t>
  </si>
  <si>
    <t xml:space="preserve">Anexo I (TR), II (requerimento), III (declaração conjunta), IV (minuta do contrato)</t>
  </si>
  <si>
    <t xml:space="preserve">op-179a5fe5b56c</t>
  </si>
  <si>
    <t xml:space="preserve">Credenciamento de bandas, artistas em diferentes estilos musicais e grupos de manifestações culturais, a fim… … — Brasil</t>
  </si>
  <si>
    <t xml:space="preserve">credenciamento de bandas, artistas em diferentes estilos musicais e grupos de manifestações culturais, a fim… — MUNICIPIO DE CASTRO ALVES</t>
  </si>
  <si>
    <t xml:space="preserve">MUNICIPIO DE CASTRO ALVES</t>
  </si>
  <si>
    <t xml:space="preserve">{'valor': 'poder_publico', 'fundamento': 'Publica a Prefeitura de Castro Alves/BA no PNCP; cachês pagos com orçamento municipal.', 'em': '2026-10-02'}</t>
  </si>
  <si>
    <t xml:space="preserve">https://pncp.gov.br/app/editais/13693122000152/2026/6</t>
  </si>
  <si>
    <t xml:space="preserve">2027-01-28</t>
  </si>
  <si>
    <t xml:space="preserve">{'inicio': '2026-01-29', 'fim': '2027-01-28'}</t>
  </si>
  <si>
    <t xml:space="preserve">Credenciamento de bandas, artistas de diferentes estilos musicais e grupos de manifestaçõe</t>
  </si>
  <si>
    <t xml:space="preserve">12 meses a partir da publicação (29/01/2026; PNCP: até 28/01/2027)</t>
  </si>
  <si>
    <t xml:space="preserve">Resultado publicado na Imprensa Oficial</t>
  </si>
  <si>
    <t xml:space="preserve">3 dias da publicação</t>
  </si>
  <si>
    <t xml:space="preserve">dispensado pelo tipo: Valor pré-fixado na Tabela de Remuneração (Anexo IV) — tabela não ex</t>
  </si>
  <si>
    <t xml:space="preserve">Município de Castro Alves/BA — Prefeitura / Secretaria Municipal de Cultura, Turismo, Prom</t>
  </si>
  <si>
    <t xml:space="preserve">Estado da Bahia — residentes na Bahia</t>
  </si>
  <si>
    <t xml:space="preserve">Residentes na Bahia, maiores de 18 anos, com mais de 3 meses de experiência comprovada</t>
  </si>
  <si>
    <t xml:space="preserve">Anexos I (formulário), III (tabelas de classificação), IV (tabela de remuneração), V (minu</t>
  </si>
  <si>
    <t xml:space="preserve">op-7df7ad9a72f8</t>
  </si>
  <si>
    <t xml:space="preserve">Credenciamento de bandas, artistas, músicos e profissionais de arte e cultura locais para compor a… — MUNICIPI… — Brasil</t>
  </si>
  <si>
    <t xml:space="preserve">credenciamento de bandas, artistas, músicos e profissionais de arte e cultura locais para compor a… — MUNICIPIO DE JAGUAQUARA</t>
  </si>
  <si>
    <t xml:space="preserve">MUNICIPIO DE JAGUAQUARA</t>
  </si>
  <si>
    <t xml:space="preserve">{'valor': 'poder_publico', 'fundamento': 'Publica a Prefeitura de Jaguaquara/BA no PNCP; cachês pagos com orçamento municipal.', 'em': '2026-10-02'}</t>
  </si>
  <si>
    <t xml:space="preserve">https://pncp.gov.br/app/editais/13910211000103/2026/103</t>
  </si>
  <si>
    <t xml:space="preserve">{'inicio': '2026-05-11', 'fim': '2026-12-31'}</t>
  </si>
  <si>
    <t xml:space="preserve">Credenciamento de bandas, artistas, músicos e profissionais de arte e cultura locais para</t>
  </si>
  <si>
    <t xml:space="preserve">11/05/2026 a 31/12/2026</t>
  </si>
  <si>
    <t xml:space="preserve">Parecer final classificatório homologado pela autoridade superior e publicado</t>
  </si>
  <si>
    <t xml:space="preserve">Art. 165, I, Lei 14.133/2021 (3 dias úteis) contados da publicação do resultado</t>
  </si>
  <si>
    <t xml:space="preserve">Estimativa R$ 864.950,00; cachês tabelados (ex.: banda grande porte R$ 8.000,00; quadrilha</t>
  </si>
  <si>
    <t xml:space="preserve">Município de Jaguaquara/BA — Secretaria Municipal de Cultura, Turismo, Esporte e Lazer (co</t>
  </si>
  <si>
    <t xml:space="preserve">Jaguaquara/BA e cidades circunvizinhas</t>
  </si>
  <si>
    <t xml:space="preserve">PF (CPF, identidade) ou PJ sediada no município/região, com documentação de habilitação</t>
  </si>
  <si>
    <t xml:space="preserve">Anexo I (TR), II (proposta de credenciamento), III (declaração de representatividade) e de</t>
  </si>
  <si>
    <t xml:space="preserve">op-472c8bcf7e27</t>
  </si>
  <si>
    <t xml:space="preserve">Credenciamento de artistas, músicos, bandas, djs, grupos artístico-culturais, manifestações tradicionais… — mu… — Brasil</t>
  </si>
  <si>
    <t xml:space="preserve">CREDENCIAMENTO DE ARTISTAS, MÚSICOS, BANDAS, DJS, GRUPOS ARTÍSTICO-CULTURAIS, MANIFESTAÇÕES TRADICIONAIS… — MUNICIPIO DE MATINHOS</t>
  </si>
  <si>
    <t xml:space="preserve">MUNICIPIO DE MATINHOS</t>
  </si>
  <si>
    <t xml:space="preserve">https://pncp.gov.br/app/editais/76017466000161/2026/92</t>
  </si>
  <si>
    <t xml:space="preserve">op-46fdf618b935</t>
  </si>
  <si>
    <t xml:space="preserve">Credenciamento consiste na realização de cadastro de Pessoas Jurídicas, inclusive Microempreendedores… — MUNIC… — Brasil</t>
  </si>
  <si>
    <t xml:space="preserve">Credenciamento consiste na realização de cadastro de Pessoas Jurídicas, inclusive Microempreendedores… — MUNICIPIO DE PEROBAL</t>
  </si>
  <si>
    <t xml:space="preserve">MUNICIPIO DE PEROBAL</t>
  </si>
  <si>
    <t xml:space="preserve">https://pncp.gov.br/app/editais/01612444000140/2026/97</t>
  </si>
  <si>
    <t xml:space="preserve">op-e2a50ceb0abe</t>
  </si>
  <si>
    <t xml:space="preserve">IV FESCAM – Festival da Canção de Medianeira – Edição 2026, festival de interpretação musical destinado… — MUN… — Brasil</t>
  </si>
  <si>
    <t xml:space="preserve">IV FESCAM – Festival da Canção de Medianeira – Edição 2026, festival de interpretação musical destinado… — MUNICIPIO DE MEDIANEIRA</t>
  </si>
  <si>
    <t xml:space="preserve">MUNICIPIO DE MEDIANEIRA</t>
  </si>
  <si>
    <t xml:space="preserve">https://pncp.gov.br/app/editais/76206481000158/2026/120</t>
  </si>
  <si>
    <t xml:space="preserve">op-bbc115688c46</t>
  </si>
  <si>
    <t xml:space="preserve">Edital de intercâmbio cultural minc nº 1, de 8 de junho de 2026 circulação e participação audiovisual no exter… — Brasil</t>
  </si>
  <si>
    <t xml:space="preserve">EDITAL DE INTERCÂMBIO CULTURAL MINC Nº 1, DE 8 DE JUNHO DE 2026 CIRCULAÇÃO E PARTICIPAÇÃO AUDIOVISUAL NO EXTERIOR</t>
  </si>
  <si>
    <t xml:space="preserve">https://mapa.cultura.gov.br/oportunidade/8012/</t>
  </si>
  <si>
    <t xml:space="preserve">op-3ccf31d1eba4</t>
  </si>
  <si>
    <t xml:space="preserve">A4 Residency Art Center International Residency Program launch — Brasil</t>
  </si>
  <si>
    <t xml:space="preserve">2027 A4 Residency Art Center International Residency Program launch</t>
  </si>
  <si>
    <t xml:space="preserve">Res Artis (rede de residências)</t>
  </si>
  <si>
    <t xml:space="preserve">{'valor': 'iniciativa_privada', 'fundamento': 'Centro de arte privado (A4 Art Museum, Chengdu) que publica e financia a residência.', 'em': '2026-10-02'}</t>
  </si>
  <si>
    <t xml:space="preserve">https://resartis.org/open-call/2027-a4-residency-art-center-international-residency-program-launch/</t>
  </si>
  <si>
    <t xml:space="preserve">Residência artística internacional de 8 semanas (2027-2028) em Pequim/China, para criadore</t>
  </si>
  <si>
    <t xml:space="preserve">Application deadline 2026-12-31 (listagem relacionada)</t>
  </si>
  <si>
    <t xml:space="preserve">Apoio em passagem aérea, hospedagem, ateliê e materiais (sem valor em dinheiro)</t>
  </si>
  <si>
    <t xml:space="preserve">A4 Residency Art Center (divulgado via Res Artis, agregador)</t>
  </si>
  <si>
    <t xml:space="preserve">China</t>
  </si>
  <si>
    <t xml:space="preserve">Privada/internacional</t>
  </si>
  <si>
    <t xml:space="preserve">CV e portfólio, proposta de projeto, materiais em inglês e chinês, foto pessoal</t>
  </si>
  <si>
    <t xml:space="preserve">CV/portfólio, proposta, formulário de inscrição 2027</t>
  </si>
  <si>
    <t xml:space="preserve">Artes e criação interdisciplinar</t>
  </si>
  <si>
    <t xml:space="preserve">op-cdb2845c3a6c</t>
  </si>
  <si>
    <t xml:space="preserve">A desFrutada #05 - quem tem medo da cultura woke?. — Brasil</t>
  </si>
  <si>
    <t xml:space="preserve">A desFrutada #05 - quem tem medo da cultura woke?.</t>
  </si>
  <si>
    <t xml:space="preserve">{'valor': 'iniciativa_privada', 'fundamento': 'Cadastrado por pessoa física no Mapa da Cultura; sem recurso público envolvido.', 'em': '2026-10-02'}</t>
  </si>
  <si>
    <t xml:space="preserve">https://mapa.cultura.gov.br/oportunidade/5706/</t>
  </si>
  <si>
    <t xml:space="preserve">op-0403745d544b</t>
  </si>
  <si>
    <t xml:space="preserve">Aviso de chamamento público nº 2/2026 - cp — Brasil</t>
  </si>
  <si>
    <t xml:space="preserve">AVISO DE CHAMAMENTO PÚBLICO Nº 2/2026 - CP</t>
  </si>
  <si>
    <t xml:space="preserve">{'valor': 'poder_publico', 'fundamento': "Presumido pelo título 'Aviso de chamamento público'; órgão não identificado.", 'em': '2026-10-02'}</t>
  </si>
  <si>
    <t xml:space="preserve">https://forms.gle/AyXhMZE5YHWD5pMu5</t>
  </si>
  <si>
    <t xml:space="preserve">op-a2f98d3f2546</t>
  </si>
  <si>
    <t xml:space="preserve">Abre la convocatoria para el Premio Iberoamericano de Danza: un reconocimiento a la trayectoria colectiva y la… — Brasil</t>
  </si>
  <si>
    <t xml:space="preserve">Abre la convocatoria para el Premio Iberoamericano de Danza: un reconocimiento a la trayectoria colectiva y la cooperación regional</t>
  </si>
  <si>
    <t xml:space="preserve">Iberescena</t>
  </si>
  <si>
    <t xml:space="preserve">{'valor': 'poder_publico', 'fundamento': 'Iberescena e SEGIB (organismos intergovernamentais) com a Plataforma Iberoamericana de Danza.', 'em': '2026-10-02'}</t>
  </si>
  <si>
    <t xml:space="preserve">https://iberescena.org/Noticias/2535</t>
  </si>
  <si>
    <t xml:space="preserve">op-d06887a0efce</t>
  </si>
  <si>
    <t xml:space="preserve">Aesthetica Art Prize 2026 — £10 mil para artistas de qualquer disciplina (Reino Unido) — Brasil</t>
  </si>
  <si>
    <t xml:space="preserve">Aesthetica Art Prize 2026 — £10 mil para artistas de qualquer disciplina (Reino Unido)</t>
  </si>
  <si>
    <t xml:space="preserve">Aesthetica Magazine</t>
  </si>
  <si>
    <t xml:space="preserve">{'valor': 'iniciativa_privada', 'fundamento': 'Revista privada britânica que organiza e paga o prêmio com taxas de inscrição.', 'em': '2026-10-02'}</t>
  </si>
  <si>
    <t xml:space="preserve">https://shop.aestheticamagazine.com/products/aesthetica-art-prize-entry</t>
  </si>
  <si>
    <t xml:space="preserve">2026-10-11</t>
  </si>
  <si>
    <t xml:space="preserve">{'inicio': None, 'fim': '2026-10-11'}</t>
  </si>
  <si>
    <t xml:space="preserve">Prêmio de arte contemporânea com exposição e publicação</t>
  </si>
  <si>
    <t xml:space="preserve">Envio até 11 de outubro de 2026</t>
  </si>
  <si>
    <t xml:space="preserve">Aesthetica Magazine (Reino Unido)</t>
  </si>
  <si>
    <t xml:space="preserve">Inscrição paga, até duas obras por inscrição; formulário enviado por e-mail</t>
  </si>
  <si>
    <t xml:space="preserve">Formulário de inscrição recebido por e-mail após registro</t>
  </si>
  <si>
    <t xml:space="preserve">Artes visuais e mídias diversas</t>
  </si>
  <si>
    <t xml:space="preserve">op-48369fa6ce4d</t>
  </si>
  <si>
    <t xml:space="preserve">Art Explora – Cité internationale des arts Residency programme 2027 — Brasil</t>
  </si>
  <si>
    <t xml:space="preserve">Art Explora – Cité internationale des arts Residency programme 2027</t>
  </si>
  <si>
    <t xml:space="preserve">{'valor': 'iniciativa_privada', 'fundamento': 'Fondation Art Explora (fundação privada) com a Cité internationale des arts.', 'em': '2026-10-02'}</t>
  </si>
  <si>
    <t xml:space="preserve">https://www.transartists.org/en/news/art-explora-cite-internationale-des-arts-residency-programme-2027</t>
  </si>
  <si>
    <t xml:space="preserve">{'inicio': '2026-09-29', 'fim': '2026-10-30'}</t>
  </si>
  <si>
    <t xml:space="preserve">Residência artística de 3 a 6 meses em Paris (programas Solo e Coletivo)</t>
  </si>
  <si>
    <t xml:space="preserve">Candidatura on-line até 30/10/2026, 23:59 (Paris)</t>
  </si>
  <si>
    <t xml:space="preserve">Fundação Art Explora e Cité internationale des arts (divulgado via TransArtists)</t>
  </si>
  <si>
    <t xml:space="preserve">França (Paris), candidatos de qualquer país</t>
  </si>
  <si>
    <t xml:space="preserve">Artistas e escritores; coletivos de artistas; avaliação de trajetória e ligação com a Fran</t>
  </si>
  <si>
    <t xml:space="preserve">Artes visuais, performance, literatura, digital</t>
  </si>
  <si>
    <t xml:space="preserve">op-09fee20fa3c4</t>
  </si>
  <si>
    <t xml:space="preserve">Arte-educador(a) com atuação em contação de histórias e educação antirracista — Brasil</t>
  </si>
  <si>
    <t xml:space="preserve">Arte-educador(a) com atuação em contação de histórias e educação antirracista</t>
  </si>
  <si>
    <t xml:space="preserve">{'valor': 'iniciativa_privada', 'fundamento': 'Pessoa física divulgando o próprio currículo.', 'em': '2026-10-02'}</t>
  </si>
  <si>
    <t xml:space="preserve">https://mapa.cultura.gov.br/oportunidade/6806/</t>
  </si>
  <si>
    <t xml:space="preserve">op-92b21afe6127</t>
  </si>
  <si>
    <t xml:space="preserve">Aviso de Chamada Pública Nº 36/2026 – Captação de Doações de Insumos e Animais para Projeto de Ensino, Pesquis… — Brasil</t>
  </si>
  <si>
    <t xml:space="preserve">Aviso de Chamada Pública Nº 36/2026 – Captação de Doações de Insumos e Animais para Projeto de Ensino, Pesquisa e Extensão</t>
  </si>
  <si>
    <t xml:space="preserve">Campus Teixeira de Freitas</t>
  </si>
  <si>
    <t xml:space="preserve">http://pesquisa.in.gov.br/imprensa/jsp/visualiza/index.jsp?data=01/10/2026&amp;jornal=530&amp;pagina=37</t>
  </si>
  <si>
    <t xml:space="preserve">op-25e8a3026d4d</t>
  </si>
  <si>
    <t xml:space="preserve">Aviso do Chamamento Público Nº 3/2026 — Brasil</t>
  </si>
  <si>
    <t xml:space="preserve">Aviso do Chamamento Público Nº 3/2026</t>
  </si>
  <si>
    <t xml:space="preserve">Instituto Brasileiro do Meio Ambiente e dos Recursos Naturais Renováveis</t>
  </si>
  <si>
    <t xml:space="preserve">{'valor': 'mista', 'fundamento': 'Publica o Ibama (autarquia federal); recursos do Fundo Rio Doce oriundos do acordo judicial com as mineradoras.', 'em': '2026-10-02'}</t>
  </si>
  <si>
    <t xml:space="preserve">https://www.gov.br/ibama/pt-br/assuntos/notas/2026/edital-de-chamamento-publico-seleciona-organizacao-para-executar-aplicacao-de-recursos-do-fundo-rio-doce</t>
  </si>
  <si>
    <t xml:space="preserve">https://www.gov.br/ibama/pt-br/</t>
  </si>
  <si>
    <t xml:space="preserve">{'inicio': '2026-09-23', 'fim': '2026-10-22'}</t>
  </si>
  <si>
    <t xml:space="preserve">Seleção de OSC executora de recursos do Fundo Rio Doce em apoio à governança do Ibama (Nov</t>
  </si>
  <si>
    <t xml:space="preserve">Propostas de 23/09/2026 até 23h de 22/10/2026 por e-mail</t>
  </si>
  <si>
    <t xml:space="preserve">Preliminar 30/10/2026; definitivo 01/12/2026</t>
  </si>
  <si>
    <t xml:space="preserve">03/11/2026 a 07/11/2026</t>
  </si>
  <si>
    <t xml:space="preserve">Até R$ 392.207.654,73</t>
  </si>
  <si>
    <t xml:space="preserve">Ibama (recursos privados do Fundo Rio Doce)</t>
  </si>
  <si>
    <t xml:space="preserve">Bacia do Rio Doce (MG/ES), ações de supervisão e recuperação</t>
  </si>
  <si>
    <t xml:space="preserve">CNPJ, objetivos estatutários compatíveis, experiência prévia e capacidade técnico-operacio</t>
  </si>
  <si>
    <t xml:space="preserve">Edital com roteiro de proposta no Anexo III</t>
  </si>
  <si>
    <t xml:space="preserve">Apoio a supervisão, monitoramento, fiscalização e quitação de projetos de intervenção do R</t>
  </si>
  <si>
    <t xml:space="preserve">Meio ambiente / recuperação ambiental</t>
  </si>
  <si>
    <t xml:space="preserve">op-7b8b20999b37</t>
  </si>
  <si>
    <t xml:space="preserve">BNDES abre edital de até R$ 15 milhões para projetos voltados à infância e adolescência — Brasil</t>
  </si>
  <si>
    <t xml:space="preserve">BNDES abre edital de até R$ 15 milhões para projetos voltados à infância e adolescência</t>
  </si>
  <si>
    <t xml:space="preserve">{'valor': 'mista', 'fundamento': 'BNDES (empresa pública) seleciona projetos e destina recurso incentivado via FDCA, com chancela dos conselhos de direitos.', 'em': '2026-10-02'}</t>
  </si>
  <si>
    <t xml:space="preserve">https://www.bndes.gov.br/wps/portal/site/home/onde-atuamos/social/!ut/p/z1/fY6xDoIwEIZ3noKFkVyNBuOIYmKUiGPpQipULUIP7GF8fIGgbi73XfLfd_lBOK7rOMB79Ms0PgRh5FNfJWk0sgIOqQiyeHXY7hYJi5OILVkYbYLjKZjP2HoG-1H8-cOH_wafjOn8C0h12bYiBJGjIfUi4GdTKJtpY0lTl4-NPHbDWnkM-8iX1Mkarccs5nrIVKFJVn7zwFIRWv9S5BKau0jfFZMM9Q!!/</t>
  </si>
  <si>
    <t xml:space="preserve">op-8fd282cef617</t>
  </si>
  <si>
    <t xml:space="preserve">BONDE abre edital para formar lideranças climáticas com apoio de até R$ 10 mil — Brasil</t>
  </si>
  <si>
    <t xml:space="preserve">BONDE abre edital para formar lideranças climáticas com apoio de até R$ 10 mil</t>
  </si>
  <si>
    <t xml:space="preserve">{'valor': 'iniciativa_privada', 'fundamento': 'Quem publica é o BONDE, organização civil privada, com recurso próprio ou de seus apoiadores.', 'em': '2026-10-02'}</t>
  </si>
  <si>
    <t xml:space="preserve">https://bonde.org/edital/clima-e-territorio/</t>
  </si>
  <si>
    <t xml:space="preserve">op-d9f0876ee6d1</t>
  </si>
  <si>
    <t xml:space="preserve">Batalha de rima do jacaré — Brasil</t>
  </si>
  <si>
    <t xml:space="preserve">Batalha de rima do jacaré</t>
  </si>
  <si>
    <t xml:space="preserve">{'valor': 'iniciativa_privada', 'fundamento': 'Evento organizado por pessoa física.', 'em': '2026-10-02'}</t>
  </si>
  <si>
    <t xml:space="preserve">https://mapa.cultura.gov.br/oportunidade/8365/</t>
  </si>
  <si>
    <t xml:space="preserve">op-cd7c576fd820</t>
  </si>
  <si>
    <t xml:space="preserve">Cadastro Nacional de Pontos e Pontões de Cultura — Brasil</t>
  </si>
  <si>
    <t xml:space="preserve">Cadastro Nacional de Pontos e Pontões de Cultura</t>
  </si>
  <si>
    <t xml:space="preserve">{'valor': 'poder_publico', 'fundamento': 'Publicado pelo Ministério da Cultura na plataforma federal; programa da Política Nacional Cultura Viva.', 'em': '2026-10-02'}</t>
  </si>
  <si>
    <t xml:space="preserve">https://mapa.cultura.gov.br/oportunidade/5386/</t>
  </si>
  <si>
    <t xml:space="preserve">2024-12-01</t>
  </si>
  <si>
    <t xml:space="preserve">Resultado, Prazo de recurso, Valor, Requisitos, Anexos, Destinação</t>
  </si>
  <si>
    <t xml:space="preserve">informado (motor agregadores · mapas-culturais, 2026-10-03)</t>
  </si>
  <si>
    <t xml:space="preserve">Cadastro Nacional Cultura Viva (MinC)</t>
  </si>
  <si>
    <t xml:space="preserve">Cultura (Política Nacional Cultura Viva)</t>
  </si>
  <si>
    <t xml:space="preserve">op-1398c8cd5c20</t>
  </si>
  <si>
    <t xml:space="preserve">Chamada de Projetos: Fundo Brasil apoia iniciativas em direitos digitais e regulação de plataformas — Brasil</t>
  </si>
  <si>
    <t xml:space="preserve">Chamada de Projetos: Fundo Brasil apoia iniciativas em direitos digitais e regulação de plataformas</t>
  </si>
  <si>
    <t xml:space="preserve">{'valor': 'iniciativa_privada', 'fundamento': 'Fundo Brasil (fundação privada) publica e aporta recurso próprio/doado.', 'em': '2026-10-02'}</t>
  </si>
  <si>
    <t xml:space="preserve">https://www.fundobrasil.org.br/edital/direitos-digitais-2026/</t>
  </si>
  <si>
    <t xml:space="preserve">Edital Direitos Digitais 2026 – Promovendo regulação baseada em direitos humanos para as tecnologias e plataformas digitais</t>
  </si>
  <si>
    <t xml:space="preserve">2026-04-06 a 2026-05-19</t>
  </si>
  <si>
    <t xml:space="preserve">Eixo 1 até R$ 80.000,00; Eixo 2 até R$ 160.000,00; total até R$ 2.000.000,00</t>
  </si>
  <si>
    <t xml:space="preserve">{'observacao': 'VERIFICADO no arquivo completo de editais do Fundo Brasil (63 editais, 2007–2026, API do site, 03/10/2026): não há edital anterior de direitos digitais; livro sem série prévia (bronze legítimo).'}</t>
  </si>
  <si>
    <t xml:space="preserve">op-2381270f9778</t>
  </si>
  <si>
    <t xml:space="preserve">Compartilhamos a chamada do V Prêmio Internacional de Composição «Portus Apostoli» para harpa solista e orques… — Brasil</t>
  </si>
  <si>
    <t xml:space="preserve">Compartilhamos a chamada do V Prêmio Internacional de Composição «Portus Apostoli» para harpa solista e orquestra de cordas</t>
  </si>
  <si>
    <t xml:space="preserve">{'valor': 'iniciativa_privada', 'fundamento': 'Associação cultural espanhola organiza e paga o prêmio; Ibermúsicas apenas divulga.', 'em': '2026-10-02'}</t>
  </si>
  <si>
    <t xml:space="preserve">https://noiaharpfest.gal/?page_id=3990</t>
  </si>
  <si>
    <t xml:space="preserve">2026-12-23</t>
  </si>
  <si>
    <t xml:space="preserve">{'inicio': None, 'fim': '2026-12-23'}</t>
  </si>
  <si>
    <t xml:space="preserve">Obra original e inédita para harpa solista e orquestra de cordas</t>
  </si>
  <si>
    <t xml:space="preserve">23/12/2026, 23h59 (CET)</t>
  </si>
  <si>
    <t xml:space="preserve">Comunicado por e-mail antes de 15/02/2027</t>
  </si>
  <si>
    <t xml:space="preserve">Prêmio único de 4.000 €, com retenções fiscais</t>
  </si>
  <si>
    <t xml:space="preserve">Asociación Noia Harp Fest</t>
  </si>
  <si>
    <t xml:space="preserve">Aberto a compositores de todo o mundo</t>
  </si>
  <si>
    <t xml:space="preserve">Privada estrangeira (Espanha)</t>
  </si>
  <si>
    <t xml:space="preserve">Obra original, inédita, não premiada, nunca apresentada, sem meios eletroacústicos</t>
  </si>
  <si>
    <t xml:space="preserve">Formulário de inscrição + áudio e PDF da partitura</t>
  </si>
  <si>
    <t xml:space="preserve">Prêmio pessoal ao compositor + estreia no Noia Harp Fest 2027</t>
  </si>
  <si>
    <t xml:space="preserve">Música (composição)</t>
  </si>
  <si>
    <t xml:space="preserve">op-67d7185c3df5</t>
  </si>
  <si>
    <t xml:space="preserve">Compartimos la convocatoria del V Premio Internacional de Composición «Portus Apostoli» para arpa solista y or… — Brasil</t>
  </si>
  <si>
    <t xml:space="preserve">Compartimos la convocatoria del V Premio Internacional de Composición «Portus Apostoli» para arpa solista y orquesta de cuerda</t>
  </si>
  <si>
    <t xml:space="preserve">op-3f58b70caa55</t>
  </si>
  <si>
    <t xml:space="preserve">Concursos de Teatro e Prêmios 2026 — Brasil</t>
  </si>
  <si>
    <t xml:space="preserve">Concursos de Teatro e Prêmios 2026</t>
  </si>
  <si>
    <t xml:space="preserve">{'valor': 'iniciativa_privada', 'fundamento': 'Site comercial privado de divulgação/venda de modelos; não há financiador identificado.', 'em': '2026-10-02'}</t>
  </si>
  <si>
    <t xml:space="preserve">https://www.editaisculturais.com.br/concurso-de-teatro-e-premio-2025/</t>
  </si>
  <si>
    <t xml:space="preserve">op-af9d2f407c00</t>
  </si>
  <si>
    <t xml:space="preserve">Convocatoria Festival ANCLA, Festival Internacional de Danza Contemporánea de Colón 2026 [Panamá] — Brasil</t>
  </si>
  <si>
    <t xml:space="preserve">Convocatoria Festival ANCLA, Festival Internacional de Danza Contemporánea de Colón 2026 [Panamá]</t>
  </si>
  <si>
    <t xml:space="preserve">{'valor': 'mista', 'fundamento': 'Festival ANCLA (organizador) com apoio do Fondo Iberescena (intergovernamental).', 'em': '2026-10-02'}</t>
  </si>
  <si>
    <t xml:space="preserve">https://iberescena.org/Noticias/2508</t>
  </si>
  <si>
    <t xml:space="preserve">op-2638da05808b</t>
  </si>
  <si>
    <t xml:space="preserve">Convocatoria Internacional de Residencias EiMa Creació 2026 [Mallorca, España] — Brasil</t>
  </si>
  <si>
    <t xml:space="preserve">Convocatoria Internacional de Residencias EiMa Creació 2026 [Mallorca, España]</t>
  </si>
  <si>
    <t xml:space="preserve">{'valor': 'mista', 'fundamento': 'Centro EiMa Creació (organizador) com Ajudas do Programa Iberescena (intergovernamental).', 'em': '2026-10-02'}</t>
  </si>
  <si>
    <t xml:space="preserve">https://iberescena.org/Noticias/2502</t>
  </si>
  <si>
    <t xml:space="preserve">op-ce220502a666</t>
  </si>
  <si>
    <t xml:space="preserve">Convocatoria VI Encuentro Internacional de Artes Escénicas para los Primeros Años “Infancia, territorio de paz… — Brasil</t>
  </si>
  <si>
    <t xml:space="preserve">Convocatoria VI Encuentro Internacional de Artes Escénicas para los Primeros Años “Infancia, territorio de paz” [Tijuana, México]</t>
  </si>
  <si>
    <t xml:space="preserve">{'valor': 'mista', 'fundamento': 'Colectivo de Teatro en Espiral com o CECUT (Secretaria de Cultura do México) e apoio do Fondo Iberescena.', 'em': '2026-10-02'}</t>
  </si>
  <si>
    <t xml:space="preserve">https://iberescena.org/Noticias/2498</t>
  </si>
  <si>
    <t xml:space="preserve">op-93f941e8ae89</t>
  </si>
  <si>
    <t xml:space="preserve">Convocatoria VIII Festival Internacional Danzando en Pareja [El Salvador] — Brasil</t>
  </si>
  <si>
    <t xml:space="preserve">Convocatoria VIII Festival Internacional Danzando en Pareja [El Salvador]</t>
  </si>
  <si>
    <t xml:space="preserve">{'valor': 'mista', 'fundamento': 'Danza Folklórica Maquilishuat (organizador) com apoio do Programa Iberescena.', 'em': '2026-10-02'}</t>
  </si>
  <si>
    <t xml:space="preserve">https://iberescena.org/Noticias/2642</t>
  </si>
  <si>
    <t xml:space="preserve">op-b99c3b2af827</t>
  </si>
  <si>
    <t xml:space="preserve">Convocatoria a Residencia Internacional “Pedagogías Clown” dentro del Encuentro Caminos hacia el Clown [Quito,… — Brasil</t>
  </si>
  <si>
    <t xml:space="preserve">Convocatoria a Residencia Internacional “Pedagogías Clown” dentro del Encuentro Caminos hacia el Clown [Quito, Ecuador]</t>
  </si>
  <si>
    <t xml:space="preserve">{'valor': 'mista', 'fundamento': 'Quem publica/seleciona é a Corporación Quijotadas Ecuador (entidade privada/organizadora), com recurso do Programa Iberescena (fundo intergovernamental dos países membros).', 'em': '2026-10-02'}</t>
  </si>
  <si>
    <t xml:space="preserve">https://iberescena.org/Noticias/2488</t>
  </si>
  <si>
    <t xml:space="preserve">op-8d784b0b980a</t>
  </si>
  <si>
    <t xml:space="preserve">Convocatoria abierta para el 3º Encuentro de Mujeres Artistas Latinoamericanas (ELLAS) y el 8º Encuentro Nacio… — Brasil</t>
  </si>
  <si>
    <t xml:space="preserve">Convocatoria abierta para el 3º Encuentro de Mujeres Artistas Latinoamericanas (ELLAS) y el 8º Encuentro Nacional de Arte Queer (ENAQ)</t>
  </si>
  <si>
    <t xml:space="preserve">{'valor': 'mista', 'fundamento': 'Quem publica/seleciona é a Fundación TEATRO del PRESAGIO (entidade privada/organizadora), com recurso do Programa Iberescena (fundo intergovernamental dos países membros).', 'em': '2026-10-02'}</t>
  </si>
  <si>
    <t xml:space="preserve">https://iberescena.org/Noticias/2512</t>
  </si>
  <si>
    <t xml:space="preserve">op-f8e3e77214f8</t>
  </si>
  <si>
    <t xml:space="preserve">Convocatoria abierta para participar en el Diagnóstico Iberoamericano de Políticas Públicas para las Artes Cir… — Brasil</t>
  </si>
  <si>
    <t xml:space="preserve">Convocatoria abierta para participar en el Diagnóstico Iberoamericano de Políticas Públicas para las Artes Circenses</t>
  </si>
  <si>
    <t xml:space="preserve">{'valor': 'poder_publico', 'fundamento': 'Publicado pelo próprio Programa Iberescena, fundo intergovernamental dos países membros.', 'em': '2026-10-02'}</t>
  </si>
  <si>
    <t xml:space="preserve">https://iberescena.org/Noticias/2566</t>
  </si>
  <si>
    <t xml:space="preserve">op-f8a1e6054c2e</t>
  </si>
  <si>
    <t xml:space="preserve">Convocatoria abierta: Residencias Internacionales Escena Colonche [Santa Elena, Ecuador] — Brasil</t>
  </si>
  <si>
    <t xml:space="preserve">Convocatoria abierta: Residencias Internacionales Escena Colonche [Santa Elena, Ecuador]</t>
  </si>
  <si>
    <t xml:space="preserve">{'valor': 'mista', 'fundamento': 'Quem publica/seleciona é a ESTACIÓN 2050 – Residencia Cultural Olón (entidade privada/organizadora), com recurso do Programa Iberescena (fundo intergovernamental dos países membros).', 'em': '2026-10-02'}</t>
  </si>
  <si>
    <t xml:space="preserve">https://iberescena.org/Noticias/2374</t>
  </si>
  <si>
    <t xml:space="preserve">op-4a40e3926cd0</t>
  </si>
  <si>
    <t xml:space="preserve">Convocatoria del Festival Iberoamericano de Teatro de La Rioja (FITLO) [España] — Brasil</t>
  </si>
  <si>
    <t xml:space="preserve">Convocatoria del Festival Iberoamericano de Teatro de La Rioja (FITLO) [España]</t>
  </si>
  <si>
    <t xml:space="preserve">{'valor': 'mista', 'fundamento': 'Quem publica/seleciona é o FITLO (entidade privada/organizadora), com recurso do Programa Iberescena (fundo intergovernamental dos países membros).', 'em': '2026-10-02'}</t>
  </si>
  <si>
    <t xml:space="preserve">https://iberescena.org/Noticias/2521</t>
  </si>
  <si>
    <t xml:space="preserve">op-49b3137f3c2f</t>
  </si>
  <si>
    <t xml:space="preserve">Convocatoria para 24° Festival Internacional de Títeres Manuelucho [Bogotá, Colombia] — Brasil</t>
  </si>
  <si>
    <t xml:space="preserve">Convocatoria para 24° Festival Internacional de Títeres Manuelucho [Bogotá, Colombia]</t>
  </si>
  <si>
    <t xml:space="preserve">{'valor': 'mista', 'fundamento': 'Quem publica/seleciona é o grupo Libélula Dorada (entidade privada/organizadora), com recurso do Programa Iberescena (fundo intergovernamental dos países membros).', 'em': '2026-10-02'}</t>
  </si>
  <si>
    <t xml:space="preserve">https://iberescena.org/Noticias/2552</t>
  </si>
  <si>
    <t xml:space="preserve">op-d560ef210fe0</t>
  </si>
  <si>
    <t xml:space="preserve">Convocatoria para el 17 Encuentro Internacional de Títeres los Muñecos de Luna — Brasil</t>
  </si>
  <si>
    <t xml:space="preserve">Convocatoria para el 17 Encuentro Internacional de Títeres los Muñecos de Luna</t>
  </si>
  <si>
    <t xml:space="preserve">{'valor': 'mista', 'fundamento': 'Quem publica/seleciona é o Encuentro Muñecos de Luna (entidade privada/organizadora), com recurso do Programa Iberescena (fundo intergovernamental dos países membros).', 'em': '2026-10-02'}</t>
  </si>
  <si>
    <t xml:space="preserve">https://iberescena.org/Noticias/2510</t>
  </si>
  <si>
    <t xml:space="preserve">op-3d5bc2ad4d78</t>
  </si>
  <si>
    <t xml:space="preserve">Convocatoria para el 20º Festival de Circo de Brasil [Recife, Brasil] — Brasil</t>
  </si>
  <si>
    <t xml:space="preserve">Convocatoria para el 20º Festival de Circo de Brasil [Recife, Brasil]</t>
  </si>
  <si>
    <t xml:space="preserve">{'valor': 'mista', 'fundamento': 'Quem publica/seleciona é o Festival de Circo do Brasil (entidade privada/organizadora), com recurso do Programa Iberescena (fundo intergovernamental dos países membros).', 'em': '2026-10-02'}</t>
  </si>
  <si>
    <t xml:space="preserve">https://iberescena.org/Noticias/2490</t>
  </si>
  <si>
    <t xml:space="preserve">op-b184fb5cc24b</t>
  </si>
  <si>
    <t xml:space="preserve">Convocatoria para el XXIII Festival Internacional Encuentro de Mujeres en Escena “Tiempos de Mujer 2026” [Quit… — Brasil</t>
  </si>
  <si>
    <t xml:space="preserve">Convocatoria para el XXIII Festival Internacional Encuentro de Mujeres en Escena “Tiempos de Mujer 2026” [Quito, Ecuador]</t>
  </si>
  <si>
    <t xml:space="preserve">{'valor': 'mista', 'fundamento': 'Quem publica/seleciona é a Fundación Mandrágora Artes Escénicas (entidade privada/organizadora), com recurso do Programa Iberescena (fundo intergovernamental dos países membros).', 'em': '2026-10-02'}</t>
  </si>
  <si>
    <t xml:space="preserve">https://iberescena.org/Noticias/2500</t>
  </si>
  <si>
    <t xml:space="preserve">op-c90d349017ac</t>
  </si>
  <si>
    <t xml:space="preserve">Convocatoria para la residencia “Onde o Corpo Mora, Amanhece o Mundo”, de Encantarias Transoceânicas [Saquarem… — Brasil</t>
  </si>
  <si>
    <t xml:space="preserve">Convocatoria para la residencia “Onde o Corpo Mora, Amanhece o Mundo”, de Encantarias Transoceânicas [Saquarema, Brasil]</t>
  </si>
  <si>
    <t xml:space="preserve">{'valor': 'mista', 'fundamento': 'Quem publica/seleciona é Encantarias Transoceânicas (entidade privada/organizadora), com recurso do Programa Iberescena (fundo intergovernamental dos países membros).', 'em': '2026-10-02'}</t>
  </si>
  <si>
    <t xml:space="preserve">https://iberescena.org/Noticias/2574</t>
  </si>
  <si>
    <t xml:space="preserve">op-99929b3d97dd</t>
  </si>
  <si>
    <t xml:space="preserve">Conéctate con IBERESCENA: sesión en vivo sobre la Convocatoria 2025-2026 — Brasil</t>
  </si>
  <si>
    <t xml:space="preserve">Conéctate con IBERESCENA: sesión en vivo sobre la Convocatoria 2025-2026</t>
  </si>
  <si>
    <t xml:space="preserve">{'valor': 'poder_publico', 'fundamento': 'IBERESCENA, programa intergovernamental ibero-americano.', 'em': '2026-10-02'}</t>
  </si>
  <si>
    <t xml:space="preserve">https://iberescena.org/Noticias/2360</t>
  </si>
  <si>
    <t xml:space="preserve">op-99a6ad82be7a</t>
  </si>
  <si>
    <t xml:space="preserve">Cáritas Brasileira abre edital de até R$ 25 mil para projetos de enfrentamento à violência sexual infantojuven… — Brasil</t>
  </si>
  <si>
    <t xml:space="preserve">Cáritas Brasileira abre edital de até R$ 25 mil para projetos de enfrentamento à violência sexual infantojuvenil</t>
  </si>
  <si>
    <t xml:space="preserve">{'valor': 'iniciativa_privada', 'fundamento': 'Publica a Cáritas Brasileira (organismo da CNBB) com recurso de cooperação da Cáritas Alemanha.', 'em': '2026-10-02'}</t>
  </si>
  <si>
    <t xml:space="preserve">https://caritas.org.br/editais-e-vagas</t>
  </si>
  <si>
    <t xml:space="preserve">{'observacao': 'VERIFICADO em 03/10/2026 (site da Cáritas e imprensa): Edital nº 02/2026 do Fundo de Apoio a Iniciativas Locais para o Enfrentamento da Violência Sexual contra Crianças e Adolescentes (até 21 organizações, até R$ 25 mil); não há edição anterior achada. Primeira edição conhecida.'}</t>
  </si>
  <si>
    <t xml:space="preserve">op-fe3d09eea082</t>
  </si>
  <si>
    <t xml:space="preserve">Divulgação do Seu Evento, Show, Prêmio, Concurso, Festival :: Facultura - Arte e Cultura - Editais Culturais -… — Brasil</t>
  </si>
  <si>
    <t xml:space="preserve">Divulgação do Seu Evento, Show, Prêmio, Concurso, Festival :: Facultura - Arte e Cultura - Editais Culturais - Projetos Culturais</t>
  </si>
  <si>
    <t xml:space="preserve">{'valor': 'iniciativa_privada', 'fundamento': 'Portal privado vendendo divulgação; não há financiador.', 'em': '2026-10-02'}</t>
  </si>
  <si>
    <t xml:space="preserve">https://www.editaisculturais.com.br/divulgacao-do-seu-evento-show-premio-concurso-festival/</t>
  </si>
  <si>
    <t xml:space="preserve">op-fe3c1a34aaa8</t>
  </si>
  <si>
    <t xml:space="preserve">Documentário de Alternativo TERAPEUTA — Brasil</t>
  </si>
  <si>
    <t xml:space="preserve">Documentário de Alternativo TERAPEUTA</t>
  </si>
  <si>
    <t xml:space="preserve">{'valor': 'iniciativa_privada', 'fundamento': 'Cadastro de agente usuário na plataforma pública; não há órgão nem recurso público identificado.', 'em': '2026-10-02'}</t>
  </si>
  <si>
    <t xml:space="preserve">https://mapa.cultura.gov.br/oportunidade/9922/</t>
  </si>
  <si>
    <t xml:space="preserve">op-ce2cb33441a9</t>
  </si>
  <si>
    <t xml:space="preserve">Estruturação da rede de serviços do suas - emendas de comissão - custei - gnd3 (programa 2026 - 00065) — Brasil</t>
  </si>
  <si>
    <t xml:space="preserve">ESTRUTURAÇÃO DA REDE DE SERVIÇOS DO SUAS - EMENDAS DE COMISSÃO - CUSTEI - GND3 (programa 2026 - 00065)</t>
  </si>
  <si>
    <t xml:space="preserve">Diretoria-Executiva do Fundo Nacional de Assistência Social</t>
  </si>
  <si>
    <t xml:space="preserve">{'valor': 'poder_publico', 'fundamento': 'MDS/FNAS publica; recurso federal de emendas de comissão.', 'em': '2026-10-02'}</t>
  </si>
  <si>
    <t xml:space="preserve">https://api-publica.transferegov.gestao.gov.br/parcerias/programa?cd_programa=2026+-+00065</t>
  </si>
  <si>
    <t xml:space="preserve">2026-05-01</t>
  </si>
  <si>
    <t xml:space="preserve">{'inicio': '2026-05-01', 'fim': '2026-12-31'}</t>
  </si>
  <si>
    <t xml:space="preserve">informado (motor agregadores · transferegov-parcerias, 2026-10-04)</t>
  </si>
  <si>
    <t xml:space="preserve">Estruturação da rede de serviços do SUAS com emendas de comissão (custeio, GND3)</t>
  </si>
  <si>
    <t xml:space="preserve">beneficiário de emenda: 01/05/2026 a 31/12/2026</t>
  </si>
  <si>
    <t xml:space="preserve">valor global registrado: 0 (não definido no programa)</t>
  </si>
  <si>
    <t xml:space="preserve">DEFNAS - Diretoria-Executiva do Fundo Nacional de Assistência Social (MDS)</t>
  </si>
  <si>
    <t xml:space="preserve">informado (motor agregadores · transferegov-parcerias, 2026-10-03)</t>
  </si>
  <si>
    <t xml:space="preserve">federal, fundo a fundo</t>
  </si>
  <si>
    <t xml:space="preserve">beneficiário de emenda parlamentar</t>
  </si>
  <si>
    <t xml:space="preserve">assistência social / SUAS</t>
  </si>
  <si>
    <t xml:space="preserve">op-3aff0bd13a8d</t>
  </si>
  <si>
    <t xml:space="preserve">Edital Chamada Cidades LUPPA – 6ª Edição — Brasil</t>
  </si>
  <si>
    <t xml:space="preserve">Edital Chamada Cidades LUPPA – 6ª Edição</t>
  </si>
  <si>
    <t xml:space="preserve">Instituto Comida do Amanhã</t>
  </si>
  <si>
    <t xml:space="preserve">{'valor': 'iniciativa_privada', 'fundamento': 'Quem publica é o Instituto Comida do Amanhã com o ICLEI (organizações privadas sem fins lucrativos); o apoio é técnico e o beneficiário é o município.', 'em': '2026-10-02'}</t>
  </si>
  <si>
    <t xml:space="preserve">https://luppa.comidadoamanha.org/wp-content/uploads/2026/09/Edital-Chamada-Cidades-LUPPA-6a-Edicao.pdf</t>
  </si>
  <si>
    <t xml:space="preserve">https://www.gov.br/pt-br</t>
  </si>
  <si>
    <t xml:space="preserve">Seleção de 10 cidades (10 mil a 1 milhão de hab.) para a 6ª edição do LUPPA</t>
  </si>
  <si>
    <t xml:space="preserve">até 20/10/2026</t>
  </si>
  <si>
    <t xml:space="preserve">11/11/2026</t>
  </si>
  <si>
    <t xml:space="preserve">Instituto Comida do Amanhã e ICLEI América do Sul</t>
  </si>
  <si>
    <t xml:space="preserve">Cidades brasileiras de 10 mil a 1 milhão de habitantes</t>
  </si>
  <si>
    <t xml:space="preserve">Municipal (Prefeituras); proponente é o município</t>
  </si>
  <si>
    <t xml:space="preserve">Prefeito(a) firma compromisso de desenvolver política alimentar; formulário de inscrição</t>
  </si>
  <si>
    <t xml:space="preserve">Apoio técnico/metodológico em política de segurança alimentar e nutricional (não repasse a</t>
  </si>
  <si>
    <t xml:space="preserve">Políticas públicas alimentares / segurança alimentar e nutricional</t>
  </si>
  <si>
    <t xml:space="preserve">op-50b73ba377d5</t>
  </si>
  <si>
    <t xml:space="preserve">Edital de Chamamento N° 7/2026 - Seleção de Projetos de Inovação em Medicamentos — Brasil</t>
  </si>
  <si>
    <t xml:space="preserve">Edital de Chamamento N° 7/2026 - Seleção de Projetos de Inovação em Medicamentos</t>
  </si>
  <si>
    <t xml:space="preserve">2ª Diretoria</t>
  </si>
  <si>
    <t xml:space="preserve">{'valor': 'poder_publico', 'fundamento': 'Agência reguladora federal; não há transferência de recurso.', 'em': '2026-10-02'}</t>
  </si>
  <si>
    <t xml:space="preserve">https://anvisalegis.datalegis.net/action/ActionDatalegis.php?acao=abrirResenhaAnoData&amp;cod_modulo=630&amp;cod_menu=9376</t>
  </si>
  <si>
    <t xml:space="preserve">op-77934dda8b70</t>
  </si>
  <si>
    <t xml:space="preserve">Edital de Chamamento Público MGI-SPU-TO Nº 5/2026 — Permuta de Imóveis — Brasil</t>
  </si>
  <si>
    <t xml:space="preserve">Edital de Chamamento Público MGI-SPU-TO Nº 5/2026 — Permuta de Imóveis</t>
  </si>
  <si>
    <t xml:space="preserve">Superintendência no Tocantins</t>
  </si>
  <si>
    <t xml:space="preserve">{'valor': 'poder_publico', 'fundamento': 'MGI/SPU (União), imóveis da União', 'em': '2026-10-02'}</t>
  </si>
  <si>
    <t xml:space="preserve">http://gov.br/spu/permuta</t>
  </si>
  <si>
    <t xml:space="preserve">op-5b5e178b3cd7</t>
  </si>
  <si>
    <t xml:space="preserve">Edital – Soluções Climáticas a partir da Base — Brasil</t>
  </si>
  <si>
    <t xml:space="preserve">Edital – Soluções Climáticas a partir da Base</t>
  </si>
  <si>
    <t xml:space="preserve">{'valor': 'iniciativa_privada', 'fundamento': 'Fundo Brasil (fundação privada) com recursos próprios/doados.', 'em': '2026-10-02'}</t>
  </si>
  <si>
    <t xml:space="preserve">https://www.fundobrasil.org.br/edital/solucoes-climaticas-a-partir-da-base/</t>
  </si>
  <si>
    <t xml:space="preserve">Edital Soluções Climáticas a partir da Base</t>
  </si>
  <si>
    <t xml:space="preserve">2026-03-16 a 2026-05-08</t>
  </si>
  <si>
    <t xml:space="preserve">R$ 50.000,00 a R$ 100.000,00 por proposta; total R$ 2.250.000,00</t>
  </si>
  <si>
    <t xml:space="preserve">{'observacao': 'VERIFICADO no arquivo completo de editais do Fundo Brasil (63 editais, 2007–2026, 03/10/2026): sem edição anterior com o mesmo nome; existem linhas temáticas vizinhas de justiça climática (2023-11, 2024-03, 2024-07) que não foram contadas como a mesma série.'}</t>
  </si>
  <si>
    <t xml:space="preserve">op-2141297c79af</t>
  </si>
  <si>
    <t xml:space="preserve">First Solar Corporate Charitable Fund of the Toledo Community Foundation — Brasil</t>
  </si>
  <si>
    <t xml:space="preserve">First Solar Corporate Charitable Fund of the Toledo Community Foundation</t>
  </si>
  <si>
    <t xml:space="preserve">Toledo Community Foundation</t>
  </si>
  <si>
    <t xml:space="preserve">{'valor': 'iniciativa_privada', 'fundamento': 'Fundo corporativo da First Solar administrado por fundação comunitária dos EUA (recurso privado).', 'em': '2026-10-02'}</t>
  </si>
  <si>
    <t xml:space="preserve">https://www.gov.br/mcti</t>
  </si>
  <si>
    <t xml:space="preserve">{'observacao': 'VERIFICADO em 03/10/2026: fundo de comunidade dos EUA (Toledo); ciclo com prazo em fevereiro; elegibilidade da AMC fora de Goiás/Brasil não demonstrada.'}</t>
  </si>
  <si>
    <t xml:space="preserve">op-fffaf0fa453a</t>
  </si>
  <si>
    <t xml:space="preserve">Formulário de Escuta da Cultura: Mosaico de perfis, demandas e avaliação PNCC — Brasil</t>
  </si>
  <si>
    <t xml:space="preserve">Formulário de Escuta da Cultura: Mosaico de perfis, demandas e avaliação PNCC</t>
  </si>
  <si>
    <t xml:space="preserve">{'valor': 'poder_publico', 'fundamento': 'Publicado pela CGCOC/MinC; não envolve repasse.', 'em': '2026-10-02'}</t>
  </si>
  <si>
    <t xml:space="preserve">https://mapa.cultura.gov.br/oportunidade/6614/</t>
  </si>
  <si>
    <t xml:space="preserve">op-beb625683100</t>
  </si>
  <si>
    <t xml:space="preserve">Fundo Brasil oferece apoio emergencial a defensores de direitos humanos em risco — Brasil</t>
  </si>
  <si>
    <t xml:space="preserve">Fundo Brasil oferece apoio emergencial a defensores de direitos humanos em risco</t>
  </si>
  <si>
    <t xml:space="preserve">{'valor': 'iniciativa_privada', 'fundamento': 'Fundo Brasil (fundação privada) com recurso próprio/doado.', 'em': '2026-10-02'}</t>
  </si>
  <si>
    <t xml:space="preserve">https://www.fundobrasil.org.br/nosso-trabalho/apoio-a-sociedade-civil/apoio-emergencial/</t>
  </si>
  <si>
    <t xml:space="preserve">Apoio emergencial a defensores de direitos humanos</t>
  </si>
  <si>
    <t xml:space="preserve">não informado</t>
  </si>
  <si>
    <t xml:space="preserve">Privada/filantrópica</t>
  </si>
  <si>
    <t xml:space="preserve">Situação emergencial de defensores em risco; solicitar formulário por e-mail</t>
  </si>
  <si>
    <t xml:space="preserve">Segurança, alimentação, saúde, assessoria jurídica, redes de proteção</t>
  </si>
  <si>
    <t xml:space="preserve">Direitos humanos / proteção de defensores</t>
  </si>
  <si>
    <t xml:space="preserve">{'observacao': 'VERIFICADO no site do Fundo Brasil (03/10/2026): página institucional da linha contínua de Apoio Emergencial; a edição datada está no livro do edital de 2024.'}</t>
  </si>
  <si>
    <t xml:space="preserve">op-5eaa4319c8b5</t>
  </si>
  <si>
    <t xml:space="preserve">Fundo Casa abre edital de R$ 2 milhões para apoiar iniciativas socioambientais no Brasil — Brasil</t>
  </si>
  <si>
    <t xml:space="preserve">Fundo Casa abre edital de R$ 2 milhões para apoiar iniciativas socioambientais no Brasil</t>
  </si>
  <si>
    <t xml:space="preserve">{'valor': 'iniciativa_privada', 'fundamento': 'Fundo filantrópico com doação de Mackenzie Scott (Yield Giving).', 'em': '2026-10-02'}</t>
  </si>
  <si>
    <t xml:space="preserve">https://casa.org.br/chamadas/chamada-simplificada-apoio-direto-a-iniciativas-comunitarias/</t>
  </si>
  <si>
    <t xml:space="preserve">Chamada Simplificada – Apoio Direto a Iniciativas Comunitárias</t>
  </si>
  <si>
    <t xml:space="preserve">2026-06-15 a 2026-07-14</t>
  </si>
  <si>
    <t xml:space="preserve">R$ 2.000.000,00 total; até R$ 20.000,00 por projeto (até 100)</t>
  </si>
  <si>
    <t xml:space="preserve">Fundo Casa Socioambiental (apoio: MacKenzie Scott (Yield Giving))</t>
  </si>
  <si>
    <t xml:space="preserve">{'observacao': 'VERIFICADO no arquivo de chamadas do Fundo Casa Socioambiental (API do site, 41 chamadas de 2023–2026, 03/10/2026): sem edição anterior; chamada simplificada inédita.'}</t>
  </si>
  <si>
    <t xml:space="preserve">op-44e74e23bf56</t>
  </si>
  <si>
    <t xml:space="preserve">ITEC inicia seleção de professores para formar corpo docente de sua graduação em Ciência da Computação — Brasil</t>
  </si>
  <si>
    <t xml:space="preserve">ITEC inicia seleção de professores para formar corpo docente de sua graduação em Ciência da Computação</t>
  </si>
  <si>
    <t xml:space="preserve">{'valor': 'iniciativa_privada', 'fundamento': 'Instituição de ensino privada contratando pessoal.', 'em': '2026-10-02'}</t>
  </si>
  <si>
    <t xml:space="preserve">http://www.itec.org.br/selecaodocentes.</t>
  </si>
  <si>
    <t xml:space="preserve">op-0dc2a86635d2</t>
  </si>
  <si>
    <t xml:space="preserve">Importação de Certificados por Editais — Brasil</t>
  </si>
  <si>
    <t xml:space="preserve">Importação de Certificados por Editais</t>
  </si>
  <si>
    <t xml:space="preserve">{'valor': 'poder_publico', 'fundamento': 'Ferramenta administrativa da SCDC/MinC, sem repasse.', 'em': '2026-10-02'}</t>
  </si>
  <si>
    <t xml:space="preserve">https://mapa.cultura.gov.br/oportunidade/5388/</t>
  </si>
  <si>
    <t xml:space="preserve">op-efd148c06742</t>
  </si>
  <si>
    <t xml:space="preserve">Instituto Lojas Renner e Instituto ACP abrem inscrições para formação gratuita de OSCs que promovem os direito… — Brasil</t>
  </si>
  <si>
    <t xml:space="preserve">Instituto Lojas Renner e Instituto ACP abrem inscrições para formação gratuita de OSCs que promovem os direitos das mulheres</t>
  </si>
  <si>
    <t xml:space="preserve">{'valor': 'iniciativa_privada', 'fundamento': 'Institutos empresariais (Lojas Renner e ACP) com recurso próprio.', 'em': '2026-10-02'}</t>
  </si>
  <si>
    <t xml:space="preserve">https://www.institutolojasrenner.org.br/jornada-fortalecidas/</t>
  </si>
  <si>
    <t xml:space="preserve">op-c08fc48e493c</t>
  </si>
  <si>
    <t xml:space="preserve">Instituto Sabin abre inscrições para programa de aceleração de negócios de impacto social — Brasil</t>
  </si>
  <si>
    <t xml:space="preserve">Instituto Sabin abre inscrições para programa de aceleração de negócios de impacto social</t>
  </si>
  <si>
    <t xml:space="preserve">{'valor': 'iniciativa_privada', 'fundamento': 'Instituto empresarial do Grupo Sabin com recurso próprio.', 'em': '2026-10-02'}</t>
  </si>
  <si>
    <t xml:space="preserve">https://jornadasocial.com.br/edital-transformacao/</t>
  </si>
  <si>
    <t xml:space="preserve">op-6ddffdbfa2d9</t>
  </si>
  <si>
    <t xml:space="preserve">Juventude Solidária está com inscrições abertas para projetos sociais em todo o país — Brasil</t>
  </si>
  <si>
    <t xml:space="preserve">Juventude Solidária está com inscrições abertas para projetos sociais em todo o país</t>
  </si>
  <si>
    <t xml:space="preserve">{'valor': 'poder_publico', 'fundamento': 'Secretaria-Geral da Presidência publica e opera a plataforma.', 'em': '2026-10-02'}</t>
  </si>
  <si>
    <t xml:space="preserve">https://www.gov.br/secretariageral/pt-br/noticias/2026/maio/juventude-solidaria-esta-com-inscricoes-abertas-para-projetos-sociais-em-todo-o-pais</t>
  </si>
  <si>
    <t xml:space="preserve">op-75022b6eb36c</t>
  </si>
  <si>
    <t xml:space="preserve">Kala Yatra International Artist Residency, 2025 -2026 — Brasil</t>
  </si>
  <si>
    <t xml:space="preserve">Kala Yatra International Artist Residency, 2025 -2026</t>
  </si>
  <si>
    <t xml:space="preserve">{'valor': 'iniciativa_privada', 'fundamento': 'Coletivo privado; a receita vem das taxas pagas pelos artistas.', 'em': '2026-10-02'}</t>
  </si>
  <si>
    <t xml:space="preserve">https://resartis.org/open-call/kala-yatra-international-artist-residency-2025-2026/</t>
  </si>
  <si>
    <t xml:space="preserve">op-5aba2c48c9c1</t>
  </si>
  <si>
    <t xml:space="preserve">MDA lança edital de até R$ 500 mil para fortalecer a agricultura familiar e a sociobiodiversidade — Brasil</t>
  </si>
  <si>
    <t xml:space="preserve">MDA lança edital de até R$ 500 mil para fortalecer a agricultura familiar e a sociobiodiversidade</t>
  </si>
  <si>
    <t xml:space="preserve">{'valor': 'poder_publico', 'fundamento': 'União/MDA publica e financia com orçamento federal.', 'em': '2026-10-02'}</t>
  </si>
  <si>
    <t xml:space="preserve">https://www.gov.br/mda/pt-br/acesso-a-informacao/participacao-social/Editais-de-chamamento-publico/2026/edital-sfdt-no-02-2026-estruturacao-e-fortalecimento-de-cadeias-produtivas-da-sociobiodiversidade-e-de-plantas-medicinais-aromaticas-e-condimentares</t>
  </si>
  <si>
    <t xml:space="preserve">{'observacao': 'VERIFICADO em 03/10/2026 (gov.br/MDA e imprensa): Edital Cadeias Produtivas da Sociobiodiversidade (até R$ 500 mil por proposta, inscrições até 09/08/2026). O MDA publica chamamentos todo ano (2024: Da Terra à Mesa, 01/2024; 2025: 01/2025 Coopera Mais Brasil e 02/2025), mas não achei edição anterior do MESMO objeto. Linha relacionada, não série.'}</t>
  </si>
  <si>
    <t xml:space="preserve">op-ddb6efaf3192</t>
  </si>
  <si>
    <t xml:space="preserve">Ngangu Dance — aulas de dança gratuitas online (intercâmbio Angola–Brasil) — Brasil</t>
  </si>
  <si>
    <t xml:space="preserve">Ngangu Dance — aulas de dança gratuitas online (intercâmbio Angola–Brasil)</t>
  </si>
  <si>
    <t xml:space="preserve">Ngangu Dance / Funarte / MinC</t>
  </si>
  <si>
    <t xml:space="preserve">{'valor': 'mista', 'fundamento': 'Empresa privada (Ltda) executa projeto com apoio da Funarte/MinC.', 'em': '2026-10-02'}</t>
  </si>
  <si>
    <t xml:space="preserve">https://rededasartes.cultura.gov.br/oportunidade/9445/</t>
  </si>
  <si>
    <t xml:space="preserve">op-15bb38464776</t>
  </si>
  <si>
    <t xml:space="preserve">Ongoing open call – atlantic forest _ brazil — Brasil</t>
  </si>
  <si>
    <t xml:space="preserve">ONGOING OPEN CALL – ATLANTIC FOREST _ BRAZIL</t>
  </si>
  <si>
    <t xml:space="preserve">{'valor': 'iniciativa_privada', 'fundamento': 'Residência privada financiada pelas taxas dos artistas.', 'em': '2026-10-02'}</t>
  </si>
  <si>
    <t xml:space="preserve">https://resartis.org/open-call/ongoing-open-call-atlantic-forest-_-brazil/</t>
  </si>
  <si>
    <t xml:space="preserve">op-c8e3d410641e</t>
  </si>
  <si>
    <t xml:space="preserve">Petrobras abre edital para projetos de coleta e reciclagem de óleo de cozinha usado — Brasil</t>
  </si>
  <si>
    <t xml:space="preserve">Petrobras abre edital para projetos de coleta e reciclagem de óleo de cozinha usado</t>
  </si>
  <si>
    <t xml:space="preserve">{'valor': 'iniciativa_privada', 'fundamento': 'Sociedade de economia mista com investimento socioambiental próprio; atua como patrocinadora empresarial.', 'em': '2026-10-02'}</t>
  </si>
  <si>
    <t xml:space="preserve">https://agencia.petrobras.com.br/w/regionais/petrobras-investir%C3%A1-at%C3%A9-r-23-milh%C3%B5es-em-projetos-de-coleta-de-%C3%B3leos-e-gorduras-residuais</t>
  </si>
  <si>
    <t xml:space="preserve">op-a91c430a127a</t>
  </si>
  <si>
    <t xml:space="preserve">Programa Ciclos de Saberes e Conhecimentos Tradicionais, Populares e das Artes — Brasil</t>
  </si>
  <si>
    <t xml:space="preserve">Programa Ciclos de Saberes e Conhecimentos Tradicionais, Populares e das Artes</t>
  </si>
  <si>
    <t xml:space="preserve">{'valor': 'poder_publico', 'fundamento': 'SEFLI/MinC seleciona IFES com recurso federal.', 'em': '2026-10-02'}</t>
  </si>
  <si>
    <t xml:space="preserve">https://mapa.cultura.gov.br/oportunidade/11882/</t>
  </si>
  <si>
    <t xml:space="preserve">2026-10-24</t>
  </si>
  <si>
    <t xml:space="preserve">{'inicio': '2026-10-06', 'fim': '2026-10-24'}</t>
  </si>
  <si>
    <t xml:space="preserve">informado (motor agregadores · mapas-culturais, 2026-10-04)</t>
  </si>
  <si>
    <t xml:space="preserve">Seleção de projetos de IFES para ciclos de saberes com Mestras e Mestres das culturas trad</t>
  </si>
  <si>
    <t xml:space="preserve">06/10/2026 12h a 24/10/2026 23h59 (ainda não abertas em 03/10)</t>
  </si>
  <si>
    <t xml:space="preserve">R$ 5 milhões no total; Categoria A até 7 projetos de até R$ 500 mil</t>
  </si>
  <si>
    <t xml:space="preserve">Ministério da Cultura, SEFLI</t>
  </si>
  <si>
    <t xml:space="preserve">Somente Instituições Federais de Ensino Superior (IFES)</t>
  </si>
  <si>
    <t xml:space="preserve">Cultura e Educação</t>
  </si>
  <si>
    <t xml:space="preserve">op-73969c87ed7a</t>
  </si>
  <si>
    <t xml:space="preserve">Programa abre inscrições para apoiar projetos socioambientais com até R$ 70 mil — Brasil</t>
  </si>
  <si>
    <t xml:space="preserve">Programa abre inscrições para apoiar projetos socioambientais com até R$ 70 mil</t>
  </si>
  <si>
    <t xml:space="preserve">{'valor': 'iniciativa_privada', 'fundamento': 'Auren Energia (empresa) publica e financia com recurso próprio do Programa de Educação Socioambiental.', 'em': '2026-10-02'}</t>
  </si>
  <si>
    <t xml:space="preserve">https://monitorsocial.org.br/auren/edital/22-programa-movimento-sustentavel-ciclo-20262027</t>
  </si>
  <si>
    <t xml:space="preserve">Programa Movimento Sustentável – ciclo 2026/2027</t>
  </si>
  <si>
    <t xml:space="preserve">2026-05-31</t>
  </si>
  <si>
    <t xml:space="preserve">R$ 70 mil (3 selecionados)</t>
  </si>
  <si>
    <t xml:space="preserve">Auren Energia</t>
  </si>
  <si>
    <t xml:space="preserve">BA; RN; PE; PI; SP; MG; MS; RS</t>
  </si>
  <si>
    <t xml:space="preserve">op-f56af6746514</t>
  </si>
  <si>
    <t xml:space="preserve">Projetos de impacto social podem concorrer a prêmio internacional de 100 mil euros — Brasil</t>
  </si>
  <si>
    <t xml:space="preserve">Projetos de impacto social podem concorrer a prêmio internacional de 100 mil euros</t>
  </si>
  <si>
    <t xml:space="preserve">{'valor': 'iniciativa_privada', 'fundamento': 'iF International Forum Design GmbH (empresa privada alemã) com recurso próprio.', 'em': '2026-10-02'}</t>
  </si>
  <si>
    <t xml:space="preserve">https://ifdesign.com/en/if-social-impact-prize</t>
  </si>
  <si>
    <t xml:space="preserve">op-85b0c7635132</t>
  </si>
  <si>
    <t xml:space="preserve">SBPC vai à Escola: Atividades de Educação, Divulgação Científica, Tecnológica e de Inovação (programa 24000) — Brasil</t>
  </si>
  <si>
    <t xml:space="preserve">SBPC vai à Escola: Atividades de Educação, Divulgação Científica, Tecnológica e de Inovação (programa 24000)</t>
  </si>
  <si>
    <t xml:space="preserve">MINISTÉRIO DA CIÊNCIA, TECNOLOGIA E INOVAÇÃO</t>
  </si>
  <si>
    <t xml:space="preserve">{'valor': 'poder_publico', 'fundamento': 'Programa do MCTI executado pelo CNPq, recurso da União (ação 00006702).', 'em': '2026-10-02'}</t>
  </si>
  <si>
    <t xml:space="preserve">https://discricionarias.transferegov.sistema.gov.br/voluntarias/programa/ConsultarPrograma/ConsultarPrograma.do#programa-24000</t>
  </si>
  <si>
    <t xml:space="preserve">op-8e7fd261e620</t>
  </si>
  <si>
    <t xml:space="preserve">Teste edital 0026 — Brasil</t>
  </si>
  <si>
    <t xml:space="preserve">TESTE EDITAL 0026</t>
  </si>
  <si>
    <t xml:space="preserve">{'valor': 'poder_publico', 'fundamento': 'Registro técnico na plataforma do MinC, sem recurso.', 'em': '2026-10-02'}</t>
  </si>
  <si>
    <t xml:space="preserve">https://mapa.cultura.gov.br/oportunidade/6873/</t>
  </si>
  <si>
    <t xml:space="preserve">op-240223454221</t>
  </si>
  <si>
    <t xml:space="preserve">Teste edital com parecerista — Brasil</t>
  </si>
  <si>
    <t xml:space="preserve">TESTE EDITAL COM PARECERISTA</t>
  </si>
  <si>
    <t xml:space="preserve">https://mapa.cultura.gov.br/oportunidade/6876/</t>
  </si>
  <si>
    <t xml:space="preserve">op-84c6ec96a3d5</t>
  </si>
  <si>
    <t xml:space="preserve">Teatre Nu abre la 5ª Convocatoria de Residencias Iberoamericanas de Creación Escénica para 2026 [Sant Martí de… — Brasil</t>
  </si>
  <si>
    <t xml:space="preserve">Teatre Nu abre la 5ª Convocatoria de Residencias Iberoamericanas de Creación Escénica para 2026 [Sant Martí de Tous, España]</t>
  </si>
  <si>
    <t xml:space="preserve">{'valor': 'mista', 'fundamento': 'Publica a companhia privada Teatre Nu; a convocatória é divulgada como ação de beneficiário do Iberescena (fundo intergovernamental) — origem exata do recurso não lida nas bases.', 'em': '2026-10-02'}</t>
  </si>
  <si>
    <t xml:space="preserve">https://iberescena.org/Noticias/2494</t>
  </si>
  <si>
    <t xml:space="preserve">op-1c23345c1591</t>
  </si>
  <si>
    <t xml:space="preserve">UNDEF CSO Round Table during the 70th session of the CSW | Democracy Fund — Brasil</t>
  </si>
  <si>
    <t xml:space="preserve">UNDEF CSO Round Table during the 70th session of the CSW | Democracy Fund</t>
  </si>
  <si>
    <t xml:space="preserve">{'valor': 'iniciativa_privada', 'fundamento': 'Organismo internacional (ONU/UNDEF) com recurso próprio; porém a página é só notícia.', 'em': '2026-10-02'}</t>
  </si>
  <si>
    <t xml:space="preserve">https://www.un.org/democracyfund/en/news/undef-cso-round-table-during-70th-session-csw</t>
  </si>
  <si>
    <t xml:space="preserve">op-14b865b03df4</t>
  </si>
  <si>
    <t xml:space="preserve">Vital Strategies lança edital com apoio de até R$ 800 mil para projetos de saúde mental infantojuvenil — São Paulo</t>
  </si>
  <si>
    <t xml:space="preserve">Vital Strategies lança edital com apoio de até R$ 800 mil para projetos de saúde mental infantojuvenil</t>
  </si>
  <si>
    <t xml:space="preserve">{'valor': 'iniciativa_privada', 'fundamento': 'Organização internacional sem fins lucrativos (Vital Strategies) com recurso do Google.org.', 'em': '2026-10-02'}</t>
  </si>
  <si>
    <t xml:space="preserve">https://www.vitalstrategies.org/resources/dados-e-ia-para-promocao-da-saude-mental-de-criancas-e-adolescentes/</t>
  </si>
  <si>
    <t xml:space="preserve">Desafio Dados e IA para Saúde Mental de Crianças e Adolescentes</t>
  </si>
  <si>
    <t xml:space="preserve">R$ 3.500.000,00 (valor total)</t>
  </si>
  <si>
    <t xml:space="preserve">Vital Strategies Brasil / Google.org</t>
  </si>
  <si>
    <t xml:space="preserve">op-e447cd656ca7</t>
  </si>
  <si>
    <t xml:space="preserve">Zurich Seguros abre edital de programa de capacitação e mentoria para organizações sociais — Brasil</t>
  </si>
  <si>
    <t xml:space="preserve">Zurich Seguros abre edital de programa de capacitação e mentoria para organizações sociais</t>
  </si>
  <si>
    <t xml:space="preserve">{'valor': 'iniciativa_privada', 'fundamento': "Empresa privada (Zurich) com recurso próprio — '100% custeado pela Zurich'.", 'em': '2026-10-02'}</t>
  </si>
  <si>
    <t xml:space="preserve">https://www.zurich.com.br/zurich-impulsiona</t>
  </si>
  <si>
    <t xml:space="preserve">Zurich Impulsiona 2026 (capacitação e mentoria)</t>
  </si>
  <si>
    <t xml:space="preserve">capacitação e incentivo financeiro (valor não informado)</t>
  </si>
  <si>
    <t xml:space="preserve">Zurich Seguros / Civicus</t>
  </si>
  <si>
    <t xml:space="preserve">{'observacao': 'VERIFICADO em 03/10/2026 (página oficial Zurich Impulsiona): programa de capacitação e mentoria para OSCs, com a Civicus; edição 2026 com inscrições encerradas e seleção concluída; edição anterior não localizada (a linha de leis de incentivo da Zurich é outro programa).'}</t>
  </si>
  <si>
    <t xml:space="preserve">op-9f5a677ee70e</t>
  </si>
  <si>
    <t xml:space="preserve">Plataforma_pid | Linktree — Brasil</t>
  </si>
  <si>
    <t xml:space="preserve">plataforma_pid | Linktree</t>
  </si>
  <si>
    <t xml:space="preserve">{'valor': 'poder_publico', 'fundamento': 'Convocado por programa intergovernamental (IBERESCENA) e pela SEGIB com a PID; divulgado pela Funarte (gov.br).', 'em': '2026-10-02'}</t>
  </si>
  <si>
    <t xml:space="preserve">https://www.gov.br/funarte/pt-br/editais/2026/premio-ibero-americano-de-danca</t>
  </si>
  <si>
    <t xml:space="preserve">Prêmio Ibero-Americano de Dança</t>
  </si>
  <si>
    <t xml:space="preserve">Funarte / Plataforma Iberoamericana de Danza</t>
  </si>
  <si>
    <t xml:space="preserve">op-93ca37655d0d</t>
  </si>
  <si>
    <t xml:space="preserve">BNDES abre edital de R$ 35 milhões para fortalecer organizações sociais do Norte e Nordeste — Brasil</t>
  </si>
  <si>
    <t xml:space="preserve">BNDES abre edital de R$ 35 milhões para fortalecer organizações sociais do Norte e Nordeste</t>
  </si>
  <si>
    <t xml:space="preserve">https://www.ekloos.org/periferiasfortes</t>
  </si>
  <si>
    <t xml:space="preserve">BNDES Periferias Fortes – Nordeste</t>
  </si>
  <si>
    <t xml:space="preserve">até R$ 300 mil (médio porte); R$ 100 mil (pequeno porte)</t>
  </si>
  <si>
    <t xml:space="preserve">BNDES / Instituto Ekloos</t>
  </si>
  <si>
    <t xml:space="preserve">Nordeste</t>
  </si>
  <si>
    <t xml:space="preserve">op-a6eaa22c8e5f</t>
  </si>
  <si>
    <t xml:space="preserve">Credenciamento de artistas, músicos e bandas para eventual contratação considerando a disponibilidade da… — mu… — Brasil</t>
  </si>
  <si>
    <t xml:space="preserve">CREDENCIAMENTO DE ARTISTAS, MÚSICOS E BANDAS PARA EVENTUAL CONTRATAÇÃO CONSIDERANDO A DISPONIBILIDADE DA… — MUNICIPIO DE PILAR</t>
  </si>
  <si>
    <t xml:space="preserve">https://pncp.gov.br/app/editais/12200150000128/2026/82</t>
  </si>
  <si>
    <t xml:space="preserve">op-b8513b87a973</t>
  </si>
  <si>
    <t xml:space="preserve">º edital de chamamento público para realização do programa de arte e cultura digital no ceará — Ceará</t>
  </si>
  <si>
    <t xml:space="preserve">1º EDITAL DE CHAMAMENTO PÚBLICO PARA REALIZAÇÃO DO PROGRAMA DE ARTE E CULTURA DIGITAL NO CEARÁ</t>
  </si>
  <si>
    <t xml:space="preserve">https://mapacultural.secult.ce.gov.br/oportunidade/8263/</t>
  </si>
  <si>
    <t xml:space="preserve">{'inicio': '2026-09-29', 'fim': '2026-10-14'}</t>
  </si>
  <si>
    <t xml:space="preserve">Seleção de 1 OSC para executar o Programa de Arte e Cultura Digital no Ceará, em mútua coo</t>
  </si>
  <si>
    <t xml:space="preserve">29/09/2026 a 14/10/2026 (conhecimento público 28/08 a 28/09/2026)</t>
  </si>
  <si>
    <t xml:space="preserve">Resultado preliminar e dos recursos divulgados no site da Secult e no Mapa Cultural; data</t>
  </si>
  <si>
    <t xml:space="preserve">Até 5 dias corridos a contar do dia útil seguinte à publicação do resultado preliminar</t>
  </si>
  <si>
    <t xml:space="preserve">R$ 1.000.000,00 (valor global da parceria)</t>
  </si>
  <si>
    <t xml:space="preserve">Secretaria da Cultura do Ceará (Secult Ceará), PNAB</t>
  </si>
  <si>
    <t xml:space="preserve">Estado do Ceará; OSC com domicílio no Ceará há 2 anos</t>
  </si>
  <si>
    <t xml:space="preserve">OSC domiciliada no CE há 2 anos, com atuação cultural comprovada por portfólio ou clipping</t>
  </si>
  <si>
    <t xml:space="preserve">Anexos 1 a 5: termo de referência, plano de trabalho, termo de responsabilidade, declaraçã</t>
  </si>
  <si>
    <t xml:space="preserve">Parceria para o Programa de Arte e Cultura Digital no Ceará (recursos da PNAB)</t>
  </si>
  <si>
    <t xml:space="preserve">Cultura e arte digital (gamearte, bioarte, animação digital)</t>
  </si>
  <si>
    <t xml:space="preserve">op-81d969c2909f</t>
  </si>
  <si>
    <t xml:space="preserve">º edital de circulação e intercâmbio cultural — Ceará</t>
  </si>
  <si>
    <t xml:space="preserve">1º EDITAL DE CIRCULAÇÃO E INTERCÂMBIO CULTURAL</t>
  </si>
  <si>
    <t xml:space="preserve">https://mapacultural.secult.ce.gov.br/oportunidade/8086/</t>
  </si>
  <si>
    <t xml:space="preserve">2026-07-27</t>
  </si>
  <si>
    <t xml:space="preserve">2027-05-31</t>
  </si>
  <si>
    <t xml:space="preserve">{'inicio': '2026-07-27', 'fim': '2027-05-31'}</t>
  </si>
  <si>
    <t xml:space="preserve">Apoio a custeio de locomoção e ajuda de custo de profissionais da cultura</t>
  </si>
  <si>
    <t xml:space="preserve">27/07/2026 a 31/05/2027 às 23:59</t>
  </si>
  <si>
    <t xml:space="preserve">Até R$ 40 mil (Mod. 1), R$ 20 mil (Mod. 2), R$ 10 mil (Mod. 3)</t>
  </si>
  <si>
    <t xml:space="preserve">Secretaria da Cultura do Ceará (Secult-CE)</t>
  </si>
  <si>
    <t xml:space="preserve">Estado do Ceará</t>
  </si>
  <si>
    <t xml:space="preserve">Despesas de locomoção e ajuda de custo para circulação cultural</t>
  </si>
  <si>
    <t xml:space="preserve">op-ffb7d2405071</t>
  </si>
  <si>
    <t xml:space="preserve">Aulas de Capoeira Gratuitas — Ceará</t>
  </si>
  <si>
    <t xml:space="preserve">Aulas de Capoeira Gratuitas</t>
  </si>
  <si>
    <t xml:space="preserve">https://mapacultural.secult.ce.gov.br/oportunidade/5718/</t>
  </si>
  <si>
    <t xml:space="preserve">op-179a80157cb6</t>
  </si>
  <si>
    <t xml:space="preserve">Credenciamento de bandas e djs para apresentacoes musicais nos diversos polos do ciclo carnavalesco de 2027 — … — Brasil</t>
  </si>
  <si>
    <t xml:space="preserve">CREDENCIAMENTO DE BANDAS E DJS PARA APRESENTACOES MUSICAIS NOS DIVERSOS POLOS DO CICLO CARNAVALESCO DE 2027 — MUNICIPIO DE FORTALEZA</t>
  </si>
  <si>
    <t xml:space="preserve">MUNICIPIO DE FORTALEZA</t>
  </si>
  <si>
    <t xml:space="preserve">https://pncp.gov.br/app/editais/07954605000160/2026/956</t>
  </si>
  <si>
    <t xml:space="preserve">op-3cbf27b6fc5f</t>
  </si>
  <si>
    <t xml:space="preserve">Chamada Secult Ceará - Política de Cotas Raciais — Ceará</t>
  </si>
  <si>
    <t xml:space="preserve">Chamada Secult Ceará - Política de Cotas Raciais</t>
  </si>
  <si>
    <t xml:space="preserve">https://mapacultural.secult.ce.gov.br/oportunidade/5522/</t>
  </si>
  <si>
    <t xml:space="preserve">op-d980afbed25c</t>
  </si>
  <si>
    <t xml:space="preserve">Credenciamento a eventual contratação de artistas ou grupos artísticos (sanfoneiro ou grupo) para… — MUNICIPIO… — Brasil</t>
  </si>
  <si>
    <t xml:space="preserve">Credenciamento a eventual contratação de artistas ou grupos artísticos (sanfoneiro ou grupo) para… — MUNICIPIO DE ALTANEIRA</t>
  </si>
  <si>
    <t xml:space="preserve">MUNICIPIO DE ALTANEIRA</t>
  </si>
  <si>
    <t xml:space="preserve">https://pncp.gov.br/app/editais/07385503000171/2026/41</t>
  </si>
  <si>
    <t xml:space="preserve">op-8d3594141336</t>
  </si>
  <si>
    <t xml:space="preserve">Edital de blocos e agremiações do ciclo carnavalesco 2027 - secultfor — Ceará</t>
  </si>
  <si>
    <t xml:space="preserve">EDITAL DE BLOCOS E AGREMIAÇÕES DO CICLO CARNAVALESCO 2027 - SECULTFOR</t>
  </si>
  <si>
    <t xml:space="preserve">https://mapacultural.secult.ce.gov.br/oportunidade/8307/</t>
  </si>
  <si>
    <t xml:space="preserve">{'inicio': '2026-09-21', 'fim': '2026-10-13'}</t>
  </si>
  <si>
    <t xml:space="preserve">Destinação</t>
  </si>
  <si>
    <t xml:space="preserve">Seleção, reconhecimento, apoio e fomento a projetos de grupos do ciclo carnavalesco de For</t>
  </si>
  <si>
    <t xml:space="preserve">21/09/2026 a 13/10/2026</t>
  </si>
  <si>
    <t xml:space="preserve">Resultado final de seleção e manifestação aos recursos elaborados pela SECULTFOR e encamin</t>
  </si>
  <si>
    <t xml:space="preserve">3 dias úteis a contar do primeiro dia útil seguinte à publicação do resultado preliminar</t>
  </si>
  <si>
    <t xml:space="preserve">Valores por categoria, p.ex. Blocos de Rua Secretaria Regional 1: R$ 20.000,00 por apresen</t>
  </si>
  <si>
    <t xml:space="preserve">Secretaria Municipal da Cultura de Fortaleza (SECULTFOR)</t>
  </si>
  <si>
    <t xml:space="preserve">Município de Fortaleza/CE</t>
  </si>
  <si>
    <t xml:space="preserve">Pessoa física maior de 18 anos que represente grupo sem constituição formal, MEI, e demais</t>
  </si>
  <si>
    <t xml:space="preserve">Anexos I e II critérios de avaliação, III termo de autorização, IV carta de anuência, V pl</t>
  </si>
  <si>
    <t xml:space="preserve">Cultura (carnaval: blocos e agremiações)</t>
  </si>
  <si>
    <t xml:space="preserve">op-3ded69a3257b</t>
  </si>
  <si>
    <t xml:space="preserve">Edital de chamamento público nº 001/2026 seleção de projetos para firmar termo de execução cultural com recurs… — Ceará</t>
  </si>
  <si>
    <t xml:space="preserve">EDITAL DE CHAMAMENTO PÚBLICO Nº 001/2026 SELEÇÃO DE PROJETOS PARA FIRMAR TERMO DE EXECUÇÃO CULTURAL COM RECURSOS DA POLÍTICA NACIONAL ALDIR BLANC DE FOMENTO À C</t>
  </si>
  <si>
    <t xml:space="preserve">https://mapacultural.secult.ce.gov.br/oportunidade/8397/</t>
  </si>
  <si>
    <t xml:space="preserve">{'inicio': '2026-10-01', 'fim': '2026-10-12'}</t>
  </si>
  <si>
    <t xml:space="preserve">Seleção de projetos culturais para apoio financeiro nas categorias do Anexo I (PNAB, edita</t>
  </si>
  <si>
    <t xml:space="preserve">01/10/2026 a 12/10/2026 (23h59)</t>
  </si>
  <si>
    <t xml:space="preserve">Resultado preliminar em 03/11/2026; resultado final no Diário Oficial do Município após os</t>
  </si>
  <si>
    <t xml:space="preserve">04/11/2026 a 06/11/2026 (3 dias corridos), por meio físico</t>
  </si>
  <si>
    <t xml:space="preserve">R$ 140.000,00 no total, valor por projeto conforme categoria do Anexo I</t>
  </si>
  <si>
    <t xml:space="preserve">Secretaria do Esporte, Cultura e Turismo de São Benedito/CE</t>
  </si>
  <si>
    <t xml:space="preserve">Município de São Benedito/CE</t>
  </si>
  <si>
    <t xml:space="preserve">Agente cultural que atua e reside em São Benedito há 2 anos e apresenta declaração de regu</t>
  </si>
  <si>
    <t xml:space="preserve">Anexo I categorias, plano de trabalho, critérios, termo de execução cultural, relatório, d</t>
  </si>
  <si>
    <t xml:space="preserve">op-6bda6dfe5c3a</t>
  </si>
  <si>
    <t xml:space="preserve">Edital de chamamento público nº 006/2026- secult - para credenciamento de pareceristas para avaliação de proje… — Ceará</t>
  </si>
  <si>
    <t xml:space="preserve">EDITAL DE CHAMAMENTO PÚBLICO Nº 006/2026- SECULT - PARA CREDENCIAMENTO DE PARECERISTAS PARA AVALIAÇÃO DE PROJETOS CULTURAIS – POLITICA NACIONAL ALDIR BLANC-PNAB</t>
  </si>
  <si>
    <t xml:space="preserve">https://mapacultural.secult.ce.gov.br/oportunidade/7758/</t>
  </si>
  <si>
    <t xml:space="preserve">op-b0b7907b3149</t>
  </si>
  <si>
    <t xml:space="preserve">Edital de pesquisadores(as) e curadores do ciclo de cultura popular do ceará — Ceará</t>
  </si>
  <si>
    <t xml:space="preserve">EDITAL DE PESQUISADORES(AS) E CURADORES DO CICLO DE CULTURA POPULAR DO CEARÁ</t>
  </si>
  <si>
    <t xml:space="preserve">https://mapacultural.secult.ce.gov.br/oportunidade/8377/</t>
  </si>
  <si>
    <t xml:space="preserve">op-9c60730811cb</t>
  </si>
  <si>
    <t xml:space="preserve">Escola de Cultura Viver Capoeira — Ceará</t>
  </si>
  <si>
    <t xml:space="preserve">Escola de Cultura Viver Capoeira</t>
  </si>
  <si>
    <t xml:space="preserve">https://mapacultural.secult.ce.gov.br/oportunidade/574/</t>
  </si>
  <si>
    <t xml:space="preserve">op-bc54a22567bf</t>
  </si>
  <si>
    <t xml:space="preserve">Secultfor - edital de seleção simplificada de artistas em situação de rua ou em processo de superação da situa… — Ceará</t>
  </si>
  <si>
    <t xml:space="preserve">SECULTFOR - EDITAL DE SELEÇÃO SIMPLIFICADA DE ARTISTAS EM SITUAÇÃO DE RUA OU EM PROCESSO DE SUPERAÇÃO DA SITUAÇÃO DE RUA | PROJETO VOZES DA RUA</t>
  </si>
  <si>
    <t xml:space="preserve">https://mapacultural.secult.ce.gov.br/oportunidade/8387/</t>
  </si>
  <si>
    <t xml:space="preserve">op-f4fbe90a92ff</t>
  </si>
  <si>
    <t xml:space="preserve">Credenciamento de interessados em expor e comercializar material literário na 13° feira do livro de atlântida…… — Brasil</t>
  </si>
  <si>
    <t xml:space="preserve">CREDENCIAMENTO DE INTERESSADOS EM EXPOR E COMERCIALIZAR MATERIAL LITERÁRIO na 13° Feira do Livro de Atlântida… — MUNICIPIO DE OSORIO</t>
  </si>
  <si>
    <t xml:space="preserve">https://pncp.gov.br/app/editais/88814181000130/2026/7</t>
  </si>
  <si>
    <t xml:space="preserve">op-19ac1d272fcb</t>
  </si>
  <si>
    <t xml:space="preserve">Chamamento publico visando o credenciamento de artistas bandas e grupos musicais locais constituidos como… — M… — Brasil</t>
  </si>
  <si>
    <t xml:space="preserve">Chamamento publico visando o credenciamento de artistas bandas e grupos musicais locais constituidos como… — MUNICIPIO DE ENCRUZILHADA DO SUL</t>
  </si>
  <si>
    <t xml:space="preserve">MUNICIPIO DE ENCRUZILHADA DO SUL</t>
  </si>
  <si>
    <t xml:space="preserve">https://pncp.gov.br/app/editais/89363642000169/2026/1161</t>
  </si>
  <si>
    <t xml:space="preserve">op-f2ec03dd041c</t>
  </si>
  <si>
    <t xml:space="preserve">Credenciamento de ARTISTAS BANDAS e GRUPOS MUSICAIS LOCAIS constituidos como pessoas juridicas visando… — MUNI… — Brasil</t>
  </si>
  <si>
    <t xml:space="preserve">Credenciamento de ARTISTAS BANDAS e GRUPOS MUSICAIS LOCAIS constituidos como pessoas juridicas visando… — MUNICIPIO DE ENCRUZILHADA DO SUL</t>
  </si>
  <si>
    <t xml:space="preserve">https://pncp.gov.br/app/editais/89363642000169/2026/1223</t>
  </si>
  <si>
    <t xml:space="preserve">op-61fcf2102160</t>
  </si>
  <si>
    <t xml:space="preserve">Chamamento de interessados para credenciamento, a fim de contratação de objeto de credenciamento de artistas… … — Brasil</t>
  </si>
  <si>
    <t xml:space="preserve">CHAMAMENTO DE INTERESSADOS PARA CREDENCIAMENTO, A FIM DE CONTRATAÇÃO DE OBJETO DE CREDENCIAMENTO DE ARTISTAS… — MUNICIPIO DE SAO JOSE DO CEDRO</t>
  </si>
  <si>
    <t xml:space="preserve">MUNICIPIO DE SAO JOSE DO CEDRO</t>
  </si>
  <si>
    <t xml:space="preserve">https://pncp.gov.br/app/editais/83026781000110/2026/190</t>
  </si>
  <si>
    <t xml:space="preserve">op-69be9808c660</t>
  </si>
  <si>
    <t xml:space="preserve">Credenciamento para contratação de artistas, oficineiros, instrutores, professores, mestres de saberes… — fund… — Brasil</t>
  </si>
  <si>
    <t xml:space="preserve">CREDENCIAMENTO PARA CONTRATAÇÃO DE ARTISTAS, OFICINEIROS, INSTRUTORES, PROFESSORES, MESTRES DE SABERES… — FUNDO MUNICIPAL DE CULTURA</t>
  </si>
  <si>
    <t xml:space="preserve">FUNDO MUNICIPAL DE CULTURA</t>
  </si>
  <si>
    <t xml:space="preserve">https://pncp.gov.br/app/editais/44705055000172/2026/3</t>
  </si>
  <si>
    <t xml:space="preserve">op-2a9c32aa766a</t>
  </si>
  <si>
    <t xml:space="preserve">Credenciamento de Bandas e artistas musicais. — MUNICIPIO DE OURO — Brasil</t>
  </si>
  <si>
    <t xml:space="preserve">Credenciamento de Bandas e artistas musicais. — MUNICIPIO DE OURO</t>
  </si>
  <si>
    <t xml:space="preserve">MUNICIPIO DE OURO</t>
  </si>
  <si>
    <t xml:space="preserve">https://pncp.gov.br/app/editais/82777228000157/2026/17</t>
  </si>
  <si>
    <t xml:space="preserve">op-95406ec3e808</t>
  </si>
  <si>
    <t xml:space="preserve">Credenciamento de artistas e bandas musicais locais e regionais, de diversos estilos, visando a futuras… — MUN… — Brasil</t>
  </si>
  <si>
    <t xml:space="preserve">Credenciamento de artistas e bandas musicais locais e regionais, de diversos estilos, visando a futuras… — MUNICIPIO DE ITAIOPOLIS</t>
  </si>
  <si>
    <t xml:space="preserve">MUNICIPIO DE ITAIOPOLIS</t>
  </si>
  <si>
    <t xml:space="preserve">https://pncp.gov.br/app/editais/83102517000119/2026/39</t>
  </si>
  <si>
    <t xml:space="preserve">op-86bbee68d78b</t>
  </si>
  <si>
    <t xml:space="preserve">Credenciamento de artistas regionais, representados por pessoa jurídica, para prestação de serviços de… — MUNI… — Brasil</t>
  </si>
  <si>
    <t xml:space="preserve">Credenciamento de artistas regionais, representados por pessoa jurídica, para prestação de serviços de… — MUNICIPIO DE IBIAM</t>
  </si>
  <si>
    <t xml:space="preserve">MUNICIPIO DE IBIAM</t>
  </si>
  <si>
    <t xml:space="preserve">https://pncp.gov.br/app/editais/01612745000174/2026/131</t>
  </si>
  <si>
    <t xml:space="preserve">op-c12d9e0013a9</t>
  </si>
  <si>
    <t xml:space="preserve">Credenciamento de bandas para prestação de serviços de animação musical e equipe de sonorização em eventos… — … — Brasil</t>
  </si>
  <si>
    <t xml:space="preserve">Credenciamento de bandas para prestação de serviços de animação musical e equipe de sonorização em eventos… — MUNICIPIO DE TUNAPOLIS</t>
  </si>
  <si>
    <t xml:space="preserve">MUNICIPIO DE TUNAPOLIS</t>
  </si>
  <si>
    <t xml:space="preserve">https://pncp.gov.br/app/editais/78486198000152/2026/159</t>
  </si>
  <si>
    <t xml:space="preserve">op-80fa1429b863</t>
  </si>
  <si>
    <t xml:space="preserve">Credenciamento de pessoa jurídica para execução de oficina de Macramê a ser desenvolvido no Município de… — MU… — Brasil</t>
  </si>
  <si>
    <t xml:space="preserve">Credenciamento de pessoa jurídica para execução de oficina de Macramê a ser desenvolvido no Município de… — MUNICIPIO DE VIDAL RAMOS</t>
  </si>
  <si>
    <t xml:space="preserve">MUNICIPIO DE VIDAL RAMOS</t>
  </si>
  <si>
    <t xml:space="preserve">https://pncp.gov.br/app/editais/83102376000134/2026/133</t>
  </si>
  <si>
    <t xml:space="preserve">op-0ffba7e4e181</t>
  </si>
  <si>
    <t xml:space="preserve">O presente processo de credenciamento de artista e profissionais de arte e cultura, tem como objetivo… — funda… — Brasil</t>
  </si>
  <si>
    <t xml:space="preserve">O PRESENTE PROCESSO DE CREDENCIAMENTO DE ARTISTA E PROFISSIONAIS DE ARTE E CULTURA, TEM COMO OBJETIVO… — FUNDACAO CULTURAL DE BRUSQUE</t>
  </si>
  <si>
    <t xml:space="preserve">FUNDACAO CULTURAL DE BRUSQUE</t>
  </si>
  <si>
    <t xml:space="preserve">https://pncp.gov.br/app/editais/04894677000171/2026/37</t>
  </si>
  <si>
    <t xml:space="preserve">op-7f7071ecf424</t>
  </si>
  <si>
    <t xml:space="preserve">Chamada pública para credenciamento de oficineiros para ministrar aulas nas turmas de eti – escola em tempo… —… — Brasil</t>
  </si>
  <si>
    <t xml:space="preserve">CHAMADA PÚBLICA PARA CREDENCIAMENTO DE OFICINEIROS PARA MINISTRAR AULAS NAS TURMAS DE ETI – ESCOLA EM TEMPO… — MUNICIPIO DE ELOI MENDES</t>
  </si>
  <si>
    <t xml:space="preserve">MUNICIPIO DE ELOI MENDES</t>
  </si>
  <si>
    <t xml:space="preserve">https://pncp.gov.br/app/editais/20347225000126/2026/86</t>
  </si>
  <si>
    <t xml:space="preserve">op-f169d35b6065</t>
  </si>
  <si>
    <t xml:space="preserve">Contratação de artistas locais e regionais para apresentações artísticas e culturais remunerada a hora por… — … — Brasil</t>
  </si>
  <si>
    <t xml:space="preserve">CONTRATAÇÃO DE ARTISTAS LOCAIS E REGIONAIS PARA APRESENTAÇÕES ARTÍSTICAS E CULTURAIS REMUNERADA A HORA POR… — MUNICIPIO DE ALVARENGA</t>
  </si>
  <si>
    <t xml:space="preserve">MUNICIPIO DE ALVARENGA</t>
  </si>
  <si>
    <t xml:space="preserve">https://pncp.gov.br/app/editais/19770288000101/2026/23</t>
  </si>
  <si>
    <t xml:space="preserve">op-75c21dd75ec7</t>
  </si>
  <si>
    <t xml:space="preserve">Contratação de shows artísticos ( bandas e/ou artistas) para apresentações musicais, em diferentes estilos… — … — Brasil</t>
  </si>
  <si>
    <t xml:space="preserve">CONTRATAÇÃO DE SHOWS ARTÍSTICOS ( BANDAS E/OU ARTISTAS) PARA APRESENTAÇÕES MUSICAIS, EM DIFERENTES ESTILOS… — MUNICIPIO DE IBIRACATU</t>
  </si>
  <si>
    <t xml:space="preserve">MUNICIPIO DE IBIRACATU</t>
  </si>
  <si>
    <t xml:space="preserve">https://pncp.gov.br/app/editais/01612477000190/2026/14</t>
  </si>
  <si>
    <t xml:space="preserve">op-086421c75e5b</t>
  </si>
  <si>
    <t xml:space="preserve">Credenciamento de artistas e/ou bandas musicais para realização de apresentações musicais ao vivo, visando… — … — Brasil</t>
  </si>
  <si>
    <t xml:space="preserve">CREDENCIAMENTO DE ARTISTAS E/OU BANDAS MUSICAIS PARA REALIZAÇÃO DE APRESENTAÇÕES MUSICAIS AO VIVO, VISANDO… — MUNICIPIO DE PIUMHI</t>
  </si>
  <si>
    <t xml:space="preserve">MUNICIPIO DE PIUMHI</t>
  </si>
  <si>
    <t xml:space="preserve">https://pncp.gov.br/app/editais/16781346000104/2026/81</t>
  </si>
  <si>
    <t xml:space="preserve">op-d0d78bef7578</t>
  </si>
  <si>
    <t xml:space="preserve">Credenciamento de artistas locais, com finalidade de promover apresentações nos eventos realizados na sede… — … — Brasil</t>
  </si>
  <si>
    <t xml:space="preserve">CREDENCIAMENTO DE ARTISTAS LOCAIS, COM FINALIDADE DE PROMOVER APRESENTAÇÕES NOS EVENTOS REALIZADOS NA SEDE… — MUNICIPIO DE MINAS NOVAS</t>
  </si>
  <si>
    <t xml:space="preserve">MUNICIPIO DE MINAS NOVAS</t>
  </si>
  <si>
    <t xml:space="preserve">https://pncp.gov.br/app/editais/22516405000110/2026/57</t>
  </si>
  <si>
    <t xml:space="preserve">op-aa52a1f4d990</t>
  </si>
  <si>
    <t xml:space="preserve">Credenciamento de artistas locais, para futura e eventual contratação de apresentações musicais do gênero… — m… — Brasil</t>
  </si>
  <si>
    <t xml:space="preserve">CREDENCIAMENTO DE ARTISTAS LOCAIS, PARA FUTURA E EVENTUAL CONTRATAÇÃO DE APRESENTAÇÕES MUSICAIS DO GÊNERO… — MUNICIPIO DE NINHEIRA</t>
  </si>
  <si>
    <t xml:space="preserve">MUNICIPIO DE NINHEIRA</t>
  </si>
  <si>
    <t xml:space="preserve">https://pncp.gov.br/app/editais/01612495000172/2026/159</t>
  </si>
  <si>
    <t xml:space="preserve">op-11357518d057</t>
  </si>
  <si>
    <t xml:space="preserve">Credenciamento de artistas, cantores, duplas, bandas, grupos musicais, djs, locutores/apresentadores, mestres…… — Brasil</t>
  </si>
  <si>
    <t xml:space="preserve">CREDENCIAMENTO DE ARTISTAS, CANTORES, DUPLAS, BANDAS, GRUPOS MUSICAIS, DJS, LOCUTORES/APRESENTADORES, MESTRES… — MUNICIPIO DE PASSABEM</t>
  </si>
  <si>
    <t xml:space="preserve">MUNICIPIO DE PASSABEM</t>
  </si>
  <si>
    <t xml:space="preserve">https://pncp.gov.br/app/editais/18299511000111/2026/30</t>
  </si>
  <si>
    <t xml:space="preserve">op-35951d75eea9</t>
  </si>
  <si>
    <t xml:space="preserve">Credenciamento de artistas, djs, duplas e bandas para realização de apresentações artísticas em eventos… — mun… — Brasil</t>
  </si>
  <si>
    <t xml:space="preserve">CREDENCIAMENTO DE ARTISTAS, DJS, DUPLAS E BANDAS PARA REALIZAÇÃO DE APRESENTAÇÕES ARTÍSTICAS EM EVENTOS… — MUNICIPIO DE URUANA DE MINAS</t>
  </si>
  <si>
    <t xml:space="preserve">MUNICIPIO DE URUANA DE MINAS</t>
  </si>
  <si>
    <t xml:space="preserve">https://pncp.gov.br/app/editais/01609942000134/2026/38</t>
  </si>
  <si>
    <t xml:space="preserve">op-07bbaca312c5</t>
  </si>
  <si>
    <t xml:space="preserve">Credenciamento de artistas, grupos e bandas musicais para realização de apresentações artísticas em eventos… —… — Brasil</t>
  </si>
  <si>
    <t xml:space="preserve">CREDENCIAMENTO DE ARTISTAS, GRUPOS E BANDAS MUSICAIS PARA REALIZAÇÃO DE APRESENTAÇÕES ARTÍSTICAS EM EVENTOS… — MUNICIPIO DE RIO VERMELHO</t>
  </si>
  <si>
    <t xml:space="preserve">MUNICIPIO DE RIO VERMELHO</t>
  </si>
  <si>
    <t xml:space="preserve">https://pncp.gov.br/app/editais/18303255000199/2026/37</t>
  </si>
  <si>
    <t xml:space="preserve">op-2cf694599fca</t>
  </si>
  <si>
    <t xml:space="preserve">Credenciamento de cantores e bandas locais e regionais, para a realização de apresentações musicais ao vivo… —… — Brasil</t>
  </si>
  <si>
    <t xml:space="preserve">CREDENCIAMENTO DE CANTORES E BANDAS LOCAIS E REGIONAIS, PARA A REALIZAÇÃO DE APRESENTAÇÕES MUSICAIS AO VIVO… — MUNICIPIO DE NOVA SERRANA</t>
  </si>
  <si>
    <t xml:space="preserve">MUNICIPIO DE NOVA SERRANA</t>
  </si>
  <si>
    <t xml:space="preserve">https://pncp.gov.br/app/editais/18291385000159/2026/13</t>
  </si>
  <si>
    <t xml:space="preserve">op-62be28037c2f</t>
  </si>
  <si>
    <t xml:space="preserve">Credenciamento de cantores, artistas solo e grupos musicais para atender aos eventos promovidos ou apoiados… —… — Brasil</t>
  </si>
  <si>
    <t xml:space="preserve">CREDENCIAMENTO DE CANTORES, ARTISTAS SOLO E GRUPOS MUSICAIS PARA ATENDER AOS EVENTOS PROMOVIDOS OU APOIADOS… — MUNICIPIO DE LAMIM</t>
  </si>
  <si>
    <t xml:space="preserve">MUNICIPIO DE LAMIM</t>
  </si>
  <si>
    <t xml:space="preserve">https://pncp.gov.br/app/editais/24179426000112/2026/52</t>
  </si>
  <si>
    <t xml:space="preserve">op-9239692e823f</t>
  </si>
  <si>
    <t xml:space="preserve">Credenciamento de shows artísticos, culturais e de entretenimento, compreenden-do bandas de pequeno, médio e… … — Brasil</t>
  </si>
  <si>
    <t xml:space="preserve">CREDENCIAMENTO DE SHOWS ARTÍSTICOS, CULTURAIS E DE ENTRETENIMENTO, COMPREENDEN-DO BANDAS DE PEQUENO, MÉDIO E… — MUNICIPIO DE PAI PEDRO</t>
  </si>
  <si>
    <t xml:space="preserve">MUNICIPIO DE PAI PEDRO</t>
  </si>
  <si>
    <t xml:space="preserve">https://pncp.gov.br/app/editais/01612479000180/2026/25</t>
  </si>
  <si>
    <t xml:space="preserve">op-926275aec149</t>
  </si>
  <si>
    <t xml:space="preserve">Credenciamento para contratação de bandas e artistas da terra, para apresentação de shows que atendam ao… — mu… — Brasil</t>
  </si>
  <si>
    <t xml:space="preserve">CREDENCIAMENTO PARA CONTRATAÇÃO DE BANDAS E ARTISTAS DA TERRA, PARA APRESENTAÇÃO DE SHOWS QUE ATENDAM AO… — MUNICIPIO DE CAMPO BELO</t>
  </si>
  <si>
    <t xml:space="preserve">MUNICIPIO DE CAMPO BELO</t>
  </si>
  <si>
    <t xml:space="preserve">https://pncp.gov.br/app/editais/18659334000137/2026/23</t>
  </si>
  <si>
    <t xml:space="preserve">op-193ed91ffb92</t>
  </si>
  <si>
    <t xml:space="preserve">Credenciamento, de artistas, bandas, grupos musicais e locutor profissional, para realização de apresentações…… — Brasil</t>
  </si>
  <si>
    <t xml:space="preserve">CREDENCIAMENTO, DE ARTISTAS, BANDAS, GRUPOS MUSICAIS E LOCUTOR PROFISSIONAL, PARA REALIZAÇÃO DE APRESENTAÇÕES… — MUNICIPIO DE SENADOR MODESTINO GONCALVES</t>
  </si>
  <si>
    <t xml:space="preserve">MUNICIPIO DE SENADOR MODESTINO GONCALVES</t>
  </si>
  <si>
    <t xml:space="preserve">https://pncp.gov.br/app/editais/17754110000141/2026/42</t>
  </si>
  <si>
    <t xml:space="preserve">op-3c1dcb1fdaef</t>
  </si>
  <si>
    <t xml:space="preserve">Chamamento Público/credenciamento de interessados para prestação de serviço de desenvolvimento de oficinas… — … — Brasil</t>
  </si>
  <si>
    <t xml:space="preserve">Chamamento Público/credenciamento de interessados para prestação de serviço de desenvolvimento de oficinas… — MUNICIPIO DE DOURADOQUARA</t>
  </si>
  <si>
    <t xml:space="preserve">MUNICIPIO DE DOURADOQUARA</t>
  </si>
  <si>
    <t xml:space="preserve">https://pncp.gov.br/app/editais/18158261000108/2026/25</t>
  </si>
  <si>
    <t xml:space="preserve">op-6c1c8098cd32</t>
  </si>
  <si>
    <t xml:space="preserve">Contratação de artistas, grupos musicais, culturais e profissionais de entretenimento para realização de… — MU… — Brasil</t>
  </si>
  <si>
    <t xml:space="preserve">Contratação de artistas, grupos musicais, culturais e profissionais de entretenimento para realização de… — MUNICIPIO DE SANTANA DO GARAMBEU</t>
  </si>
  <si>
    <t xml:space="preserve">MUNICIPIO DE SANTANA DO GARAMBEU</t>
  </si>
  <si>
    <t xml:space="preserve">https://pncp.gov.br/app/editais/18338285000130/2026/74</t>
  </si>
  <si>
    <t xml:space="preserve">op-393c8f46b952</t>
  </si>
  <si>
    <t xml:space="preserve">Credenciamento de artistas locais para eventual e futura contratação para apresentações de estilos variados… —… — Brasil</t>
  </si>
  <si>
    <t xml:space="preserve">Credenciamento de artistas locais para eventual e futura contratação para apresentações de estilos variados… — MUNICIPIO DE FERROS</t>
  </si>
  <si>
    <t xml:space="preserve">MUNICIPIO DE FERROS</t>
  </si>
  <si>
    <t xml:space="preserve">https://pncp.gov.br/app/editais/18299529000113/2026/23</t>
  </si>
  <si>
    <t xml:space="preserve">op-017b72d8d8d7</t>
  </si>
  <si>
    <t xml:space="preserve">Credenciamento de artistas locais, compreendendo músicos solos, duplas, bandas e DJs, devidamente… — MUNICIPIO… — Brasil</t>
  </si>
  <si>
    <t xml:space="preserve">Credenciamento de artistas locais, compreendendo músicos solos, duplas, bandas e DJs, devidamente… — MUNICIPIO DE BOM JESUS DA PENHA</t>
  </si>
  <si>
    <t xml:space="preserve">MUNICIPIO DE BOM JESUS DA PENHA</t>
  </si>
  <si>
    <t xml:space="preserve">https://pncp.gov.br/app/editais/18187815000197/2026/7</t>
  </si>
  <si>
    <t xml:space="preserve">op-4b5ba2a0c39b</t>
  </si>
  <si>
    <t xml:space="preserve">Credenciamento de artistas nas categorias de cantor solo, dupla, trio, bandas, DJ e locutor, para atender aos…… — Brasil</t>
  </si>
  <si>
    <t xml:space="preserve">Credenciamento de artistas nas categorias de cantor solo, dupla, trio, bandas, DJ e locutor, para atender aos… — MUNICIPIO DE PAULA CANDIDO</t>
  </si>
  <si>
    <t xml:space="preserve">MUNICIPIO DE PAULA CANDIDO</t>
  </si>
  <si>
    <t xml:space="preserve">https://pncp.gov.br/app/editais/17763715000107/2026/77</t>
  </si>
  <si>
    <t xml:space="preserve">op-e39e78948f6f</t>
  </si>
  <si>
    <t xml:space="preserve">Credenciamento de artistas, bandas ou grupos musicais amadores, de renome local, regional e estadual, para… — … — Brasil</t>
  </si>
  <si>
    <t xml:space="preserve">Credenciamento de artistas, bandas ou grupos musicais amadores, de renome local, regional e estadual, para… — MUNICIPIO DE GOUVEA</t>
  </si>
  <si>
    <t xml:space="preserve">MUNICIPIO DE GOUVEA</t>
  </si>
  <si>
    <t xml:space="preserve">https://pncp.gov.br/app/editais/17754144000136/2026/8</t>
  </si>
  <si>
    <t xml:space="preserve">op-bc20af83df87</t>
  </si>
  <si>
    <t xml:space="preserve">Credenciamento de artistas, bandas, grupos musicais, oficineiros e demais profissionais do setor cultural… — M… — Brasil</t>
  </si>
  <si>
    <t xml:space="preserve">Credenciamento de artistas, bandas, grupos musicais, oficineiros e demais profissionais do setor cultural… — MUNICIPIO DE ESPINOSA</t>
  </si>
  <si>
    <t xml:space="preserve">MUNICIPIO DE ESPINOSA</t>
  </si>
  <si>
    <t xml:space="preserve">https://pncp.gov.br/app/editais/18650952000116/2026/25</t>
  </si>
  <si>
    <t xml:space="preserve">op-61e0ff6d90c0</t>
  </si>
  <si>
    <t xml:space="preserve">Credenciamento de cantores e/ou grupos musicais locais para a realização de apresentações artísticas musicais…… — Brasil</t>
  </si>
  <si>
    <t xml:space="preserve">Credenciamento de cantores e/ou grupos musicais locais para a realização de apresentações artísticas musicais… — MUNICIPIO DE SAO JOSE DA VARGINHA</t>
  </si>
  <si>
    <t xml:space="preserve">MUNICIPIO DE SAO JOSE DA VARGINHA</t>
  </si>
  <si>
    <t xml:space="preserve">https://pncp.gov.br/app/editais/18313882000100/2026/5</t>
  </si>
  <si>
    <t xml:space="preserve">op-037225c7b6e8</t>
  </si>
  <si>
    <t xml:space="preserve">Credenciamento de comunicadores profissionais, serviço de fotografia e serviço de filmagem para prestação de… … — Brasil</t>
  </si>
  <si>
    <t xml:space="preserve">Credenciamento de comunicadores profissionais, serviço de fotografia e serviço de filmagem para prestação de… — MUNICIPIO DE DATAS</t>
  </si>
  <si>
    <t xml:space="preserve">MUNICIPIO DE DATAS</t>
  </si>
  <si>
    <t xml:space="preserve">https://pncp.gov.br/app/editais/17754193000179/2026/13</t>
  </si>
  <si>
    <t xml:space="preserve">op-bc0bf1616731</t>
  </si>
  <si>
    <t xml:space="preserve">Credenciamento de músicos, artistas, bandas, grupos musicais e demais profissionais/atrações artísticas… — MUN… — Brasil</t>
  </si>
  <si>
    <t xml:space="preserve">Credenciamento de músicos, artistas, bandas, grupos musicais e demais profissionais/atrações artísticas… — MUNICIPIO DE BELA VISTA DE MINAS</t>
  </si>
  <si>
    <t xml:space="preserve">MUNICIPIO DE BELA VISTA DE MINAS</t>
  </si>
  <si>
    <t xml:space="preserve">https://pncp.gov.br/app/editais/18311043000153/2026/47</t>
  </si>
  <si>
    <t xml:space="preserve">op-1b4512033ad6</t>
  </si>
  <si>
    <t xml:space="preserve">Credenciamento para contratação de artistas nas categorias cantor solo, banda, dupla e artista voz e violão… —… — Brasil</t>
  </si>
  <si>
    <t xml:space="preserve">Credenciamento para contratação de artistas nas categorias cantor solo, banda, dupla e artista voz e violão… — MUNICIPIO DE FRANCISCO DUMONT</t>
  </si>
  <si>
    <t xml:space="preserve">MUNICIPIO DE FRANCISCO DUMONT</t>
  </si>
  <si>
    <t xml:space="preserve">https://pncp.gov.br/app/editais/16885485000188/2026/24</t>
  </si>
  <si>
    <t xml:space="preserve">op-e1ae764b2a2a</t>
  </si>
  <si>
    <t xml:space="preserve">Credenciamento para contratação de serviços técnicos especializados em arte-educação para ministrar cursos… — … — Brasil</t>
  </si>
  <si>
    <t xml:space="preserve">Credenciamento para contratação de serviços técnicos especializados em arte-educação para ministrar cursos… — MUNICIPIO DE ITABIRITO</t>
  </si>
  <si>
    <t xml:space="preserve">MUNICIPIO DE ITABIRITO</t>
  </si>
  <si>
    <t xml:space="preserve">https://pncp.gov.br/app/editais/18307835000154/2027/4</t>
  </si>
  <si>
    <t xml:space="preserve">op-7805a9791e0c</t>
  </si>
  <si>
    <t xml:space="preserve">Credenciamento, de artistas locais e regionais para atender aos eventos culturais e esportivos promovidos… — M… — Brasil</t>
  </si>
  <si>
    <t xml:space="preserve">Credenciamento, de artistas locais e regionais para atender aos eventos culturais e esportivos promovidos… — MUNICIPIO DE CARMO DE MINAS</t>
  </si>
  <si>
    <t xml:space="preserve">MUNICIPIO DE CARMO DE MINAS</t>
  </si>
  <si>
    <t xml:space="preserve">https://pncp.gov.br/app/editais/18188243000160/2026/26</t>
  </si>
  <si>
    <t xml:space="preserve">op-a062baaa8e7c</t>
  </si>
  <si>
    <t xml:space="preserve">Edital Rio Doce Participativo e Comunitário abre seleção de projetos — Brasil</t>
  </si>
  <si>
    <t xml:space="preserve">Edital Rio Doce Participativo e Comunitário abre seleção de projetos</t>
  </si>
  <si>
    <t xml:space="preserve">op-c6263415eeb1</t>
  </si>
  <si>
    <t xml:space="preserve">Credenciamento de microempreendedores individuais, microempresas ou pessoas jurídicas interessadas na… — MUNIC… — Brasil</t>
  </si>
  <si>
    <t xml:space="preserve">credenciamento de microempreendedores individuais, microempresas ou pessoas jurídicas interessadas na… — MUNICIPIO DE AIMORES</t>
  </si>
  <si>
    <t xml:space="preserve">MUNICIPIO DE AIMORES</t>
  </si>
  <si>
    <t xml:space="preserve">https://pncp.gov.br/app/editais/18348094000150/2026/97</t>
  </si>
  <si>
    <t xml:space="preserve">op-cde279556a57</t>
  </si>
  <si>
    <t xml:space="preserve">Credenciamento de artistas de viana ciclo 2 — Espírito Santo</t>
  </si>
  <si>
    <t xml:space="preserve">CREDENCIAMENTO DE ARTISTAS DE VIANA CICLO 2</t>
  </si>
  <si>
    <t xml:space="preserve">https://mapa.cultura.es.gov.br/oportunidade/2544/</t>
  </si>
  <si>
    <t xml:space="preserve">op-aaf8d4db5453</t>
  </si>
  <si>
    <t xml:space="preserve">Credenciamento Circuito Avessinho 2025/2026 — Espírito Santo</t>
  </si>
  <si>
    <t xml:space="preserve">Credenciamento Circuito Avessinho 2025/2026</t>
  </si>
  <si>
    <t xml:space="preserve">https://mapa.cultura.es.gov.br/oportunidade/2168/</t>
  </si>
  <si>
    <t xml:space="preserve">op-46adb58a39be</t>
  </si>
  <si>
    <t xml:space="preserve">Ecologia do Encontro — Espírito Santo</t>
  </si>
  <si>
    <t xml:space="preserve">Ecologia do Encontro</t>
  </si>
  <si>
    <t xml:space="preserve">https://mapa.cultura.es.gov.br/oportunidade/2354/</t>
  </si>
  <si>
    <t xml:space="preserve">op-6b528a6e15e6</t>
  </si>
  <si>
    <t xml:space="preserve">Funcultura - Edital 01/2026 - Circulação e intercâmbio - Viagens a partir de dezembro — Espírito Santo</t>
  </si>
  <si>
    <t xml:space="preserve">Funcultura - Edital 01/2026 - Circulação e intercâmbio - Viagens a partir de dezembro</t>
  </si>
  <si>
    <t xml:space="preserve">https://mapa.cultura.es.gov.br/oportunidade/2656/</t>
  </si>
  <si>
    <t xml:space="preserve">{'inicio': '2026-09-30', 'fim': '2026-10-30'}</t>
  </si>
  <si>
    <t xml:space="preserve">Funcultura Edital 01/2026: apoio a custeio de locomoção e diárias de profissionais da cult</t>
  </si>
  <si>
    <t xml:space="preserve">30/09/2026 a 30/10/2026 18h</t>
  </si>
  <si>
    <t xml:space="preserve">Secretaria da Cultura do Estado do Espírito Santo (Secult-ES)</t>
  </si>
  <si>
    <t xml:space="preserve">Espírito Santo</t>
  </si>
  <si>
    <t xml:space="preserve">Regulamento (edital-diagramado-1.pdf)</t>
  </si>
  <si>
    <t xml:space="preserve">custeio de viagens (diárias e locomoção); viagens a partir de 10/12/2026</t>
  </si>
  <si>
    <t xml:space="preserve">op-6a7ae314fd4f</t>
  </si>
  <si>
    <t xml:space="preserve">I Mostra e Festival Forró Pé de Serra de Colatina — Espírito Santo</t>
  </si>
  <si>
    <t xml:space="preserve">I Mostra e Festival Forró Pé de Serra de Colatina</t>
  </si>
  <si>
    <t xml:space="preserve">https://mapa.cultura.es.gov.br/oportunidade/2352/</t>
  </si>
  <si>
    <t xml:space="preserve">op-183ade3a4be3</t>
  </si>
  <si>
    <t xml:space="preserve">PNAB DIVINO SÃO LOURENÇO - 02/2026 - Seleção de projetos para firmar termo de execução cultural — Espírito Santo</t>
  </si>
  <si>
    <t xml:space="preserve">PNAB DIVINO SÃO LOURENÇO - 02/2026 - Seleção de projetos para firmar termo de execução cultural</t>
  </si>
  <si>
    <t xml:space="preserve">https://mapa.cultura.es.gov.br/oportunidade/2578/</t>
  </si>
  <si>
    <t xml:space="preserve">{'inicio': '2026-09-14', 'fim': '2026-10-20'}</t>
  </si>
  <si>
    <t xml:space="preserve">PNAB Divino São Lourenço 02/2026: seleção de projetos culturais com apoio financeiro (Múlt</t>
  </si>
  <si>
    <t xml:space="preserve">14/09/2026 a 20/10/2026 23h59</t>
  </si>
  <si>
    <t xml:space="preserve">Secretaria Municipal de Cultura de Divino de São Lourenço</t>
  </si>
  <si>
    <t xml:space="preserve">Divino de São Lourenço/ES</t>
  </si>
  <si>
    <t xml:space="preserve">municipal, com recursos PNAB</t>
  </si>
  <si>
    <t xml:space="preserve">apoio financeiro por termo de execução cultural</t>
  </si>
  <si>
    <t xml:space="preserve">op-d1d66e5324d0</t>
  </si>
  <si>
    <t xml:space="preserve">Projeto Palco Livre De Vila Pavão - Fase 2 — Espírito Santo</t>
  </si>
  <si>
    <t xml:space="preserve">Projeto Palco Livre De Vila Pavão - Fase 2</t>
  </si>
  <si>
    <t xml:space="preserve">https://mapa.cultura.es.gov.br/oportunidade/2557/</t>
  </si>
  <si>
    <t xml:space="preserve">op-cd75b2897141</t>
  </si>
  <si>
    <t xml:space="preserve">Seleção de bailarinos e bailarinas para compor o coletivo de Dança contemporânea Gáspea — Espírito Santo</t>
  </si>
  <si>
    <t xml:space="preserve">Seleção de bailarinos e bailarinas para compor o coletivo de Dança contemporânea Gáspea</t>
  </si>
  <si>
    <t xml:space="preserve">https://mapa.cultura.es.gov.br/oportunidade/2161/</t>
  </si>
  <si>
    <t xml:space="preserve">op-3722e6fbb0ad</t>
  </si>
  <si>
    <t xml:space="preserve">Tela Plus – Plataforma de Streaming dedicada aos produtores independentes Capixaba. — Espírito Santo</t>
  </si>
  <si>
    <t xml:space="preserve">Tela Plus – Plataforma de Streaming dedicada aos produtores independentes Capixaba.</t>
  </si>
  <si>
    <t xml:space="preserve">https://mapa.cultura.es.gov.br/oportunidade/2090/</t>
  </si>
  <si>
    <t xml:space="preserve">op-836cdc6249f5</t>
  </si>
  <si>
    <t xml:space="preserve">Credenciamento para a contratação de cantores/músicos- ''artistas da terra'', para realização de… — municipio … — Brasil</t>
  </si>
  <si>
    <t xml:space="preserve">CREDENCIAMENTO PARA A CONTRATAÇÃO DE CANTORES/MÚSICOS- ''ARTISTAS DA TERRA'', PARA REALIZAÇÃO DE… — MUNICIPIO DE URUACU</t>
  </si>
  <si>
    <t xml:space="preserve">MUNICIPIO DE URUACU</t>
  </si>
  <si>
    <t xml:space="preserve">{'valor': 'poder_publico', 'fundamento': 'Publica o Município de Uruaçu; recurso do orçamento municipal para contratação de serviços.', 'em': '2026-10-02'}</t>
  </si>
  <si>
    <t xml:space="preserve">https://pncp.gov.br/app/editais/01219807000182/2026/57</t>
  </si>
  <si>
    <t xml:space="preserve">{'inicio': '2026-03-04', 'fim': '2026-12-31'}</t>
  </si>
  <si>
    <t xml:space="preserve">Credenciamento de cantores e músicos locais para eventos do município de Uruaçu</t>
  </si>
  <si>
    <t xml:space="preserve">2026-03-04 a 2026-12-31 (credenciamento aberto na vigência)</t>
  </si>
  <si>
    <t xml:space="preserve">R$ 101.531,00 (estimado total)</t>
  </si>
  <si>
    <t xml:space="preserve">Município de Uruaçu</t>
  </si>
  <si>
    <t xml:space="preserve">Uruaçu/GO</t>
  </si>
  <si>
    <t xml:space="preserve">cultura / serviços artísticos</t>
  </si>
  <si>
    <t xml:space="preserve">op-fa4c5d37b9c8</t>
  </si>
  <si>
    <t xml:space="preserve">Edital de chamamento público para credenciamento, visando ao credenciamento de artistas e músicos para futura…… — Brasil</t>
  </si>
  <si>
    <t xml:space="preserve">EDITAL DE CHAMAMENTO PÚBLICO PARA CREDENCIAMENTO, visando ao credenciamento de ARTISTAS E MÚSICOS para futura… — MUNICIPIO DE NEROPOLIS</t>
  </si>
  <si>
    <t xml:space="preserve">MUNICIPIO DE NEROPOLIS</t>
  </si>
  <si>
    <t xml:space="preserve">https://pncp.gov.br/app/editais/01105626000125/2026/41</t>
  </si>
  <si>
    <t xml:space="preserve">op-a5a65a1169d5</t>
  </si>
  <si>
    <t xml:space="preserve">Hip hop lab — Espírito Santo</t>
  </si>
  <si>
    <t xml:space="preserve">HIP HOP LAB</t>
  </si>
  <si>
    <t xml:space="preserve">{'valor': 'mista', 'fundamento': 'Proponente privado (agente cultural) executa projeto financiado por incentivo fiscal federal (Lei 8.313/1991, art. 18).', 'em': '2026-10-02'}</t>
  </si>
  <si>
    <t xml:space="preserve">https://mapa.cultura.es.gov.br/oportunidade/1790/</t>
  </si>
  <si>
    <t xml:space="preserve">https://mapa.cultura.gov.br/oportunidade/5843/</t>
  </si>
  <si>
    <t xml:space="preserve">Prazo de inscrição, Resultado, Prazo de recurso, Valor, Órgão / financiador, Território, Esfera, Requisitos, Destinação</t>
  </si>
  <si>
    <t xml:space="preserve">informado (motor agregadores · farolcultural, 2026-10-02)</t>
  </si>
  <si>
    <t xml:space="preserve">Valorização da cultura Hip Hop</t>
  </si>
  <si>
    <t xml:space="preserve">op-ddbd925548bf</t>
  </si>
  <si>
    <t xml:space="preserve">Credenciamento de microempreendedor individuais para a prestação de serviços artísticos — MUNICIPIO DE JANDAIA — Brasil</t>
  </si>
  <si>
    <t xml:space="preserve">credenciamento de microempreendedor individuais para a prestação de serviços artísticos — MUNICIPIO DE JANDAIA</t>
  </si>
  <si>
    <t xml:space="preserve">MUNICIPIO DE JANDAIA</t>
  </si>
  <si>
    <t xml:space="preserve">{'valor': 'poder_publico', 'fundamento': 'Publica o Município de Jandaia; recurso do orçamento municipal para contratação de serviços.', 'em': '2026-10-02'}</t>
  </si>
  <si>
    <t xml:space="preserve">https://pncp.gov.br/app/editais/02879138000138/2026/8</t>
  </si>
  <si>
    <t xml:space="preserve">2026-05-29</t>
  </si>
  <si>
    <t xml:space="preserve">2027-05-10</t>
  </si>
  <si>
    <t xml:space="preserve">{'inicio': '2026-05-29', 'fim': '2027-05-10'}</t>
  </si>
  <si>
    <t xml:space="preserve">Credenciamento de microempreendedor individuais para a prestação de serviços artísticos</t>
  </si>
  <si>
    <t xml:space="preserve">2026-05-29 a 2027-05-10</t>
  </si>
  <si>
    <t xml:space="preserve">R$ 63.499,68</t>
  </si>
  <si>
    <t xml:space="preserve">Municipio de jandaia</t>
  </si>
  <si>
    <t xml:space="preserve">op-4b0d030e1889</t>
  </si>
  <si>
    <t xml:space="preserve">Edital de convocação e chamamento público n° 001/2026 — Pará</t>
  </si>
  <si>
    <t xml:space="preserve">EDITAL DE CONVOCAÇÃO E CHAMAMENTO PÚBLICO N° 001/2026</t>
  </si>
  <si>
    <t xml:space="preserve">PA</t>
  </si>
  <si>
    <t xml:space="preserve">https://mapacultural.pa.gov.br/oportunidade/2472/</t>
  </si>
  <si>
    <t xml:space="preserve">{'observacao': 'VERIFICADO no Mapa Cultural de Pará (API oficial, 03/10/2026): o mesmo publicador não tem edição anterior com objeto equivalente na janela de 3 anos (uma única oportunidade do publicador); livro sem série.'}</t>
  </si>
  <si>
    <t xml:space="preserve">op-e1d3c54e8af2</t>
  </si>
  <si>
    <t xml:space="preserve">Credenciamento de artistas locais e regionais — municipio de tenente laurentino cruz — Brasil</t>
  </si>
  <si>
    <t xml:space="preserve">CREDENCIAMENTO DE ARTISTAS LOCAIS E REGIONAIS — MUNICIPIO DE TENENTE LAURENTINO CRUZ</t>
  </si>
  <si>
    <t xml:space="preserve">MUNICIPIO DE TENENTE LAURENTINO CRUZ</t>
  </si>
  <si>
    <t xml:space="preserve">https://pncp.gov.br/app/editais/01612382000177/2026/18</t>
  </si>
  <si>
    <t xml:space="preserve">op-a54752aa5857</t>
  </si>
  <si>
    <t xml:space="preserve">Credenciamento de atrações musicais — municipio de campo redondo — Brasil</t>
  </si>
  <si>
    <t xml:space="preserve">CREDENCIAMENTO DE ATRAÇÕES MUSICAIS — MUNICIPIO DE CAMPO REDONDO</t>
  </si>
  <si>
    <t xml:space="preserve">MUNICIPIO DE CAMPO REDONDO</t>
  </si>
  <si>
    <t xml:space="preserve">https://pncp.gov.br/app/editais/08358723000179/2026/17</t>
  </si>
  <si>
    <t xml:space="preserve">op-f770ed6530ef</t>
  </si>
  <si>
    <t xml:space="preserve">Contratação de artistas locais e regionais para a prestação de serviços artísticos e culturais em eventos… — M… — Brasil</t>
  </si>
  <si>
    <t xml:space="preserve">Contratação de artistas locais e regionais para a prestação de serviços artísticos e culturais em eventos… — MUNICIPIO DE PASSA E FICA</t>
  </si>
  <si>
    <t xml:space="preserve">MUNICIPIO DE PASSA E FICA</t>
  </si>
  <si>
    <t xml:space="preserve">https://pncp.gov.br/app/editais/08144982000105/2026/22</t>
  </si>
  <si>
    <t xml:space="preserve">op-f7492d07be8a</t>
  </si>
  <si>
    <t xml:space="preserve">Credenciamento de artistas locais e regionais, por meio de Chamamento Público, para futura contratação de… — M… — Brasil</t>
  </si>
  <si>
    <t xml:space="preserve">Credenciamento de artistas locais e regionais, por meio de Chamamento Público, para futura contratação de… — MUNICIPIO DE MONTE ALEGRE</t>
  </si>
  <si>
    <t xml:space="preserve">https://pncp.gov.br/app/editais/08365900000144/2026/53</t>
  </si>
  <si>
    <t xml:space="preserve">op-4ab06f08b6f4</t>
  </si>
  <si>
    <t xml:space="preserve">Credenciamento de artistas local e regional que não possuem reconhecimento profissional consagrado pela… — MUN… — Brasil</t>
  </si>
  <si>
    <t xml:space="preserve">Credenciamento de artistas local e regional que não possuem reconhecimento profissional consagrado pela… — MUNICIPIO DE SAO PAULO DO POTENGI</t>
  </si>
  <si>
    <t xml:space="preserve">MUNICIPIO DE SAO PAULO DO POTENGI</t>
  </si>
  <si>
    <t xml:space="preserve">https://pncp.gov.br/app/editais/08079774000161/2026/17</t>
  </si>
  <si>
    <t xml:space="preserve">op-37bb44509a06</t>
  </si>
  <si>
    <t xml:space="preserve">Credenciamento de bandas e artistas locais, destinado à seleção de profissionais para apresentações musicais… … — Brasil</t>
  </si>
  <si>
    <t xml:space="preserve">Credenciamento de bandas e artistas locais, destinado à seleção de profissionais para apresentações musicais… — MUNICIPIO DE SANTO ANTONIO</t>
  </si>
  <si>
    <t xml:space="preserve">MUNICIPIO DE SANTO ANTONIO</t>
  </si>
  <si>
    <t xml:space="preserve">https://pncp.gov.br/app/editais/08144800000198/2026/98</t>
  </si>
  <si>
    <t xml:space="preserve">op-e578f5181fac</t>
  </si>
  <si>
    <t xml:space="preserve">Credenciamento de interessados para prestação de serviços de apresentação musical de Trio de Sanfoneiro… — MUN… — Brasil</t>
  </si>
  <si>
    <t xml:space="preserve">Credenciamento de interessados para prestação de serviços de apresentação musical de Trio de Sanfoneiro… — MUNICIPIO DE JANDAIRA</t>
  </si>
  <si>
    <t xml:space="preserve">https://pncp.gov.br/app/editais/08309239000150/2026/111</t>
  </si>
  <si>
    <t xml:space="preserve">op-93c0e7358fed</t>
  </si>
  <si>
    <t xml:space="preserve">Programa incubadora de projetos culturais — margem hub — chamada aberta nº 01/2026 — Brasil</t>
  </si>
  <si>
    <t xml:space="preserve">PROGRAMA INCUBADORA DE PROJETOS CULTURAIS — MARGEM HUB — CHAMADA ABERTA Nº 01/2026</t>
  </si>
  <si>
    <t xml:space="preserve">https://mapa.cultura.gov.br/oportunidade/6852/</t>
  </si>
  <si>
    <t xml:space="preserve">op-e66032e497bd</t>
  </si>
  <si>
    <t xml:space="preserve">Contratação de artistas e profissionais locais e regionais de arte, cultura em todas as suas manifestações e… … — Brasil</t>
  </si>
  <si>
    <t xml:space="preserve">Contratação de artistas e profissionais locais e regionais de arte, cultura em todas as suas manifestações e… — MUNICIPIO DE ARRAIAL DO CABO</t>
  </si>
  <si>
    <t xml:space="preserve">https://pncp.gov.br/app/editais/27792373000107/2026/89</t>
  </si>
  <si>
    <t xml:space="preserve">op-60d3c6be1a67</t>
  </si>
  <si>
    <t xml:space="preserve">Credenciamento de interessados em prestar serviços de apresentações artísticas e culturais (artistas, grupos… … — Brasil</t>
  </si>
  <si>
    <t xml:space="preserve">Credenciamento de interessados em prestar serviços de apresentações artísticas e culturais (artistas, grupos… — MUNICIPIO DE MARICA</t>
  </si>
  <si>
    <t xml:space="preserve">MUNICIPIO DE MARICA</t>
  </si>
  <si>
    <t xml:space="preserve">https://pncp.gov.br/app/editais/29131075000193/2027/3</t>
  </si>
  <si>
    <t xml:space="preserve">op-c7d1a8f23121</t>
  </si>
  <si>
    <t xml:space="preserve">Credenciamento para a contratação de artistas locais que irão se apresentar nos eventos realizados e/ou… — MUN… — Brasil</t>
  </si>
  <si>
    <t xml:space="preserve">Credenciamento para a contratação de artistas locais que irão se apresentar nos eventos realizados e/ou… — MUNICIPIO DE ANGRA DOS REIS</t>
  </si>
  <si>
    <t xml:space="preserve">https://pncp.gov.br/app/editais/29172467000109/2027/78</t>
  </si>
  <si>
    <t xml:space="preserve">op-516cd860aa20</t>
  </si>
  <si>
    <t xml:space="preserve">Chamada pública seleciona jovens para produção audiovisual sobre justiça climática — Brasil</t>
  </si>
  <si>
    <t xml:space="preserve">Chamada pública seleciona jovens para produção audiovisual sobre justiça climática</t>
  </si>
  <si>
    <t xml:space="preserve">https://www.ngosource.org/about-equivalency-determination-on-file-badge</t>
  </si>
  <si>
    <t xml:space="preserve">op-61f9ac317b65</t>
  </si>
  <si>
    <t xml:space="preserve">Edital de chamamento público para credenciamento de pareceristas — Sergipe</t>
  </si>
  <si>
    <t xml:space="preserve">EDITAL DE CHAMAMENTO PÚBLICO PARA CREDENCIAMENTO DE PARECERISTAS</t>
  </si>
  <si>
    <t xml:space="preserve">SE</t>
  </si>
  <si>
    <t xml:space="preserve">https://mapacultural.se.gov.br/oportunidade/59/</t>
  </si>
  <si>
    <t xml:space="preserve">op-4b27a12761df</t>
  </si>
  <si>
    <t xml:space="preserve">Credenciamento para contratação de serviços de INSTRUTORIA MUSICAL DE BANDA MARCIAL OU FANFARRA, como… — MUNIC… — Brasil</t>
  </si>
  <si>
    <t xml:space="preserve">Credenciamento para contratação de serviços de INSTRUTORIA MUSICAL DE BANDA MARCIAL OU FANFARRA, como… — MUNICIPIO DE TEIXEIRA</t>
  </si>
  <si>
    <t xml:space="preserve">MUNICIPIO DE TEIXEIRA</t>
  </si>
  <si>
    <t xml:space="preserve">https://pncp.gov.br/app/editais/08883951000168/2026/96</t>
  </si>
  <si>
    <t xml:space="preserve">op-1d7e7cfe2b85</t>
  </si>
  <si>
    <t xml:space="preserve">Credenciamento de atrações artísticas locais para composição da programação cultural e das festividades… — mun… — Brasil</t>
  </si>
  <si>
    <t xml:space="preserve">CREDENCIAMENTO DE ATRAÇÕES ARTÍSTICAS LOCAIS PARA COMPOSIÇÃO DA PROGRAMAÇÃO CULTURAL E DAS FESTIVIDADES… — MUNICIPIO DE PAUDALHO</t>
  </si>
  <si>
    <t xml:space="preserve">MUNICIPIO DE PAUDALHO</t>
  </si>
  <si>
    <t xml:space="preserve">https://pncp.gov.br/app/editais/11097383000184/2027/2</t>
  </si>
  <si>
    <t xml:space="preserve">op-a8028b9ee044</t>
  </si>
  <si>
    <t xml:space="preserve">Chamamento público para Credenciamento de artistas, com vistas a apresentações nas linguagens artísticas de… —… — Brasil</t>
  </si>
  <si>
    <t xml:space="preserve">Chamamento público para Credenciamento de artistas, com vistas a apresentações nas linguagens artísticas de… — MUNICIPIO DE IPOJUCA</t>
  </si>
  <si>
    <t xml:space="preserve">MUNICIPIO DE IPOJUCA</t>
  </si>
  <si>
    <t xml:space="preserve">https://pncp.gov.br/app/editais/11294386000108/2026/143</t>
  </si>
  <si>
    <t xml:space="preserve">op-dc407d79ebbe</t>
  </si>
  <si>
    <t xml:space="preserve">Credenciamento de artistas e profissionais do setor artístico, sem notório reconhecimento público, para a… — M… — Brasil</t>
  </si>
  <si>
    <t xml:space="preserve">Credenciamento de artistas e profissionais do setor artístico, sem notório reconhecimento público, para a… — MUNICIPIO DE SAO JOSE DA COROA GRANDE</t>
  </si>
  <si>
    <t xml:space="preserve">MUNICIPIO DE SAO JOSE DA COROA GRANDE</t>
  </si>
  <si>
    <t xml:space="preserve">https://pncp.gov.br/app/editais/10111631000131/2026/12</t>
  </si>
  <si>
    <t xml:space="preserve">op-88b7e8b9fa9d</t>
  </si>
  <si>
    <t xml:space="preserve">Credenciamento para fins de eventual contratação de serviços de Artistas e/ou Grupos Artísticos de dança… — MU… — Brasil</t>
  </si>
  <si>
    <t xml:space="preserve">Credenciamento para fins de eventual contratação de serviços de Artistas e/ou Grupos Artísticos de dança… — MUNICIPIO DE BELO JARDIM</t>
  </si>
  <si>
    <t xml:space="preserve">MUNICIPIO DE BELO JARDIM</t>
  </si>
  <si>
    <t xml:space="preserve">https://pncp.gov.br/app/editais/10260222000105/2026/309</t>
  </si>
  <si>
    <t xml:space="preserve">op-f62995e84420</t>
  </si>
  <si>
    <t xml:space="preserve">Chamamento Público para credenciamento de artistas/músicos solo ou em dupla, bandas/grupos e DJs, locais e… — … — Brasil</t>
  </si>
  <si>
    <t xml:space="preserve">Chamamento Público para credenciamento de artistas/músicos solo ou em dupla, bandas/grupos e DJs, locais e… — MUNICIPIO DE OURO PRETO DO OESTE</t>
  </si>
  <si>
    <t xml:space="preserve">MUNICIPIO DE OURO PRETO DO OESTE</t>
  </si>
  <si>
    <t xml:space="preserve">https://pncp.gov.br/app/editais/04380507000179/2026/140</t>
  </si>
  <si>
    <t xml:space="preserve">op-efdfdf633dd2</t>
  </si>
  <si>
    <t xml:space="preserve">Chamamento Público para Credenciamento de Atrações Artísticas e Culturais para compor a programação de… — MUNI… — Brasil</t>
  </si>
  <si>
    <t xml:space="preserve">Chamamento Público para Credenciamento de Atrações Artísticas e Culturais para compor a programação de… — MUNICIPIO DE PACO DO LUMIAR</t>
  </si>
  <si>
    <t xml:space="preserve">MUNICIPIO DE PACO DO LUMIAR</t>
  </si>
  <si>
    <t xml:space="preserve">https://pncp.gov.br/app/editais/06003636000173/2026/46</t>
  </si>
  <si>
    <t xml:space="preserve">op-e28482b50d38</t>
  </si>
  <si>
    <t xml:space="preserve">Credenciamento de bandas, artistas em diferentes estilos musicais, a fim de atender com apresentações… — MUNIC… — Brasil</t>
  </si>
  <si>
    <t xml:space="preserve">credenciamento de bandas, artistas em diferentes estilos musicais, a fim de atender com apresentações… — MUNICIPIO DE GOVERNADOR NEWTON BELLO</t>
  </si>
  <si>
    <t xml:space="preserve">MUNICIPIO DE GOVERNADOR NEWTON BELLO</t>
  </si>
  <si>
    <t xml:space="preserve">https://pncp.gov.br/app/editais/01615124000144/2026/5</t>
  </si>
  <si>
    <t xml:space="preserve">op-da70036250f5</t>
  </si>
  <si>
    <t xml:space="preserve">Fundo municipal de saude - fms — credenciamento de entidades privadas sem fins lucrativos com finalidade estat… — Brasil</t>
  </si>
  <si>
    <t xml:space="preserve">FUNDO MUNICIPAL DE SAUDE - FMS — CREDENCIAMENTO DE ENTIDADES PRIVADAS SEM FINS LUCRATIVOS COM FINALIDADE ESTATUTÁRIA COMPATÍVEL COM SAÚDE E PROTEÇÃO ANIMAL para</t>
  </si>
  <si>
    <t xml:space="preserve">FUNDO MUNICIPAL DE SAUDE - FMS</t>
  </si>
  <si>
    <t xml:space="preserve">https://pncp.gov.br/app/editais/13864377000130/2027/2</t>
  </si>
  <si>
    <t xml:space="preserve">op-38d483143939</t>
  </si>
  <si>
    <t xml:space="preserve">MUNICIPIO DE DOIS VIZINHOS — Credenciamento de Instituições de Longa Permanência para Idosos – ILPI, para pres… — Brasil</t>
  </si>
  <si>
    <t xml:space="preserve">MUNICIPIO DE DOIS VIZINHOS — Credenciamento de Instituições de Longa Permanência para Idosos – ILPI, para prestação de serviços de acolhimento institucional de </t>
  </si>
  <si>
    <t xml:space="preserve">MUNICIPIO DE DOIS VIZINHOS</t>
  </si>
  <si>
    <t xml:space="preserve">https://pncp.gov.br/app/editais/76205640000108/2026/181</t>
  </si>
  <si>
    <t xml:space="preserve">{'inicio': None, 'fim': '2026-12-01'}</t>
  </si>
  <si>
    <t xml:space="preserve">op-a6b4dd53ed06</t>
  </si>
  <si>
    <t xml:space="preserve">MUNICIPIO DE DOIS VIZINHOS — Credenciamento de entidades filantrópicas, entidades sem fins lucrativos ou empre… — Brasil</t>
  </si>
  <si>
    <t xml:space="preserve">MUNICIPIO DE DOIS VIZINHOS — Credenciamento de entidades filantrópicas, entidades sem fins lucrativos ou empresas privadas para realização de exames laboratoria</t>
  </si>
  <si>
    <t xml:space="preserve">https://pncp.gov.br/app/editais/76205640000108/2026/292</t>
  </si>
  <si>
    <t xml:space="preserve">{'inicio': '2026-05-20', 'fim': '2027-05-20'}</t>
  </si>
  <si>
    <t xml:space="preserve">Credenciamento de entidades filantrópicas, entidades sem fins lucrativos ou empresas priva</t>
  </si>
  <si>
    <t xml:space="preserve">proposta de 2026-05-20 até 2027-05-20 (campos do PNCP; o intervalo de ~12 meses sugere vig</t>
  </si>
  <si>
    <t xml:space="preserve">R$ 4.720.468,00 (valor total estimado)</t>
  </si>
  <si>
    <t xml:space="preserve">Municipio De Dois Vizinhos / PR</t>
  </si>
  <si>
    <t xml:space="preserve">conforme objeto: Credenciamento de entidades filantrópicas, entidades sem fins lucrativos</t>
  </si>
  <si>
    <t xml:space="preserve">op-f7bca31d55fd</t>
  </si>
  <si>
    <t xml:space="preserve">Municipio de matinhos — credenciamento de instituições especializadas para prestação de serviços de acolhiment… — Brasil</t>
  </si>
  <si>
    <t xml:space="preserve">MUNICIPIO DE MATINHOS — CREDENCIAMENTO DE INSTITUIÇÕES ESPECIALIZADAS PARA PRESTAÇÃO DE SERVIÇOS DE ACOLHIMENTO INSTITUCIONAL DE LONGA PERMANÊNCIA DESTINADOS A </t>
  </si>
  <si>
    <t xml:space="preserve">https://pncp.gov.br/app/editais/76017466000161/2026/91</t>
  </si>
  <si>
    <t xml:space="preserve">2026-07-07</t>
  </si>
  <si>
    <t xml:space="preserve">2027-06-07</t>
  </si>
  <si>
    <t xml:space="preserve">{'inicio': '2026-07-07', 'fim': '2027-06-07'}</t>
  </si>
  <si>
    <t xml:space="preserve">CREDENCIAMENTO DE INSTITUIÇÕES ESPECIALIZADAS PARA PRESTAÇÃO DE SERVIÇOS DE ACOLHIMENTO IN</t>
  </si>
  <si>
    <t xml:space="preserve">proposta de 2026-07-07 até 2027-06-07 (campos do PNCP; o intervalo de ~12 meses sugere vig</t>
  </si>
  <si>
    <t xml:space="preserve">R$ 3.307.139,64 (valor total estimado)</t>
  </si>
  <si>
    <t xml:space="preserve">Municipio De Matinhos / PR</t>
  </si>
  <si>
    <t xml:space="preserve">conforme objeto: CREDENCIAMENTO DE INSTITUIÇÕES ESPECIALIZADAS PARA PRESTAÇÃO DE SERVIÇOS</t>
  </si>
  <si>
    <t xml:space="preserve">op-33a3ea5fda7e</t>
  </si>
  <si>
    <t xml:space="preserve">MUNICIPIO DE CANELA — [Portal de Compras Públicas] - contratação de pessoas jurídicas especializadas na presta… — Brasil</t>
  </si>
  <si>
    <t xml:space="preserve">MUNICIPIO DE CANELA — [Portal de Compras Públicas] - contratação de pessoas jurídicas especializadas na prestação de serviço de acolhimento institucional, conti</t>
  </si>
  <si>
    <t xml:space="preserve">MUNICIPIO DE CANELA</t>
  </si>
  <si>
    <t xml:space="preserve">https://pncp.gov.br/api/consulta/v1/orgaos/88585518000185/compras/2026/128</t>
  </si>
  <si>
    <t xml:space="preserve">https://pncp.gov.br/app/editais/88585518000185/2026/128</t>
  </si>
  <si>
    <t xml:space="preserve">2026-03-05</t>
  </si>
  <si>
    <t xml:space="preserve">2027-03-03</t>
  </si>
  <si>
    <t xml:space="preserve">{'inicio': '2026-03-05', 'fim': '2027-03-03'}</t>
  </si>
  <si>
    <t xml:space="preserve">[Portal de Compras Públicas] - contratação de pessoas jurídicas especializadas na prestaç</t>
  </si>
  <si>
    <t xml:space="preserve">Abertura de propostas 2026-03-05; encerramento 2027-03-03 (campos do PNCP)</t>
  </si>
  <si>
    <t xml:space="preserve">R$ 208.960,50 estimado</t>
  </si>
  <si>
    <t xml:space="preserve">Assistência social (residência inclusiva e acolhimento)</t>
  </si>
  <si>
    <t xml:space="preserve">op-bf538714dea1</t>
  </si>
  <si>
    <t xml:space="preserve">MUNICIPIO DE ENCRUZILHADA DO SUL — [Portal de Compras Públicas] - redenciamento de Pessoas Jurídicas para pres… — Brasil</t>
  </si>
  <si>
    <t xml:space="preserve">MUNICIPIO DE ENCRUZILHADA DO SUL — [Portal de Compras Públicas] - redenciamento de Pessoas Jurídicas para prestação de serviços ACOLHIMENTO EM RESIDENCIAL TIPO </t>
  </si>
  <si>
    <t xml:space="preserve">https://pncp.gov.br/app/editais/89363642000169/2026/728</t>
  </si>
  <si>
    <t xml:space="preserve">{'inicio': '2026-05-13', 'fim': '2027-05-12'}</t>
  </si>
  <si>
    <t xml:space="preserve">[Portal de Compras Públicas] - redenciamento de Pessoas Jurídicas para prestação de serviç</t>
  </si>
  <si>
    <t xml:space="preserve">proposta de 2026-05-13 até 2027-05-12 (campos do PNCP; o intervalo de ~12 meses sugere vig</t>
  </si>
  <si>
    <t xml:space="preserve">R$ 2.102.961,60 (valor total estimado)</t>
  </si>
  <si>
    <t xml:space="preserve">Municipio De Encruzilhada Do Sul / RS</t>
  </si>
  <si>
    <t xml:space="preserve">conforme objeto: [Portal de Compras Públicas] - redenciamento de Pessoas Jurídicas para pr</t>
  </si>
  <si>
    <t xml:space="preserve">op-918b99eb3620</t>
  </si>
  <si>
    <t xml:space="preserve">Municipio de nova santa rita — credenciamento de instituições de longa permanência para idosos (ilpi), pública… — Brasil</t>
  </si>
  <si>
    <t xml:space="preserve">MUNICIPIO DE NOVA SANTA RITA — CREDENCIAMENTO DE INSTITUIÇÕES DE LONGA PERMANÊNCIA PARA IDOSOS (ILPI), públicas ou privadas, com ou sem fins lucrativos, para a </t>
  </si>
  <si>
    <t xml:space="preserve">MUNICIPIO DE NOVA SANTA RITA</t>
  </si>
  <si>
    <t xml:space="preserve">https://pncp.gov.br/api/consulta/v1/orgaos/94309291000148/compras/2026/129</t>
  </si>
  <si>
    <t xml:space="preserve">https://pncp.gov.br/app/editais/94309291000148/2026/129</t>
  </si>
  <si>
    <t xml:space="preserve">2036-07-01</t>
  </si>
  <si>
    <t xml:space="preserve">{'inicio': '2026-07-01', 'fim': '2036-07-01'}</t>
  </si>
  <si>
    <t xml:space="preserve">CREDENCIAMENTO DE INSTITUIÇÕES DE LONGA PERMANÊNCIA PARA IDOSOS (ILPI), públicas ou privad</t>
  </si>
  <si>
    <t xml:space="preserve">abertura 2026-07-01; encerramento 2036-07-01</t>
  </si>
  <si>
    <t xml:space="preserve">R$ 1,978,334.16 (estimado)</t>
  </si>
  <si>
    <t xml:space="preserve">op-50ec4e9cec78</t>
  </si>
  <si>
    <t xml:space="preserve">Fundacao cultural de rio do sul — credenciamento para eventuais e futuras contratações de serviços artísticos … — Brasil</t>
  </si>
  <si>
    <t xml:space="preserve">FUNDACAO CULTURAL DE RIO DO SUL — CREDENCIAMENTO PARA EVENTUAIS E FUTURAS CONTRATAÇÕES DE SERVIÇOS ARTÍSTICOS E CULTURAIS PELA FUNDAÇÃO CULTURAL DE RIO DO SUL/S</t>
  </si>
  <si>
    <t xml:space="preserve">FUNDACAO CULTURAL DE RIO DO SUL</t>
  </si>
  <si>
    <t xml:space="preserve">https://pncp.gov.br/app/editais/81162588000181/2026/29</t>
  </si>
  <si>
    <t xml:space="preserve">op-4ed89a6949db</t>
  </si>
  <si>
    <t xml:space="preserve">Consorcio intermunicipal de saude entre os vales do mucuri e jequitinhonha — credenciamento de entidades sem f… — Brasil</t>
  </si>
  <si>
    <t xml:space="preserve">CONSORCIO INTERMUNICIPAL DE SAUDE ENTRE OS VALES DO MUCURI E JEQUITINHONHA — CREDENCIAMENTO DE ENTIDADES SEM FINS LUCRATIVOS ESPECIALIZADAS NA EXECUÇÃO DE AÇÕES</t>
  </si>
  <si>
    <t xml:space="preserve">CONSORCIO INTERMUNICIPAL DE SAUDE ENTRE OS VALES DO MUCURI E JEQUITINHONHA</t>
  </si>
  <si>
    <t xml:space="preserve">https://pncp.gov.br/api/consulta/v1/orgaos/01014332000198/compras/2026/1</t>
  </si>
  <si>
    <t xml:space="preserve">https://pncp.gov.br/app/editais/01014332000198/2026/1</t>
  </si>
  <si>
    <t xml:space="preserve">2026-08-22</t>
  </si>
  <si>
    <t xml:space="preserve">{'inicio': '2026-08-22', 'fim': '2026-12-31'}</t>
  </si>
  <si>
    <t xml:space="preserve">CREDENCIAMENTO DE ENTIDADES SEM FINS LUCRATIVOS ESPECIALIZADAS NA EXECUÇÃO DE AÇÕES ITINER</t>
  </si>
  <si>
    <t xml:space="preserve">Abertura de propostas 2026-08-22; encerramento 2026-12-31 (campos do PNCP)</t>
  </si>
  <si>
    <t xml:space="preserve">R$ 595.463,31 estimado</t>
  </si>
  <si>
    <t xml:space="preserve">Consórcio público intermunicipal (esfera "N" no PNCP)</t>
  </si>
  <si>
    <t xml:space="preserve">Saúde (unidade móvel itinerante)</t>
  </si>
  <si>
    <t xml:space="preserve">op-4f1d427f9d9d</t>
  </si>
  <si>
    <t xml:space="preserve">CONSORCIO MULTIFINALITARIO DO BAIXO JEQUITINHONHA — Credenciamento de entidades sem fins lucrativos especializ… — Brasil</t>
  </si>
  <si>
    <t xml:space="preserve">CONSORCIO MULTIFINALITARIO DO BAIXO JEQUITINHONHA — Credenciamento de entidades sem fins lucrativos especializadas na execução de ações itinerantes de saúde med</t>
  </si>
  <si>
    <t xml:space="preserve">CONSORCIO MULTIFINALITARIO DO BAIXO JEQUITINHONHA</t>
  </si>
  <si>
    <t xml:space="preserve">https://pncp.gov.br/api/consulta/v1/orgaos/07306549000158/compras/2026/130</t>
  </si>
  <si>
    <t xml:space="preserve">https://pncp.gov.br/app/editais/07306549000158/2026/130</t>
  </si>
  <si>
    <t xml:space="preserve">{'inicio': '2026-07-01', 'fim': '2026-12-31'}</t>
  </si>
  <si>
    <t xml:space="preserve">Credenciamento de entidades sem fins lucrativos especializadas na execução de ações itiner</t>
  </si>
  <si>
    <t xml:space="preserve">Abertura de propostas 2026-07-01; encerramento 2026-12-31 (campos do PNCP)</t>
  </si>
  <si>
    <t xml:space="preserve">R$ 2.569.807,87 estimado</t>
  </si>
  <si>
    <t xml:space="preserve">op-c35dfb6b9c98</t>
  </si>
  <si>
    <t xml:space="preserve">MUNICIPIO DE MURIAE — Credenciamento para prestação de serviços de acolhimento Institucional de Longa Permanên… — Brasil</t>
  </si>
  <si>
    <t xml:space="preserve">MUNICIPIO DE MURIAE — Credenciamento para prestação de serviços de acolhimento Institucional de Longa Permanência para Idosos (ILPI) para acolhimento de idosos </t>
  </si>
  <si>
    <t xml:space="preserve">MUNICIPIO DE MURIAE</t>
  </si>
  <si>
    <t xml:space="preserve">https://pncp.gov.br/api/consulta/v1/orgaos/17947581000176/compras/2026/1</t>
  </si>
  <si>
    <t xml:space="preserve">https://pncp.gov.br/app/editais/17947581000176/2026/1</t>
  </si>
  <si>
    <t xml:space="preserve">2026-01-19</t>
  </si>
  <si>
    <t xml:space="preserve">{'inicio': '2026-01-19', 'fim': '2027-01-19'}</t>
  </si>
  <si>
    <t xml:space="preserve">Credenciamento para prestação de serviços de acolhimento Institucional de Longa Permanênci</t>
  </si>
  <si>
    <t xml:space="preserve">Abertura de propostas 2026-01-19; encerramento 2027-01-19 (campos do PNCP)</t>
  </si>
  <si>
    <t xml:space="preserve">R$ 77.013,80 estimado</t>
  </si>
  <si>
    <t xml:space="preserve">Assistência social (acolhimento de idosos - ILPI)</t>
  </si>
  <si>
    <t xml:space="preserve">op-a722a524962a</t>
  </si>
  <si>
    <t xml:space="preserve">CONSORCIO INTERMUNICIPAL DE SAUDE DO ENTORNO DE SALINAS — [Portal de Compras Públicas] - Credenciamento de ent… — Brasil</t>
  </si>
  <si>
    <t xml:space="preserve">CONSORCIO INTERMUNICIPAL DE SAUDE DO ENTORNO DE SALINAS — [Portal de Compras Públicas] - Credenciamento de entidades sem fins lucrativos especializadas na execu</t>
  </si>
  <si>
    <t xml:space="preserve">CONSORCIO INTERMUNICIPAL DE SAUDE DO ENTORNO DE SALINAS</t>
  </si>
  <si>
    <t xml:space="preserve">https://pncp.gov.br/app/editais/07333598000180/2026/12</t>
  </si>
  <si>
    <t xml:space="preserve">{'inicio': '2026-05-29', 'fim': '2027-05-28'}</t>
  </si>
  <si>
    <t xml:space="preserve">[Portal de Compras Públicas] - Credenciamento de entidades sem fins lucrativos especializa</t>
  </si>
  <si>
    <t xml:space="preserve">proposta de 2026-05-29 até 2027-05-28 (campos do PNCP; o intervalo de ~12 meses sugere vig</t>
  </si>
  <si>
    <t xml:space="preserve">R$ 2.058.859,70 (valor total estimado)</t>
  </si>
  <si>
    <t xml:space="preserve">Consorcio Intermunicipal De Saude Do Entorno De Salinas / MG</t>
  </si>
  <si>
    <t xml:space="preserve">conforme objeto: [Portal de Compras Públicas] - Credenciamento de entidades sem fins lucra</t>
  </si>
  <si>
    <t xml:space="preserve">op-ad462c829bb1</t>
  </si>
  <si>
    <t xml:space="preserve">FUNDO MUNICIPAL DE ASSISTENCIA SOCIAL DE NOVA VENECIA — Contratação de vagas em Instituição de Longa Permanênc… — Brasil</t>
  </si>
  <si>
    <t xml:space="preserve">FUNDO MUNICIPAL DE ASSISTENCIA SOCIAL DE NOVA VENECIA — Contratação de vagas em Instituição de Longa Permanência para Pessoa Idosa-ILPI, especializadas na prest</t>
  </si>
  <si>
    <t xml:space="preserve">FUNDO MUNICIPAL DE ASSISTENCIA SOCIAL DE NOVA VENECIA</t>
  </si>
  <si>
    <t xml:space="preserve">https://pncp.gov.br/app/editais/14414077000112/2025/21</t>
  </si>
  <si>
    <t xml:space="preserve">{'inicio': None, 'fim': '2026-11-18'}</t>
  </si>
  <si>
    <t xml:space="preserve">op-4a9c4300291d</t>
  </si>
  <si>
    <t xml:space="preserve">Municipio de marataizes — credenciamento de instituição de longa permanência especializada no acolhimento inst… — Brasil</t>
  </si>
  <si>
    <t xml:space="preserve">MUNICIPIO DE MARATAIZES — CREDENCIAMENTO DE INSTITUIÇÃO DE LONGA PERMANÊNCIA ESPECIALIZADA NO ACOLHIMENTO INSTITUCIONAL PARA IDOSOS COM 60 ANOS OU MAIS, DE AMBO</t>
  </si>
  <si>
    <t xml:space="preserve">MUNICIPIO DE MARATAIZES</t>
  </si>
  <si>
    <t xml:space="preserve">https://pncp.gov.br/api/consulta/v1/orgaos/01609408000128/compras/2026/74</t>
  </si>
  <si>
    <t xml:space="preserve">https://pncp.gov.br/app/editais/01609408000128/2026/74</t>
  </si>
  <si>
    <t xml:space="preserve">2026-03-25</t>
  </si>
  <si>
    <t xml:space="preserve">2027-03-25</t>
  </si>
  <si>
    <t xml:space="preserve">{'inicio': '2026-03-25', 'fim': '2027-03-25'}</t>
  </si>
  <si>
    <t xml:space="preserve">CREDENCIAMENTO DE INSTITUIÇÃO DE LONGA PERMANÊNCIA ESPECIALIZADA NO ACOLHIMENTO INSTITUCIO</t>
  </si>
  <si>
    <t xml:space="preserve">Abertura de propostas 2026-03-25; encerramento 2027-03-25 (campos do PNCP)</t>
  </si>
  <si>
    <t xml:space="preserve">R$ 1.970.572,10 estimado</t>
  </si>
  <si>
    <t xml:space="preserve">op-a9f71e1ae969</t>
  </si>
  <si>
    <t xml:space="preserve">Municipio de anchieta — visa contratação de vagas em instituição de longa permanencia para pessoas idosas, par… — Brasil</t>
  </si>
  <si>
    <t xml:space="preserve">MUNICIPIO DE ANCHIETA — VISA CONTRATAÇÃO DE VAGAS EM INSTITUIÇÃO DE LONGA PERMANENCIA PARA PESSOAS IDOSAS, PARA ATENDER A DEMANDA DA SECRETARIA MUNICIPAL DE ASS</t>
  </si>
  <si>
    <t xml:space="preserve">MUNICIPIO DE ANCHIETA</t>
  </si>
  <si>
    <t xml:space="preserve">https://pncp.gov.br/app/editais/27142694000158/2026/231</t>
  </si>
  <si>
    <t xml:space="preserve">2026-08-28</t>
  </si>
  <si>
    <t xml:space="preserve">2027-08-27</t>
  </si>
  <si>
    <t xml:space="preserve">{'inicio': '2026-08-28', 'fim': '2027-08-27'}</t>
  </si>
  <si>
    <t xml:space="preserve">VISA CONTRATAÇÃO DE VAGAS EM INSTITUIÇÃO DE LONGA PERMANENCIA PARA PESSOAS IDOSAS, PARA AT</t>
  </si>
  <si>
    <t xml:space="preserve">abertura 2026-08-28; encerramento das propostas 2027-08-27</t>
  </si>
  <si>
    <t xml:space="preserve">valor total estimado R$ 4.656.000,00</t>
  </si>
  <si>
    <t xml:space="preserve">Anchieta/ES</t>
  </si>
  <si>
    <t xml:space="preserve">op-662c854db2d6</t>
  </si>
  <si>
    <t xml:space="preserve">Fundo municipal de assistencia social de inhumas - fmas — chamamento público o credenciamento de instituições … — Brasil</t>
  </si>
  <si>
    <t xml:space="preserve">FUNDO MUNICIPAL DE ASSISTENCIA SOCIAL DE INHUMAS - FMAS — CHAMAMENTO PÚBLICO O CREDENCIAMENTO DE INSTITUIÇÕES DE LONGA PERMANÊNCIA PARA IDOSOS  ILPIS, REGULARM</t>
  </si>
  <si>
    <t xml:space="preserve">FUNDO MUNICIPAL DE ASSISTENCIA SOCIAL DE INHUMAS - FMAS</t>
  </si>
  <si>
    <t xml:space="preserve">{'valor': 'poder_publico', 'fundamento': 'Publica o Fundo Municipal de Assistência Social de Inhumas, com dotação do orçamento municipal de 2026.', 'em': '2026-10-02'}</t>
  </si>
  <si>
    <t xml:space="preserve">https://pncp.gov.br/app/editais/11598317000198/2026/36</t>
  </si>
  <si>
    <t xml:space="preserve">2026-08-10</t>
  </si>
  <si>
    <t xml:space="preserve">Credenciamento de ILPIs regularmente constituídas e licenciadas para acolhimento instituci</t>
  </si>
  <si>
    <t xml:space="preserve">Credenciamento permanente, aberto durante toda a vigência do edital</t>
  </si>
  <si>
    <t xml:space="preserve">Divulgado na plataforma BNC</t>
  </si>
  <si>
    <t xml:space="preserve">Recurso administrativo conforme Lei 14.133/2021 (sem dias especificados no edital)</t>
  </si>
  <si>
    <t xml:space="preserve">Valor total da contratação R$ 1.675.807,20</t>
  </si>
  <si>
    <t xml:space="preserve">Secretaria Municipal de Desenvolvimento Social / FMAS de Inhumas</t>
  </si>
  <si>
    <t xml:space="preserve">Inhumas/GO</t>
  </si>
  <si>
    <t xml:space="preserve">Pessoas jurídicas de direito privado, com ou sem fins lucrativos, com objeto social compat</t>
  </si>
  <si>
    <t xml:space="preserve">Anexos I a V (TR/ETP, ETP, minuta do contrato, declaração conjunta, declaração de capacida</t>
  </si>
  <si>
    <t xml:space="preserve">Pagamento por serviço de acolhimento de idosos encaminhados pelo município</t>
  </si>
  <si>
    <t xml:space="preserve">Assistência social (acolhimento de idosos)</t>
  </si>
  <si>
    <t xml:space="preserve">op-1995b432e0e1</t>
  </si>
  <si>
    <t xml:space="preserve">Municipio de trindade — credenciamento de instituições de assistência social para acolhimento institucional de… — Brasil</t>
  </si>
  <si>
    <t xml:space="preserve">MUNICIPIO DE TRINDADE — CREDENCIAMENTO DE INSTITUIÇÕES DE ASSISTÊNCIA SOCIAL PARA ACOLHIMENTO INSTITUCIONAL DE IDOSOS (ILPI) E, EXCEPCIONALMENTE, PESSOAS COM DE</t>
  </si>
  <si>
    <t xml:space="preserve">MUNICIPIO DE TRINDADE</t>
  </si>
  <si>
    <t xml:space="preserve">['Pessoas idosas', 'Pessoas com deficiência']</t>
  </si>
  <si>
    <t xml:space="preserve">{'valor': 'poder_publico', 'fundamento': 'Publica o Município de Trindade via Fundo Municipal de Assistência Social, com recurso público municipal.', 'em': '2026-10-02'}</t>
  </si>
  <si>
    <t xml:space="preserve">https://pncp.gov.br/app/editais/01217538000115/2026/115</t>
  </si>
  <si>
    <t xml:space="preserve">2026-08-07</t>
  </si>
  <si>
    <t xml:space="preserve">{'inicio': '2026-08-07', 'fim': 'contínuo'}</t>
  </si>
  <si>
    <t xml:space="preserve">Credenciamento de instituições privadas de assistência social para acolhimento de pessoas</t>
  </si>
  <si>
    <t xml:space="preserve">Fluxo contínuo: vigência de 12 meses desde a publicação no PNCP (propostas 07/08/2026 a 07</t>
  </si>
  <si>
    <t xml:space="preserve">Lista de credenciados publicada no Diário Oficial do Município e no site oficial</t>
  </si>
  <si>
    <t xml:space="preserve">R$ 5.500,00 a R$ 7.500,00 por vaga/mês conforme grau de dependência; global estimado R$ 1.</t>
  </si>
  <si>
    <t xml:space="preserve">Município de Trindade (Secretaria Municipal de Assistência Social)</t>
  </si>
  <si>
    <t xml:space="preserve">Trindade/GO</t>
  </si>
  <si>
    <t xml:space="preserve">Instituição privada regularmente constituída, com habilitação, estrutura física, capacidad</t>
  </si>
  <si>
    <t xml:space="preserve">Anexos I a V e seguintes: Termo de Referência, minuta do termo, solicitação, declarações</t>
  </si>
  <si>
    <t xml:space="preserve">Pagamento por vaga de acolhimento de idosos encaminhados pela Secretaria de Assistência So</t>
  </si>
  <si>
    <t xml:space="preserve">Assistência social (acolhimento institucional de idosos)</t>
  </si>
  <si>
    <t xml:space="preserve">op-23da1e12831e</t>
  </si>
  <si>
    <t xml:space="preserve">Municipio de nova ipixuna — [portal de compras públicas] - credenciamento de instituições filantrópicas ou emp… — Brasil</t>
  </si>
  <si>
    <t xml:space="preserve">MUNICIPIO DE NOVA IPIXUNA — [Portal de Compras Públicas] - CREDENCIAMENTO DE INSTITUIÇÕES FILANTRÓPICAS OU EMPRESAS SEM FINS LUCRATIVOS, PARA PRESTAÇÃO DE SERVI</t>
  </si>
  <si>
    <t xml:space="preserve">MUNICIPIO DE NOVA IPIXUNA</t>
  </si>
  <si>
    <t xml:space="preserve">https://pncp.gov.br/app/editais/01612215000126/2026/36</t>
  </si>
  <si>
    <t xml:space="preserve">{'inicio': '2026-06-26', 'fim': '2027-06-25'}</t>
  </si>
  <si>
    <t xml:space="preserve">[Portal de Compras Públicas] - CREDENCIAMENTO DE INSTITUIÇÕES FILANTRÓPICAS OU EMPRESAS SE</t>
  </si>
  <si>
    <t xml:space="preserve">proposta de 2026-06-26 até 2027-06-25 (campos do PNCP; o intervalo de ~12 meses sugere vig</t>
  </si>
  <si>
    <t xml:space="preserve">R$ 4.620.000,00 (valor total estimado)</t>
  </si>
  <si>
    <t xml:space="preserve">Municipio De Nova Ipixuna / PA</t>
  </si>
  <si>
    <t xml:space="preserve">conforme objeto: [Portal de Compras Públicas] - CREDENCIAMENTO DE INSTITUIÇÕES FILANTRÓPIC</t>
  </si>
  <si>
    <t xml:space="preserve">op-6af14fb81463</t>
  </si>
  <si>
    <t xml:space="preserve">Municipio de japeri — chamamento público para seleção pública de entidades privadas sem fins lucrativos, quali… — Brasil</t>
  </si>
  <si>
    <t xml:space="preserve">MUNICIPIO DE JAPERI — CHAMAMENTO PÚBLICO PARA SELEÇÃO PÚBLICA DE ENTIDADES PRIVADAS SEM FINS LUCRATIVOS, QUALIFICADAS COMO ORGANIZAÇÕES SOCIAIS NO MUNICÍPIO DE </t>
  </si>
  <si>
    <t xml:space="preserve">MUNICIPIO DE JAPERI</t>
  </si>
  <si>
    <t xml:space="preserve">https://pncp.gov.br/app/editais/39485396000140/2026/47</t>
  </si>
  <si>
    <t xml:space="preserve">{'inicio': None, 'fim': '2026-10-29'}</t>
  </si>
  <si>
    <t xml:space="preserve">op-ce08d2d6b36e</t>
  </si>
  <si>
    <t xml:space="preserve">MUNICIPIO DE RIO DE JANEIRO — Credenciamento de instituições privadas, sem fins lucrativos, que ofereçam acolh… — Brasil</t>
  </si>
  <si>
    <t xml:space="preserve">MUNICIPIO DE RIO DE JANEIRO — Credenciamento de instituições privadas, sem fins lucrativos, que ofereçam acolhimento residencial de caráter transitório, destina</t>
  </si>
  <si>
    <t xml:space="preserve">MUNICIPIO DE RIO DE JANEIRO</t>
  </si>
  <si>
    <t xml:space="preserve">https://pncp.gov.br/app/editais/42498733000148/2026/1323</t>
  </si>
  <si>
    <t xml:space="preserve">op-bd3b65156374</t>
  </si>
  <si>
    <t xml:space="preserve">FUNDO MUNICIPAL DE ASSISTENCIA SOCIAL — ASILAMENTO - Atender a necessidade de serviço de Instituição de Longa … — Brasil</t>
  </si>
  <si>
    <t xml:space="preserve">FUNDO MUNICIPAL DE ASSISTENCIA SOCIAL — ASILAMENTO - Atender a necessidade de serviço de Instituição de Longa Permanência para Idoso (ILPI), visando cumprir o A</t>
  </si>
  <si>
    <t xml:space="preserve">https://pncp.gov.br/app/editais/15183686000170/2026/9</t>
  </si>
  <si>
    <t xml:space="preserve">2027-08-17</t>
  </si>
  <si>
    <t xml:space="preserve">{'inicio': '2026-08-18', 'fim': '2027-08-17'}</t>
  </si>
  <si>
    <t xml:space="preserve">ASILAMENTO - Atender a necessidade de serviço de Instituição de Longa Permanência para Ido</t>
  </si>
  <si>
    <t xml:space="preserve">abertura 2026-08-18; encerramento das propostas 2027-08-17</t>
  </si>
  <si>
    <t xml:space="preserve">valor total estimado R$ 821.847,00</t>
  </si>
  <si>
    <t xml:space="preserve">Itatiaia/RJ</t>
  </si>
  <si>
    <t xml:space="preserve">op-ed26a06444c9</t>
  </si>
  <si>
    <t xml:space="preserve">Municipio de americana — credenciamento de instituições de longa permanência para acolhimento de idosos do sex… — São Paulo</t>
  </si>
  <si>
    <t xml:space="preserve">MUNICIPIO DE AMERICANA — CREDENCIAMENTO DE INSTITUIÇÕES DE LONGA PERMANÊNCIA PARA ACOLHIMENTO DE IDOSOS DO SEXO FEMININO OU MASCULINO - I.L.P.I. – GRAU III DE D</t>
  </si>
  <si>
    <t xml:space="preserve">MUNICIPIO DE AMERICANA</t>
  </si>
  <si>
    <t xml:space="preserve">https://pncp.gov.br/app/editais/45781176000166/2025/1059</t>
  </si>
  <si>
    <t xml:space="preserve">2030-10-08</t>
  </si>
  <si>
    <t xml:space="preserve">{'inicio': None, 'fim': '2030-10-08'}</t>
  </si>
  <si>
    <t xml:space="preserve">op-c2021bc7d737</t>
  </si>
  <si>
    <t xml:space="preserve">Aviso de Chamada Pública Nº 7/2026 – IFSP Campus Miracatu — Brasil</t>
  </si>
  <si>
    <t xml:space="preserve">Aviso de Chamada Pública Nº 7/2026 – IFSP Campus Miracatu</t>
  </si>
  <si>
    <t xml:space="preserve">Instituto Federal de Educação, Ciência e Tecnologia de São Paulo</t>
  </si>
  <si>
    <t xml:space="preserve">https://mrc.ifsp.edu.br</t>
  </si>
  <si>
    <t xml:space="preserve">op-9a3f37fd326c</t>
  </si>
  <si>
    <t xml:space="preserve">Credenciamento de projetos artístico-culturais, apresentados por técnicos, artistas e demais profissionais da…… — Brasil</t>
  </si>
  <si>
    <t xml:space="preserve">Credenciamento de projetos artístico-culturais, apresentados por técnicos, artistas e demais profissionais da… — MUNICIPIO DE DOIS CORREGOS</t>
  </si>
  <si>
    <t xml:space="preserve">MUNICIPIO DE DOIS CORREGOS</t>
  </si>
  <si>
    <t xml:space="preserve">https://pncp.gov.br/app/editais/45671120000159/2025/285</t>
  </si>
  <si>
    <t xml:space="preserve">op-5ce1a4788d20</t>
  </si>
  <si>
    <t xml:space="preserve">Credenciar artistas, bandas, grupos músicais e artisticos, nos váriados estilos para possíveis e futuras… — mu… — Brasil</t>
  </si>
  <si>
    <t xml:space="preserve">CREDENCIAR ARTISTAS, BANDAS, GRUPOS MÚSICAIS E ARTISTICOS, NOS VÁRIADOS ESTILOS PARA POSSÍVEIS E FUTURAS… — MUNICIPIO DE IBIRAPITANGA</t>
  </si>
  <si>
    <t xml:space="preserve">MUNICIPIO DE IBIRAPITANGA</t>
  </si>
  <si>
    <t xml:space="preserve">https://pncp.gov.br/app/editais/13846753000164/2025/44</t>
  </si>
  <si>
    <t xml:space="preserve">op-b9d24c3495b1</t>
  </si>
  <si>
    <t xml:space="preserve">Contratação de grupos culturais interessados em realizar apresentações artístico-culturais, cortejos… — MUNICI… — Brasil</t>
  </si>
  <si>
    <t xml:space="preserve">Contratação de grupos culturais interessados em realizar apresentações artístico-culturais, cortejos… — MUNICIPIO DE SENHOR DO BONFIM</t>
  </si>
  <si>
    <t xml:space="preserve">https://pncp.gov.br/app/editais/13988308000139/2025/190</t>
  </si>
  <si>
    <t xml:space="preserve">op-c1077f175c8b</t>
  </si>
  <si>
    <t xml:space="preserve">San Training Week - Programa Formativo de Jovens Embaixadores do Oceano — Brasil</t>
  </si>
  <si>
    <t xml:space="preserve">San Training Week - Programa Formativo de Jovens Embaixadores do Oceano</t>
  </si>
  <si>
    <t xml:space="preserve">ZM BLOCOS LTDA</t>
  </si>
  <si>
    <t xml:space="preserve">https://versalic.cultura.gov.br/#/projetos/262520</t>
  </si>
  <si>
    <t xml:space="preserve">op-3e458ce5c4f7</t>
  </si>
  <si>
    <t xml:space="preserve">Credenciamento de bandas, grupos musicais, músicos, cantores e artistas, para futura contratação, visando a… —… — Brasil</t>
  </si>
  <si>
    <t xml:space="preserve">CREDENCIAMENTO DE BANDAS, GRUPOS MUSICAIS, MÚSICOS, CANTORES E ARTISTAS, PARA FUTURA CONTRATAÇÃO, VISANDO A… — MUNICIPIO DE GUARAPUAVA</t>
  </si>
  <si>
    <t xml:space="preserve">MUNICIPIO DE GUARAPUAVA</t>
  </si>
  <si>
    <t xml:space="preserve">https://pncp.gov.br/app/editais/76178037000176/2025/185</t>
  </si>
  <si>
    <t xml:space="preserve">op-01640016ee38</t>
  </si>
  <si>
    <t xml:space="preserve">ContraFluxo abre edital para produção de filme gratuito para uma OSC de Curitiba — Brasil</t>
  </si>
  <si>
    <t xml:space="preserve">ContraFluxo abre edital para produção de filme gratuito para uma OSC de Curitiba</t>
  </si>
  <si>
    <t xml:space="preserve">http://www.pesquisavoluntariado.org.br</t>
  </si>
  <si>
    <t xml:space="preserve">op-d01690660b1c</t>
  </si>
  <si>
    <t xml:space="preserve">Edital Nº 08/2024 LabCD/UFPR Credenciamento de Ministrantes para Oficinas na área da Cultura Digital — Brasil</t>
  </si>
  <si>
    <t xml:space="preserve">Edital Nº 08/2024 LabCD/UFPR Credenciamento de Ministrantes para Oficinas na área da Cultura Digital</t>
  </si>
  <si>
    <t xml:space="preserve">https://mapa.cultura.gov.br/oportunidade/5181/</t>
  </si>
  <si>
    <t xml:space="preserve">op-64411f565ef0</t>
  </si>
  <si>
    <t xml:space="preserve">Aviso de chamada pública nº 164/2026 — Brasil</t>
  </si>
  <si>
    <t xml:space="preserve">AVISO DE CHAMADA PÚBLICA Nº 164/2026</t>
  </si>
  <si>
    <t xml:space="preserve">Campus Itaquaquecetuba</t>
  </si>
  <si>
    <t xml:space="preserve">https://itq.ifsp.edu.br/</t>
  </si>
  <si>
    <t xml:space="preserve">op-2eee4533a658</t>
  </si>
  <si>
    <t xml:space="preserve">Aviso de Chamada Pública Nº 14.009/2026-CHP — Brasil</t>
  </si>
  <si>
    <t xml:space="preserve">Aviso de Chamada Pública Nº 14.009/2026-CHP</t>
  </si>
  <si>
    <t xml:space="preserve">https://bllcompras.com</t>
  </si>
  <si>
    <t xml:space="preserve">op-467d88492e15</t>
  </si>
  <si>
    <t xml:space="preserve">Chamada Pública - Edital Nº 22/2026 - DRG-SMP/IFSP — Brasil</t>
  </si>
  <si>
    <t xml:space="preserve">Chamada Pública - Edital Nº 22/2026 - DRG-SMP/IFSP</t>
  </si>
  <si>
    <t xml:space="preserve">Campus São Miguel Paulista</t>
  </si>
  <si>
    <t xml:space="preserve">https://smp.ifsp.edu.br/</t>
  </si>
  <si>
    <t xml:space="preserve">op-12cc2194f4b1</t>
  </si>
  <si>
    <t xml:space="preserve">Chamada de Propostas Bolsa Estágio de Pesquisa no Exterior (BEPE) Iniciação Científica – 2026 — Brasil</t>
  </si>
  <si>
    <t xml:space="preserve">Chamada de Propostas Bolsa Estágio de Pesquisa no Exterior (BEPE) Iniciação Científica – 2026</t>
  </si>
  <si>
    <t xml:space="preserve">FAPESP</t>
  </si>
  <si>
    <t xml:space="preserve">https://fapesp.br/18416</t>
  </si>
  <si>
    <t xml:space="preserve">{'observacao': 'fapesp.br/oportunidades lista so selecoes de bolsas (nao chamadas). fapesp.br/chamadas lista chamadas abertas em 2026, sem indicar elegibilidade de OSC; PIPE e pesquisadores/empresas. Nenhuma edicao 2023-2025 verificada com trecho literal; nada registrado. | não verificado: fapesp.br/chamadas (arquivo de chamadas encerradas 2023-2025); regulamentos de elegibilidade de instituicao s</t>
  </si>
  <si>
    <t xml:space="preserve">op-122e601ea35e</t>
  </si>
  <si>
    <t xml:space="preserve">Convocatoria abierta para el Festival ESCENA MOVIDA 2025 [Arica, Chile] — Brasil</t>
  </si>
  <si>
    <t xml:space="preserve">Convocatoria abierta para el Festival ESCENA MOVIDA 2025 [Arica, Chile]</t>
  </si>
  <si>
    <t xml:space="preserve">https://iberescena.org/Noticias/2387</t>
  </si>
  <si>
    <t xml:space="preserve">op-d78d89af0b00</t>
  </si>
  <si>
    <t xml:space="preserve">DOC.Coimbra 2027 abre open call para documentários: 3 competições, uma delas só de Filmes Lusófonos, até 30 de… — Brasil</t>
  </si>
  <si>
    <t xml:space="preserve">DOC.Coimbra 2027 abre open call para documentários: 3 competições, uma delas só de Filmes Lusófonos, até 30 de outubro</t>
  </si>
  <si>
    <t xml:space="preserve">DOC.Coimbra — Festival Internacional de Documentários</t>
  </si>
  <si>
    <t xml:space="preserve">https://www.doccoimbra.com/</t>
  </si>
  <si>
    <t xml:space="preserve">op-8788121819c2</t>
  </si>
  <si>
    <t xml:space="preserve">Edital de Seleção Pública nº 3/2026 — Brasil</t>
  </si>
  <si>
    <t xml:space="preserve">Edital de Seleção Pública nº 3/2026</t>
  </si>
  <si>
    <t xml:space="preserve">https://www.anater.org</t>
  </si>
  <si>
    <t xml:space="preserve">op-8230498f5be1</t>
  </si>
  <si>
    <t xml:space="preserve">Edital vai apoiar projetos que unam dados e inteligência artificial para saúde mental de crianças e adolescent… — Brasil</t>
  </si>
  <si>
    <t xml:space="preserve">Edital vai apoiar projetos que unam dados e inteligência artificial para saúde mental de crianças e adolescentes</t>
  </si>
  <si>
    <t xml:space="preserve">https://desafiosaudemental.prosas.com.br/</t>
  </si>
  <si>
    <t xml:space="preserve">op-cadde20d792d</t>
  </si>
  <si>
    <t xml:space="preserve">Fundo de Cidadania Ativa prorroga inscrições para apoiar até 30 iniciativas comunitárias em periferias de Camp… — Brasil</t>
  </si>
  <si>
    <t xml:space="preserve">Fundo de Cidadania Ativa prorroga inscrições para apoiar até 30 iniciativas comunitárias em periferias de Campinas</t>
  </si>
  <si>
    <t xml:space="preserve">https://casahacker.org/</t>
  </si>
  <si>
    <t xml:space="preserve">op-e2d3c1bfab1b</t>
  </si>
  <si>
    <t xml:space="preserve">Programa Incentivar abre inscrições para capacitação gratuita de projetos sociais — Brasil</t>
  </si>
  <si>
    <t xml:space="preserve">Programa Incentivar abre inscrições para capacitação gratuita de projetos sociais</t>
  </si>
  <si>
    <t xml:space="preserve">https://programaincentivar.com.br/</t>
  </si>
  <si>
    <t xml:space="preserve">op-b44c4dba68a9</t>
  </si>
  <si>
    <t xml:space="preserve">Prêmio Funarte Marc Ferrez de Fotografia – 17ª Edição — Brasil</t>
  </si>
  <si>
    <t xml:space="preserve">Prêmio Funarte Marc Ferrez de Fotografia – 17ª Edição</t>
  </si>
  <si>
    <t xml:space="preserve">https://www.gov.br/funarte/pt-br/editais/2024/premio-funarte-marc-ferrez-de-fotografia-2013-17a-edicao</t>
  </si>
  <si>
    <t xml:space="preserve">2024-08-19 a 2024-09-17</t>
  </si>
  <si>
    <t xml:space="preserve">R$ 660 mil (10 prêmios de R$ 30 mil + 12 bolsas de R$ 60 mil)</t>
  </si>
  <si>
    <t xml:space="preserve">op-3673ae77eae0</t>
  </si>
  <si>
    <t xml:space="preserve">Prêmio Impactos Positivos 2026 recebe inscrições até 24 de julho — Brasil</t>
  </si>
  <si>
    <t xml:space="preserve">Prêmio Impactos Positivos 2026 recebe inscrições até 24 de julho</t>
  </si>
  <si>
    <t xml:space="preserve">https://impactospositivos.com/</t>
  </si>
  <si>
    <t xml:space="preserve">op-739f06ec3ce3</t>
  </si>
  <si>
    <t xml:space="preserve">Prêmio Nacional Liga STEAM 2026 prorroga inscrições para 26 de junho — Brasil</t>
  </si>
  <si>
    <t xml:space="preserve">Prêmio Nacional Liga STEAM 2026 prorroga inscrições para 26 de junho</t>
  </si>
  <si>
    <t xml:space="preserve">http://ligasteam.com.br</t>
  </si>
  <si>
    <t xml:space="preserve">op-1f00843f02a4</t>
  </si>
  <si>
    <t xml:space="preserve">Prêmio Pacto Contra a Fome 2026 abre inscrições e deve distribuir R$ 600 mil para a iniciativas em todo o Bras… — Brasil</t>
  </si>
  <si>
    <t xml:space="preserve">Prêmio Pacto Contra a Fome 2026 abre inscrições e deve distribuir R$ 600 mil para a iniciativas em todo o Brasil</t>
  </si>
  <si>
    <t xml:space="preserve">http://hub.pactocontrafome.org</t>
  </si>
  <si>
    <t xml:space="preserve">op-79b6e875580f</t>
  </si>
  <si>
    <t xml:space="preserve">Credenciamento de caráter permanente das organizações da sociedade civil – osc, na forma estabelecida neste… —… — Brasil</t>
  </si>
  <si>
    <t xml:space="preserve">CREDENCIAMENTO DE CARÁTER PERMANENTE DAS ORGANIZAÇÕES DA SOCIEDADE CIVIL – OSC, na forma estabelecida neste… — MUNICIPIO DE PALMEIRA DOS INDIOS</t>
  </si>
  <si>
    <t xml:space="preserve">op-0f343708ed96</t>
  </si>
  <si>
    <t xml:space="preserve">Credenciamento de pessoa jurídica para a prestação de serviços especializados para ministrar oficinas de… — MU… — Brasil</t>
  </si>
  <si>
    <t xml:space="preserve">Credenciamento de pessoa jurídica para a prestação de serviços especializados para ministrar oficinas de… — MUNICIPIO DE JOACABA</t>
  </si>
  <si>
    <t xml:space="preserve">MUNICIPIO DE JOACABA</t>
  </si>
  <si>
    <t xml:space="preserve">https://pncp.gov.br/app/editais/82939380000199/2025/239</t>
  </si>
  <si>
    <t xml:space="preserve">op-fe1942680f12</t>
  </si>
  <si>
    <t xml:space="preserve">Credenciar artistas, empresas e entidades para intervenções artísticas… — MUNICIPIO DE BALNEARIO DE PICARRAS — Brasil</t>
  </si>
  <si>
    <t xml:space="preserve">O presente edital tem por finalidade credenciar artistas, empresas e entidades para intervenções artísticas… — MUNICIPIO DE BALNEARIO DE PICARRAS</t>
  </si>
  <si>
    <t xml:space="preserve">MUNICIPIO DE BALNEARIO DE PICARRAS</t>
  </si>
  <si>
    <t xml:space="preserve">https://pncp.gov.br/app/editais/83102335000148/2025/83</t>
  </si>
  <si>
    <t xml:space="preserve">op-8834768d4158</t>
  </si>
  <si>
    <t xml:space="preserve">Credenciamento de atividades, artistas, grupos e coletivos artísticos, interessados na prestação de serviços… … — Brasil</t>
  </si>
  <si>
    <t xml:space="preserve">credenciamento de atividades, artistas, grupos e coletivos artísticos, interessados na prestação de serviços… — MUNICIPIO DE BALNEARIO ARROIO DO SILVA</t>
  </si>
  <si>
    <t xml:space="preserve">MUNICIPIO DE BALNEARIO ARROIO DO SILVA</t>
  </si>
  <si>
    <t xml:space="preserve">https://pncp.gov.br/app/editais/01605479000152/2025/114</t>
  </si>
  <si>
    <t xml:space="preserve">op-ed89a9b88531</t>
  </si>
  <si>
    <t xml:space="preserve">Credenciamento de artista solobandasgruposduplastriosartista solo 1.1 e artista voz e violão em diferentes… — … — Brasil</t>
  </si>
  <si>
    <t xml:space="preserve">CREDENCIAMENTO DE ARTISTA SOLOBANDASGRUPOSDUPLASTRIOSARTISTA SOLO 1.1 E ARTISTA VOZ E VIOLÃO EM DIFERENTES… — MUNICIPIO DE BOCAIUVA</t>
  </si>
  <si>
    <t xml:space="preserve">MUNICIPIO DE BOCAIUVA</t>
  </si>
  <si>
    <t xml:space="preserve">https://pncp.gov.br/app/editais/18803072000132/2025/207</t>
  </si>
  <si>
    <t xml:space="preserve">op-0a8be93d59be</t>
  </si>
  <si>
    <t xml:space="preserve">Credenciamento de bandas e artistas sem reconhecimento nacional ou consagração do público, em atendimento a… —… — Brasil</t>
  </si>
  <si>
    <t xml:space="preserve">CREDENCIAMENTO DE BANDAS E ARTISTAS SEM RECONHECIMENTO NACIONAL OU CONSAGRAÇÃO DO PÚBLICO, EM ATENDIMENTO A… — MUNICIPIO DE SENADOR MODESTINO GONCALVES</t>
  </si>
  <si>
    <t xml:space="preserve">https://pncp.gov.br/app/editais/17754110000141/2025/40</t>
  </si>
  <si>
    <t xml:space="preserve">op-3b3f19c6ef30</t>
  </si>
  <si>
    <t xml:space="preserve">Credenciamento, de artistas locais e regionais para realização de apresentações artísticas na sede, distrito… … — Brasil</t>
  </si>
  <si>
    <t xml:space="preserve">CREDENCIAMENTO, DE ARTISTAS LOCAIS E REGIONAIS PARA REALIZAÇÃO DE APRESENTAÇÕES ARTÍSTICAS NA SEDE, DISTRITO… — MUNICIPIO DE PAULISTAS</t>
  </si>
  <si>
    <t xml:space="preserve">MUNICIPIO DE PAULISTAS</t>
  </si>
  <si>
    <t xml:space="preserve">https://pncp.gov.br/app/editais/18307447000173/2025/97</t>
  </si>
  <si>
    <t xml:space="preserve">op-54265fb55ea3</t>
  </si>
  <si>
    <t xml:space="preserve">Prestação de serviços como oficineiros para o projeto "Oficinas Experimentais de Arte e Cultura" do programa… … — Brasil</t>
  </si>
  <si>
    <t xml:space="preserve">Prestação de serviços como oficineiros para o projeto "Oficinas Experimentais de Arte e Cultura" do programa… — MUNICIPIO DE UBERLANDIA</t>
  </si>
  <si>
    <t xml:space="preserve">MUNICIPIO DE UBERLANDIA</t>
  </si>
  <si>
    <t xml:space="preserve">https://pncp.gov.br/app/editais/18431312001006/2025/155</t>
  </si>
  <si>
    <t xml:space="preserve">op-925129fbe144</t>
  </si>
  <si>
    <t xml:space="preserve">Realização de Procedimento Auxiliar de Credenciamento, visando selecionar e habilitar artistas na categoria… —… — Brasil</t>
  </si>
  <si>
    <t xml:space="preserve">Realização de Procedimento Auxiliar de Credenciamento, visando selecionar e habilitar artistas na categoria… — MUNICIPIO DE PORTALEGRE</t>
  </si>
  <si>
    <t xml:space="preserve">op-cd3e42b07025</t>
  </si>
  <si>
    <t xml:space="preserve">A contratação, por meio de procedimento de credenciamento público, de artistas solo, bandas e grupos musicais…… — Brasil</t>
  </si>
  <si>
    <t xml:space="preserve">A contratação, por meio de procedimento de credenciamento público, de artistas solo, bandas e grupos musicais… — MUNICIPIO DE ITATIAIA</t>
  </si>
  <si>
    <t xml:space="preserve">MUNICIPIO DE ITATIAIA</t>
  </si>
  <si>
    <t xml:space="preserve">https://pncp.gov.br/app/editais/31846892000170/2025/85</t>
  </si>
  <si>
    <t xml:space="preserve">op-fc09eefd8b73</t>
  </si>
  <si>
    <t xml:space="preserve">Credenciamento de músico para atuar como musíco instrumentista junto a banda “maestro eugênio”, bem como no… —… — Brasil</t>
  </si>
  <si>
    <t xml:space="preserve">CREDENCIAMENTO DE MÚSICO PARA ATUAR COMO MUSÍCO INSTRUMENTISTA JUNTO A BANDA “MAESTRO EUGÊNIO”, BEM COMO NO… — MUNICIPIO DE FLORIANO</t>
  </si>
  <si>
    <t xml:space="preserve">MUNICIPIO DE FLORIANO</t>
  </si>
  <si>
    <t xml:space="preserve">https://pncp.gov.br/app/editais/06554067000154/2025/194</t>
  </si>
  <si>
    <t xml:space="preserve">op-d20b9e1bcaff</t>
  </si>
  <si>
    <t xml:space="preserve">Credenciamento de artistas individuais e/ou coletivos, bandas musicais, mestras e mestres, grupos culturais e…… — Brasil</t>
  </si>
  <si>
    <t xml:space="preserve">CREDENCIAMENTO DE ARTISTAS INDIVIDUAIS E/OU COLETIVOS, BANDAS MUSICAIS, MESTRAS E MESTRES, GRUPOS CULTURAIS E… — MUNICIPIO DE GOIANA</t>
  </si>
  <si>
    <t xml:space="preserve">MUNICIPIO DE GOIANA</t>
  </si>
  <si>
    <t xml:space="preserve">https://pncp.gov.br/app/editais/10150043000107/2025/170</t>
  </si>
  <si>
    <t xml:space="preserve">op-1b296cc1a320</t>
  </si>
  <si>
    <t xml:space="preserve">Chamamento Público Nº 1/2026 - CODEBA — Brasil</t>
  </si>
  <si>
    <t xml:space="preserve">Chamamento Público Nº 1/2026 - CODEBA</t>
  </si>
  <si>
    <t xml:space="preserve">Companhia das Docas do Estado da Bahia</t>
  </si>
  <si>
    <t xml:space="preserve">http://www.codeb.gov.br</t>
  </si>
  <si>
    <t xml:space="preserve">op-f924528660ef</t>
  </si>
  <si>
    <t xml:space="preserve">Aviso de credenciamento nº 2/2026 — Brasil</t>
  </si>
  <si>
    <t xml:space="preserve">AVISO DE CREDENCIAMENTO Nº 2/2026</t>
  </si>
  <si>
    <t xml:space="preserve">Conselho de Arquitetura e Urbanismo do Brasil</t>
  </si>
  <si>
    <t xml:space="preserve">{'valor': 'poder_publico', 'fundamento': 'CAU/BR, autarquia federal de fiscalização profissional.', 'em': '2026-10-02'}</t>
  </si>
  <si>
    <t xml:space="preserve">https://transparencia.caubr.gov.br/chamadas</t>
  </si>
  <si>
    <t xml:space="preserve">op-724418ad6275</t>
  </si>
  <si>
    <t xml:space="preserve">Aviso de credenciamento nº 3/2026 — Brasil</t>
  </si>
  <si>
    <t xml:space="preserve">AVISO DE CREDENCIAMENTO Nº 3/2026</t>
  </si>
  <si>
    <t xml:space="preserve">{'valor': 'poder_publico', 'fundamento': 'Conselho profissional (autarquia) que capta recursos privados de patrocinadores.', 'em': '2026-10-02'}</t>
  </si>
  <si>
    <t xml:space="preserve">https://crefito19.org.br/cr19/</t>
  </si>
  <si>
    <t xml:space="preserve">op-ac70c8d73581</t>
  </si>
  <si>
    <t xml:space="preserve">Aviso de seleção pública nº 4/2026 — Brasil</t>
  </si>
  <si>
    <t xml:space="preserve">AVISO DE SELEÇÃO PÚBLICA Nº 4/2026</t>
  </si>
  <si>
    <t xml:space="preserve">Fundação de Apoio à Cultura, Ensino, Pesquisa e Extensão de Alfenas</t>
  </si>
  <si>
    <t xml:space="preserve">{'valor': 'poder_publico', 'fundamento': 'Fundação de apoio à universidade federal (Lei 8.958/1994), com recurso de projeto público.', 'em': '2026-10-02'}</t>
  </si>
  <si>
    <t xml:space="preserve">https://facepevirtual.org.br/facepe/selecao-publica</t>
  </si>
  <si>
    <t xml:space="preserve">{'observacao': 'VERIFICADO em 03/10/2026: seleção pública da FACEPE (fundação de apoio) sem série de edições do mesmo objeto localizada.'}</t>
  </si>
  <si>
    <t xml:space="preserve">op-81adbdccc156</t>
  </si>
  <si>
    <t xml:space="preserve">Aviso de Chamamento Público Nº 180/2026 – Credenciamento — Brasil</t>
  </si>
  <si>
    <t xml:space="preserve">Aviso de Chamamento Público Nº 180/2026 – Credenciamento</t>
  </si>
  <si>
    <t xml:space="preserve">A</t>
  </si>
  <si>
    <t xml:space="preserve">http://www.trensurb.gov.br</t>
  </si>
  <si>
    <t xml:space="preserve">op-7a7ba312d8d3</t>
  </si>
  <si>
    <t xml:space="preserve">Aviso de Chamamento Público Nº 2/2026 — Brasil</t>
  </si>
  <si>
    <t xml:space="preserve">Aviso de Chamamento Público Nº 2/2026</t>
  </si>
  <si>
    <t xml:space="preserve">Conselho Regional de Biomedicina da 4ª Região</t>
  </si>
  <si>
    <t xml:space="preserve">{'valor': 'poder_publico', 'fundamento': 'Conselho profissional (autarquia federal) com recursos próprios; objeto é compra/alienação.', 'em': '2026-10-02'}</t>
  </si>
  <si>
    <t xml:space="preserve">http://www.crbm4.org.br/licitacoes</t>
  </si>
  <si>
    <t xml:space="preserve">op-129c40f4474d</t>
  </si>
  <si>
    <t xml:space="preserve">Aviso de Chamamento Público – Processo de Seleção com Disputa Aberta pelo Procedimento Remoto N° 69/2026 — Brasil</t>
  </si>
  <si>
    <t xml:space="preserve">Aviso de Chamamento Público – Processo de Seleção com Disputa Aberta pelo Procedimento Remoto N° 69/2026</t>
  </si>
  <si>
    <t xml:space="preserve">{'valor': 'poder_publico', 'fundamento': 'Sistema S (entidade paraestatal custeada por contribuição compulsória) contratando serviço.', 'em': '2026-10-02'}</t>
  </si>
  <si>
    <t xml:space="preserve">https://www.portaldaindustria.com.br/licitacoes/</t>
  </si>
  <si>
    <t xml:space="preserve">op-3510c514c823</t>
  </si>
  <si>
    <t xml:space="preserve">Chamada Pública MCTI/CNPq/MIR/MMulheres/MPI nº 20/2026 - Atlânticas - Programa Beatriz Nascimento de Mulheres … — Brasil</t>
  </si>
  <si>
    <t xml:space="preserve">Chamada Pública MCTI/CNPq/MIR/MMulheres/MPI nº 20/2026 - Atlânticas - Programa Beatriz Nascimento de Mulheres na Ciência</t>
  </si>
  <si>
    <t xml:space="preserve">MCTI/CNPq</t>
  </si>
  <si>
    <t xml:space="preserve">{'valor': 'poder_publico', 'fundamento': 'MCTI/CNPq e ministérios parceiros publicam com recurso federal.', 'em': '2026-10-02'}</t>
  </si>
  <si>
    <t xml:space="preserve">https://www.gov.br/mulheres/pt-br/acesso-a-informacao/editais/2026/chamada-publica-mcti-cnpq-mir-mmulheres-mpi-no-20-2026-atlanticas-programa-beatriz-nascimento-de-mulheres-na-ciencia</t>
  </si>
  <si>
    <t xml:space="preserve">op-d8073e7e8af9</t>
  </si>
  <si>
    <t xml:space="preserve">Edital de Chamamento Público Nº 3 – Aquisição de Imóvel — Brasil</t>
  </si>
  <si>
    <t xml:space="preserve">Edital de Chamamento Público Nº 3 – Aquisição de Imóvel</t>
  </si>
  <si>
    <t xml:space="preserve">CONSELHO REGIONAL DE QUÍMICA DA XVII REGIÃO</t>
  </si>
  <si>
    <t xml:space="preserve">http://pesquisa.in.gov.br/imprensa/jsp/visualiza/index.jsp?data=16/09/2026&amp;jornal=530&amp;pagina=140</t>
  </si>
  <si>
    <t xml:space="preserve">op-7a6bab0a152a</t>
  </si>
  <si>
    <t xml:space="preserve">Edital de Seleção de Candidatos para Residência Médica - 2027 - Centro Médico Campinas — Brasil</t>
  </si>
  <si>
    <t xml:space="preserve">Edital de Seleção de Candidatos para Residência Médica - 2027 - Centro Médico Campinas</t>
  </si>
  <si>
    <t xml:space="preserve">FUNDAÇÃO CENTRO MÉDICO DE CAMPINAS</t>
  </si>
  <si>
    <t xml:space="preserve">https://www.consesp.com.br</t>
  </si>
  <si>
    <t xml:space="preserve">op-7518ebbdcfb1</t>
  </si>
  <si>
    <t xml:space="preserve">FAPESP Young Investigator Grant for International Researchers — Brasil</t>
  </si>
  <si>
    <t xml:space="preserve">FAPESP Young Investigator Grant for International Researchers</t>
  </si>
  <si>
    <t xml:space="preserve">{'valor': 'poder_publico', 'fundamento': 'FAPESP, fundação pública do estado de SP, com recurso estadual.', 'em': '2026-10-02'}</t>
  </si>
  <si>
    <t xml:space="preserve">https://fapesp.br/18389</t>
  </si>
  <si>
    <t xml:space="preserve">2026-11-19</t>
  </si>
  <si>
    <t xml:space="preserve">{'inicio': '2026-09-14', 'fim': '2026-11-19'}</t>
  </si>
  <si>
    <t xml:space="preserve">Young Investigator Grant para pesquisadores do exterior, projetos em instituições de pesqu</t>
  </si>
  <si>
    <t xml:space="preserve">Propostas completas até 19/11/2026</t>
  </si>
  <si>
    <t xml:space="preserve">Resultado final a partir de junho de 2027</t>
  </si>
  <si>
    <t xml:space="preserve">Sem recurso: decisão final, sem pedido de reconsideração</t>
  </si>
  <si>
    <t xml:space="preserve">Teto definido por orçamento solicitado; máximo 20 bolsas e projetos de até 60 meses</t>
  </si>
  <si>
    <t xml:space="preserve">FAPESP (fundação pública do Estado de São Paulo)</t>
  </si>
  <si>
    <t xml:space="preserve">Estado de São Paulo (instituições de ensino superior e pesquisa paulistas)</t>
  </si>
  <si>
    <t xml:space="preserve">Pesquisador residindo e trabalhando no exterior há 2+ anos, conforme critérios do YIG</t>
  </si>
  <si>
    <t xml:space="preserve">Pesquisa científica, todas as áreas do conhecimento</t>
  </si>
  <si>
    <t xml:space="preserve">op-7ef3372841b4</t>
  </si>
  <si>
    <t xml:space="preserve">Credenciamento para contratação de atrações musicais regionais para se apresentarem nos eventos realizados e… … — Brasil</t>
  </si>
  <si>
    <t xml:space="preserve">Credenciamento para contratação de atrações musicais regionais para se apresentarem nos eventos realizados e… — MUNICIPIO DE NANUQUE</t>
  </si>
  <si>
    <t xml:space="preserve">MUNICIPIO DE NANUQUE</t>
  </si>
  <si>
    <t xml:space="preserve">https://pncp.gov.br/app/editais/18398974000130/2024/22</t>
  </si>
  <si>
    <t xml:space="preserve">op-bf4c3af441cc</t>
  </si>
  <si>
    <t xml:space="preserve">Aviso de chamada pública nº 5/2026 — Goiás / Ceres</t>
  </si>
  <si>
    <t xml:space="preserve">AVISO DE CHAMADA PÚBLICA Nº 5/2026</t>
  </si>
  <si>
    <t xml:space="preserve">FUNDO MUNICIPAL DE SAÚDE DE CERES</t>
  </si>
  <si>
    <t xml:space="preserve">Ceres</t>
  </si>
  <si>
    <t xml:space="preserve">https://www.ceres.go.gov.br</t>
  </si>
  <si>
    <t xml:space="preserve">op-163ef8cb4751</t>
  </si>
  <si>
    <t xml:space="preserve">Aviso de Chamada Pública nº 030/2026 – Credenciamento de Exames por Imagens — Goiás</t>
  </si>
  <si>
    <t xml:space="preserve">Aviso de Chamada Pública nº 030/2026 – Credenciamento de Exames por Imagens</t>
  </si>
  <si>
    <t xml:space="preserve">https://aparecidadoriodoce.go.gov.br/</t>
  </si>
  <si>
    <t xml:space="preserve">op-eb990e66f5a2</t>
  </si>
  <si>
    <t xml:space="preserve">Aviso de Chamamento Público nº 1/2026 — Goiás</t>
  </si>
  <si>
    <t xml:space="preserve">Aviso de Chamamento Público nº 1/2026</t>
  </si>
  <si>
    <t xml:space="preserve">https://www.novaamerica.go.gov.br/politica-nacional-aldir-blanc-ciclo-ii/</t>
  </si>
  <si>
    <t xml:space="preserve">Aviso de Chamamento Público nº 1/2026 – PNAB Ciclo II – Prefeitura de Nova América</t>
  </si>
  <si>
    <t xml:space="preserve">Prefeitura Municipal de Nova América</t>
  </si>
  <si>
    <t xml:space="preserve">op-f74845f93aa4</t>
  </si>
  <si>
    <t xml:space="preserve">Aviso de Chamamento Público – Editais de Fomento à Cultura — Goiás / Morrinhos</t>
  </si>
  <si>
    <t xml:space="preserve">Aviso de Chamamento Público – Editais de Fomento à Cultura</t>
  </si>
  <si>
    <t xml:space="preserve">Prefeitura Municipal de Morrinhos</t>
  </si>
  <si>
    <t xml:space="preserve">Morrinhos</t>
  </si>
  <si>
    <t xml:space="preserve">http://morrinhos.go.gov.br/</t>
  </si>
  <si>
    <t xml:space="preserve">op-2a4dd855d5ed</t>
  </si>
  <si>
    <t xml:space="preserve">Credenciamento de artistas regionais para prestação de serviços artísticos conforme necessidade da prefeitura…… — Brasil</t>
  </si>
  <si>
    <t xml:space="preserve">CREDENCIAMENTO DE ARTISTAS REGIONAIS PARA PRESTAÇÃO DE SERVIÇOS ARTÍSTICOS CONFORME NECESSIDADE DA PREFEITURA… — MUNICIPIO DE GOIAS</t>
  </si>
  <si>
    <t xml:space="preserve">MUNICIPIO DE GOIAS</t>
  </si>
  <si>
    <t xml:space="preserve">{'valor': 'poder_publico', 'fundamento': 'Publica o Município de Goiás; recurso do orçamento municipal para contratação de serviços.', 'em': '2026-10-02'}</t>
  </si>
  <si>
    <t xml:space="preserve">https://pncp.gov.br/app/editais/02295772000123/2026/75</t>
  </si>
  <si>
    <t xml:space="preserve">2026-02-05</t>
  </si>
  <si>
    <t xml:space="preserve">{'inicio': '2026-02-05', 'fim': '2026-12-31'}</t>
  </si>
  <si>
    <t xml:space="preserve">Credenciamento de artistas regionais para o calendário cultural 2026 da Cidade de Goiás</t>
  </si>
  <si>
    <t xml:space="preserve">2026-02-05 a 2026-12-31 (credenciamento aberto na vigência)</t>
  </si>
  <si>
    <t xml:space="preserve">R$ 1.758.482,67 (estimado total)</t>
  </si>
  <si>
    <t xml:space="preserve">Município de Goiás</t>
  </si>
  <si>
    <t xml:space="preserve">Goiás/GO</t>
  </si>
  <si>
    <t xml:space="preserve">op-6c733d026349</t>
  </si>
  <si>
    <t xml:space="preserve">Aviso de Chamamento Público Nº 1/2026 — Brasil</t>
  </si>
  <si>
    <t xml:space="preserve">Aviso de Chamamento Público Nº 1/2026</t>
  </si>
  <si>
    <t xml:space="preserve">CAM</t>
  </si>
  <si>
    <t xml:space="preserve">https://portal.ifba.edu.br/camacari</t>
  </si>
  <si>
    <t xml:space="preserve">op-49a62c060dd8</t>
  </si>
  <si>
    <t xml:space="preserve">Consulta de Emendas Parlamentares — Brasil</t>
  </si>
  <si>
    <t xml:space="preserve">Consulta de Emendas Parlamentares</t>
  </si>
  <si>
    <t xml:space="preserve">{'valor': 'poder_publico', 'fundamento': 'Quem publica é o MDS (União) e o recurso vem do orçamento federal.', 'em': '2026-10-02'}</t>
  </si>
  <si>
    <t xml:space="preserve">https://www.gov.br/mds/pt-br/acesso-a-informacao/emendas-parlamentares</t>
  </si>
  <si>
    <t xml:space="preserve">Objeto, Prazo de inscrição, Órgão / financiador, Território, Esfera, Requisitos, Área de atuação</t>
  </si>
  <si>
    <t xml:space="preserve">informado (motor f260-captacao-090, 2026-10-02)</t>
  </si>
  <si>
    <t xml:space="preserve">não há edital: a indicação é do parlamentar</t>
  </si>
  <si>
    <t xml:space="preserve">não há edital nem fase recursal</t>
  </si>
  <si>
    <t xml:space="preserve">definido pelo parlamentar na indicação</t>
  </si>
  <si>
    <t xml:space="preserve">não há edital: a entidade entrega ofício e plano de trabalho</t>
  </si>
  <si>
    <t xml:space="preserve">definida pelo parlamentar na indicação</t>
  </si>
  <si>
    <t xml:space="preserve">op-9b33d698ef57</t>
  </si>
  <si>
    <t xml:space="preserve">Google para organizações sem fins lucrativos — Brasil</t>
  </si>
  <si>
    <t xml:space="preserve">https://www.google.com/nonprofits</t>
  </si>
  <si>
    <t xml:space="preserve">op-a49787165a41</t>
  </si>
  <si>
    <t xml:space="preserve">Prêmio Guardiãs FNRB — Brasil</t>
  </si>
  <si>
    <t xml:space="preserve">Prêmio Guardiãs FNRB</t>
  </si>
  <si>
    <t xml:space="preserve">{'valor': 'poder_publico', 'fundamento': 'Publica o MMA/CG-FNRB com recursos do Fundo Nacional para a Repartição de Benefícios.', 'em': '2026-10-02'}</t>
  </si>
  <si>
    <t xml:space="preserve">https://www.gov.br/mma/pt-br/assuntos/bioeconomia/patrimonio-genetico/reparticao-de-beneficios/premio-guardias-da-sociobiodiversidade</t>
  </si>
  <si>
    <t xml:space="preserve">op-e86a93d1b041</t>
  </si>
  <si>
    <t xml:space="preserve">DESTINA — Destinação Articulada de Acordos: Edital de Chamamento para o Cadastramento de Órgãos, Entidades Púb… — Goiás</t>
  </si>
  <si>
    <t xml:space="preserve">DESTINA — Destinação Articulada de Acordos: Edital de Chamamento para o Cadastramento de Órgãos, Entidades Públicas ou de Interesse Social nº 02/2024</t>
  </si>
  <si>
    <t xml:space="preserve">MP-GO — COMPOR (Centro de Autocomposição de Conflitos e Segurança Jurídica)</t>
  </si>
  <si>
    <t xml:space="preserve">https://www.mpgo.mp.br/portal/conteudo/destina-destinacao-articulada-de-acordos-edital-n-02-2024</t>
  </si>
  <si>
    <t xml:space="preserve">Atos que regem o Projeto DAAMP (Destina) e o cadastro de entidades</t>
  </si>
  <si>
    <t xml:space="preserve">MP-GO — Procuradoria-Geral de Justiça</t>
  </si>
  <si>
    <t xml:space="preserve">op-c2ab977d665c</t>
  </si>
  <si>
    <t xml:space="preserve">Ato normativo edital 24/2025 — Goiás / Goiânia</t>
  </si>
  <si>
    <t xml:space="preserve">ATO NORMATIVO EDITAL 24/2025</t>
  </si>
  <si>
    <t xml:space="preserve">https://www.prt18.mpt.mp.br/informe-se/tutorial-do-sistema-de-destinacoes-do-mpt</t>
  </si>
  <si>
    <t xml:space="preserve">ATO NORMATIVO PORTARIA 124/2025</t>
  </si>
  <si>
    <t xml:space="preserve">op-f5a90924e5d1</t>
  </si>
  <si>
    <t xml:space="preserve">Cadastro para recebimento de bens e recursos (Sistema de Destinações do MPT) — Goiás / Goiânia</t>
  </si>
  <si>
    <t xml:space="preserve">Cadastro para recebimento de bens e recursos (Sistema de Destinações do MPT)</t>
  </si>
  <si>
    <t xml:space="preserve">https://www.prt18.mpt.mp.br/informe-se/doacoes-convenios</t>
  </si>
  <si>
    <t xml:space="preserve">op-3ed177adc912</t>
  </si>
  <si>
    <t xml:space="preserve">Associação Kalunga recebe veículos por meio de reversão de recursos acordada pelo MPT-GO — Goiás / Goiânia</t>
  </si>
  <si>
    <t xml:space="preserve">Associação Kalunga recebe veículos por meio de reversão de recursos acordada pelo MPT-GO</t>
  </si>
  <si>
    <t xml:space="preserve">https://www.prt18.mpt.mp.br/informe-se/noticias-do-mpt-go/1117-associacao-kalunga-recebe-veiculos-por-meio-de-reversao-de-recursos-acordada-pelo-mpt-go</t>
  </si>
  <si>
    <t xml:space="preserve">Prazo de inscrição, Resultado, Prazo de recurso, Esfera, Requisitos, Destinação, Área de atuação</t>
  </si>
  <si>
    <t xml:space="preserve">acordo total R$ 7,6 milhoes</t>
  </si>
  <si>
    <t xml:space="preserve">op-48977a8975ad</t>
  </si>
  <si>
    <t xml:space="preserve">Municipio de caibi — credenciamento de instituiçôes para prestação de serviços de acolhimento institucional de… — Brasil</t>
  </si>
  <si>
    <t xml:space="preserve">MUNICIPIO DE CAIBI — CREDENCIAMENTO DE INSTITUIÇÔES PARA PRESTAÇÃO DE SERVIÇOS DE ACOLHIMENTO INSTITUCIONAL DE LONGA PERMANÊNCIA PARA PESSOAS IDOSAS</t>
  </si>
  <si>
    <t xml:space="preserve">MUNICIPIO DE CAIBI</t>
  </si>
  <si>
    <t xml:space="preserve">https://pncp.gov.br/api/consulta/v1/orgaos/82940776000156/compras/2026/148</t>
  </si>
  <si>
    <t xml:space="preserve">https://pncp.gov.br/app/editais/82940776000156/2026/148</t>
  </si>
  <si>
    <t xml:space="preserve">2026-03-03</t>
  </si>
  <si>
    <t xml:space="preserve">{'inicio': '2026-03-03', 'fim': '2027-03-03'}</t>
  </si>
  <si>
    <t xml:space="preserve">CREDENCIAMENTO DE INSTITUIÇÔES PARA PRESTAÇÃO DE SERVIÇOS DE ACOLHIMENTO INSTITUCIONAL DE</t>
  </si>
  <si>
    <t xml:space="preserve">Abertura de propostas 2026-03-03; encerramento 2027-03-03 (campos do PNCP)</t>
  </si>
  <si>
    <t xml:space="preserve">R$ 514.911,96 estimado</t>
  </si>
  <si>
    <t xml:space="preserve">op-a60107d0cc0c</t>
  </si>
  <si>
    <t xml:space="preserve">Fundo municipal de assistencia social - fmas do municipio de major vieira — credenciamento de entidades para p… — Brasil</t>
  </si>
  <si>
    <t xml:space="preserve">FUNDO MUNICIPAL DE ASSISTENCIA SOCIAL - FMAS DO MUNICIPIO DE MAJOR VIEIRA — CREDENCIAMENTO DE ENTIDADES PARA PRESTAÇÃO DE SERVIÇOS DE ACOLHIMENTO INSTITUCIONAL </t>
  </si>
  <si>
    <t xml:space="preserve">FUNDO MUNICIPAL DE ASSISTENCIA SOCIAL - FMAS DO MUNICIPIO DE MAJOR VIEIRA</t>
  </si>
  <si>
    <t xml:space="preserve">https://pncp.gov.br/app/editais/19299241000101/2026/6</t>
  </si>
  <si>
    <t xml:space="preserve">{'inicio': '2026-06-17', 'fim': '2027-06-17'}</t>
  </si>
  <si>
    <t xml:space="preserve">CREDENCIAMENTO DE ENTIDADES PARA PRESTAÇÃO DE SERVIÇOS DE ACOLHIMENTO INSTITUCIONAL DE LON</t>
  </si>
  <si>
    <t xml:space="preserve">proposta de 2026-06-17 até 2027-06-17 (campos do PNCP; o intervalo de ~12 meses sugere vig</t>
  </si>
  <si>
    <t xml:space="preserve">R$ 611.300,40 (valor total estimado)</t>
  </si>
  <si>
    <t xml:space="preserve">Fundo Municipal De Assistencia Social - Fmas Do Municipio De Major Vieira / SC</t>
  </si>
  <si>
    <t xml:space="preserve">conforme objeto: CREDENCIAMENTO DE ENTIDADES PARA PRESTAÇÃO DE SERVIÇOS DE ACOLHIMENTO INS</t>
  </si>
  <si>
    <t xml:space="preserve">op-ca90e373fe73</t>
  </si>
  <si>
    <t xml:space="preserve">MUNICIPIO DE CAPINZAL — Serviços de acolhimento, residência terapêutica e instituição de longa permanência par… — Brasil</t>
  </si>
  <si>
    <t xml:space="preserve">MUNICIPIO DE CAPINZAL — Serviços de acolhimento, residência terapêutica e instituição de longa permanência para idosos, destinados ao Município de Capinzal e se</t>
  </si>
  <si>
    <t xml:space="preserve">MUNICIPIO DE CAPINZAL</t>
  </si>
  <si>
    <t xml:space="preserve">https://pncp.gov.br/app/editais/82939406000107/2026/154</t>
  </si>
  <si>
    <t xml:space="preserve">2026-07-21</t>
  </si>
  <si>
    <t xml:space="preserve">{'inicio': '2026-07-21', 'fim': '2027-07-21'}</t>
  </si>
  <si>
    <t xml:space="preserve">Serviços de acolhimento, residência terapêutica e instituição de longa permanência para id</t>
  </si>
  <si>
    <t xml:space="preserve">abertura 2026-07-21; encerramento das propostas 2027-07-21</t>
  </si>
  <si>
    <t xml:space="preserve">valor total estimado R$ 630.268,80</t>
  </si>
  <si>
    <t xml:space="preserve">Capinzal/SC</t>
  </si>
  <si>
    <t xml:space="preserve">Assistência social (acolhimento/ILPI)</t>
  </si>
  <si>
    <t xml:space="preserve">op-6781eb606fbc</t>
  </si>
  <si>
    <t xml:space="preserve">Municipio de bom jesus do oeste — contratação de pessoa jurídica especializada na prestação de serviços de aco… — Brasil</t>
  </si>
  <si>
    <t xml:space="preserve">MUNICIPIO DE BOM JESUS DO OESTE — CONTRATAÇÃO DE PESSOA JURÍDICA ESPECIALIZADA NA PRESTAÇÃO DE SERVIÇOS DE ACOLHIMENTO INSTITUCIONAL EM INSTITUIÇÕES DE LONGA PE</t>
  </si>
  <si>
    <t xml:space="preserve">MUNICIPIO DE BOM JESUS DO OESTE</t>
  </si>
  <si>
    <t xml:space="preserve">https://pncp.gov.br/app/editais/01594009000130/2026/47</t>
  </si>
  <si>
    <t xml:space="preserve">2026-07-10</t>
  </si>
  <si>
    <t xml:space="preserve">2028-12-29</t>
  </si>
  <si>
    <t xml:space="preserve">{'inicio': '2026-07-10', 'fim': '2028-12-29'}</t>
  </si>
  <si>
    <t xml:space="preserve">CONTRATAÇÃO DE PESSOA JURÍDICA ESPECIALIZADA NA PRESTAÇÃO DE SERVIÇOS DE ACOLHIMENTO INSTI</t>
  </si>
  <si>
    <t xml:space="preserve">abertura 2026-07-10; encerramento das propostas 2028-12-29</t>
  </si>
  <si>
    <t xml:space="preserve">valor total estimado R$ 43.767,00</t>
  </si>
  <si>
    <t xml:space="preserve">Bom Jesus do Oeste/SC</t>
  </si>
  <si>
    <t xml:space="preserve">op-ddd47f502fbb</t>
  </si>
  <si>
    <t xml:space="preserve">INSTITUTO DE ASSISTENCIA MEDICA AO SERVIDOR PUBLICO ESTADUAL — Credenciamento de Prest. de Serv. de Assist. à … — Brasil</t>
  </si>
  <si>
    <t xml:space="preserve">INSTITUTO DE ASSISTENCIA MEDICA AO SERVIDOR PUBLICO ESTADUAL — Credenciamento de Prest. de Serv. de Assist. à Saúde, em regime hospitalar para internação psiqui</t>
  </si>
  <si>
    <t xml:space="preserve">INSTITUTO DE ASSISTENCIA MEDICA AO SERVIDOR PUBLICO ESTADUAL</t>
  </si>
  <si>
    <t xml:space="preserve">https://pncp.gov.br/app/editais/60747318000162/2026/925</t>
  </si>
  <si>
    <t xml:space="preserve">op-1a66428124eb</t>
  </si>
  <si>
    <t xml:space="preserve">Chamada conjunta FAPESP-NWO 2026 — Biorrefinarias Integradas para um Futuro Circular — Brasil</t>
  </si>
  <si>
    <t xml:space="preserve">Chamada conjunta FAPESP-NWO 2026 — Biorrefinarias Integradas para um Futuro Circular</t>
  </si>
  <si>
    <t xml:space="preserve">https://fapesp.br/17977/chamada-conjunta-fapesp-nwo-2026</t>
  </si>
  <si>
    <t xml:space="preserve">{'inicio': '2026-01-29', 'fim': '2026-10-20'}</t>
  </si>
  <si>
    <t xml:space="preserve">Requisitos, Anexos</t>
  </si>
  <si>
    <t xml:space="preserve">Chamada conjunta FAPESP-NWO 2026: Biorrefinarias Integradas para um Futuro Circular (pesqu</t>
  </si>
  <si>
    <t xml:space="preserve">Carta de intenção até 23/06/2026; proposta completa até 20/10/2026</t>
  </si>
  <si>
    <t xml:space="preserve">Avaliação em abril de 2027; selecionadas divulgadas a partir de maio/junho de 2027</t>
  </si>
  <si>
    <t xml:space="preserve">Orçamento total € 3.840.000; pequena escala até €290 mil por proposta (até €145 mil FAPESP</t>
  </si>
  <si>
    <t xml:space="preserve">FAPESP (SP) e NWO (Países Baixos)</t>
  </si>
  <si>
    <t xml:space="preserve">Instituições de pesquisa do Estado de São Paulo com parceiras dos Países Baixos</t>
  </si>
  <si>
    <t xml:space="preserve">Estadual (SP) e internacional</t>
  </si>
  <si>
    <t xml:space="preserve">Auxílio à Pesquisa – Projeto Temático, até 60 meses</t>
  </si>
  <si>
    <t xml:space="preserve">Pesquisa e inovação em biorrefinarias, sustentabilidade</t>
  </si>
  <si>
    <t xml:space="preserve">op-d7ded0dabcd2</t>
  </si>
  <si>
    <t xml:space="preserve">Chamada de Propostas FAPESP – ANR (Programa Generic Call for Proposals 2027) — Brasil</t>
  </si>
  <si>
    <t xml:space="preserve">Chamada de Propostas FAPESP – ANR (Programa Generic Call for Proposals 2027)</t>
  </si>
  <si>
    <t xml:space="preserve">https://fapesp.br/18378</t>
  </si>
  <si>
    <t xml:space="preserve">2026-09-08</t>
  </si>
  <si>
    <t xml:space="preserve">{'inicio': '2026-09-08', 'fim': '2026-10-13'}</t>
  </si>
  <si>
    <t xml:space="preserve">Valor, Requisitos, Anexos</t>
  </si>
  <si>
    <t xml:space="preserve">Chamada FAPESP-ANR (França) Generic Call for Proposals 2027: colaboração de pesquisa SP–Fr</t>
  </si>
  <si>
    <t xml:space="preserve">Pré-cadastro até 13/10/2026; propostas completas até final de março de 2027</t>
  </si>
  <si>
    <t xml:space="preserve">Selecionadas divulgadas a partir de outubro de 2027</t>
  </si>
  <si>
    <t xml:space="preserve">FAPESP e Agence Nationale de la Recherche (França)</t>
  </si>
  <si>
    <t xml:space="preserve">Pesquisadores paulistas com parceiros franceses</t>
  </si>
  <si>
    <t xml:space="preserve">Auxílio à Pesquisa Regular (APR) e Projeto Temático</t>
  </si>
  <si>
    <t xml:space="preserve">Pesquisa científica (áreas ANR, inclusive Meio Ambiente e Saúde)</t>
  </si>
  <si>
    <t xml:space="preserve">op-30a99a5a0ee0</t>
  </si>
  <si>
    <t xml:space="preserve">Ver edital — Brasil</t>
  </si>
  <si>
    <t xml:space="preserve">https://rededobem.org.br/editais/14o-edital-de-microprojetos-da-rede-do-bem</t>
  </si>
  <si>
    <t xml:space="preserve">informado (motor f260-curadoria-004, 2026-10-03)</t>
  </si>
  <si>
    <t xml:space="preserve">op-56891c74d195</t>
  </si>
  <si>
    <t xml:space="preserve">Aviso de chamada pública nº 7/2026 — Brasil</t>
  </si>
  <si>
    <t xml:space="preserve">AVISO DE CHAMADA PÚBLICA Nº 7/2026</t>
  </si>
  <si>
    <t xml:space="preserve">Grupo Hospitalar Conceição</t>
  </si>
  <si>
    <t xml:space="preserve">https://www.ghc.com.br/contratacoesdiretas</t>
  </si>
  <si>
    <t xml:space="preserve">op-e87411db3e80</t>
  </si>
  <si>
    <t xml:space="preserve">Chamada CNPq/CAPES Nº 30/2026 Programa de Mestrado e Doutorado Acadêmico para Inovação – MAI/DAI — Brasil</t>
  </si>
  <si>
    <t xml:space="preserve">Chamada CNPq/CAPES Nº 30/2026 Programa de Mestrado e Doutorado Acadêmico para Inovação – MAI/DAI</t>
  </si>
  <si>
    <t xml:space="preserve">CNPq/CAPES</t>
  </si>
  <si>
    <t xml:space="preserve">https://www.gov.br/cnpq/pt-br/chamadas/todas-as-chamadas/chamadas-2026/chamada-no-30-2026/chamadapublica30_2026_MAIDAI_2766773.pdf</t>
  </si>
  <si>
    <t xml:space="preserve">2026-08-20</t>
  </si>
  <si>
    <t xml:space="preserve">{'inicio': '2026-08-20', 'fim': '2026-12-11'}</t>
  </si>
  <si>
    <t xml:space="preserve">Programa de Mestrado e Doutorado Acadêmico para Inovação (MAI/DAI), bolsas de pós-graduaçã</t>
  </si>
  <si>
    <t xml:space="preserve">Submissão de 20/08/2026 a 11/12/2026</t>
  </si>
  <si>
    <t xml:space="preserve">Preliminar em janeiro/2027; decisão final em fevereiro/2027</t>
  </si>
  <si>
    <t xml:space="preserve">10 dias após o resultado preliminar</t>
  </si>
  <si>
    <t xml:space="preserve">R$ 62.440.000,00 global (CNPq R$ 55 mi + CAPES)</t>
  </si>
  <si>
    <t xml:space="preserve">CNPq e CAPES</t>
  </si>
  <si>
    <t xml:space="preserve">Proponente é o Representante Institucional da ICT; Instituição Parceira pode ser entidade</t>
  </si>
  <si>
    <t xml:space="preserve">Anexos I a V (diretrizes, plano de trabalho, declaração, carta de concordância, termo do b</t>
  </si>
  <si>
    <t xml:space="preserve">Bolsas de mestrado e doutorado para inovação</t>
  </si>
  <si>
    <t xml:space="preserve">Ciência, tecnologia e inovação / pós-graduação</t>
  </si>
  <si>
    <t xml:space="preserve">op-b60203e74c77</t>
  </si>
  <si>
    <t xml:space="preserve">Chamada Pública MCTI/CNPq/ANR Nº 32/2026 — Brasil</t>
  </si>
  <si>
    <t xml:space="preserve">Chamada Pública MCTI/CNPq/ANR Nº 32/2026</t>
  </si>
  <si>
    <t xml:space="preserve">CNPq</t>
  </si>
  <si>
    <t xml:space="preserve">https://www.gov.br/cnpq/pt-br/chamadas/todas-as-chamadas/chamadas-2026/chamada-no-32-2026/ChamadaPblicaANR322026_2766435.pdf</t>
  </si>
  <si>
    <t xml:space="preserve">op-8b5ca3c025c7</t>
  </si>
  <si>
    <t xml:space="preserve">Chamada de Propostas - Iniciativa Internacional de Pesquisa sobre o Uso de Tecnologias Disruptivas para o Enfr… — Brasil</t>
  </si>
  <si>
    <t xml:space="preserve">Chamada de Propostas - Iniciativa Internacional de Pesquisa sobre o Uso de Tecnologias Disruptivas para o Enfrentamento de Desafios Globais (IIDTAC)</t>
  </si>
  <si>
    <t xml:space="preserve">https://fapesp.br/17952/chamada-de-propostas-iniciativa-internacional-de-pesquisa-sobre-o-uso-de-tecnologias-disruptivas-para-o-enfrentamento-de-desafios-globais-iidtac</t>
  </si>
  <si>
    <t xml:space="preserve">2026-01-07</t>
  </si>
  <si>
    <t xml:space="preserve">{'inicio': '2026-01-07', 'fim': '2026-11-03'}</t>
  </si>
  <si>
    <t xml:space="preserve">Chamada internacional (FAPESP e NFRF Canadá) de pesquisa sobre tecnologias disruptivas par</t>
  </si>
  <si>
    <t xml:space="preserve">Proposta completa de 27/08 a 03/11/2026 (apenas quem passou na LOI)</t>
  </si>
  <si>
    <t xml:space="preserve">A partir de março de 2027</t>
  </si>
  <si>
    <t xml:space="preserve">FAPESP (com NFRF, Canadá)</t>
  </si>
  <si>
    <t xml:space="preserve">Pesquisadores do estado de São Paulo</t>
  </si>
  <si>
    <t xml:space="preserve">Estadual (SP) / internacional</t>
  </si>
  <si>
    <t xml:space="preserve">Pesquisador vinculado a instituição de SP, elegibilidade por súmula curricular, proposta s</t>
  </si>
  <si>
    <t xml:space="preserve">Auxílio à Pesquisa (Temático e Regular), até 3 anos</t>
  </si>
  <si>
    <t xml:space="preserve">Pesquisa científica</t>
  </si>
  <si>
    <t xml:space="preserve">op-3151db03a809</t>
  </si>
  <si>
    <t xml:space="preserve">Edital de seleção pmbqbm nº 2, de 8 de setembro de 2026 — Brasil</t>
  </si>
  <si>
    <t xml:space="preserve">EDITAL DE SELEÇÃO PMBQBM Nº 2, DE 8 DE SETEMBRO DE 2026</t>
  </si>
  <si>
    <t xml:space="preserve">SOCIEDADE BRASILEIRA DE BIOQUÍMICA E BIOLOGIA MOLECULAR</t>
  </si>
  <si>
    <t xml:space="preserve">http://www2.sbbq.org.br/siad/</t>
  </si>
  <si>
    <t xml:space="preserve">op-33c6379c2510</t>
  </si>
  <si>
    <t xml:space="preserve">Programa de Apoio à Formação de Núcleos de Excelência – FAPESP-MCTI/CNPq-PRONEX – Chamada 2026 — Brasil</t>
  </si>
  <si>
    <t xml:space="preserve">Programa de Apoio à Formação de Núcleos de Excelência – FAPESP-MCTI/CNPq-PRONEX – Chamada 2026</t>
  </si>
  <si>
    <t xml:space="preserve">FAPESP / CNPq</t>
  </si>
  <si>
    <t xml:space="preserve">https://fapesp.br/18317</t>
  </si>
  <si>
    <t xml:space="preserve">{'inicio': '2026-08-07', 'fim': '2026-10-16'}</t>
  </si>
  <si>
    <t xml:space="preserve">Anexos</t>
  </si>
  <si>
    <t xml:space="preserve">Recursos complementares para Redes de Excelência em pesquisa (PRONEX)</t>
  </si>
  <si>
    <t xml:space="preserve">Submissão até 16/10/2026</t>
  </si>
  <si>
    <t xml:space="preserve">A partir de novembro de 2026</t>
  </si>
  <si>
    <t xml:space="preserve">Até 7 dias corridos após o resultado</t>
  </si>
  <si>
    <t xml:space="preserve">Até R$ 2.500.000 por proposta</t>
  </si>
  <si>
    <t xml:space="preserve">FAPESP em parceria com MCTI/CNPq</t>
  </si>
  <si>
    <t xml:space="preserve">Estado de São Paulo (pesquisadores com auxílios FAPESP vigentes)</t>
  </si>
  <si>
    <t xml:space="preserve">Estadual (SP) com federal</t>
  </si>
  <si>
    <t xml:space="preserve">Pesquisadores responsáveis por auxílios FAPESP vigentes (Temático, CEPID etc.)</t>
  </si>
  <si>
    <t xml:space="preserve">Execução em 12 meses, 01/12/2026 a 30/11/2027</t>
  </si>
  <si>
    <t xml:space="preserve">Pesquisa científica (biotecnologia, energia, digital, quântica, saúde)</t>
  </si>
  <si>
    <t xml:space="preserve">op-c8b8086a7e85</t>
  </si>
  <si>
    <t xml:space="preserve">Soluções de Adaptação Climática baseada em territórios e comunidades — Brasil</t>
  </si>
  <si>
    <t xml:space="preserve">Soluções de Adaptação Climática baseada em territórios e comunidades</t>
  </si>
  <si>
    <t xml:space="preserve">https://climaesociedade.org/edital/solucoes-de-adaptacao-climatica-baseada-em-territorios-e-comunidades</t>
  </si>
  <si>
    <t xml:space="preserve">Resultado, Território, Esfera, Requisitos, Destinação, Área de atuação</t>
  </si>
  <si>
    <t xml:space="preserve">Edital apoia soluções climáticas a partir da base e dos territórios</t>
  </si>
  <si>
    <t xml:space="preserve">informado (motor f260-curadoria-006, 2026-10-03)</t>
  </si>
  <si>
    <t xml:space="preserve">R$ 4.000.000 (total)</t>
  </si>
  <si>
    <t xml:space="preserve">https://climaesociedade.org/edital/solucoes-de-adaptacao-climatica-baseada-em-territorios-e-comunidades/</t>
  </si>
  <si>
    <t xml:space="preserve">op-b7024a4e95b6</t>
  </si>
  <si>
    <t xml:space="preserve">Subsídio de Desenvolvimento Comunitário — Brasil</t>
  </si>
  <si>
    <t xml:space="preserve">Subsídio de Desenvolvimento Comunitário</t>
  </si>
  <si>
    <t xml:space="preserve">Inter-American Foundation</t>
  </si>
  <si>
    <t xml:space="preserve">https://www.gov.br/transferegov/pt-br</t>
  </si>
  <si>
    <t xml:space="preserve">{'observacao': 'VERIFICADO em 03/10/2026 (Inter-American Foundation e agregadores): Subsídio de Desenvolvimento Comunitário, financiamento direto a organizações comunitárias da América Latina; sem calendário de edições datadas lido.'}</t>
  </si>
  <si>
    <t xml:space="preserve">op-f2c73a616aa6</t>
  </si>
  <si>
    <t xml:space="preserve">Chamada Pública FAPEG Nº 17/2026 – Edital Complementar à Chamada CONFAP‑WBI — Brasil</t>
  </si>
  <si>
    <t xml:space="preserve">Chamada Pública FAPEG Nº 17/2026 – Edital Complementar à Chamada CONFAP‑WBI</t>
  </si>
  <si>
    <t xml:space="preserve">Fundação de Amparo à Pesquisa do Estado de Goiás - FAPEG</t>
  </si>
  <si>
    <t xml:space="preserve">https://confap.org.br/pt/editais/111/chamada-confap-wbi-belgica-2026</t>
  </si>
  <si>
    <t xml:space="preserve">{'inicio': '2026-06-22', 'fim': '2026-10-30'}</t>
  </si>
  <si>
    <t xml:space="preserve">financiamento de projetos conjuntos de pesquisa e inovação entre o Brasil e a Bélgica</t>
  </si>
  <si>
    <t xml:space="preserve">2026-06-22 a 2026-10-30</t>
  </si>
  <si>
    <t xml:space="preserve">CONFAp e Wallonie-Bruxelles International (WBI)</t>
  </si>
  <si>
    <t xml:space="preserve">consultar as regras de elegibilidade e as modalidades de participação definidas pela FAP d</t>
  </si>
  <si>
    <t xml:space="preserve">op-ea89efb7da33</t>
  </si>
  <si>
    <t xml:space="preserve">FAPESP – Trans-Atlantic Platform (T-AP) Call for Proposals 2026 – Preparing for Tomorrow (P4T) — Brasil</t>
  </si>
  <si>
    <t xml:space="preserve">FAPESP – Trans-Atlantic Platform (T-AP) Call for Proposals 2026 – Preparing for Tomorrow (P4T)</t>
  </si>
  <si>
    <t xml:space="preserve">https://fapesp.br/18135</t>
  </si>
  <si>
    <t xml:space="preserve">op-f70588a30b34</t>
  </si>
  <si>
    <t xml:space="preserve">Destinação de recursos permite instalação de mais 10 leitos de UTI em hospital referência no tratamento do cân… — Goiás / Goiânia</t>
  </si>
  <si>
    <t xml:space="preserve">Destinação de recursos permite instalação de mais 10 leitos de UTI em hospital referência no tratamento do câncer</t>
  </si>
  <si>
    <t xml:space="preserve">https://www.prt18.mpt.mp.br/informe-se/noticias-do-mpt-go/1072-destinacao-de-recursos-permite-instalacao-de-mais-10-leitos-de-uti-em-hospital-referencia-no-tratamento-do-cancer</t>
  </si>
  <si>
    <t xml:space="preserve">R$ 2,5 milhoes (MPGO + MPT-GO)</t>
  </si>
  <si>
    <t xml:space="preserve">op-21c1d338588f</t>
  </si>
  <si>
    <t xml:space="preserve">Prêmio Liga STEAM — Brasil</t>
  </si>
  <si>
    <t xml:space="preserve">Prêmio Liga STEAM</t>
  </si>
  <si>
    <t xml:space="preserve">https://www.famb.org.br/premio-liga-steam</t>
  </si>
  <si>
    <t xml:space="preserve">informado (motor plat-empresas-editais-incentivados, 2026-10-03)</t>
  </si>
  <si>
    <t xml:space="preserve">op-aec042b9fb89</t>
  </si>
  <si>
    <t xml:space="preserve">Chamamento público publicado no Diário Oficial em 28/08/2026 — Goiás / Pinhais — Goiás / Catalão</t>
  </si>
  <si>
    <t xml:space="preserve">Catalão</t>
  </si>
  <si>
    <t xml:space="preserve">{'valor': 'poder_publico', 'fundamento': 'Publica a Prefeitura de Catalão; recurso federal da PNAB.', 'em': '2026-10-02'}</t>
  </si>
  <si>
    <t xml:space="preserve">Prazo de inscrição, Resultado, Prazo de recurso, Órgão / financiador, Território, Esfera, Requisitos</t>
  </si>
  <si>
    <t xml:space="preserve">O presente edital possui valor total de R$591.740,18 (quinhentos e noventa e um mil setece</t>
  </si>
  <si>
    <t xml:space="preserve">op-df6f818f5898</t>
  </si>
  <si>
    <t xml:space="preserve">O presente Chamamento Público se destina a selecionar Organizações da Sociedade Civil (OSC) sem fins lucrativo… — Rio Grande do Sul</t>
  </si>
  <si>
    <t xml:space="preserve">O presente Chamamento Público se destina a selecionar Organizações da Sociedade Civil (OSC) sem fins lucrativos, para firmar parceria através de Termo de Colabo</t>
  </si>
  <si>
    <t xml:space="preserve">PNCP — MUNICIPIO DE OSORIO</t>
  </si>
  <si>
    <t xml:space="preserve">op-e7cdb55836ee</t>
  </si>
  <si>
    <t xml:space="preserve">Premio cultural com recursos da politica nacional aldir blanc de fomento a cultura no municipio de porto feliz… — São Paulo</t>
  </si>
  <si>
    <t xml:space="preserve">PREMIO CULTURAL COM RECURSOS DA POLITICA NACIONAL ALDIR BLANC DE FOMENTO A CULTURA NO MUNICIPIO DE PORTO FELIZ SP  LEI N  14.399 2022</t>
  </si>
  <si>
    <t xml:space="preserve">PNCP — MUNICIPIO DE PORTO FELIZ</t>
  </si>
  <si>
    <t xml:space="preserve">op-8bf4f201ccc1</t>
  </si>
  <si>
    <t xml:space="preserve">Edital Ambev 2026: R$ 67M para Cultura e Esporte — Ambev — Brasil</t>
  </si>
  <si>
    <t xml:space="preserve">Edital Ambev 2026: R$ 67M para Cultura e Esporte — Ambev</t>
  </si>
  <si>
    <t xml:space="preserve">AMBEV</t>
  </si>
  <si>
    <t xml:space="preserve">https://prosas.com.br/editais/16452-edital-ambev-brasilidade</t>
  </si>
  <si>
    <t xml:space="preserve">{'inicio': '2025-11-11', 'fim': '2026-10-31'}</t>
  </si>
  <si>
    <t xml:space="preserve">Patrocínio incentivado via leis estaduais de cultura e esporte</t>
  </si>
  <si>
    <t xml:space="preserve">Geral 11/11/2025–30/09/2026; adicional Carnaval 01–31/10/2026</t>
  </si>
  <si>
    <t xml:space="preserve">Total até R$ 67.000.000,00</t>
  </si>
  <si>
    <t xml:space="preserve">AMBEV S.A.</t>
  </si>
  <si>
    <t xml:space="preserve">Nacional, via leis estaduais (inclui Lei Estadual de Cultura de Goiás); SP, AL e PA fora d</t>
  </si>
  <si>
    <t xml:space="preserve">Privada com recurso incentivado estadual</t>
  </si>
  <si>
    <t xml:space="preserve">PJ com/sem fins lucrativos ou organização pública, com projeto aprovado/inscrito em lei es</t>
  </si>
  <si>
    <t xml:space="preserve">Regulamento, FAQ, Anexo I Orientações, Anexo II Contrato, Autodeclaração, Retificação, Com</t>
  </si>
  <si>
    <t xml:space="preserve">Projetos culturais e esportivos que celebrem paixões nacionais; no adicional, só Carnaval</t>
  </si>
  <si>
    <t xml:space="preserve">Cultura e esporte (e outras áreas listadas)</t>
  </si>
  <si>
    <t xml:space="preserve">op-5adfa5c426ab</t>
  </si>
  <si>
    <t xml:space="preserve">Chamamento público publicado no Diário Oficial em 11/09/2026 — São Paulo / Campinas</t>
  </si>
  <si>
    <t xml:space="preserve">Diário Oficial de Campinas (SP) 2026-09-11 — "chamamento público" "organizações da sociedade civil"</t>
  </si>
  <si>
    <t xml:space="preserve">Prefeitura Municipal de Campinas</t>
  </si>
  <si>
    <t xml:space="preserve">Campinas</t>
  </si>
  <si>
    <t xml:space="preserve">https://portal-adm.campinas.sp.gov.br/sites/default/files/publicacoes-dom/dom/1919351424310514243119193527.pdf</t>
  </si>
  <si>
    <t xml:space="preserve">edital 02/2026 acolhimento institucional de crianças — OSC (Campinas/SP)</t>
  </si>
  <si>
    <t xml:space="preserve">op-296e17f659ad</t>
  </si>
  <si>
    <t xml:space="preserve">Chamamento público publicado no Diário Oficial em 17/09/2026 — São Paulo / Mogi Guaçu</t>
  </si>
  <si>
    <t xml:space="preserve">Diário Oficial de Mogi Guaçu (SP) 2026-09-17 — "edital de chamamento público" associação</t>
  </si>
  <si>
    <t xml:space="preserve">Prefeitura Municipal de Mogi Guaçu</t>
  </si>
  <si>
    <t xml:space="preserve">Mogi Guaçu</t>
  </si>
  <si>
    <t xml:space="preserve">https://data.queridodiario.ok.org.br/3530706/2026-09-17/ef0307f7c2efd974c39cf396dc6c3be9de95c337.pdf</t>
  </si>
  <si>
    <t xml:space="preserve">edital 28/SECULT/2026 Natal Encantado — seleção de OSC (Mogi Guaçu/SP)</t>
  </si>
  <si>
    <t xml:space="preserve">op-5545222abab7</t>
  </si>
  <si>
    <t xml:space="preserve">Chamamento público publicado no Diário Oficial em 11/09/2026 — São Paulo / Monteiro Lobato</t>
  </si>
  <si>
    <t xml:space="preserve">Diário Oficial de Monteiro Lobato (SP) 2026-09-11 — "edital de chamamento público" associação</t>
  </si>
  <si>
    <t xml:space="preserve">Prefeitura Municipal de Monteiro Lobato/SP</t>
  </si>
  <si>
    <t xml:space="preserve">Monteiro Lobato</t>
  </si>
  <si>
    <t xml:space="preserve">https://data.queridodiario.ok.org.br/3531704/2026-09-11/d3742dbd0b9f664ab682eda897c1a39a7e499f92.pdf</t>
  </si>
  <si>
    <t xml:space="preserve">PNAB 02/SMCT/2026 termo de execução cultural (Monteiro Lobato/SP)</t>
  </si>
  <si>
    <t xml:space="preserve">op-2ec22589c325</t>
  </si>
  <si>
    <t xml:space="preserve">Constitui objeto do presente edital o credenciamento de Instituições reconhecidas como Organizações da Socieda… — Minas Gerais</t>
  </si>
  <si>
    <t xml:space="preserve">1.1. Constitui objeto do presente edital o credenciamento de Instituições reconhecidas como Organizações da Sociedade Civil (OSC), nos moldes definidos pela Lei Federal nº 13.019/2</t>
  </si>
  <si>
    <t xml:space="preserve">https://icismep.mg.gov.br/wp-content/uploads/2026/01/EDITAL-4.pdf</t>
  </si>
  <si>
    <t xml:space="preserve">Prazo de inscrição, Resultado, Prazo de recurso, Valor, Órgão / financiador, Território, Esfera, Requisitos, Destinação, Área de atuação</t>
  </si>
  <si>
    <t xml:space="preserve">1.1. Constitui objeto do presente edital o credenciamento de Instituições reconhecidas como Organizações da Sociedade Civil (OSC), nos moldes definidos pela Lei Federal n</t>
  </si>
  <si>
    <t xml:space="preserve">op-5145eb5ab5b0</t>
  </si>
  <si>
    <t xml:space="preserve">Editais Abertos - Terceiro Setor - Zizete Falcão — Brasil</t>
  </si>
  <si>
    <t xml:space="preserve">Editais Abertos - Terceiro Setor - Zizete Falcão</t>
  </si>
  <si>
    <t xml:space="preserve">https://zizetefn.com.br/editais-abertos-terceiro-setor</t>
  </si>
  <si>
    <t xml:space="preserve">op-5de4b223a191</t>
  </si>
  <si>
    <t xml:space="preserve">Jornada Liga STEAM — Brasil</t>
  </si>
  <si>
    <t xml:space="preserve">Jornada Liga STEAM</t>
  </si>
  <si>
    <t xml:space="preserve">https://www.famb.org.br/jornada-liga-steam</t>
  </si>
  <si>
    <t xml:space="preserve">op-56a4dfce0717</t>
  </si>
  <si>
    <t xml:space="preserve">SECTI-GO</t>
  </si>
  <si>
    <t xml:space="preserve">https://goias.gov.br/inovacao/chamamentos/</t>
  </si>
  <si>
    <t xml:space="preserve">2026-09-24</t>
  </si>
  <si>
    <t xml:space="preserve">{'inicio': '2026-09-24', 'fim': '2026-10-26'}</t>
  </si>
  <si>
    <t xml:space="preserve">Seleção de OSC para Termo de Colaboração: operacionalização do Programa Cidadão Tech 60+ (</t>
  </si>
  <si>
    <t xml:space="preserve">2026-10-26 até 18h00</t>
  </si>
  <si>
    <t xml:space="preserve">Resultado preliminar, julgamento de recursos, resultado definitivo e homologação (sessão p</t>
  </si>
  <si>
    <t xml:space="preserve">5 dias úteis do Resultado Preliminar</t>
  </si>
  <si>
    <t xml:space="preserve">R$ 1.000.000,00 (máximo)</t>
  </si>
  <si>
    <t xml:space="preserve">OSC (art. 2º, I, Lei 13.019) com mínimo de 2 anos de existência com cadastro ativo, entre</t>
  </si>
  <si>
    <t xml:space="preserve">Anexo 1 Estudo Técnico, 2 Termo de Referência, 3 Plano de Trabalho, 4 Minuta do Termo</t>
  </si>
  <si>
    <t xml:space="preserve">Termo de Colaboração para operacionalizar o Programa</t>
  </si>
  <si>
    <t xml:space="preserve">inclusão digital de pessoas idosas / ciência e tecnologia</t>
  </si>
  <si>
    <t xml:space="preserve">op-a5d132e4a4c4</t>
  </si>
  <si>
    <t xml:space="preserve">Bndes data — Brasil</t>
  </si>
  <si>
    <t xml:space="preserve">BNDES Data</t>
  </si>
  <si>
    <t xml:space="preserve">https://www.bndes.gov.br/wps/portal/site/home/bndes-data</t>
  </si>
  <si>
    <t xml:space="preserve">op-3043edf7c806</t>
  </si>
  <si>
    <t xml:space="preserve">YouTube do BNDES — Brasil</t>
  </si>
  <si>
    <t xml:space="preserve">YouTube do BNDES</t>
  </si>
  <si>
    <t xml:space="preserve">https://conexoes.bndes.gov.br/chamadas-e-editais</t>
  </si>
  <si>
    <t xml:space="preserve">Resultado, Prazo de recurso, Valor, Anexos, Área de atuação</t>
  </si>
  <si>
    <t xml:space="preserve">informado (motor f260-captacao-039, 2026-10-03)</t>
  </si>
  <si>
    <t xml:space="preserve">apoiar subprojetos realizados por organizações de base e atuação em periferias e comunidad</t>
  </si>
  <si>
    <t xml:space="preserve">? a 2026-12-04</t>
  </si>
  <si>
    <t xml:space="preserve">organizações de base e atuação em periferias e comunidades urbanas</t>
  </si>
  <si>
    <t xml:space="preserve">nova-4d2ed7c59655</t>
  </si>
  <si>
    <t xml:space="preserve">MUNICIPIO DE LAURO DE FREITAS — Concessão de apoio financeiro para execução de projetos culturais, no âmbito d… — Bahia</t>
  </si>
  <si>
    <t xml:space="preserve">MUNICIPIO DE LAURO DE FREITAS — Concessão de apoio financeiro para execução de projetos culturais, no âmbito da Política Nacional Aldir Blanc de Fomento à Cultu</t>
  </si>
  <si>
    <t xml:space="preserve">Município de Lauro de Freitas</t>
  </si>
  <si>
    <t xml:space="preserve">https://pncp.gov.br/app/editais/13927819000140/2026/143</t>
  </si>
  <si>
    <t xml:space="preserve">{'inicio': '2026-10-02', 'fim': '2026-10-15'}</t>
  </si>
  <si>
    <t xml:space="preserve">Concessão de apoio financeiro para execução de projetos culturais, no âmbito da Política Nacional Aldir Blanc de Fomento à Cultura – PNAB, instituída pela Lei Federal nº</t>
  </si>
  <si>
    <t xml:space="preserve">MUNICIPIO DE LAURO DE FREITAS</t>
  </si>
  <si>
    <t xml:space="preserve">op-7bc3cb4fccb6</t>
  </si>
  <si>
    <t xml:space="preserve">Chamada Pública FAPEMIG/CNPq/CAPES nº 17/2026 – Programa de Apoio à Fixação de Doutores no Brasil (PROFIX-CB) — Minas Gerais</t>
  </si>
  <si>
    <t xml:space="preserve">Chamada Pública FAPEMIG/CNPq/CAPES nº 17/2026 – Programa de Apoio à Fixação de Doutores no Brasil (PROFIX-CB)</t>
  </si>
  <si>
    <t xml:space="preserve">FAPEMIG (com CNPq e CAPES)</t>
  </si>
  <si>
    <t xml:space="preserve">https://fapemig.br/oportunidades/chamadas-e-editais/chamada-publica-fapemig-cnpq-capes-n-17-2026-programa-de-apoio-a-fixacao-de-doutores-no-brasil-profix-cb</t>
  </si>
  <si>
    <t xml:space="preserve">R$ 4,2 milhões (total)</t>
  </si>
  <si>
    <t xml:space="preserve">op-cc360a72c619</t>
  </si>
  <si>
    <t xml:space="preserve">Projetos sustentáveis no Cerrado e na Caatinga — Brasil</t>
  </si>
  <si>
    <t xml:space="preserve">Projetos sustentáveis no Cerrado e na Caatinga</t>
  </si>
  <si>
    <t xml:space="preserve">https://fundoecos.org.br/</t>
  </si>
  <si>
    <t xml:space="preserve">2025-11-10</t>
  </si>
  <si>
    <t xml:space="preserve">Fundo Ecos apoia iniciativas em territórios conservados por povos indígenas e comunidades tradicionais</t>
  </si>
  <si>
    <t xml:space="preserve">2026-04-27</t>
  </si>
  <si>
    <t xml:space="preserve">até R$ 130.000 por projeto</t>
  </si>
  <si>
    <t xml:space="preserve">op-9a309ff852f6</t>
  </si>
  <si>
    <t xml:space="preserve">SCDC/MinC - Prêmio Construção Nacional da Cultura Hip Hop 2023 — Brasil</t>
  </si>
  <si>
    <t xml:space="preserve">SCDC/MinC - Prêmio Construção Nacional da Cultura Hip Hop 2023</t>
  </si>
  <si>
    <t xml:space="preserve">Secretaria de Cidadania e Diversidade Cultural (SCDC/MinC)</t>
  </si>
  <si>
    <t xml:space="preserve">https://www.gov.br/cultura/pt-br/assuntos/editais/inscricoes-encerradas/edital-premio-cultura-viva-construcao-nacional-do-hip-hop-2023-1</t>
  </si>
  <si>
    <t xml:space="preserve">2023-12-25</t>
  </si>
  <si>
    <t xml:space="preserve">Resultado, Prazo de recurso, Valor, Território, Esfera, Requisitos, Destinação, Área de atuação</t>
  </si>
  <si>
    <t xml:space="preserve">2023-10-26 a 2023-12-25</t>
  </si>
  <si>
    <t xml:space="preserve">op-50fec6c9f268</t>
  </si>
  <si>
    <t xml:space="preserve">Selo Organização Parceira ChildFund (Legacy Fund) 2023 — Brasil</t>
  </si>
  <si>
    <t xml:space="preserve">Selo Organização Parceira ChildFund (Legacy Fund) 2023</t>
  </si>
  <si>
    <t xml:space="preserve">ChildFund Brasil</t>
  </si>
  <si>
    <t xml:space="preserve">http://www.childfundbrasil.org.br/wp-content/uploads/2023/10/Edital-Selo-Organiza%C3%A7%C3%A3o-Parceira_Legacy-Fund_final_-1.pdf</t>
  </si>
  <si>
    <t xml:space="preserve">2023-12-05</t>
  </si>
  <si>
    <t xml:space="preserve">R$ 30 mil por OSC (10)</t>
  </si>
  <si>
    <t xml:space="preserve">op-c58696af01ff</t>
  </si>
  <si>
    <t xml:space="preserve">Programa de Apoio a Projetos de Equidade Racial no Câncer — Brasil</t>
  </si>
  <si>
    <t xml:space="preserve">Programa de Apoio a Projetos de Equidade Racial no Câncer</t>
  </si>
  <si>
    <t xml:space="preserve">Instituto Oncoguia</t>
  </si>
  <si>
    <t xml:space="preserve">https://oncoguia.org.br/conteudo/programa-de-apoio-a-projetos-de-equidade-racial-no-cancer/17871/1424/</t>
  </si>
  <si>
    <t xml:space="preserve">2025-10-17</t>
  </si>
  <si>
    <t xml:space="preserve">op-7f0d0dcfb179</t>
  </si>
  <si>
    <t xml:space="preserve">Edital Instituto Vakinha Porto Alegre — Rio Grande do Sul / Porto Alegre</t>
  </si>
  <si>
    <t xml:space="preserve">Edital Instituto Vakinha Porto Alegre</t>
  </si>
  <si>
    <t xml:space="preserve">Instituto Vakinha</t>
  </si>
  <si>
    <t xml:space="preserve">Porto Alegre</t>
  </si>
  <si>
    <t xml:space="preserve">https://vakinha.org.br</t>
  </si>
  <si>
    <t xml:space="preserve">2025-10-20</t>
  </si>
  <si>
    <t xml:space="preserve">op-ff538828f5a8</t>
  </si>
  <si>
    <t xml:space="preserve">Seleção pública Petrobras – soluções baseadas na natureza em áreas urbanas — Brasil</t>
  </si>
  <si>
    <t xml:space="preserve">Seleção pública Petrobras – soluções baseadas na natureza em áreas urbanas</t>
  </si>
  <si>
    <t xml:space="preserve">Petrobras</t>
  </si>
  <si>
    <t xml:space="preserve">RS; SP</t>
  </si>
  <si>
    <t xml:space="preserve">https://investidor.bussolasocial.com.br/petrobras/editais/editalpetrobras-sbn2025</t>
  </si>
  <si>
    <t xml:space="preserve">2025-10-27</t>
  </si>
  <si>
    <t xml:space="preserve">R$ 4–6 milhões por projeto (R$ 21 milhões)</t>
  </si>
  <si>
    <t xml:space="preserve">op-c728cfc13d76</t>
  </si>
  <si>
    <t xml:space="preserve">IA ponto 3 – capacitação de OSCs em inteligência artificial — Brasil</t>
  </si>
  <si>
    <t xml:space="preserve">IA ponto 3 – capacitação de OSCs em inteligência artificial</t>
  </si>
  <si>
    <t xml:space="preserve">IDIS / Google.org</t>
  </si>
  <si>
    <t xml:space="preserve">https://www.idis.org.br/ia-ponto3</t>
  </si>
  <si>
    <t xml:space="preserve">2025-11-23</t>
  </si>
  <si>
    <t xml:space="preserve">Chamada Pública – Capacitação Intensiva do Programa IA.3 (Inteligência Artificial para o Terceiro Setor)</t>
  </si>
  <si>
    <t xml:space="preserve">2025-10-22 a 2025-11-23</t>
  </si>
  <si>
    <t xml:space="preserve">capacitação gratuita (30 h em 4 meses + 6 meses de mentoria); até 250 ONGs</t>
  </si>
  <si>
    <t xml:space="preserve">IDIS com financiamento do Google.org</t>
  </si>
  <si>
    <t xml:space="preserve">https://www.idis.org.br/ia-ponto3/</t>
  </si>
  <si>
    <t xml:space="preserve">op-ded698447eb6</t>
  </si>
  <si>
    <t xml:space="preserve">Edital de patrocínio Banco da Amazônia — Brasil</t>
  </si>
  <si>
    <t xml:space="preserve">Edital de patrocínio Banco da Amazônia</t>
  </si>
  <si>
    <t xml:space="preserve">Banco da Amazônia</t>
  </si>
  <si>
    <t xml:space="preserve">Amazônia Legal</t>
  </si>
  <si>
    <t xml:space="preserve">https://www.bancoamazonia.com.br/o-banco/patrocinio</t>
  </si>
  <si>
    <t xml:space="preserve">2025-11-28</t>
  </si>
  <si>
    <t xml:space="preserve">até R$ 50–80 mil por projeto (R$ 3,9 milhões)</t>
  </si>
  <si>
    <t xml:space="preserve">op-a65d310953d3</t>
  </si>
  <si>
    <t xml:space="preserve">Prêmio Fundação Banco do Brasil de Tecnologia Social – 13ª edição — Brasil</t>
  </si>
  <si>
    <t xml:space="preserve">Prêmio Fundação Banco do Brasil de Tecnologia Social – 13ª edição</t>
  </si>
  <si>
    <t xml:space="preserve">https://transforma.fbb.org.br/premio/19</t>
  </si>
  <si>
    <t xml:space="preserve">2025-12-01</t>
  </si>
  <si>
    <t xml:space="preserve">até R$ 6 milhões</t>
  </si>
  <si>
    <t xml:space="preserve">op-a4ae8d7fd319</t>
  </si>
  <si>
    <t xml:space="preserve">Edital de criação e consolidação de RPPNs no litoral do PR — Paraná</t>
  </si>
  <si>
    <t xml:space="preserve">Edital de criação e consolidação de RPPNs no litoral do PR</t>
  </si>
  <si>
    <t xml:space="preserve">FUNBIO / Programa Biodiversidade Litoral do Paraná</t>
  </si>
  <si>
    <t xml:space="preserve">https://chamadas.funbio.org.br</t>
  </si>
  <si>
    <t xml:space="preserve">2025-12-10</t>
  </si>
  <si>
    <t xml:space="preserve">até R$ 1,75 milhão (R$ 250–500 mil por projeto)</t>
  </si>
  <si>
    <t xml:space="preserve">op-b1fae525bf78</t>
  </si>
  <si>
    <t xml:space="preserve">Pronon 2024 – Formação de RH e pesquisas clínicas/epidemiológicas — Brasil</t>
  </si>
  <si>
    <t xml:space="preserve">Pronon 2024 – Formação de RH e pesquisas clínicas/epidemiológicas</t>
  </si>
  <si>
    <t xml:space="preserve">Ministério da Saúde – Secretaria-Executiva</t>
  </si>
  <si>
    <t xml:space="preserve">https://www.gov.br/saude/pt-br/se/pronon-e-pronas-pcd</t>
  </si>
  <si>
    <t xml:space="preserve">2024-10-18</t>
  </si>
  <si>
    <t xml:space="preserve">Pronon – Serviços médico-assistenciais (2º ciclo 2025)</t>
  </si>
  <si>
    <t xml:space="preserve">2025-05-26 a 2025-10-02</t>
  </si>
  <si>
    <t xml:space="preserve">op-d0b14166b0ce</t>
  </si>
  <si>
    <t xml:space="preserve">Chamamento Público nº 2/2025 SE/MS – Pronas/PCD (serviços médico-assistenciais, formação de RH e pesquisa) — Brasil</t>
  </si>
  <si>
    <t xml:space="preserve">Chamamento Público nº 2/2025 SE/MS – Pronas/PCD (serviços médico-assistenciais, formação de RH e pesquisa)</t>
  </si>
  <si>
    <t xml:space="preserve">https://www.gov.br/saude/pt-br/acesso-a-informacao/participacao-social/chamamentos-publicos/2025/chamamento-publico-no-02-2025-se-pronas</t>
  </si>
  <si>
    <t xml:space="preserve">2025-10-07 a 2025-11-05</t>
  </si>
  <si>
    <t xml:space="preserve">R$ 250.000,00 a R$ 4.000.000,00 por projeto (incentivo fiscal)</t>
  </si>
  <si>
    <t xml:space="preserve">op-035581c627a1</t>
  </si>
  <si>
    <t xml:space="preserve">Chamamento Público nº 3/2025 SE/MS – Pronon (serviços médico-assistenciais, formação de RH e pesquisa) — Brasil</t>
  </si>
  <si>
    <t xml:space="preserve">Chamamento Público nº 3/2025 SE/MS – Pronon (serviços médico-assistenciais, formação de RH e pesquisa)</t>
  </si>
  <si>
    <t xml:space="preserve">https://www.gov.br/saude/pt-br/acesso-a-informacao/participacao-social/chamamentos-publicos/2025/chamamento-publico-no-03-2025-se-pronon</t>
  </si>
  <si>
    <t xml:space="preserve">2025-11-12</t>
  </si>
  <si>
    <t xml:space="preserve">2025-10-07 a 2025-11-12</t>
  </si>
  <si>
    <t xml:space="preserve">R$ 500.000,00 a R$ 13.000.000,00 por projeto (incentivo fiscal)</t>
  </si>
  <si>
    <t xml:space="preserve">op-d05c6aca26d4</t>
  </si>
  <si>
    <t xml:space="preserve">Edital: Cuidar e Enfrentar a Crise Climática em Belém! — Pará / Belém</t>
  </si>
  <si>
    <t xml:space="preserve">Edital: Cuidar e Enfrentar a Crise Climática em Belém!</t>
  </si>
  <si>
    <t xml:space="preserve">Instituto Procomum e Rádio Savia</t>
  </si>
  <si>
    <t xml:space="preserve">Belém</t>
  </si>
  <si>
    <t xml:space="preserve">https://confluenciasdoscuidados.procomum.org/chamada-publica/</t>
  </si>
  <si>
    <t xml:space="preserve">2025-10-08</t>
  </si>
  <si>
    <t xml:space="preserve">op-0d74322150b7</t>
  </si>
  <si>
    <t xml:space="preserve">Prêmio Barueri de Artes Visuais 2024 (homenagem a Ariano Suassuna) — São Paulo</t>
  </si>
  <si>
    <t xml:space="preserve">Prêmio Barueri de Artes Visuais 2024 (homenagem a Ariano Suassuna)</t>
  </si>
  <si>
    <t xml:space="preserve">Secretaria de Cultura e Turismo de Barueri</t>
  </si>
  <si>
    <t xml:space="preserve">https://portal.barueri.sp.gov.br/arquivos/sites/sct/REGULAMENTO_PREMIO_ARTES_VISUAIS_2024.pdf</t>
  </si>
  <si>
    <t xml:space="preserve">2024-10-05</t>
  </si>
  <si>
    <t xml:space="preserve">2024-06-05 a 2024-10-05</t>
  </si>
  <si>
    <t xml:space="preserve">por modalidade: R$ 5.000 (1º), R$ 2.000 (2º), R$ 1.000 (3º); prêmio aquisitivo; inscrição gratuita</t>
  </si>
  <si>
    <t xml:space="preserve">op-2f91ba3ea481</t>
  </si>
  <si>
    <t xml:space="preserve">º Desafio Fundo Catalisador 2030 – acesso à água e mudança do clima — Brasil</t>
  </si>
  <si>
    <t xml:space="preserve">2º Desafio Fundo Catalisador 2030 – acesso à água e mudança do clima</t>
  </si>
  <si>
    <t xml:space="preserve">Catalyst 2030 Brasil (recursos da AMA/Ambev)</t>
  </si>
  <si>
    <t xml:space="preserve">https://brazil.catalyst2030.net/catalyst-2030-brasil-lanca-fundo-de-240-mil-reais-para-financiar-projetos/</t>
  </si>
  <si>
    <t xml:space="preserve">2024-11-10</t>
  </si>
  <si>
    <t xml:space="preserve">total R$ 240.000 (R$ 150.000 para 1 projeto consolidado; R$ 45.000 para 2 pilotos)</t>
  </si>
  <si>
    <t xml:space="preserve">op-4884ee0deb27</t>
  </si>
  <si>
    <t xml:space="preserve">UNDEF 18th annual call for proposals (Rodada 18) — janela 1 a 30 de novembro de 2023 — Internacional</t>
  </si>
  <si>
    <t xml:space="preserve">UNDEF 18th annual call for proposals (Rodada 18) — janela 1 a 30 de novembro de 2023</t>
  </si>
  <si>
    <t xml:space="preserve">https://www.un.org/democracyfund/en/news/undef%E2%80%99s-advisory-board-approves-new-call-proposals-opens-1-30-november-2023</t>
  </si>
  <si>
    <t xml:space="preserve">2023-11-30</t>
  </si>
  <si>
    <t xml:space="preserve">2023-11-01 a 2023-11-30</t>
  </si>
  <si>
    <t xml:space="preserve">até US$ 200.000 por projeto (faixa usual US$ 100.000 a US$ 200.000), projetos de 2 anos</t>
  </si>
  <si>
    <t xml:space="preserve">op-23d17a445c06</t>
  </si>
  <si>
    <t xml:space="preserve">Apoio a grupos locais no enfrentamento de Emergências Climáticas provocadas a partir dos Incêndios Florestais — Brasil</t>
  </si>
  <si>
    <t xml:space="preserve">Apoio a grupos locais no enfrentamento de Emergências Climáticas provocadas a partir dos Incêndios Florestais</t>
  </si>
  <si>
    <t xml:space="preserve">Fundo Casa Socioambiental (apoio: Instituto Itaúsa, Alliance for the Amazon and Beyond)</t>
  </si>
  <si>
    <t xml:space="preserve">https://casa.org.br/chamadas/apoio-a-grupos-locais-no-enfrentamento-de-emergencias-climaticas-provocadas-a-partir-dos-incendios-florestais/</t>
  </si>
  <si>
    <t xml:space="preserve">2024-10-28</t>
  </si>
  <si>
    <t xml:space="preserve">2024-09-26 a 2024-10-28</t>
  </si>
  <si>
    <t xml:space="preserve">R$ 1.800.000,00 total; até R$ 60.000,00 por projeto (até 30)</t>
  </si>
  <si>
    <t xml:space="preserve">op-73b278afa745</t>
  </si>
  <si>
    <t xml:space="preserve">Edital apoia projetos ambientais e de inovação no Paraná — Brasil</t>
  </si>
  <si>
    <t xml:space="preserve">Edital apoia projetos ambientais e de inovação no Paraná</t>
  </si>
  <si>
    <t xml:space="preserve">https://fundacaogrupoboticario.org.br/edital-apoia-projetos-ambientais-e-de-inovacao-no-parana</t>
  </si>
  <si>
    <t xml:space="preserve">op-126f0019d398</t>
  </si>
  <si>
    <t xml:space="preserve">ª edição - edital de seleção cultura viva - fomento à rede de pontões cultura viva — Brasil</t>
  </si>
  <si>
    <t xml:space="preserve">2ª EDIÇÃO - EDITAL DE SELEÇÃO CULTURA VIVA - FOMENTO À REDE DE PONTÕES CULTURA VIVA</t>
  </si>
  <si>
    <t xml:space="preserve">https://mapa.cultura.gov.br/oportunidade/11685/</t>
  </si>
  <si>
    <t xml:space="preserve">op-37df2d414526</t>
  </si>
  <si>
    <t xml:space="preserve">Abertas as inscrições para descobrir os principais desafios para o turismo em áreas naturais no Brasil — Brasil</t>
  </si>
  <si>
    <t xml:space="preserve">Abertas as inscrições para descobrir os principais desafios para o turismo em áreas naturais no Brasil</t>
  </si>
  <si>
    <t xml:space="preserve">https://fundacaogrupoboticario.org.br/abertas-as-inscricoes-para-descobrir-os-principais-desafios-para-o-turismo-em-areas-naturais-no-brasil</t>
  </si>
  <si>
    <t xml:space="preserve">op-8f13c8ffe6b6</t>
  </si>
  <si>
    <t xml:space="preserve">Chamada FAPEMIG 004/2026 – Participação coletiva em eventos técnicos no país – 3ª Entrada — Brasil</t>
  </si>
  <si>
    <t xml:space="preserve">Chamada FAPEMIG 004/2026 – Participação coletiva em eventos técnicos no país – 3ª Entrada</t>
  </si>
  <si>
    <t xml:space="preserve">FAPEMIG</t>
  </si>
  <si>
    <t xml:space="preserve">https://fapemig.br/oportunidades/chamadas-e-editais/chamada-fapemig-004-2026-participacao-coletiva-em-eventos-tecnicos-no-pais-3a-entrada</t>
  </si>
  <si>
    <t xml:space="preserve">op-fc91eba9870b</t>
  </si>
  <si>
    <t xml:space="preserve">Chamada de Propostas FAPESP-FAPERJ para Projetos em Tecnologias Quânticas – 2025 — Brasil</t>
  </si>
  <si>
    <t xml:space="preserve">Chamada de Propostas FAPESP-FAPERJ para Projetos em Tecnologias Quânticas – 2025</t>
  </si>
  <si>
    <t xml:space="preserve">https://www.faperj.br/rp/downloads/Chamada_de_Propostas_FAPESP-FAPERJ_para_Projetos_em_Tecnologias_Qu%C3%A2nticas_%E2%80%93_2025_Diretrizes_FAPERJ.pdf</t>
  </si>
  <si>
    <t xml:space="preserve">op-bf8d0cb725e1</t>
  </si>
  <si>
    <t xml:space="preserve">Chamamento Público Conjunto nº 1/2026 - PET Saúde Informação e Saúde Digital — Brasil</t>
  </si>
  <si>
    <t xml:space="preserve">Chamamento Público Conjunto nº 1/2026 - PET Saúde Informação e Saúde Digital</t>
  </si>
  <si>
    <t xml:space="preserve">https://www.gov.br/saude/pt-br/acesso-a-informacao/participacao-social/chamamentos-publicos/2026/chamamento-publico-conjunto-no-1-2026-seidigi-sgtes</t>
  </si>
  <si>
    <t xml:space="preserve">op-c3db237fa33d</t>
  </si>
  <si>
    <t xml:space="preserve">Chamamento Público nº 0001/2026-5688 — Brasil</t>
  </si>
  <si>
    <t xml:space="preserve">Chamamento Público nº 0001/2026-5688</t>
  </si>
  <si>
    <t xml:space="preserve">https://www.licitacoes.caixa.gov.br</t>
  </si>
  <si>
    <t xml:space="preserve">op-fa95a4557afe</t>
  </si>
  <si>
    <t xml:space="preserve">Chamamento Público nº 49/2026 - DSEI - Cuiabá - Secretária de Saúde Indígena (SESAI) — Brasil</t>
  </si>
  <si>
    <t xml:space="preserve">Chamamento Público nº 49/2026 - DSEI - Cuiabá - Secretária de Saúde Indígena (SESAI)</t>
  </si>
  <si>
    <t xml:space="preserve">https://www.gov.br/saude/pt-br/acesso-a-informacao/participacao-social/chamamentos-publicos/2026/chamamento-publico-no-49-2026-dsei-cuiaba-sesai</t>
  </si>
  <si>
    <t xml:space="preserve">op-64cd95acfeed</t>
  </si>
  <si>
    <t xml:space="preserve">EDITAL FAPERJ Nº 11/2025 – Programa Pesquisa para o SUS: gestão compartilhada em saúde – 2025 — Brasil</t>
  </si>
  <si>
    <t xml:space="preserve">EDITAL FAPERJ Nº 11/2025 – Programa Pesquisa para o SUS: gestão compartilhada em saúde – 2025</t>
  </si>
  <si>
    <t xml:space="preserve">https://www.faperj.br/rp/downloads/Edital_FAPERJ_N%C2%BA_11_2025_%E2%80%93_Programa_Pesquisa_Para_o_SUS_Gest%C3%A3o_Compartilhada_em_Saúde.pdf</t>
  </si>
  <si>
    <t xml:space="preserve">op-08145ecaa341</t>
  </si>
  <si>
    <t xml:space="preserve">Edital de Credenciamento Nº 1/2026 — Brasil</t>
  </si>
  <si>
    <t xml:space="preserve">Edital de Credenciamento Nº 1/2026</t>
  </si>
  <si>
    <t xml:space="preserve">Instituto Chico Mendes de Conservação da Biodiversidade</t>
  </si>
  <si>
    <t xml:space="preserve">https://www.gov.br/icmbio</t>
  </si>
  <si>
    <t xml:space="preserve">op-a085fac7f39d</t>
  </si>
  <si>
    <t xml:space="preserve">Edital de Seleção de Projetos Socioambientais 2026 — Brasil</t>
  </si>
  <si>
    <t xml:space="preserve">Edital de Seleção de Projetos Socioambientais 2026</t>
  </si>
  <si>
    <t xml:space="preserve">https://www.gov.br/mma</t>
  </si>
  <si>
    <t xml:space="preserve">op-ac0dba4d5ed4</t>
  </si>
  <si>
    <t xml:space="preserve">Edital nº 002/2026 Programa Nacional de Apoio à Geração de Empreendimentos Inovadores — Programa Centelha 3 Pa… — Brasil</t>
  </si>
  <si>
    <t xml:space="preserve">Edital nº 002/2026 Programa Nacional de Apoio à Geração de Empreendimentos Inovadores — Programa Centelha 3 Pará</t>
  </si>
  <si>
    <t xml:space="preserve">https://materiais.programacentelha.com.br/pa</t>
  </si>
  <si>
    <t xml:space="preserve">op-69a474515ec2</t>
  </si>
  <si>
    <t xml:space="preserve">Seleção de Monitores para a Semana Nacional de Ciência e Tecnologia (SNCT) Maranhão 2026 — Brasil</t>
  </si>
  <si>
    <t xml:space="preserve">Seleção de Monitores para a Semana Nacional de Ciência e Tecnologia (SNCT) Maranhão 2026</t>
  </si>
  <si>
    <t xml:space="preserve">https://www.fapema.br/edital-fapema-n-22-2026</t>
  </si>
  <si>
    <t xml:space="preserve">op-2b73153da741</t>
  </si>
  <si>
    <t xml:space="preserve">Understanding Ecosystem Dynamics and the Ecology of the Okavango River Basin — Brasil</t>
  </si>
  <si>
    <t xml:space="preserve">Understanding Ecosystem Dynamics and the Ecology of the Okavango River Basin</t>
  </si>
  <si>
    <t xml:space="preserve">http://www.nationalgeographic.com/explorers/grants-programs/conservation-trust-application</t>
  </si>
  <si>
    <t xml:space="preserve">op-c33bb4f88401</t>
  </si>
  <si>
    <t xml:space="preserve">Credenciamento de artistas, bandas, djs e grupos culturais — municipio de presidente bernardes — Brasil</t>
  </si>
  <si>
    <t xml:space="preserve">CREDENCIAMENTO DE ARTISTAS, BANDAS, DJS E GRUPOS CULTURAIS — MUNICIPIO DE PRESIDENTE BERNARDES</t>
  </si>
  <si>
    <t xml:space="preserve">MUNICIPIO DE PRESIDENTE BERNARDES</t>
  </si>
  <si>
    <t xml:space="preserve">https://pncp.gov.br/app/editais/23515695000140/2025/141</t>
  </si>
  <si>
    <t xml:space="preserve">op-0b3c9fd977f0</t>
  </si>
  <si>
    <t xml:space="preserve">MPF divulga lista de instituições selecionadas para receber bens doados — Goiás — Brasil</t>
  </si>
  <si>
    <t xml:space="preserve">MPF divulga lista de instituições selecionadas para receber bens doados — Goiás</t>
  </si>
  <si>
    <t xml:space="preserve">Objeto, Prazo de inscrição, Resultado, Prazo de recurso, Valor</t>
  </si>
  <si>
    <t xml:space="preserve">op-4b8a85dcd291</t>
  </si>
  <si>
    <t xml:space="preserve">EDITAL FAPERJ Nº 04/2025 – Programa HUB RJ STARTUP 2025: Apoio à Difusão de Ambiente de Inovação em Tecnologia… — Brasil</t>
  </si>
  <si>
    <t xml:space="preserve">EDITAL FAPERJ Nº 04/2025 – Programa HUB RJ STARTUP 2025: Apoio à Difusão de Ambiente de Inovação em Tecnologia Digital no Estado do Rio de Janeiro</t>
  </si>
  <si>
    <t xml:space="preserve">https://www.faperj.br/rp/downloads/Edital_FAPERJ_N%C2%BA_04_2025_%E2%80%93_Programa_Startup_RJ_2025_Apoio_%C3%A0_Difus%C3%A3o_de_Ambiente_de_Inova%C3%A7%C3%A3o_em_Tecnologia_Digital_no_Estado_do_Rio_de_Janeiro.pdf</t>
  </si>
  <si>
    <t xml:space="preserve">op-ce31bae13625</t>
  </si>
  <si>
    <t xml:space="preserve">Edital FAPERJ Nº 38/2025 – Programa de Apoio a Projetos Científicos e Tecnológicos em Ciências Agrárias no Est… — Brasil</t>
  </si>
  <si>
    <t xml:space="preserve">Edital FAPERJ Nº 38/2025 – Programa de Apoio a Projetos Científicos e Tecnológicos em Ciências Agrárias no Estado do Rio de Janeiro – 2025</t>
  </si>
  <si>
    <t xml:space="preserve">https://www.faperj.br/rp/downloads/Edital_FAPERJ_N%C2%B0_38_2025_Programa_de_Apoio_a_Projetos_Cientificos_e_Tecnologicos_em_Ciencias_Agrarias_no_Estado_do_RJ.pdf</t>
  </si>
  <si>
    <t xml:space="preserve">op-3e4c157c1fc4</t>
  </si>
  <si>
    <t xml:space="preserve">Edital FAPERJ Nº 41/2025 – Programa Luiz Pinguelli Rosa de Apoio à Mobilidade e Instalação de Pesquisadores Or… — Brasil</t>
  </si>
  <si>
    <t xml:space="preserve">Edital FAPERJ Nº 41/2025 – Programa Luiz Pinguelli Rosa de Apoio à Mobilidade e Instalação de Pesquisadores Originários de Regiões em Conflito ou Refugiados em </t>
  </si>
  <si>
    <t xml:space="preserve">https://www.faperj.br/rp/downloads/Edital_FAPERJ_N%C2%BA_41_2025_%E2%80%93_Programa_Luiz_Pinguelli_Rosa_de_Apoio_%C3%A0_Mobilidade_e_Instala%C3%A7%C3%A3o_de_Pesquisadores_Origin%C3%A1rios_de_Regi%C3%B5es_em_Conflito_em_ICTs_do_Estado_do_Rio_de_Janeiro_%E2%80%93_3%C2%AA_Edi%C3%A7%C3%A3o_(20252026).pdf</t>
  </si>
  <si>
    <t xml:space="preserve">op-adbdd2bf662e</t>
  </si>
  <si>
    <t xml:space="preserve">Edital Nº 32/2025 – Programa Nacional de Apoio à Inovação Tecnológica – TECNOVA III — Brasil</t>
  </si>
  <si>
    <t xml:space="preserve">Edital Nº 32/2025 – Programa Nacional de Apoio à Inovação Tecnológica – TECNOVA III</t>
  </si>
  <si>
    <t xml:space="preserve">Fundação Carlos Chagas Filho de Amparo à Pesquisa do Estado do Rio de Janeiro (FAPERJ)</t>
  </si>
  <si>
    <t xml:space="preserve">https://www.faperj.br/rp/downloads/Edital_FAPERJ_N%C2%BA_32_2025_%E2%80%93_Programa_Nacional_de_Apoio_%C3%A0_Inova%C3%A7%C3%A3o_Tecnol%C3%B3gica_%E2%80%93_TECNOVA_III.pdf</t>
  </si>
  <si>
    <t xml:space="preserve">op-ea02869f52e5</t>
  </si>
  <si>
    <t xml:space="preserve">SECTI-GO (ciência e tecnologia) — Edital nº 002/2026 — Goiás — Goiás</t>
  </si>
  <si>
    <t xml:space="preserve">op-113a55987e25</t>
  </si>
  <si>
    <t xml:space="preserve">Chamamento Público nº 16/2026 - DSEI Guamá Tocantins - Secretária de Saúde Indígena (SESAI) — Brasil</t>
  </si>
  <si>
    <t xml:space="preserve">Chamamento Público nº 16/2026 - DSEI Guamá Tocantins - Secretária de Saúde Indígena (SESAI)</t>
  </si>
  <si>
    <t xml:space="preserve">https://www.gov.br/saude/pt-br/acesso-a-informacao/participacao-social/chamamentos-publicos/2026/chamamento-publico-no-16-2026-dsei-guama-tocantins-secretaria-de-saude-indigena-sesai</t>
  </si>
  <si>
    <t xml:space="preserve">op-9564943b34ad</t>
  </si>
  <si>
    <t xml:space="preserve">Credenciamento de Consultores Ad Hoc para o 4º Concurso de Artigos Científicos em Homenagem ao Desembargador M… — Brasil</t>
  </si>
  <si>
    <t xml:space="preserve">Credenciamento de Consultores Ad Hoc para o 4º Concurso de Artigos Científicos em Homenagem ao Desembargador Milson de Souza Coutinho</t>
  </si>
  <si>
    <t xml:space="preserve">https://www.fapema.br/edital-fapema-esmam-n-21-2026</t>
  </si>
  <si>
    <t xml:space="preserve">op-264656289847</t>
  </si>
  <si>
    <t xml:space="preserve">Edital de Credenciamento de Pareceristas Técnicos - SEFIC/MinC nº 90001/2026 — Brasil</t>
  </si>
  <si>
    <t xml:space="preserve">Edital de Credenciamento de Pareceristas Técnicos - SEFIC/MinC nº 90001/2026</t>
  </si>
  <si>
    <t xml:space="preserve">Ministério da Cultura (MinC)</t>
  </si>
  <si>
    <t xml:space="preserve">https://mapa.cultura.gov.br/oportunidade/10466/#info</t>
  </si>
  <si>
    <t xml:space="preserve">op-fe63401f3d4b</t>
  </si>
  <si>
    <t xml:space="preserve">Edital de Seleção Pública SCDC/MINC Nº 11/2026 - Cultura Viva - Fomento à Rede de Pontões — Brasil</t>
  </si>
  <si>
    <t xml:space="preserve">Edital de Seleção Pública SCDC/MINC Nº 11/2026 - Cultura Viva - Fomento à Rede de Pontões</t>
  </si>
  <si>
    <t xml:space="preserve">http://mapa.cultura.gov.br/oportunidade/10571/#info</t>
  </si>
  <si>
    <t xml:space="preserve">op-e9436e0c431a</t>
  </si>
  <si>
    <t xml:space="preserve">SECTI-GO (ciência e tecnologia) — Edital nº 002/2026 — Goiás — Goiás — Goiás</t>
  </si>
  <si>
    <t xml:space="preserve">SECRETARIA DE ESTADO DE CIÊNCIA, TECNOLOGIA E INOVAÇÃO - SECTI</t>
  </si>
  <si>
    <t xml:space="preserve">Prazo de recurso, Área de atuação</t>
  </si>
  <si>
    <t xml:space="preserve">Seleção de proposta destinada à operacionalização do Programa Cidadão Tech 60+</t>
  </si>
  <si>
    <t xml:space="preserve">? a 2026-10-26</t>
  </si>
  <si>
    <t xml:space="preserve">R$ 1.000.000,00 (um milhão de reais);</t>
  </si>
  <si>
    <t xml:space="preserve">Secretaria de Estado de Ciência, Tecnologia e Inovação - SECTI</t>
  </si>
  <si>
    <t xml:space="preserve">observar as especificações, as condições, as exigências e as obrigações estabelecidas nest</t>
  </si>
  <si>
    <t xml:space="preserve">op-26afd8dcaf2e</t>
  </si>
  <si>
    <t xml:space="preserve">Agenda aberta para shows, eventos públicos e festas de prefeitura — Goiás</t>
  </si>
  <si>
    <t xml:space="preserve">Agenda aberta para shows, eventos públicos e festas de prefeitura</t>
  </si>
  <si>
    <t xml:space="preserve">Mapa Goiano (plataforma da Secult Goiás)</t>
  </si>
  <si>
    <t xml:space="preserve">https://mapagoiano.cultura.go.gov.br/oportunidade/957/</t>
  </si>
  <si>
    <t xml:space="preserve">op-29ee662cd737</t>
  </si>
  <si>
    <t xml:space="preserve">Canguçu — Norma do CNJ garante verbas para projetos sociais em Canguçu (RS) — Goiás — Brasil</t>
  </si>
  <si>
    <t xml:space="preserve">Canguçu — Norma do CNJ garante verbas para projetos sociais em Canguçu (RS) — Goiás</t>
  </si>
  <si>
    <t xml:space="preserve">CNJ</t>
  </si>
  <si>
    <t xml:space="preserve">http://www.cnj.jus.br</t>
  </si>
  <si>
    <t xml:space="preserve">Prazo de inscrição, Resultado, Prazo de recurso, Valor, Território, Requisitos, Anexos, Destinação</t>
  </si>
  <si>
    <t xml:space="preserve">apoiar projetos sociais em Canguçu (RS) com recursos do Fundo de Modernização do Conselho</t>
  </si>
  <si>
    <t xml:space="preserve">Conselho Nacional de Justiça (CNJ)</t>
  </si>
  <si>
    <t xml:space="preserve">op-21cbbdb87e6b</t>
  </si>
  <si>
    <t xml:space="preserve">Aparecida de Goiânia — Diário Oficial de Aparecida de Goiânia — edição (2026-09-24) — chamamento público — Brasil</t>
  </si>
  <si>
    <t xml:space="preserve">Aparecida de Goiânia — Diário Oficial de Aparecida de Goiânia — edição (2026-09-24) — chamamento público</t>
  </si>
  <si>
    <t xml:space="preserve">Município de Aparecida de Goiânia</t>
  </si>
  <si>
    <t xml:space="preserve">https://data.queridodiario.ok.org.br/5201405/2026-09-24/aa5eb74d97e23a8669f5c614b350d14a2a43b805.pdf</t>
  </si>
  <si>
    <t xml:space="preserve">op-f9e4bc1fb06c</t>
  </si>
  <si>
    <t xml:space="preserve">Aparecida de Goiânia — Diário Oficial de Aparecida de Goiânia — edição (2026-09-29) — chamamento público — Brasil</t>
  </si>
  <si>
    <t xml:space="preserve">Aparecida de Goiânia — Diário Oficial de Aparecida de Goiânia — edição (2026-09-29) — chamamento público</t>
  </si>
  <si>
    <t xml:space="preserve">https://www.goias365.com.br/governo-lanca-edital-para-promover-regularizacao-fundiaria-urbana/</t>
  </si>
  <si>
    <t xml:space="preserve">promover regularização fundiária urbana</t>
  </si>
  <si>
    <t xml:space="preserve">Goiás Social, Secretaria de Estado da Infraestrutura (Seinfra) e Agência Goian</t>
  </si>
  <si>
    <t xml:space="preserve">op-1b340d2f77e8</t>
  </si>
  <si>
    <t xml:space="preserve">Chamamento Público Nº 006/2026 para Seleção de Projetos — Goiás / Alvorada do Norte</t>
  </si>
  <si>
    <t xml:space="preserve">Secretaria de Estado de Desenvolvimento Econômico, Ciência e Tecnologia de Goiás</t>
  </si>
  <si>
    <t xml:space="preserve">https://alvoradadonorte.go.gov.br/cumprindo-agenda-em-goiania-a-prefeita-iolanda-participou-de-encontro-com-o-governador-de-goias-ronaldo-caiado/</t>
  </si>
  <si>
    <t xml:space="preserve">Objeto, Prazo de inscrição, Resultado, Prazo de recurso, Valor, Órgão / financiador, Requisitos, Anexos, Destinação, Área de atuação</t>
  </si>
  <si>
    <t xml:space="preserve">op-cd9c27fceaf1</t>
  </si>
  <si>
    <t xml:space="preserve">Lei Rouanet — apresentação de propostas culturais no SALIC (2026): de 01/02 a 31/10 — Brasil</t>
  </si>
  <si>
    <t xml:space="preserve">Lei Rouanet — apresentação de propostas culturais no SALIC (2026): de 01/02 a 31/10</t>
  </si>
  <si>
    <t xml:space="preserve">Ministério da Cultura — SEFIC</t>
  </si>
  <si>
    <t xml:space="preserve">https://www.gov.br/cultura/pt-br/acesso-a-informacao/legislacao-e-normativas/instrucao-normativa-minc-no-29-de-29-de-janeiro-de-2026</t>
  </si>
  <si>
    <t xml:space="preserve">{'inicio': None, 'fim': '2026-10-31'}</t>
  </si>
  <si>
    <t xml:space="preserve">informado (motor plat-salic, 2026-10-03)</t>
  </si>
  <si>
    <t xml:space="preserve">op-1c26bab9cf4e</t>
  </si>
  <si>
    <t xml:space="preserve">Plataforma editais terceiro setor "brasil" — Brasil</t>
  </si>
  <si>
    <t xml:space="preserve">plataforma editais terceiro setor "brasil"</t>
  </si>
  <si>
    <t xml:space="preserve">https://html.duckduckgo.com/html?q=plataforma%20editais%20terceiro%20setor%20%22brasil%22&amp;norw=1</t>
  </si>
  <si>
    <t xml:space="preserve">op-bc5534adba3e</t>
  </si>
  <si>
    <t xml:space="preserve">Contratação da prestação de serviços musicais — Goiás — Brasil</t>
  </si>
  <si>
    <t xml:space="preserve">Contratação da prestação de serviços musicais — Goiás</t>
  </si>
  <si>
    <t xml:space="preserve">https://pncp.gov.br/app/editais/05780030000181/2025/31</t>
  </si>
  <si>
    <t xml:space="preserve">Objeto, Prazo de inscrição, Resultado, Prazo de recurso, Valor, Território, Esfera, Requisitos, Anexos, Destinação, Área de atuação</t>
  </si>
  <si>
    <t xml:space="preserve">op-93b4fe72768a</t>
  </si>
  <si>
    <t xml:space="preserve">MUNICIPIO DE CRUZ ALTA — chamamento público para instituição de longa permanência para idosos - LPI — Rio Grande do Sul</t>
  </si>
  <si>
    <t xml:space="preserve">MUNICIPIO DE CRUZ ALTA — chamamento público para instituição de longa permanência para idosos - LPI</t>
  </si>
  <si>
    <t xml:space="preserve">PNCP — MUNICIPIO DE CRUZ ALTA</t>
  </si>
  <si>
    <t xml:space="preserve">https://pncp.gov.br/app/editais/88775390000112/2024/426</t>
  </si>
  <si>
    <t xml:space="preserve">op-116c20eb33c4</t>
  </si>
  <si>
    <t xml:space="preserve">Ler Mais Sobre21/08/2025 - Chamada Pública para Apoio a Projetos Sociais com Amparo em Incentivos Fiscais 2025… — Brasil</t>
  </si>
  <si>
    <t xml:space="preserve">Ler Mais Sobre21/08/2025 - Chamada Pública para Apoio a Projetos Sociais com Amparo em Incentivos Fiscais 2025  »</t>
  </si>
  <si>
    <t xml:space="preserve">Banco do Nordeste — Editais Sociais (incentivo fiscal)</t>
  </si>
  <si>
    <t xml:space="preserve">https://www.bnb.gov.br/web/guest/sustentabilidade/investimentos-sociais-e-esportivos/-/asset_publisher/aj3dlMDNEtsq/content/21-08-2025-chamada-p%25C3%25BAblica-para-apoio-a-projetos-sociais-com-amparo-em-incentivos-fiscais-2025-1/45887?_com_liferay_asset_publisher_web_portlet_AssetPublisherPortlet_INSTANCE_aj3dlMDNEtsq_assetEntryId=8440031&amp;_com_liferay_asset_publisher_web_portlet_AssetPublisherPor</t>
  </si>
  <si>
    <t xml:space="preserve">op-1bbdef6be779</t>
  </si>
  <si>
    <t xml:space="preserve">Municipio de confins — seleção de projetos culturais para fomento à execução de ações culturais com recursos d… — Minas Gerais</t>
  </si>
  <si>
    <t xml:space="preserve">MUNICIPIO DE CONFINS — SELEÇÃO DE PROJETOS CULTURAIS PARA FOMENTO À EXECUÇÃO DE AÇÕES CULTURAIS COM RECURSOS DA POLÍTICA NACIONAL ALDIR BLANC DE FOMENTO À CULTU</t>
  </si>
  <si>
    <t xml:space="preserve">PNCP — MUNICIPIO DE CONFINS</t>
  </si>
  <si>
    <t xml:space="preserve">op-7b0c99fe036a</t>
  </si>
  <si>
    <t xml:space="preserve">MUNICIPIO DE NOVA SANTA RITA — Chamamento público destinado ao credenciamento de instituições especializadas e… — Rio Grande do Sul</t>
  </si>
  <si>
    <t xml:space="preserve">MUNICIPIO DE NOVA SANTA RITA — Chamamento público destinado ao credenciamento de instituições especializadas em: Residencial de Longa permanência para pacientes</t>
  </si>
  <si>
    <t xml:space="preserve">PNCP — MUNICIPIO DE NOVA SANTA RITA</t>
  </si>
  <si>
    <t xml:space="preserve">https://pncp.gov.br/app/editais/94309291000148/2024/33</t>
  </si>
  <si>
    <t xml:space="preserve">op-c21c82e4fea4</t>
  </si>
  <si>
    <t xml:space="preserve">MUNICIPIO DE JOINVILLE — Credenciamento de órgãos e entidades da Administração Pública direta, autárquica ou f… — Santa Catarina</t>
  </si>
  <si>
    <t xml:space="preserve">MUNICIPIO DE JOINVILLE — Credenciamento de órgãos e entidades da Administração Pública direta, autárquica ou fundacional, das esferas federal, estadual e munici</t>
  </si>
  <si>
    <t xml:space="preserve">PNCP — MUNICIPIO DE JOINVILLE</t>
  </si>
  <si>
    <t xml:space="preserve">https://pncp.gov.br/app/editais/83169623000110/2023/439</t>
  </si>
  <si>
    <t xml:space="preserve">op-cb201f8439de</t>
  </si>
  <si>
    <t xml:space="preserve">Fundo municipal de saude — credenciamento de entidades filantrópicas e/ou privadas, prestadoras de serviços de… — Santa Catarina</t>
  </si>
  <si>
    <t xml:space="preserve">FUNDO MUNICIPAL DE SAUDE — CREDENCIAMENTO DE ENTIDADES FILANTRÓPICAS E/OU PRIVADAS, PRESTADORAS DE SERVIÇOS DE SAÚDE, ESPECIALIZADAS NA REALIZAÇÃO DE EXAMES COM</t>
  </si>
  <si>
    <t xml:space="preserve">https://pncp.gov.br/app/editais/11293409000160/2024/47</t>
  </si>
  <si>
    <t xml:space="preserve">op-a389ad17fa4e</t>
  </si>
  <si>
    <t xml:space="preserve">Municipio de rio do sul — credenciamento de cooperativas/associações de catadores de resíduos recicláveis e em… — Santa Catarina</t>
  </si>
  <si>
    <t xml:space="preserve">MUNICIPIO DE RIO DO SUL — CREDENCIAMENTO DE COOPERATIVAS/ASSOCIAÇÕES DE CATADORES DE RESÍDUOS RECICLÁVEIS E EMPRESAS DO RAMO, LOCALIZADAS NO MUNICÍPIO DE RIO DO</t>
  </si>
  <si>
    <t xml:space="preserve">PNCP — MUNICIPIO DE RIO DO SUL</t>
  </si>
  <si>
    <t xml:space="preserve">https://pncp.gov.br/app/editais/83102574000106/2024/138</t>
  </si>
  <si>
    <t xml:space="preserve">op-80ccde100a36</t>
  </si>
  <si>
    <t xml:space="preserve">MUNICIPIO DE QUATRO BARRAS — Credenciamento de Instituições de longa permanência para idosos (ILPI), com e sem… — Paraná</t>
  </si>
  <si>
    <t xml:space="preserve">MUNICIPIO DE QUATRO BARRAS — Credenciamento de Instituições de longa permanência para idosos (ILPI), com e sem fins lucrativos, para a realização de prestação d</t>
  </si>
  <si>
    <t xml:space="preserve">PNCP — MUNICIPIO DE QUATRO BARRAS</t>
  </si>
  <si>
    <t xml:space="preserve">https://pncp.gov.br/app/editais/76105568000139/2025/237</t>
  </si>
  <si>
    <t xml:space="preserve">op-262863ad4b1a</t>
  </si>
  <si>
    <t xml:space="preserve">MUNICIPIO DO RIO GRANDE — Chamamento Público para credenciamento de Instituições de Longa Permanência de Idoso… — Rio Grande do Sul</t>
  </si>
  <si>
    <t xml:space="preserve">MUNICIPIO DO RIO GRANDE — Chamamento Público para credenciamento de Instituições de Longa Permanência de Idosos - ILPI, para prestação de serviço de acolhimento</t>
  </si>
  <si>
    <t xml:space="preserve">PNCP — MUNICIPIO DO RIO GRANDE</t>
  </si>
  <si>
    <t xml:space="preserve">https://pncp.gov.br/app/editais/88566872000162/2025/596</t>
  </si>
  <si>
    <t xml:space="preserve">op-7a345ae06f61</t>
  </si>
  <si>
    <t xml:space="preserve">FUNDO MUNICIPAL DE ASSISTENCIA SOCIAL DE URUSSANGA - FMASU — O presente Procedimento tem por objeto o Acolhime… — Santa Catarina</t>
  </si>
  <si>
    <t xml:space="preserve">FUNDO MUNICIPAL DE ASSISTENCIA SOCIAL DE URUSSANGA - FMASU — O presente Procedimento tem por objeto o Acolhimento em instituição de Longa Permanência (ILP) - Gr</t>
  </si>
  <si>
    <t xml:space="preserve">PNCP — FUNDO MUNICIPAL DE ASSISTENCIA SOCIAL DE URUSSANGA - FMASU</t>
  </si>
  <si>
    <t xml:space="preserve">https://pncp.gov.br/app/editais/01294821000140/2025/33</t>
  </si>
  <si>
    <t xml:space="preserve">op-5ec6ccb2feb5</t>
  </si>
  <si>
    <t xml:space="preserve">Municipio de torres — prestação de serviços através de chamada pública de instituição de longa permanência par… — Rio Grande do Sul</t>
  </si>
  <si>
    <t xml:space="preserve">MUNICIPIO DE TORRES — PRESTAÇÃO DE SERVIÇOS ATRAVÉS DE CHAMADA PÚBLICA DE INSTITUIÇÃO DE LONGA PERMANÊNCIA PARA IDOSOS</t>
  </si>
  <si>
    <t xml:space="preserve">PNCP — MUNICIPIO DE TORRES</t>
  </si>
  <si>
    <t xml:space="preserve">https://pncp.gov.br/app/editais/87876801000101/2025/100</t>
  </si>
  <si>
    <t xml:space="preserve">op-77b4a6148c95</t>
  </si>
  <si>
    <t xml:space="preserve">MUNICIPIO DE BALNEARIO RINCAO — O presente edital tem por objetivo o CREDENCIAMENTO para contratação de vaga d… — Santa Catarina</t>
  </si>
  <si>
    <t xml:space="preserve">MUNICIPIO DE BALNEARIO RINCAO — O presente edital tem por objetivo o CREDENCIAMENTO para contratação de vaga de acolhimento institucional para idosos em Institu</t>
  </si>
  <si>
    <t xml:space="preserve">PNCP — MUNICIPIO DE BALNEARIO RINCAO</t>
  </si>
  <si>
    <t xml:space="preserve">https://pncp.gov.br/app/editais/17243084000197/2024/97</t>
  </si>
  <si>
    <t xml:space="preserve">op-ad783081badd</t>
  </si>
  <si>
    <t xml:space="preserve">MUNICIPIO DE IJUI — Credenciamento de instituicoes privadas sem fins lucrativos atuantes como Comunidades Tera… — Rio Grande do Sul</t>
  </si>
  <si>
    <t xml:space="preserve">MUNICIPIO DE IJUI — Credenciamento de instituicoes privadas sem fins lucrativos  atuantes como Comunidades Terapeuticas  CT   para a oferta de vagas de acolhime</t>
  </si>
  <si>
    <t xml:space="preserve">PNCP — MUNICIPIO DE IJUI</t>
  </si>
  <si>
    <t xml:space="preserve">https://pncp.gov.br/app/editais/90738196000109/2026/206</t>
  </si>
  <si>
    <t xml:space="preserve">op-a1c566d2f09f</t>
  </si>
  <si>
    <t xml:space="preserve">MUNICIPIO DE ITAJAI — Credenciamento para habilitação de instituições privadas, com ou sem fins lucrativos, le… — Santa Catarina</t>
  </si>
  <si>
    <t xml:space="preserve">MUNICIPIO DE ITAJAI — Credenciamento para habilitação de instituições privadas, com ou sem fins lucrativos, legalmente constituídas, com atividades voltadas ou </t>
  </si>
  <si>
    <t xml:space="preserve">PNCP — MUNICIPIO DE ITAJAI</t>
  </si>
  <si>
    <t xml:space="preserve">https://pncp.gov.br/app/editais/83102277000152/2025/398</t>
  </si>
  <si>
    <t xml:space="preserve">op-745b65ea4bf4</t>
  </si>
  <si>
    <t xml:space="preserve">Municipio de cananeia — credenciamento de clínicas privadas de ilpi para prestação de serviços de acolhimento … — São Paulo</t>
  </si>
  <si>
    <t xml:space="preserve">MUNICIPIO DE CANANEIA — CREDENCIAMENTO DE CLÍNICAS PRIVADAS DE ILPI PARA PRESTAÇÃO DE SERVIÇOS DE ACOLHIMENTO TEMPORÁRIO E/OU PERMANENTE, GARANTINDO O DIREITO D</t>
  </si>
  <si>
    <t xml:space="preserve">PNCP — MUNICIPIO DE CANANEIA</t>
  </si>
  <si>
    <t xml:space="preserve">https://pncp.gov.br/app/editais/46585956000101/2025/67</t>
  </si>
  <si>
    <t xml:space="preserve">op-443ba23e8bf2</t>
  </si>
  <si>
    <t xml:space="preserve">FUNDO MUNICIPAL DE ASSISTENCIA SOCIAL DE INDAIAL — Credenciamento de instituições privadas, com ou sem fins lu… — Santa Catarina</t>
  </si>
  <si>
    <t xml:space="preserve">FUNDO MUNICIPAL DE ASSISTENCIA SOCIAL DE INDAIAL — Credenciamento de instituições privadas, com ou sem fins lucrativos, visando à contratação de atividades volt</t>
  </si>
  <si>
    <t xml:space="preserve">PNCP — FUNDO MUNICIPAL DE ASSISTENCIA SOCIAL DE INDAIAL</t>
  </si>
  <si>
    <t xml:space="preserve">https://pncp.gov.br/app/editais/11552935000105/2025/9</t>
  </si>
  <si>
    <t xml:space="preserve">op-4f37da4ae3cc</t>
  </si>
  <si>
    <t xml:space="preserve">﻿O Fundo Nacional do Meio Ambiente torna público em 21/09/2026, o resultado preliminar do Edital FNMA nº 1/202… — Brasil</t>
  </si>
  <si>
    <t xml:space="preserve">﻿O Fundo Nacional do Meio Ambiente torna público em 21/09/2026, o resultado preliminar do Edital FNMA nº 1/2026 - Iniciativa Arborizacidades</t>
  </si>
  <si>
    <t xml:space="preserve">Fundo Nacional do Meio Ambiente</t>
  </si>
  <si>
    <t xml:space="preserve">https://www.gov.br/mma/pt-br/composicao/secex/dfre/fundo-nacional-do-meio-ambiente/editais-e-termos-de-referencia-1/ResultadopreliminarEditalFNMAIniciativaArborizaCidades.pdf</t>
  </si>
  <si>
    <t xml:space="preserve">{'observacao': 'VERIFICADO em 03/10/2026 (gov.br/MMA, página de editais do FNMA): o FNMA lança editais temáticos todo ano (06/2024: catadores SQA 1/2024, R$ 8 milhões; 06/2025: Edital 1/2025 e Edital 2/2025 Centros de Educação e Cooperação Socioambiental). Não achei edição anterior do mesmo objeto do edital de 21/09/2026. Linha relacionada, não série.'}</t>
  </si>
  <si>
    <t xml:space="preserve">op-ad360c988bb1</t>
  </si>
  <si>
    <t xml:space="preserve">Acesse a lista de projetos inscritos no edital, divulgada em 30.09.2026 (PDF - 52 kB) — Brasil</t>
  </si>
  <si>
    <t xml:space="preserve">Acesse a lista de projetos inscritos no edital, divulgada em 30.09.2026 (PDF - 52 kB)</t>
  </si>
  <si>
    <t xml:space="preserve">BNDES Corais - meio ambiente</t>
  </si>
  <si>
    <t xml:space="preserve">https://www.bndes.gov.br/wps/wcm/connect/site/eb080e9e-8dc7-4c6e-9df9-88565953c4ec/LISTA+DE+Projetos+inscritos+Edital+FI+01-2026+30-09-2026.pdf?MOD=AJPERES&amp;CVID=q3Ew3t2</t>
  </si>
  <si>
    <t xml:space="preserve">op-8ccafa83e596</t>
  </si>
  <si>
    <t xml:space="preserve">SECULT-GO (cultura) — Secult Goiás lança edital para levar produção artística goiana ao Rio de Janeiro — Goiás</t>
  </si>
  <si>
    <t xml:space="preserve">SECULT-GO (cultura) — Secult Goiás lança edital para levar produção artística goiana ao Rio de Janeiro</t>
  </si>
  <si>
    <t xml:space="preserve">Site oficial do Governo de Goiás</t>
  </si>
  <si>
    <t xml:space="preserve">op-55a27939c5ed</t>
  </si>
  <si>
    <t xml:space="preserve">Municipio de peruibe — credenciamento de instituições privadas, com ou sem fins lucrativos, instituições de lo… — São Paulo</t>
  </si>
  <si>
    <t xml:space="preserve">MUNICIPIO DE PERUIBE — CREDENCIAMENTO DE INSTITUIÇÕES PRIVADAS, COM OU SEM FINS LUCRATIVOS, INSTITUIÇÕES DE LONGA PERMANÊNCIA PARA IDOSOS, INTERESSADAS EM PREST</t>
  </si>
  <si>
    <t xml:space="preserve">PNCP — MUNICIPIO DE PERUIBE</t>
  </si>
  <si>
    <t xml:space="preserve">https://pncp.gov.br/app/editais/46578514000120/2024/269</t>
  </si>
  <si>
    <t xml:space="preserve">op-6ddb00f60a06</t>
  </si>
  <si>
    <t xml:space="preserve">Edital Impactarte — Brasil</t>
  </si>
  <si>
    <t xml:space="preserve">Edital Impactarte</t>
  </si>
  <si>
    <t xml:space="preserve">GIFE — seleção de editais (via Capta)</t>
  </si>
  <si>
    <t xml:space="preserve">https://www.impactarte.org.br/</t>
  </si>
  <si>
    <t xml:space="preserve">op-3294f50ae1e4</t>
  </si>
  <si>
    <t xml:space="preserve">Ler Mais Sobre24/09/2025 – Inscrições abertas para apresentação de projetos ao amparo dos programas sociais Pr… — Brasil</t>
  </si>
  <si>
    <t xml:space="preserve">Ler Mais Sobre24/09/2025 – Inscrições abertas para apresentação de projetos ao amparo dos programas sociais Pronon, Pronas-PCD e Lei de Incentivo à Reciclagem  </t>
  </si>
  <si>
    <t xml:space="preserve">https://www.bnb.gov.br/web/guest/sustentabilidade/investimentos-sociais-e-esportivos/-/asset_publisher/aj3dlMDNEtsq/content/24-09-2025-inscri%25C3%25A7%25C3%25B5es-abertas-para-apresenta%25C3%25A7%25C3%25A3o-de-projetos-ao-amparo-dos-programas-sociais-pronon-pronas-pcd-e-lei-de-incentivo-%25C3%25A0-reciclagem/45887?_com_liferay_asset_publisher_web_portlet_AssetPublisherPortlet_INSTANCE_aj3dlMDNEts</t>
  </si>
  <si>
    <t xml:space="preserve">op-0f9f5255e09b</t>
  </si>
  <si>
    <t xml:space="preserve">Prefeitura de Goiatuba — Aviso de Chamamento Público nº 4/2026 — do Edital é a seleção de projetos culturais p… — Goiás / Goiatuba</t>
  </si>
  <si>
    <t xml:space="preserve">Prefeitura de Goiatuba — Aviso de Chamamento Público nº 4/2026 — do Edital é a seleção de projetos culturais para recebimento de apoio financeiro, com o objetiv</t>
  </si>
  <si>
    <t xml:space="preserve">https://www.in.gov.br/web/dou/-/aviso-de-chamamento-publico-n-4/2026-734365925</t>
  </si>
  <si>
    <t xml:space="preserve">Prazo de inscrição, Resultado, Prazo de recurso, Valor, Requisitos, Anexos, Destinação</t>
  </si>
  <si>
    <t xml:space="preserve">informado (motor dou, 2026-10-03)</t>
  </si>
  <si>
    <t xml:space="preserve">seleção de projetos culturais para recebimento de apoio financeiro</t>
  </si>
  <si>
    <t xml:space="preserve">op-07dfbfa866be</t>
  </si>
  <si>
    <t xml:space="preserve">TRIBUNAL SUPERIOR DO TRABALHO — Credenciamento de Cooperativas ou Associações de catadores de materiais recicl… — Brasil</t>
  </si>
  <si>
    <t xml:space="preserve">TRIBUNAL SUPERIOR DO TRABALHO — Credenciamento de Cooperativas ou Associações de catadores de materiais recicláveis para a realização dos serviços de eliminação</t>
  </si>
  <si>
    <t xml:space="preserve">PNCP — TRIBUNAL SUPERIOR DO TRABALHO</t>
  </si>
  <si>
    <t xml:space="preserve">https://pncp.gov.br/app/editais/00509968000148/2025/585</t>
  </si>
  <si>
    <t xml:space="preserve">op-44776fb90077</t>
  </si>
  <si>
    <t xml:space="preserve">CAIXA ECONOMICA FEDERAL — CHAMAMENTO PÚBLICO para seleção de Entidades sem Fins Lucrativos ¿ ESFL, inscritas n… — Distrito Federal</t>
  </si>
  <si>
    <t xml:space="preserve">CAIXA ECONOMICA FEDERAL — CHAMAMENTO PÚBLICO para seleção de Entidades sem Fins Lucrativos ¿ ESFL, inscritas no Cadastro Nacional da Aprendizagem, que tenham po</t>
  </si>
  <si>
    <t xml:space="preserve">PNCP — CAIXA ECONOMICA FEDERAL</t>
  </si>
  <si>
    <t xml:space="preserve">https://pncp.gov.br/app/editais/00360305000104/2026/701</t>
  </si>
  <si>
    <t xml:space="preserve">op-382d928cfe56</t>
  </si>
  <si>
    <t xml:space="preserve">Prefeitura de Diorama — Edital nº 5/2026 — Goiás / Diorama</t>
  </si>
  <si>
    <t xml:space="preserve">Prefeitura de Diorama — Edital nº 5/2026</t>
  </si>
  <si>
    <t xml:space="preserve">Diorama</t>
  </si>
  <si>
    <t xml:space="preserve">https://diariooficial.abc.go.gov.br/portal/visualizacoes/pdf/7388/#e:7388</t>
  </si>
  <si>
    <t xml:space="preserve">op-eabad499b36d</t>
  </si>
  <si>
    <t xml:space="preserve">SANTA CATARINA TRIBUNAL DE JUSTICA — Credenciamento de órgãos e entidades da Administração Pública direta, aut… — Santa Catarina</t>
  </si>
  <si>
    <t xml:space="preserve">SANTA CATARINA TRIBUNAL DE JUSTICA — Credenciamento de órgãos e entidades da Administração Pública direta, autárquica ou fundacional, das esferas federal, estad</t>
  </si>
  <si>
    <t xml:space="preserve">PNCP — SANTA CATARINA TRIBUNAL DE JUSTICA</t>
  </si>
  <si>
    <t xml:space="preserve">https://pncp.gov.br/app/editais/83845701000159/2022/48</t>
  </si>
  <si>
    <t xml:space="preserve">op-17b7d6f408f6</t>
  </si>
  <si>
    <t xml:space="preserve">FUNDO MUNICIPAL DE SAUDE — Credenciamento para contratação de instituições privadas com ou sem fins lucrativos… — Santa Catarina</t>
  </si>
  <si>
    <t xml:space="preserve">FUNDO MUNICIPAL DE SAUDE — Credenciamento para contratação de instituições privadas com ou sem fins lucrativos de assistência à saúde, interessadas em prestar s</t>
  </si>
  <si>
    <t xml:space="preserve">https://pncp.gov.br/app/editais/10491693000116/2025/18</t>
  </si>
  <si>
    <t xml:space="preserve">op-51cc934a04b4</t>
  </si>
  <si>
    <t xml:space="preserve">Iniciativa Viva Pequena África — Edital Rede Memória Viva — Brasil</t>
  </si>
  <si>
    <t xml:space="preserve">Iniciativa Viva Pequena África — Edital Rede Memória Viva</t>
  </si>
  <si>
    <t xml:space="preserve">GIFE — seleção de editais (via GIFE)</t>
  </si>
  <si>
    <t xml:space="preserve">op-6f7f6691bb94</t>
  </si>
  <si>
    <t xml:space="preserve">MUNICIPIO DE ROLANTE — Credenciamento de instituições para acolhimento de crianças, adolescentes, idosos, pess… — Rio Grande do Sul</t>
  </si>
  <si>
    <t xml:space="preserve">MUNICIPIO DE ROLANTE — Credenciamento de instituições para acolhimento de crianças, adolescentes, idosos, pessoas com deficiência em situação de vulnerabilidade</t>
  </si>
  <si>
    <t xml:space="preserve">PNCP — MUNICIPIO DE ROLANTE</t>
  </si>
  <si>
    <t xml:space="preserve">['Crianças e adolescentes', 'Pessoas idosas', 'Pessoas com deficiência']</t>
  </si>
  <si>
    <t xml:space="preserve">https://pncp.gov.br/app/editais/90936956000192/2025/217</t>
  </si>
  <si>
    <t xml:space="preserve">op-a587b134a05a</t>
  </si>
  <si>
    <t xml:space="preserve">MUNICIPIO DE ROLANTE — [Portal de Compras Públicas] - Credenciamento de instituições para acolhimento de crian… — Rio Grande do Sul</t>
  </si>
  <si>
    <t xml:space="preserve">MUNICIPIO DE ROLANTE — [Portal de Compras Públicas] - Credenciamento de instituições para acolhimento de crianças, adolescentes, idosos, pessoas com deficiência</t>
  </si>
  <si>
    <t xml:space="preserve">https://pncp.gov.br/app/editais/90936956000192/2025/219</t>
  </si>
  <si>
    <t xml:space="preserve">op-6d2f6efff311</t>
  </si>
  <si>
    <t xml:space="preserve">Credenciamento de órgãos e entidades da Administração Pública direta, autárquica ou fundacional, das esferas f… — Santa Catarina</t>
  </si>
  <si>
    <t xml:space="preserve">Credenciamento de órgãos e entidades da Administração Pública direta, autárquica ou fundacional, das esferas federal, estadual e municipal, de instituições fila</t>
  </si>
  <si>
    <t xml:space="preserve">op-2f6c900e647b</t>
  </si>
  <si>
    <t xml:space="preserve">Chamada FAPEMIG 014/2026 – Cientista Empreendedor — Brasil</t>
  </si>
  <si>
    <t xml:space="preserve">Chamada FAPEMIG 014/2026 – Cientista Empreendedor</t>
  </si>
  <si>
    <t xml:space="preserve">https://fapemig.br/oportunidades/chamadas-e-editais/chamada-fapemig-0xx-202x-cientista-empreendedor</t>
  </si>
  <si>
    <t xml:space="preserve">op-334a79cb54db</t>
  </si>
  <si>
    <t xml:space="preserve">Chamada Pública CNPq/ERC Nº 21/2026 — Brasil</t>
  </si>
  <si>
    <t xml:space="preserve">Chamada Pública CNPq/ERC Nº 21/2026</t>
  </si>
  <si>
    <t xml:space="preserve">https://www.gov.br/cnpq/pt-br/chamadas/todas-as-chamadas/chamadas-2026/chamada-no-21-2026/chamada-publica-cnpq-N-21-2026</t>
  </si>
  <si>
    <t xml:space="preserve">op-29c34bcf25c7</t>
  </si>
  <si>
    <t xml:space="preserve">Chamada Pública PSA para Conservação da Vegetação Nativa em Territórios Coletivos — Brasil</t>
  </si>
  <si>
    <t xml:space="preserve">Chamada Pública PSA para Conservação da Vegetação Nativa em Territórios Coletivos</t>
  </si>
  <si>
    <t xml:space="preserve">Floresta+ Amazônia</t>
  </si>
  <si>
    <t xml:space="preserve">https://florestamaisamazonia.mma.gov.br/login</t>
  </si>
  <si>
    <t xml:space="preserve">op-e6aab1d5ac21</t>
  </si>
  <si>
    <t xml:space="preserve">Chamadas Mulheres que Transformam o Futuro – Apoio a Soluções Comunitárias para a Resiliência Climática e a Ju… — Brasil</t>
  </si>
  <si>
    <t xml:space="preserve">Chamadas Mulheres que Transformam o Futuro – Apoio a Soluções Comunitárias para a Resiliência Climática e a Justiça Socioambiental</t>
  </si>
  <si>
    <t xml:space="preserve">https://casa.org.br/chamadas/mulheres-que-transformam-o-futuro-apoio-a-solucoes-comunitarias-para-a-resiliencia-climatica-e-a-justica-socioambiental</t>
  </si>
  <si>
    <t xml:space="preserve">{'observacao': "VERIFICADO no arquivo de chamadas do Fundo Casa Socioambiental (API do site, 41 chamadas de 2023–2026, 03/10/2026): sem edição anterior com o mesmo nome; 'Mulheres Liderando a Ação Climática 2023' é linha vizinha, não contada como a mesma série."}</t>
  </si>
  <si>
    <t xml:space="preserve">op-f3db7d7012ca</t>
  </si>
  <si>
    <t xml:space="preserve">Chamadas de Propostas — Internacional</t>
  </si>
  <si>
    <t xml:space="preserve">Chamadas de Propostas</t>
  </si>
  <si>
    <t xml:space="preserve">https://www.dfg.de/en/research_funding/programmes/individual/research_grants/</t>
  </si>
  <si>
    <t xml:space="preserve">informado (motor agregadores · auto-fapesp-br, 2026-10-03)</t>
  </si>
  <si>
    <t xml:space="preserve">op-2c99ebbbc277</t>
  </si>
  <si>
    <t xml:space="preserve">Chamamento Público nº 34/2026 - Secretaria de Gestão do Trabalho e da Educação na Saúde (SGTES) — Brasil</t>
  </si>
  <si>
    <t xml:space="preserve">Chamamento Público nº 34/2026 - Secretaria de Gestão do Trabalho e da Educação na Saúde (SGTES)</t>
  </si>
  <si>
    <t xml:space="preserve">Ministério da Saúde</t>
  </si>
  <si>
    <t xml:space="preserve">https://www.gov.br/saude/pt-br/acesso-a-informacao/participacao-social/chamamentos-publicos/2026/chamamento-publico-no-34-2026-sgtes</t>
  </si>
  <si>
    <t xml:space="preserve">op-cc8ecc0a4916</t>
  </si>
  <si>
    <t xml:space="preserve">Edital de eleição do CNPC — Brasil</t>
  </si>
  <si>
    <t xml:space="preserve">Edital de eleição do CNPC</t>
  </si>
  <si>
    <t xml:space="preserve">https://www.gov.br/cultura/pt-br/assuntos/editais/inscricoes-abertas/edital-de-eleicao-do-cnpc/edital-de-eleicao-do-cnpc</t>
  </si>
  <si>
    <t xml:space="preserve">op-d0559e391320</t>
  </si>
  <si>
    <t xml:space="preserve">FAPESP anuncia 32 novos CCDs — Brasil</t>
  </si>
  <si>
    <t xml:space="preserve">FAPESP anuncia 32 novos CCDs</t>
  </si>
  <si>
    <t xml:space="preserve">https://www.rededecontrole.gov.br/verifique-adesao-pnpc/</t>
  </si>
  <si>
    <t xml:space="preserve">op-c44cf59a0ae9</t>
  </si>
  <si>
    <t xml:space="preserve">ITAJAÍ EM TRAÇOS: concurso cultural livre — Brasil</t>
  </si>
  <si>
    <t xml:space="preserve">ITAJAÍ EM TRAÇOS: concurso cultural livre</t>
  </si>
  <si>
    <t xml:space="preserve">https://rededasartes.cultura.gov.br/oportunidade/12300/</t>
  </si>
  <si>
    <t xml:space="preserve">op-d9a45236789f</t>
  </si>
  <si>
    <t xml:space="preserve">Iniciativa Amazônia+10 – Chamada do Programa Desafios da Amazônia — Brasil</t>
  </si>
  <si>
    <t xml:space="preserve">Iniciativa Amazônia+10 – Chamada do Programa Desafios da Amazônia</t>
  </si>
  <si>
    <t xml:space="preserve">https://www.amazoniamaisdez.org.br/chamadas-abertas</t>
  </si>
  <si>
    <t xml:space="preserve">op-4d4cfc242a2f</t>
  </si>
  <si>
    <t xml:space="preserve">Linhas de Fomento | FAPEMIG — Brasil</t>
  </si>
  <si>
    <t xml:space="preserve">Linhas de Fomento | FAPEMIG</t>
  </si>
  <si>
    <t xml:space="preserve">https://sites.tcu.gov.br/verifique-adesao-pnpc</t>
  </si>
  <si>
    <t xml:space="preserve">op-bf6fce065460</t>
  </si>
  <si>
    <t xml:space="preserve">Movimento Bem Maior abre edital com apoio de até R$ 100 mil para organizações sociais — Brasil</t>
  </si>
  <si>
    <t xml:space="preserve">Movimento Bem Maior abre edital com apoio de até R$ 100 mil para organizações sociais</t>
  </si>
  <si>
    <t xml:space="preserve">https://www.gov.br/mds/pt-br/assuntos/assistencia-social</t>
  </si>
  <si>
    <t xml:space="preserve">op-706c4a51c70d</t>
  </si>
  <si>
    <t xml:space="preserve">Saberes populares na universidade: MEC e MinC lançam edital Ciclos de Saberes para instituições federais — Brasil</t>
  </si>
  <si>
    <t xml:space="preserve">Saberes populares na universidade: MEC e MinC lançam edital Ciclos de Saberes para instituições federais</t>
  </si>
  <si>
    <t xml:space="preserve">Plataforma 9</t>
  </si>
  <si>
    <t xml:space="preserve">https://plataforma9.com/financiamento/brasil-mec-minc-edital-ciclos-de-saberes-mestras-mestres-culturas-tradicionais-populares.htm</t>
  </si>
  <si>
    <t xml:space="preserve">op-d554bdccb4e2</t>
  </si>
  <si>
    <t xml:space="preserve">Mma (meio ambiente) — aviso do chamamento público nº 3/2026 — Brasil</t>
  </si>
  <si>
    <t xml:space="preserve">MMA (meio ambiente) — AVISO DO CHAMAMENTO PÚBLICO Nº 3/2026</t>
  </si>
  <si>
    <t xml:space="preserve">MMA (meio ambiente)</t>
  </si>
  <si>
    <t xml:space="preserve">https://www.in.gov.br/web/dou/-/aviso-do-chamamento-publico-n-3/2026-733656174</t>
  </si>
  <si>
    <t xml:space="preserve">op-621c69c8ebe2</t>
  </si>
  <si>
    <t xml:space="preserve">MUNICIPIO DE GRAVATAI — Credenciamento de instituições especializadas em longa permanência e reabilitação — Brasil</t>
  </si>
  <si>
    <t xml:space="preserve">MUNICIPIO DE GRAVATAI — Credenciamento de instituições especializadas em longa permanência e reabilitação</t>
  </si>
  <si>
    <t xml:space="preserve">https://pncp.gov.br/app/editais/87890992000158/2026/1037</t>
  </si>
  <si>
    <t xml:space="preserve">op-d78ff331ad74</t>
  </si>
  <si>
    <t xml:space="preserve">MUNICIPIO DE SAO LOURENCO DO SUL — [Portal de Compras Públicas] - Chamamento Público nº 06/2026 – Seleção de O… — Brasil</t>
  </si>
  <si>
    <t xml:space="preserve">MUNICIPIO DE SAO LOURENCO DO SUL — [Portal de Compras Públicas] - Chamamento Público nº 06/2026 – Seleção de Organização Social para a prestação de serviços téc</t>
  </si>
  <si>
    <t xml:space="preserve">MUNICIPIO DE SAO LOURENCO DO SUL</t>
  </si>
  <si>
    <t xml:space="preserve">https://pncp.gov.br/app/editais/87893111000152/2026/418</t>
  </si>
  <si>
    <t xml:space="preserve">2026-11-16</t>
  </si>
  <si>
    <t xml:space="preserve">{'inicio': None, 'fim': '2026-11-16'}</t>
  </si>
  <si>
    <t xml:space="preserve">op-70612ee0d4eb</t>
  </si>
  <si>
    <t xml:space="preserve">MUNICIPIO DE SAO LOURENCO DO SUL — [Portal de Compras Públicas] - Seleção de Organização Social para a prestaç… — Brasil</t>
  </si>
  <si>
    <t xml:space="preserve">MUNICIPIO DE SAO LOURENCO DO SUL — [Portal de Compras Públicas] - Seleção de Organização Social para a prestação de serviços técnicos especializados de gestão e</t>
  </si>
  <si>
    <t xml:space="preserve">https://pncp.gov.br/app/editais/87893111000152/2026/419</t>
  </si>
  <si>
    <t xml:space="preserve">op-1a5adff67cdd</t>
  </si>
  <si>
    <t xml:space="preserve">MUNICIPIO DE IMIGRANTE — [Portal de Compras Públicas] - Chamamento Público visando o Credenciamento de Institu… — Brasil</t>
  </si>
  <si>
    <t xml:space="preserve">MUNICIPIO DE IMIGRANTE — [Portal de Compras Públicas] - Chamamento Público visando o Credenciamento de Instituições de Longa Permanência para Idosos (ILPI`s), o</t>
  </si>
  <si>
    <t xml:space="preserve">MUNICIPIO DE IMIGRANTE</t>
  </si>
  <si>
    <t xml:space="preserve">https://pncp.gov.br/app/editais/92454776000108/2026/105</t>
  </si>
  <si>
    <t xml:space="preserve">2027-08-13</t>
  </si>
  <si>
    <t xml:space="preserve">{'inicio': None, 'fim': '2027-08-13'}</t>
  </si>
  <si>
    <t xml:space="preserve">op-9905d837af28</t>
  </si>
  <si>
    <t xml:space="preserve">MUNICIPIO DE CANOAS — O Município de Canoas, por intermédio da Secretaria Municipal de Licitações e Contratos,… — Brasil</t>
  </si>
  <si>
    <t xml:space="preserve">MUNICIPIO DE CANOAS — O Município de Canoas, por intermédio da Secretaria Municipal de Licitações e Contratos, torna público o credenciamento de Instituições de</t>
  </si>
  <si>
    <t xml:space="preserve">https://pncp.gov.br/app/editais/88577416000118/2025/243</t>
  </si>
  <si>
    <t xml:space="preserve">op-c26fb2a2cfde</t>
  </si>
  <si>
    <t xml:space="preserve">Municipio de bento goncalves — abertura de chamamento público para o credenciamento de instituições de longa p… — Brasil</t>
  </si>
  <si>
    <t xml:space="preserve">MUNICIPIO DE BENTO GONCALVES — ABERTURA DE CHAMAMENTO PÚBLICO PARA O CREDENCIAMENTO DE INSTITUIÇÕES DE LONGA PERMANÊNCIA PARA IDOSOS (ILPIs) PARA A PESSOA IDOSA</t>
  </si>
  <si>
    <t xml:space="preserve">MUNICIPIO DE BENTO GONCALVES</t>
  </si>
  <si>
    <t xml:space="preserve">https://pncp.gov.br/app/editais/87849923000109/2026/435</t>
  </si>
  <si>
    <t xml:space="preserve">2031-06-30</t>
  </si>
  <si>
    <t xml:space="preserve">{'inicio': None, 'fim': '2031-06-30'}</t>
  </si>
  <si>
    <t xml:space="preserve">op-f00af07fdeb6</t>
  </si>
  <si>
    <t xml:space="preserve">Municipio de imigrante — instituição de longa permanência para idosos (ilpi) — Brasil</t>
  </si>
  <si>
    <t xml:space="preserve">MUNICIPIO DE IMIGRANTE — INSTITUIÇÃO DE LONGA PERMANÊNCIA PARA IDOSOS (ILPI)</t>
  </si>
  <si>
    <t xml:space="preserve">https://pncp.gov.br/app/editais/92454776000108/2026/104</t>
  </si>
  <si>
    <t xml:space="preserve">2031-08-14</t>
  </si>
  <si>
    <t xml:space="preserve">{'inicio': None, 'fim': '2031-08-14'}</t>
  </si>
  <si>
    <t xml:space="preserve">op-1d7349efe1c8</t>
  </si>
  <si>
    <t xml:space="preserve">MUNICIPIO DE LAGOA BONITA DO SUL — A presente contratação fundamenta-se na necessidade de garantir proteção so… — Brasil</t>
  </si>
  <si>
    <t xml:space="preserve">MUNICIPIO DE LAGOA BONITA DO SUL — A presente contratação fundamenta-se na necessidade de garantir proteção social especial de alta complexidade às pessoas idos</t>
  </si>
  <si>
    <t xml:space="preserve">MUNICIPIO DE LAGOA BONITA DO SUL</t>
  </si>
  <si>
    <t xml:space="preserve">https://pncp.gov.br/app/editais/04215918000109/2026/121</t>
  </si>
  <si>
    <t xml:space="preserve">2036-06-16</t>
  </si>
  <si>
    <t xml:space="preserve">{'inicio': None, 'fim': '2036-06-16'}</t>
  </si>
  <si>
    <t xml:space="preserve">op-242028250138</t>
  </si>
  <si>
    <t xml:space="preserve">MUNICIPIO DE ALVORADA — Chamamento / Credenciamento visando a contratação de vagas para acolhimento institucio… — Brasil</t>
  </si>
  <si>
    <t xml:space="preserve">MUNICIPIO DE ALVORADA — Chamamento / Credenciamento visando a contratação de vagas para acolhimento institucional de longa permanência para idosos com grau de d</t>
  </si>
  <si>
    <t xml:space="preserve">MUNICIPIO DE ALVORADA</t>
  </si>
  <si>
    <t xml:space="preserve">https://pncp.gov.br/app/editais/88000906000157/2026/251</t>
  </si>
  <si>
    <t xml:space="preserve">2036-07-29</t>
  </si>
  <si>
    <t xml:space="preserve">{'inicio': None, 'fim': '2036-07-29'}</t>
  </si>
  <si>
    <t xml:space="preserve">op-2792d13cafb0</t>
  </si>
  <si>
    <t xml:space="preserve">º Edital – Fundo Ecos – Organizações da Amazônia Legal — Brasil</t>
  </si>
  <si>
    <t xml:space="preserve">49º Edital – Fundo Ecos – Organizações da Amazônia Legal</t>
  </si>
  <si>
    <t xml:space="preserve">https://www.gov.br/segov/pt-br/assuntos/organizacoes-da-sociedade-civil</t>
  </si>
  <si>
    <t xml:space="preserve">op-e30176b7bf9f</t>
  </si>
  <si>
    <t xml:space="preserve">Chamada FAPEMIG 007/2026 – Organização de Eventos de Caráter Técnico-Científico — Brasil</t>
  </si>
  <si>
    <t xml:space="preserve">Chamada FAPEMIG 007/2026 – Organização de Eventos de Caráter Técnico-Científico</t>
  </si>
  <si>
    <t xml:space="preserve">https://fapemig.br/oportunidades/chamadas-e-editais/chamada-fapemig-007-2026-organizacao-de-eventos-de-carater-tecnico-cientifico-oet-2a-entrada</t>
  </si>
  <si>
    <t xml:space="preserve">op-7866dc68e4aa</t>
  </si>
  <si>
    <t xml:space="preserve">Chamada Pública CNPq/MMULHERES Nº 19/2026 - Programa Asas para o Futuro — Brasil</t>
  </si>
  <si>
    <t xml:space="preserve">Chamada Pública CNPq/MMULHERES Nº 19/2026 - Programa Asas para o Futuro</t>
  </si>
  <si>
    <t xml:space="preserve">https://www.gov.br/cnpq/pt-br/chamadas/todas-as-chamadas/chamadas-2026/chamada-no-19-2026/chamada-publica-cnpq-N-19-2026</t>
  </si>
  <si>
    <t xml:space="preserve">op-01267be92751</t>
  </si>
  <si>
    <t xml:space="preserve">Edital de seleção MICSUL 2026 — Brasil</t>
  </si>
  <si>
    <t xml:space="preserve">Edital de seleção MICSUL 2026</t>
  </si>
  <si>
    <t xml:space="preserve">https://www.gov.br/cultura/pt-br/assuntos/editais/inscricoes-abertas/edital-de-selecao-micsul-2026/edital-de-selecao-micsul-2026</t>
  </si>
  <si>
    <t xml:space="preserve">op-0b909fc89a30</t>
  </si>
  <si>
    <t xml:space="preserve">Goiânia — Diário Oficial de Goiânia — edição 8870 (2026-09-24) — chamamento público — Goiás / Goiânia</t>
  </si>
  <si>
    <t xml:space="preserve">Goiânia — Diário Oficial de Goiânia — edição 8870 (2026-09-24) — chamamento público</t>
  </si>
  <si>
    <t xml:space="preserve">Documentação para nomeação no Município de Goiânia</t>
  </si>
  <si>
    <t xml:space="preserve">op-3ed08bce4742</t>
  </si>
  <si>
    <t xml:space="preserve">Goiânia — Diário Oficial de Goiânia — edição 8872 (2026-09-28) — chamamento público — Goiás / Goiânia</t>
  </si>
  <si>
    <t xml:space="preserve">Goiânia — Diário Oficial de Goiânia — edição 8872 (2026-09-28) — chamamento público</t>
  </si>
  <si>
    <t xml:space="preserve">https://www.goiania.go.gov.br/Download/legislacao/diariooficial/2026/do_20260928_000008872.pdf</t>
  </si>
  <si>
    <t xml:space="preserve">declarar de utilidade pública imóveis para implantação de infraestrutura de saneamento</t>
  </si>
  <si>
    <t xml:space="preserve">op-33ca2b464ee0</t>
  </si>
  <si>
    <t xml:space="preserve">Edital FAPERJ Nº 12/2026 — Programa Nacional de Apoio à Geração de Empreendimentos Inovadores — Programa Cente… — Brasil</t>
  </si>
  <si>
    <t xml:space="preserve">Edital FAPERJ Nº 12/2026 — Programa Nacional de Apoio à Geração de Empreendimentos Inovadores — Programa Centelha 3 (RJ)</t>
  </si>
  <si>
    <t xml:space="preserve">FAPERJ</t>
  </si>
  <si>
    <t xml:space="preserve">https://www.faperj.br/rp/downloads/Edital_FAPERJ_N%C2%BA_12_2026_Programa_CENTELHA_3_16_jun_2026.pdf</t>
  </si>
  <si>
    <t xml:space="preserve">op-266d9f6eb4a6</t>
  </si>
  <si>
    <t xml:space="preserve">MUNICIPIO DE ESPIRITO SANTO DO DOURADO — Credenciamento de interessados para prestação de serviços em oficinas… — Brasil</t>
  </si>
  <si>
    <t xml:space="preserve">MUNICIPIO DE ESPIRITO SANTO DO DOURADO — Credenciamento de interessados para prestação de serviços em oficinas relacionadas à arte e cultura para atender às nec</t>
  </si>
  <si>
    <t xml:space="preserve">MUNICIPIO DE ESPIRITO SANTO DO DOURADO</t>
  </si>
  <si>
    <t xml:space="preserve">https://pncp.gov.br/app/editais/18675900000102/2026/60</t>
  </si>
  <si>
    <t xml:space="preserve">2027-04-01</t>
  </si>
  <si>
    <t xml:space="preserve">{'inicio': None, 'fim': '2027-04-01'}</t>
  </si>
  <si>
    <t xml:space="preserve">op-84716f67bd0d</t>
  </si>
  <si>
    <t xml:space="preserve">Municipio de contagem — credenciamento de entidades desportivas para a prestação de serviços de arbitragem esp… — Brasil</t>
  </si>
  <si>
    <t xml:space="preserve">MUNICIPIO DE CONTAGEM — CREDENCIAMENTO DE ENTIDADES DESPORTIVAS PARA A PRESTAÇÃO DE SERVIÇOS DE ARBITRAGEM ESPORTIVA, A SEREM EXECUTADOS POR PROFISSIONAIS DEVID</t>
  </si>
  <si>
    <t xml:space="preserve">MUNICIPIO DE CONTAGEM</t>
  </si>
  <si>
    <t xml:space="preserve">https://pncp.gov.br/app/editais/18715508000131/2026/52</t>
  </si>
  <si>
    <t xml:space="preserve">2027-05-15</t>
  </si>
  <si>
    <t xml:space="preserve">{'inicio': None, 'fim': '2027-05-15'}</t>
  </si>
  <si>
    <t xml:space="preserve">op-c4c903332b94</t>
  </si>
  <si>
    <t xml:space="preserve">Municipio de itamonte — credenciamento de instituições de longa permanência para idosos (ilpi), devidamente li… — Brasil</t>
  </si>
  <si>
    <t xml:space="preserve">MUNICIPIO DE ITAMONTE — CREDENCIAMENTO DE INSTITUIÇÕES DE LONGA PERMANÊNCIA PARA IDOSOS (ILPI), DEVIDAMENTE LICENCIADAS E HABILITADAS PELOS ÓRGÃOS COMPETENTES, </t>
  </si>
  <si>
    <t xml:space="preserve">https://pncp.gov.br/app/editais/18666750000162/2026/81</t>
  </si>
  <si>
    <t xml:space="preserve">2027-07-27</t>
  </si>
  <si>
    <t xml:space="preserve">{'inicio': None, 'fim': '2027-07-27'}</t>
  </si>
  <si>
    <t xml:space="preserve">op-2b6ee1c0620f</t>
  </si>
  <si>
    <t xml:space="preserve">MUNICIPIO DE SAO SEBASTIAO DO PARAISO — Constitui objeto do presente chamamento público o credenciamento de pe… — Brasil</t>
  </si>
  <si>
    <t xml:space="preserve">MUNICIPIO DE SAO SEBASTIAO DO PARAISO — Constitui objeto do presente chamamento público o credenciamento de pessoa jurídica para a prestação de serviço de acolh</t>
  </si>
  <si>
    <t xml:space="preserve">MUNICIPIO DE SAO SEBASTIAO DO PARAISO</t>
  </si>
  <si>
    <t xml:space="preserve">https://pncp.gov.br/app/editais/18241349000180/2026/146</t>
  </si>
  <si>
    <t xml:space="preserve">2028-12-31</t>
  </si>
  <si>
    <t xml:space="preserve">{'inicio': None, 'fim': '2028-12-31'}</t>
  </si>
  <si>
    <t xml:space="preserve">nova-3a316c6cb693</t>
  </si>
  <si>
    <t xml:space="preserve">Credenciamento de pessoas físicas ou jurídicas, visando a seleção de artistas locais interessados, para… — mun… — Bahia</t>
  </si>
  <si>
    <t xml:space="preserve">CREDENCIAMENTO DE PESSOAS FÍSICAS OU JURÍDICAS, VISANDO A SELEÇÃO DE ARTISTAS LOCAIS INTERESSADOS, PARA… — MUNICIPIO DE ITAJUIPE</t>
  </si>
  <si>
    <t xml:space="preserve">MUNICIPIO DE ITAJUIPE</t>
  </si>
  <si>
    <t xml:space="preserve">https://pncp.gov.br/app/editais/14147946000190/2026/6</t>
  </si>
  <si>
    <t xml:space="preserve">https://pncp.gov.br/app/editais/14147946000190/2025/106</t>
  </si>
  <si>
    <t xml:space="preserve">{'inicio': '2026-01-07', 'fim': '2026-12-31'}</t>
  </si>
  <si>
    <t xml:space="preserve">nova-d1e0e2b305c4</t>
  </si>
  <si>
    <t xml:space="preserve">Credenciamento de Pessoas Físicas e/ou Jurídicas para prestação dos serviços artístico-musicais locais e ou… —… — Bahia</t>
  </si>
  <si>
    <t xml:space="preserve">Credenciamento de Pessoas Físicas e/ou Jurídicas para prestação dos serviços artístico-musicais locais e ou… — MUNICIPIO DE LAFAIETE COUTINHO</t>
  </si>
  <si>
    <t xml:space="preserve">MUNICIPIO DE LAFAIETE COUTINHO</t>
  </si>
  <si>
    <t xml:space="preserve">https://pncp.gov.br/app/editais/14205959000178/2026/26</t>
  </si>
  <si>
    <t xml:space="preserve">2025-06-10</t>
  </si>
  <si>
    <t xml:space="preserve">2025-12-26</t>
  </si>
  <si>
    <t xml:space="preserve">https://pncp.gov.br/app/editais/14205959000178/2025/54</t>
  </si>
  <si>
    <t xml:space="preserve">{'inicio': '2026-03-05', 'fim': '2026-11-30'}</t>
  </si>
  <si>
    <t xml:space="preserve">nova-6ff090a0dd03</t>
  </si>
  <si>
    <t xml:space="preserve">Credenciamento de pessoas físicas e jurídicas locais para apresentações artísticas — Credenciamento nº 001/202… — Bahia / Maracás</t>
  </si>
  <si>
    <t xml:space="preserve">Credenciamento de pessoas físicas e jurídicas locais para apresentações artísticas — Credenciamento nº 001/2026 — Município de Maracás/BA</t>
  </si>
  <si>
    <t xml:space="preserve">Município de Maracás/BA</t>
  </si>
  <si>
    <t xml:space="preserve">Maracás</t>
  </si>
  <si>
    <t xml:space="preserve">https://pncp.gov.br/app/editais/13910203000167/2026/42</t>
  </si>
  <si>
    <t xml:space="preserve">2025-05-21</t>
  </si>
  <si>
    <t xml:space="preserve">https://pncp.gov.br/app/editais/13910203000167/2025/111</t>
  </si>
  <si>
    <t xml:space="preserve">{'inicio': '2026-04-08', 'fim': '2026-12-21'}</t>
  </si>
  <si>
    <t xml:space="preserve">nova-c9e34f7f92c8</t>
  </si>
  <si>
    <t xml:space="preserve">Seleção, por credenciamento, de artistas, bandas e grupos locais amadores para os festejos municipais — Edital… — Bahia / Cura Seleção</t>
  </si>
  <si>
    <t xml:space="preserve">Seleção, por credenciamento, de artistas, bandas e grupos locais amadores para os festejos municipais — Edital de Credenciamento nº 003/2026 — Município de Cura</t>
  </si>
  <si>
    <t xml:space="preserve">Município de Curaçá/BA</t>
  </si>
  <si>
    <t xml:space="preserve">Cura Seleção</t>
  </si>
  <si>
    <t xml:space="preserve">https://pncp.gov.br/app/editais/13915640000173/2027/1</t>
  </si>
  <si>
    <t xml:space="preserve">2025-06-13</t>
  </si>
  <si>
    <t xml:space="preserve">https://pncp.gov.br/app/editais/13915640000173/2025/120</t>
  </si>
  <si>
    <t xml:space="preserve">{'inicio': '2026-04-16', 'fim': '2027-04-16'}</t>
  </si>
  <si>
    <t xml:space="preserve">nova-7d118563d088</t>
  </si>
  <si>
    <t xml:space="preserve">Credenciamento de artistas locais e regionais (PF e PJ) para apresentações musicais ao vivo — Edital de Creden… — Bahia / Lajedinho</t>
  </si>
  <si>
    <t xml:space="preserve">Credenciamento de artistas locais e regionais (PF e PJ) para apresentações musicais ao vivo — Edital de Credenciamento nº 008/2026 — Município de Lajedinho/BA</t>
  </si>
  <si>
    <t xml:space="preserve">Município de Lajedinho/BA</t>
  </si>
  <si>
    <t xml:space="preserve">Lajedinho</t>
  </si>
  <si>
    <t xml:space="preserve">https://pncp.gov.br/app/editais/13810544000160/2026/88</t>
  </si>
  <si>
    <t xml:space="preserve">2026-06-20</t>
  </si>
  <si>
    <t xml:space="preserve">https://pncp.gov.br/app/editais/13810544000160/2025/99</t>
  </si>
  <si>
    <t xml:space="preserve">{'inicio': '2026-07-09', 'fim': '2027-07-09'}</t>
  </si>
  <si>
    <t xml:space="preserve">op-d8b7d3d1bd80</t>
  </si>
  <si>
    <t xml:space="preserve">Chamamento Público nº 13/2026 - Edital SGTES 01/2026 - Programa Nacional de Vivências no Sistema Único de Saúd… — Brasil</t>
  </si>
  <si>
    <t xml:space="preserve">Chamamento Público nº 13/2026 - Edital SGTES 01/2026 - Programa Nacional de Vivências no Sistema Único de Saúde (Vivências no SUS)</t>
  </si>
  <si>
    <t xml:space="preserve">Ministério da Saúde - Secretaria de Gestão do Trabalho e da Educação na Saúde (SGTES)</t>
  </si>
  <si>
    <t xml:space="preserve">https://www.gov.br/saude/pt-br/acesso-a-informacao/participacao-social/chamamentos-publicos/2026/chamamento-publico-no-13-2026-sgtes</t>
  </si>
  <si>
    <t xml:space="preserve">op-5e092bf7f49c</t>
  </si>
  <si>
    <t xml:space="preserve">Programa Funarte Aberta 2026 - Centro Técnico de Artes — Brasil</t>
  </si>
  <si>
    <t xml:space="preserve">Programa Funarte Aberta 2026 - Centro Técnico de Artes</t>
  </si>
  <si>
    <t xml:space="preserve">Fundação Nacional de Artes</t>
  </si>
  <si>
    <t xml:space="preserve">https://www.gov.br/funarte/pt-br</t>
  </si>
  <si>
    <t xml:space="preserve">op-0b59068f81b6</t>
  </si>
  <si>
    <t xml:space="preserve">Portaria FAPEMIG PRE nº 010/2023 — Credenciamento ao Programa de Capacitação de Recursos Humanos (PCRH) — Brasil</t>
  </si>
  <si>
    <t xml:space="preserve">Portaria FAPEMIG PRE nº 010/2023 — Credenciamento ao Programa de Capacitação de Recursos Humanos (PCRH)</t>
  </si>
  <si>
    <t xml:space="preserve">Fundação de Amparo à Pesquisa do Estado de Minas Gerais (FAPEMIG)</t>
  </si>
  <si>
    <t xml:space="preserve">https://fapemig.br/oportunidades/chamadas-e-editais/portaria-fapemig-pre-no-010-2023-credenciamento-ao-programa-de-capacitacao-de-recursos-humanos-pcrh-10671</t>
  </si>
  <si>
    <t xml:space="preserve">op-fbacb4dc6735</t>
  </si>
  <si>
    <t xml:space="preserve">Edital 002/2023 Áreas - Inciso I - Goiânia-GO — Goiás / Goiânia — Goiás / Goiânia</t>
  </si>
  <si>
    <t xml:space="preserve">op-670076e6100f</t>
  </si>
  <si>
    <t xml:space="preserve">Chamamento público tem por objeto o credenciamento de Organizações da Sociedade Civil para execução descentral… — Distrito Federal</t>
  </si>
  <si>
    <t xml:space="preserve">Chamamento público tem por objeto o credenciamento de Organizações da Sociedade Civil para execução descentralizada de projetos voltados ao serviço de educação </t>
  </si>
  <si>
    <t xml:space="preserve">https://pncp.gov.br/app/editais/18299670000116/2025/58</t>
  </si>
  <si>
    <t xml:space="preserve">op-f6c04b6e4409</t>
  </si>
  <si>
    <t xml:space="preserve">Chamamento público para qualificação de pessoas jurídicas dedireito privado, sem fins lucrativos, como organiz… — Minas Gerais</t>
  </si>
  <si>
    <t xml:space="preserve">CHAMAMENTO PÚBLICO PARA QUALIFICAÇÃO DE PESSOAS JURÍDICAS DEDIREITO PRIVADO, SEM FINS LUCRATIVOS, COMO ORGANIZAÇÃO SOCIAL DE SAÚDE –OSS, PARA HABILITAÇÃO DE EVE</t>
  </si>
  <si>
    <t xml:space="preserve">PNCP — MUNICIPIO DE PORANGATU</t>
  </si>
  <si>
    <t xml:space="preserve">https://pncp.gov.br/app/editais/01801612000146/2026/115</t>
  </si>
  <si>
    <t xml:space="preserve">https://pncp.gov.br/app/editais/21314353000136/2025/20</t>
  </si>
  <si>
    <t xml:space="preserve">op-a7de4588f64f</t>
  </si>
  <si>
    <t xml:space="preserve">Secretaria de Estado da Cultura (Secult) — Governo de Goiás lança edital para contemplar manifestações da cult… — Goiás</t>
  </si>
  <si>
    <t xml:space="preserve">Secretaria de Estado da Cultura (Secult) — Governo de Goiás lança edital para contemplar manifestações da cultura negra, quilombola e de periferia</t>
  </si>
  <si>
    <t xml:space="preserve">https://goias.gov.br/cultura/governo-de-goias-lanca-edital-para-contemplar-manifestacoes-da-cultura-negra-quilombola-e-de-periferia-2/</t>
  </si>
  <si>
    <t xml:space="preserve">op-346dfcfe4932</t>
  </si>
  <si>
    <t xml:space="preserve">Credenciamento de artistas, grupos artísticos, profissionais da cultura, oficineiros, recreadores… — municipio… — Brasil</t>
  </si>
  <si>
    <t xml:space="preserve">CREDENCIAMENTO DE ARTISTAS, GRUPOS ARTÍSTICOS, PROFISSIONAIS DA CULTURA, OFICINEIROS, RECREADORES… — MUNICIPIO DE BRUSQUE</t>
  </si>
  <si>
    <t xml:space="preserve">op-566d4a7b486f</t>
  </si>
  <si>
    <t xml:space="preserve">Chamamento Público é o credenciamento de artistas, grupos e coletivos culturais para compor a programação dos…… — Brasil</t>
  </si>
  <si>
    <t xml:space="preserve">Chamamento Público é o credenciamento de artistas, grupos e coletivos culturais para compor a programação dos… — MUNICIPIO DE OLINDINA</t>
  </si>
  <si>
    <t xml:space="preserve">op-57df45d9d075</t>
  </si>
  <si>
    <t xml:space="preserve">Credenciamento de propostas artísticas, individuais, e/ou coletivos, e profissionais de seguimentos… — municip… — Brasil</t>
  </si>
  <si>
    <t xml:space="preserve">CREDENCIAMENTO DE PROPOSTAS ARTÍSTICAS, INDIVIDUAIS, E/OU COLETIVOS, E PROFISSIONAIS DE SEGUIMENTOS… — MUNICIPIO DE LAGOA SANTA</t>
  </si>
  <si>
    <t xml:space="preserve">op-3c4617289f52</t>
  </si>
  <si>
    <t xml:space="preserve">Credenciamento de artistas, grupos, coletivos e agentes culturais, nos termos da lei federal nº 14.399/2022… —… — Brasil</t>
  </si>
  <si>
    <t xml:space="preserve">CREDENCIAMENTO DE ARTISTAS, GRUPOS, COLETIVOS E AGENTES CULTURAIS, NOS TERMOS DA LEI FEDERAL Nº 14.399/2022… — MUNICIPIO DE JANDAIRA</t>
  </si>
  <si>
    <t xml:space="preserve">op-c7df20d5420b</t>
  </si>
  <si>
    <t xml:space="preserve">Contratação de artistas, grupos artísticos e agentes culturais para os eventos e demais programações do… — MUN… — Brasil</t>
  </si>
  <si>
    <t xml:space="preserve">Contratação de artistas, grupos artísticos e agentes culturais para os eventos e demais programações do… — MUNICIPIO DE PORTALEGRE</t>
  </si>
  <si>
    <t xml:space="preserve">op-f11667dbf9b8</t>
  </si>
  <si>
    <t xml:space="preserve">Contratação de prestador de serviços para execução de capacitação, qualificação e formação de agentes… — munic… — Brasil</t>
  </si>
  <si>
    <t xml:space="preserve">CONTRATAÇÃO DE PRESTADOR DE SERVIÇOS PARA EXECUÇÃO DE CAPACITAÇÃO, QUALIFICAÇÃO E FORMAÇÃO DE AGENTES… — MUNICIPIO DE BOA HORA</t>
  </si>
  <si>
    <t xml:space="preserve">op-e96398bfe177</t>
  </si>
  <si>
    <t xml:space="preserve">Edital 004/2023 Áreas - Inciso III - Goiânia-GO — Goiás / Goiânia — Goiás / Goiânia</t>
  </si>
  <si>
    <t xml:space="preserve">op-a0dc07f1c050</t>
  </si>
  <si>
    <t xml:space="preserve">Edital nº 10/2023 - economia criativa - lei paulo gustavo — Goiás — Goiás</t>
  </si>
  <si>
    <t xml:space="preserve">apoio financeiro às propostas apresentadas pelo segmento do audiovisual no Estado de Goiás</t>
  </si>
  <si>
    <t xml:space="preserve">cadastro ativo e atualizado na Plataforma Baru, possuir sede e foro no Estado de Goiás há</t>
  </si>
  <si>
    <t xml:space="preserve">op-a370d04977f5</t>
  </si>
  <si>
    <t xml:space="preserve">Login - Área do Inscrito — Brasil</t>
  </si>
  <si>
    <t xml:space="preserve">Login - Área do Inscrito</t>
  </si>
  <si>
    <t xml:space="preserve">https://www.filantropia.ong/inscrito</t>
  </si>
  <si>
    <t xml:space="preserve">op-7607ee2cb626</t>
  </si>
  <si>
    <t xml:space="preserve">Edital nº 10/2023 - economia criativa - lei paulo gustavo — Goiás — Goiás — Goiás</t>
  </si>
  <si>
    <t xml:space="preserve">apoio a empresas do setor audiovisual em feiras de negócios - ventana sur 2025</t>
  </si>
  <si>
    <t xml:space="preserve">secretaria de estado da cultura</t>
  </si>
  <si>
    <t xml:space="preserve">op-fc73906f4853</t>
  </si>
  <si>
    <t xml:space="preserve">Edital nº 11/2023 - economia solidária - lei paulo gustavo — Goiás — Goiás</t>
  </si>
  <si>
    <t xml:space="preserve">Pessoas jurídicas de direito privado, com ou sem fins lucrativos, que apresentem, expressa</t>
  </si>
  <si>
    <t xml:space="preserve">op-3b9784c3b1c9</t>
  </si>
  <si>
    <t xml:space="preserve">Edital nº 12/2023 - cultura lgbtqiapn+ - lei paulo gustavo — Goiás — Goiás</t>
  </si>
  <si>
    <t xml:space="preserve">op-4f92878c7793</t>
  </si>
  <si>
    <t xml:space="preserve">Edital nº 12/2023 - cultura lgbtqiapn+ - lei paulo gustavo — Goiás — Goiás — Goiás</t>
  </si>
  <si>
    <t xml:space="preserve">op-13ef14dcc3dd</t>
  </si>
  <si>
    <t xml:space="preserve">Chamamento publico para captação de ofertas de cotas de patrocínio de empresas (pessoa jurídica) interessadas,… — Santa Catarina</t>
  </si>
  <si>
    <t xml:space="preserve">CHAMAMENTO PUBLICO PARA CAPTAÇÃO DE OFERTAS DE COTAS DE PATROCÍNIO DE EMPRESAS (PESSOA JURÍDICA) INTERESSADAS, PARA CUSTEIO DAS DESPESAS REFERENTES A REALIZAÇÃO</t>
  </si>
  <si>
    <t xml:space="preserve">PNCP — MUNICIPIO DE ITAPIRANGA</t>
  </si>
  <si>
    <t xml:space="preserve">https://pncp.gov.br/app/editais/82821208000136/2024/117</t>
  </si>
  <si>
    <t xml:space="preserve">op-fda44907312e</t>
  </si>
  <si>
    <t xml:space="preserve">CHAMAMENTO PÚBLICO CULTURAL Nº 08/2024 - Edital de fomento à projetos continuados de Pontos de Cultura (PNAB) … — Rio Grande do Sul</t>
  </si>
  <si>
    <t xml:space="preserve">CHAMAMENTO PÚBLICO CULTURAL Nº 08/2024 - Edital de fomento à projetos continuados de Pontos de Cultura (PNAB) Cultura Viva do Tamanho do Brasil, para o desenvol</t>
  </si>
  <si>
    <t xml:space="preserve">PNCP — MUNICIPIO DE NOVO HAMBURGO</t>
  </si>
  <si>
    <t xml:space="preserve">https://pncp.gov.br/app/editais/88254875000160/2024/871</t>
  </si>
  <si>
    <t xml:space="preserve">op-d0c61fe0b8c6</t>
  </si>
  <si>
    <t xml:space="preserve">Chamamento público 06/2025 smc/pnab de fluco ordinário concentrando o recebimento , análise e seleção de propo… — São Paulo</t>
  </si>
  <si>
    <t xml:space="preserve">CHAMAMENTO PÚBLICO 06/2025 SMC/PNAB DE FLUCO ORDINÁRIO CONCENTRANDO O RECEBIMENTO , ANÁLISE E SELEÇÃO DE PROPOSTA EM PERÍODO DETERNINADO COM O OBJETIVO DE DESEN</t>
  </si>
  <si>
    <t xml:space="preserve">PNCP — MUNICIPIO DE SAO JOSE DO RIO PRETO</t>
  </si>
  <si>
    <t xml:space="preserve">https://pncp.gov.br/app/editais/46588950000180/2025/868</t>
  </si>
  <si>
    <t xml:space="preserve">op-9c2804a1d1de</t>
  </si>
  <si>
    <t xml:space="preserve">Credenciamento tem por objeto o Chamamento Público na forma de Credenciamento de Pessoa Jurídica para prestaçã… — Pernambuco</t>
  </si>
  <si>
    <t xml:space="preserve">Credenciamento tem por objeto o Chamamento Público na forma de Credenciamento de Pessoa Jurídica para prestação de Serviços Médicos Especializados para a realiz</t>
  </si>
  <si>
    <t xml:space="preserve">PNCP — MUNICIPIO DE AGUAS BELAS</t>
  </si>
  <si>
    <t xml:space="preserve">https://pncp.gov.br/app/editais/11286341000191/2024/19</t>
  </si>
  <si>
    <t xml:space="preserve">op-d356d1983e88</t>
  </si>
  <si>
    <t xml:space="preserve">Chamamento publico n 001 2024 secon credenciamento de radios para divulgacao de atos institucionais. — São Paulo</t>
  </si>
  <si>
    <t xml:space="preserve">CHAMAMENTO PUBLICO N  001 2024   SECON   CREDENCIAMENTO DE RADIOS PARA DIVULGACAO DE ATOS INSTITUCIONAIS.</t>
  </si>
  <si>
    <t xml:space="preserve">PNCP — MUNICIPIO DE LEME</t>
  </si>
  <si>
    <t xml:space="preserve">https://pncp.gov.br/app/editais/46362661000168/2024/1351</t>
  </si>
  <si>
    <t xml:space="preserve">op-64b68db72643</t>
  </si>
  <si>
    <t xml:space="preserve">Credenciamento de transporte frete e mudanças para os benficiários do suas — Santa Catarina</t>
  </si>
  <si>
    <t xml:space="preserve">CREDENCIAMENTO DE TRANSPORTE FRETE E MUDANÇAS PARA OS BENFICIÁRIOS DO SUAS</t>
  </si>
  <si>
    <t xml:space="preserve">PNCP — MUNICIPIO DE PRESIDENTE GETULIO</t>
  </si>
  <si>
    <t xml:space="preserve">https://pncp.gov.br/app/editais/83102434000120/2024/41</t>
  </si>
  <si>
    <t xml:space="preserve">op-8f89f113c3e8</t>
  </si>
  <si>
    <t xml:space="preserve">Credenciamento via chamamento público para contratação de instituições financeiras especializadas para operaci… — Santa Catarina</t>
  </si>
  <si>
    <t xml:space="preserve">CREDENCIAMENTO VIA CHAMAMENTO PÚBLICO PARA CONTRATAÇÃO DE INSTITUIÇÕES FINANCEIRAS ESPECIALIZADAS PARA OPERACIONALIZAÇÃO DO PROGRAMA DE RETOMADA ECONÔMICA, AÇÃO</t>
  </si>
  <si>
    <t xml:space="preserve">PNCP — MUNICIPIO DE SAO BENTO DO SUL</t>
  </si>
  <si>
    <t xml:space="preserve">https://pncp.gov.br/app/editais/86051398000100/2023/170</t>
  </si>
  <si>
    <t xml:space="preserve">op-81991a04c231</t>
  </si>
  <si>
    <t xml:space="preserve">O presente procedimento tem por objeto subsidiar o Chamamento Público para a seleção de associações e/ou coope… — Rio de Janeiro / Rio de Janeiro</t>
  </si>
  <si>
    <t xml:space="preserve">O presente procedimento tem por objeto subsidiar o Chamamento Público para a seleção de associações e/ou cooperativas para a coleta e destinação de resíduos rec</t>
  </si>
  <si>
    <t xml:space="preserve">https://pncp.gov.br/app/editais/42498600000171/2025/4383</t>
  </si>
  <si>
    <t xml:space="preserve">op-d0940dfd8dd7</t>
  </si>
  <si>
    <t xml:space="preserve">Chamamento público para credenciamento de agentes culturais para elaboração de um arraial cultural conforme pr… — Paraná</t>
  </si>
  <si>
    <t xml:space="preserve">CHAMAMENTO PÚBLICO PARA CREDENCIAMENTO DE AGENTES CULTURAIS PARA ELABORAÇÃO DE UM ARRAIAL CULTURAL CONFORME PREVISTO NO ART. 5° INCISO II DA LEI N° 14.399 DE 08</t>
  </si>
  <si>
    <t xml:space="preserve">PNCP — MUNICIPIO DE FAXINAL</t>
  </si>
  <si>
    <t xml:space="preserve">https://pncp.gov.br/app/editais/75771295000107/2024/56</t>
  </si>
  <si>
    <t xml:space="preserve">op-5f82fb9777c7</t>
  </si>
  <si>
    <t xml:space="preserve">CHAMAMENTO PÚBLICO objetivando a seleção de interessados em patrocinar para realização dos Festejos Farroupilh… — Rio Grande do Sul</t>
  </si>
  <si>
    <t xml:space="preserve">CHAMAMENTO PÚBLICO objetivando a seleção de interessados em patrocinar para realização dos Festejos Farroupilha 2024, com vistas ao desenvolvimento socioeconômi</t>
  </si>
  <si>
    <t xml:space="preserve">PNCP — MUNICIPIO DE LAGOA VERMELHA</t>
  </si>
  <si>
    <t xml:space="preserve">https://pncp.gov.br/app/editais/87613626000151/2024/203</t>
  </si>
  <si>
    <t xml:space="preserve">op-81e255d34268</t>
  </si>
  <si>
    <t xml:space="preserve">Chamamento público objetivando o credenciamento de companhias aéreas e agencias de viagens para a aquisição de… — Santa Catarina</t>
  </si>
  <si>
    <t xml:space="preserve">CHAMAMENTO PÚBLICO OBJETIVANDO O CREDENCIAMENTO DE COMPANHIAS AÉREAS E AGENCIAS DE VIAGENS PARA A AQUISIÇÃO DE PASSAGENS AÉREAS.</t>
  </si>
  <si>
    <t xml:space="preserve">PNCP — MUNICIPIO DE SAO JOSE DO CEDRO</t>
  </si>
  <si>
    <t xml:space="preserve">https://pncp.gov.br/app/editais/83026781000110/2023/42</t>
  </si>
  <si>
    <t xml:space="preserve">op-544a97dd7c26</t>
  </si>
  <si>
    <t xml:space="preserve">[Publicenter] - Chamamento Público para o credenciamento e contratação de pessoas jurídicas, autorizadas a fun… — Minas Gerais</t>
  </si>
  <si>
    <t xml:space="preserve">[Publicenter] - Chamamento Público para o credenciamento e contratação de pessoas jurídicas, autorizadas a funcionar pelo Banco Central do Brasil, prestadoras d</t>
  </si>
  <si>
    <t xml:space="preserve">PNCP — MUNICIPIO DE PATOS DE MINAS</t>
  </si>
  <si>
    <t xml:space="preserve">https://pncp.gov.br/app/editais/18602011000107/2024/252</t>
  </si>
  <si>
    <t xml:space="preserve">op-bfeffd461bdf</t>
  </si>
  <si>
    <t xml:space="preserve">Credenciamento de comunidades terapêuticas, para fins de prestar serviços de acolhimento à pessoas com transto… — Paraná</t>
  </si>
  <si>
    <t xml:space="preserve">CREDENCIAMENTO DE COMUNIDADES TERAPÊUTICAS, PARA FINS DE PRESTAR SERVIÇOS DE ACOLHIMENTO À PESSOAS COM TRANSTORNOS DECORRENTES DE USO, ABUSO OU DEPENDÊNCIA DE S</t>
  </si>
  <si>
    <t xml:space="preserve">PNCP — CONSORCIO INTERMUNICIPAL DE SAUDE</t>
  </si>
  <si>
    <t xml:space="preserve">https://pncp.gov.br/app/editais/00136858000188/2022/7</t>
  </si>
  <si>
    <t xml:space="preserve">op-2099ee9b8419</t>
  </si>
  <si>
    <t xml:space="preserve">Credenciamento de agentes culturais para elaboração de um desfile cívico de 7 de setembro em comemoração à ind… — Paraná</t>
  </si>
  <si>
    <t xml:space="preserve">CREDENCIAMENTO DE AGENTES CULTURAIS PARA ELABORAÇÃO DE UM DESFILE CÍVICO DE 7 DE SETEMBRO EM COMEMORAÇÃO À INDEPENDÊNCIA DO BRASIL - COM O TEMA "A CONTRIBUIÇÃO </t>
  </si>
  <si>
    <t xml:space="preserve">https://pncp.gov.br/app/editais/75771295000107/2024/105</t>
  </si>
  <si>
    <t xml:space="preserve">op-c82acbac9e69</t>
  </si>
  <si>
    <t xml:space="preserve">Credenciamento de Companhias aéreas/Agências de Viagens e Turismo, objetivando o menor preço no dia da cotação… — Santa Catarina</t>
  </si>
  <si>
    <t xml:space="preserve">Credenciamento de Companhias aéreas/Agências de Viagens e Turismo, objetivando o menor preço no dia da cotação, para aquisição de passagens aéreas incluindo cot</t>
  </si>
  <si>
    <t xml:space="preserve">PNCP — CAMARA MUNICIPAL DE VEREADORES DE AGUAS FRIAS</t>
  </si>
  <si>
    <t xml:space="preserve">https://pncp.gov.br/app/editais/23668234000107/2025/4</t>
  </si>
  <si>
    <t xml:space="preserve">op-9a321dabdbd2</t>
  </si>
  <si>
    <t xml:space="preserve">É objeto do PMI inaugurado por este CHAMAMENTO PÚBLICO a apresentação de ESTUDOS visando a proposição de uma s… — Rio Grande do Sul</t>
  </si>
  <si>
    <t xml:space="preserve">É objeto do PMI inaugurado por este CHAMAMENTO PÚBLICO a apresentação de ESTUDOS visando a proposição de uma solução e realização de  projeto para a implantação</t>
  </si>
  <si>
    <t xml:space="preserve">https://pncp.gov.br/app/editais/87613626000151/2023/33</t>
  </si>
  <si>
    <t xml:space="preserve">op-bbb53a565a45</t>
  </si>
  <si>
    <t xml:space="preserve">Chamamento público para pactuação de termo de colaboração entre a secretaria municipal de turismo e desenvolvi… — Piauí</t>
  </si>
  <si>
    <t xml:space="preserve">CHAMAMENTO PÚBLICO PARA PACTUAÇÃO DE TERMO DE COLABORAÇÃO ENTRE A SECRETARIA MUNICIPAL DE TURISMO E DESENVOLVIMENTO ECONÔMICO – SEMTUDEC E  ORGANIZAÇÃO DA SOCIE</t>
  </si>
  <si>
    <t xml:space="preserve">PNCP — MUNICIPIO DE FLORIANO</t>
  </si>
  <si>
    <t xml:space="preserve">PI</t>
  </si>
  <si>
    <t xml:space="preserve">https://pncp.gov.br/app/editais/06554067000154/2024/108</t>
  </si>
  <si>
    <t xml:space="preserve">op-5d9d559bae52</t>
  </si>
  <si>
    <t xml:space="preserve">Chamamento público de pessoas jurídicas, visando o credenciamento para a oferta de cotas de patrocínio para a … — Santa Catarina</t>
  </si>
  <si>
    <t xml:space="preserve">CHAMAMENTO PÚBLICO DE PESSOAS JURÍDICAS, VISANDO O CREDENCIAMENTO PARA A OFERTA DE COTAS DE PATROCÍNIO PARA A REALIZAÇÃO DA "31ª FESTA NACIONAL DA CACHAÇA E 29ª</t>
  </si>
  <si>
    <t xml:space="preserve">PNCP — MUNICIPIO DE LUIZ ALVES</t>
  </si>
  <si>
    <t xml:space="preserve">https://pncp.gov.br/app/editais/83102319000155/2023/106</t>
  </si>
  <si>
    <t xml:space="preserve">op-8f369f56cc7d</t>
  </si>
  <si>
    <t xml:space="preserve">Seleção de projetos culturais de AUDIOVISUAL e, de acordo com o inciso II do artigo 6º da Lei Complementar nº … — Santa Catarina</t>
  </si>
  <si>
    <t xml:space="preserve">Seleção de projetos culturais de AUDIOVISUAL e, de acordo com o inciso II do artigo 6º da Lei Complementar nº 195/2022 (Lei Paulo Gustavo) Apoio a Salas de Cine</t>
  </si>
  <si>
    <t xml:space="preserve">PNCP — MUNICIPIO DE MIRIM DOCE</t>
  </si>
  <si>
    <t xml:space="preserve">https://pncp.gov.br/app/editais/95952248000169/2024/63</t>
  </si>
  <si>
    <t xml:space="preserve">op-5106991386c3</t>
  </si>
  <si>
    <t xml:space="preserve">Chamamento Publico para selecao de uma 01 Organizacao da Sociedade Civil OSC para o servico de Acolhimento Ins… — Rio Grande do Sul</t>
  </si>
  <si>
    <t xml:space="preserve">Chamamento Publico para selecao de uma  01  Organizacao da Sociedade Civil  OSC  para o servico de Acolhimento Institucional para Criancas e Adolescentes</t>
  </si>
  <si>
    <t xml:space="preserve">PNCP — MUNICIPIO DE ROSARIO DO SUL</t>
  </si>
  <si>
    <t xml:space="preserve">https://pncp.gov.br/app/editais/88138292000174/2025/136</t>
  </si>
  <si>
    <t xml:space="preserve">op-db15405ef2c9</t>
  </si>
  <si>
    <t xml:space="preserve">EDITAL DE CHAMAMENTO PÚBLICO 005.2024 - Ref. Prospecção do mercado imobiliário — Bahia</t>
  </si>
  <si>
    <t xml:space="preserve">EDITAL DE CHAMAMENTO PÚBLICO 005.2024  - Ref. Prospecção do mercado imobiliário</t>
  </si>
  <si>
    <t xml:space="preserve">PNCP — MUNICIPIO DE IRECE</t>
  </si>
  <si>
    <t xml:space="preserve">https://pncp.gov.br/app/editais/13715891000104/2024/64</t>
  </si>
  <si>
    <t xml:space="preserve">https://pncp.gov.br/app/editais/13715891000104/2024/67</t>
  </si>
  <si>
    <t xml:space="preserve">op-0eaea6afdbfa</t>
  </si>
  <si>
    <t xml:space="preserve">[publicenter] - credenciamento da associacao educacional de patos de minas - aepm p/ realizar procedimentos gr… — Minas Gerais</t>
  </si>
  <si>
    <t xml:space="preserve">[Publicenter] - CREDENCIAMENTO DA ASSOCIACAO EDUCACIONAL DE PATOS DE MINAS - AEPM P/ REALIZAR PROCEDIMENTOS GRUPO 02 SUBGRUPO 02 DIAGNÓSTICO EM LABORATÓRIO CLÍN</t>
  </si>
  <si>
    <t xml:space="preserve">https://pncp.gov.br/app/editais/18602011000107/2024/248</t>
  </si>
  <si>
    <t xml:space="preserve">op-e941d6e50ba7</t>
  </si>
  <si>
    <t xml:space="preserve">Credenciamento de patrocinadores do evento xx weihnachtsmarkt - mercado de natal - 2023 e exposição de suas ma… — Santa Catarina</t>
  </si>
  <si>
    <t xml:space="preserve">CREDENCIAMENTO DE PATROCINADORES DO EVENTO XX WEIHNACHTSMARKT - MERCADO DE NATAL - 2023 E EXPOSIÇÃO DE SUAS MARCAS OFICIAIS JUNTO AOS PONTOS PRÉ-DETERMINADOS DO</t>
  </si>
  <si>
    <t xml:space="preserve">PNCP — MUNICIPIO DE IBIRAMA</t>
  </si>
  <si>
    <t xml:space="preserve">https://pncp.gov.br/app/editais/83102418000137/2023/83</t>
  </si>
  <si>
    <t xml:space="preserve">op-9f7fa21830d9</t>
  </si>
  <si>
    <t xml:space="preserve">Credenciamento de companhias/agências de viagens e turismo, objetivando o menor preço no dia da cotação, para … — Santa Catarina</t>
  </si>
  <si>
    <t xml:space="preserve">CREDENCIAMENTO DE COMPANHIAS/AGÊNCIAS DE VIAGENS E TURISMO, OBJETIVANDO O MENOR PREÇO NO DIA DA COTAÇÃO, PARA AQUISIÇÃO DE PASSAGENS AÉREAS INCLUINDO COTAÇÃO, R</t>
  </si>
  <si>
    <t xml:space="preserve">PNCP — MUNICIPIO DE BRACO DO NORTE</t>
  </si>
  <si>
    <t xml:space="preserve">https://pncp.gov.br/app/editais/82926551000145/2024/64</t>
  </si>
  <si>
    <t xml:space="preserve">op-36c5ef78ecc5</t>
  </si>
  <si>
    <t xml:space="preserve">“Credenciamento de empreendedores familiares rurais ou suas organizações, para compra de gêneros alimentícios … — Minas Gerais</t>
  </si>
  <si>
    <t xml:space="preserve">“Credenciamento de empreendedores familiares rurais ou suas organizações, para compra de gêneros alimentícios da agricultura familiar, para fornecimento parcela</t>
  </si>
  <si>
    <t xml:space="preserve">PNCP — MUNICIPIO DE ITATIAIUCU</t>
  </si>
  <si>
    <t xml:space="preserve">https://pncp.gov.br/app/editais/18691766000125/2024/161</t>
  </si>
  <si>
    <t xml:space="preserve">op-48909bec4619</t>
  </si>
  <si>
    <t xml:space="preserve">Chamamento público para manifestação de interesse em permutar imóvel urbano com características compatíveis ao… — Santa Catarina</t>
  </si>
  <si>
    <t xml:space="preserve">CHAMAMENTO PÚBLICO PARA MANIFESTAÇÃO DE INTERESSE EM PERMUTAR IMÓVEL URBANO COM CARACTERÍSTICAS COMPATÍVEIS AOS PREVISTOS NO EDITAL COM ÁREAS VERDES DE PROPRIED</t>
  </si>
  <si>
    <t xml:space="preserve">PNCP — MUNICIPIO DE AGROLANDIA</t>
  </si>
  <si>
    <t xml:space="preserve">https://pncp.gov.br/app/editais/83102582000144/2023/63</t>
  </si>
  <si>
    <t xml:space="preserve">op-8a42f33a5aac</t>
  </si>
  <si>
    <t xml:space="preserve">Chamamento de interessados para credenciamento para contratação de prestação de serviços de acolhimento/longa … — Santa Catarina</t>
  </si>
  <si>
    <t xml:space="preserve">CHAMAMENTO DE INTERESSADOS PARA CREDENCIAMENTO PARA CONTRATAÇÃO DE PRESTAÇÃO DE SERVIÇOS DE ACOLHIMENTO/LONGA PERMANÊNCIA, DE PACIENTES COM TRANSTORNOS PSIQUIÁT</t>
  </si>
  <si>
    <t xml:space="preserve">PNCP — FUNDO MUNICIPAL DE SAUDE DE PALMITOS</t>
  </si>
  <si>
    <t xml:space="preserve">https://pncp.gov.br/app/editais/11420595000150/2024/2</t>
  </si>
  <si>
    <t xml:space="preserve">op-2b5120e3e51f</t>
  </si>
  <si>
    <t xml:space="preserve">Chamamento público para credenciamento de restaurantes para prestação de serviços de preparação de alimentação… — Bahia</t>
  </si>
  <si>
    <t xml:space="preserve">CHAMAMENTO PÚBLICO PARA CREDENCIAMENTO DE RESTAURANTES PARA PRESTAÇÃO DE SERVIÇOS DE PREPARAÇÃO DE ALIMENTAÇÃO PRONTA (QUENTINHAS E REFEIÇÕES INDIVIDUAIS), PARA</t>
  </si>
  <si>
    <t xml:space="preserve">PNCP — MUNICIPIO DE ITAGIBA</t>
  </si>
  <si>
    <t xml:space="preserve">https://pncp.gov.br/app/editais/13701966000106/2023/77</t>
  </si>
  <si>
    <t xml:space="preserve">op-783ccee97b37</t>
  </si>
  <si>
    <t xml:space="preserve">Chamamento público com o objetivo de selecionar e credenciar empresas do ramo de construção civil a manifestar… — Minas Gerais</t>
  </si>
  <si>
    <t xml:space="preserve">CHAMAMENTO PÚBLICO COM O OBJETIVO DE SELECIONAR E CREDENCIAR EMPRESAS DO RAMO DE CONSTRUÇÃO CIVIL A MANIFESTAREM INTERESSE NA APRESENTAÇÃO DE PROPOSTA À CAIXA E</t>
  </si>
  <si>
    <t xml:space="preserve">PNCP — MUNICIPIO DE PATROCINIO</t>
  </si>
  <si>
    <t xml:space="preserve">https://pncp.gov.br/app/editais/18468033000126/2024/29</t>
  </si>
  <si>
    <t xml:space="preserve">op-80634c3b369c</t>
  </si>
  <si>
    <t xml:space="preserve">Credenciamento para habilitação de instituições privadas, com ou sem fins lucrativos, legalmente constituídas,… — Santa Catarina</t>
  </si>
  <si>
    <t xml:space="preserve">CREDENCIAMENTO PARA HABILITAÇÃO DE INSTITUIÇÕES PRIVADAS, COM OU SEM FINS LUCRATIVOS, LEGALMENTE CONSTITUÍDAS, COM ATIVIDADES VOLTADAS OU VINCULADAS A SERVIÇOS </t>
  </si>
  <si>
    <t xml:space="preserve">https://pncp.gov.br/app/editais/83102277000152/2024/326</t>
  </si>
  <si>
    <t xml:space="preserve">op-8861b26e80bf</t>
  </si>
  <si>
    <t xml:space="preserve">CREDENCIAMENTO Nº 001/2024, de grupos formais de agricultores familiares e empreendedores familiares rurais ou… — Bahia</t>
  </si>
  <si>
    <t xml:space="preserve">CREDENCIAMENTO Nº 001/2024, de grupos formais de agricultores familiares e empreendedores familiares rurais ou suas organizações ou grupos informais de agricult</t>
  </si>
  <si>
    <t xml:space="preserve">PNCP — MUNICIPIO DE BARRA DO CHOCA</t>
  </si>
  <si>
    <t xml:space="preserve">https://pncp.gov.br/app/editais/13906789000196/2024/3</t>
  </si>
  <si>
    <t xml:space="preserve">op-1b7443ac0352</t>
  </si>
  <si>
    <t xml:space="preserve">Credenciamento de Instituicoes Privadas Sem Fins Lucrativos e ou Filantropicas e ou Profissi onais de Saude Au… — Paraná</t>
  </si>
  <si>
    <t xml:space="preserve">Credenciamento de Instituicoes Privadas Sem Fins Lucrativos e ou Filantropicas e ou Profissi onais de Saude Autonomos  PSA  para a prestacao de servicos complem</t>
  </si>
  <si>
    <t xml:space="preserve">PNCP — MUNICIPIO DE JACAREZINHO</t>
  </si>
  <si>
    <t xml:space="preserve">https://pncp.gov.br/app/editais/76966860000146/2024/103</t>
  </si>
  <si>
    <t xml:space="preserve">op-cbab21492e3d</t>
  </si>
  <si>
    <t xml:space="preserve">Seleção de propostas visando credenciamento e contratação de entidades privadas, pessoas jurídicas, com ou sem… — Santa Catarina</t>
  </si>
  <si>
    <t xml:space="preserve">SELEÇÃO DE PROPOSTAS VISANDO CREDENCIAMENTO E CONTRATAÇÃO DE ENTIDADES PRIVADAS, PESSOAS JURÍDICAS, COM OU SEM FINS LUCRATIVOS, PRESTADORAS DE SERVIÇOS DE SAÚDE</t>
  </si>
  <si>
    <t xml:space="preserve">PNCP — FUNDO MUNICIPAL DE SAUDE DE LUIS ALVES</t>
  </si>
  <si>
    <t xml:space="preserve">https://pncp.gov.br/app/editais/11301658000150/2023/28</t>
  </si>
  <si>
    <t xml:space="preserve">2025-12-17</t>
  </si>
  <si>
    <t xml:space="preserve">2026-01-20</t>
  </si>
  <si>
    <t xml:space="preserve">https://pncp.gov.br/app/editais/11301658000150/2025/41</t>
  </si>
  <si>
    <t xml:space="preserve">op-8e55758ca011</t>
  </si>
  <si>
    <t xml:space="preserve">Credenciamento para qualificação de pessoas jurídicas de direito privado, sem fins lucrativos, como ORGANIZAÇÕ… — Rio Grande do Sul</t>
  </si>
  <si>
    <t xml:space="preserve">Credenciamento para qualificação de pessoas jurídicas de direito privado, sem fins lucrativos, como ORGANIZAÇÕES SOCIAIS DE SAÚDE, para habilitação para eventua</t>
  </si>
  <si>
    <t xml:space="preserve">https://pncp.gov.br/app/editais/88566872000162/2025/352</t>
  </si>
  <si>
    <t xml:space="preserve">op-2ef9f5765050</t>
  </si>
  <si>
    <t xml:space="preserve">Abertura de edital de chamamento público lei 13.019/2014, para celebração de parceria com organizações da soci… — Rio Grande do Sul</t>
  </si>
  <si>
    <t xml:space="preserve">ABERTURA DE EDITAL DE CHAMAMENTO PÚBLICO LEI 13.019/2014, PARA CELEBRAÇÃO DE PARCERIA COM ORGANIZAÇÕES DA SOCIEDADE CIVIL PARA A EXECUÇÃO DE PROJETOS DE INCENTI</t>
  </si>
  <si>
    <t xml:space="preserve">PNCP — MUNICIPIO DE BENTO GONCALVES</t>
  </si>
  <si>
    <t xml:space="preserve">https://pncp.gov.br/app/editais/87849923000109/2024/325</t>
  </si>
  <si>
    <t xml:space="preserve">op-c1341979ec9e</t>
  </si>
  <si>
    <t xml:space="preserve">Chamada Pública tem por objeto a prospecção de mercado imobiliário e a seleção de imóvel urbano para futura lo… — Paraná</t>
  </si>
  <si>
    <t xml:space="preserve">Chamada Pública tem por objeto a prospecção de mercado imobiliário e a seleção de imóvel urbano
para futura locação destinada à instalação e ao pleno funcioname</t>
  </si>
  <si>
    <t xml:space="preserve">PNCP — MUNICIPIO DE FOZ DO IGUACU</t>
  </si>
  <si>
    <t xml:space="preserve">https://pncp.gov.br/app/editais/76206606000140/2026/411</t>
  </si>
  <si>
    <t xml:space="preserve">op-9775e87232b8</t>
  </si>
  <si>
    <t xml:space="preserve">Credenciamento para fins de celebração de termo de colaboração, com duração certa, em regime de mútua cooperaç… — Ceará</t>
  </si>
  <si>
    <t xml:space="preserve">CREDENCIAMENTO PARA FINS DE CELEBRAÇÃO DE TERMO DE COLABORAÇÃO, COM DURAÇÃO CERTA, EM REGIME DE MÚTUA COOPERAÇÃO, COM A FINALIDADE DE EXECUÇÃO DAS FEIRAS DA AGR</t>
  </si>
  <si>
    <t xml:space="preserve">PNCP — MUNICIPIO DE TAMBORIL</t>
  </si>
  <si>
    <t xml:space="preserve">https://pncp.gov.br/app/editais/07705817000104/2025/222</t>
  </si>
  <si>
    <t xml:space="preserve">op-2a951ddbf4a5</t>
  </si>
  <si>
    <t xml:space="preserve">Edital de chamamento público nº.112/2024 para premiação de agentes culturais que tenham prestado relevante con… — Minas Gerais</t>
  </si>
  <si>
    <t xml:space="preserve">EDITAL DE CHAMAMENTO PÚBLICO Nº.112/2024 PARA PREMIAÇÃO DE AGENTES CULTURAIS QUE TENHAM PRESTADO RELEVANTE CONTRIBUIÇÃO AO DESENVOLVIMENTO ARTÍSTICO OU CULTURAL</t>
  </si>
  <si>
    <t xml:space="preserve">PNCP — MUNICIPIO DE RIBEIRAO DAS NEVES</t>
  </si>
  <si>
    <t xml:space="preserve">https://pncp.gov.br/app/editais/18314609000109/2024/48</t>
  </si>
  <si>
    <t xml:space="preserve">op-2246beb8ba50</t>
  </si>
  <si>
    <t xml:space="preserve">Credenciamento de instituições financeiras, cooperativas de crédito, agências ou bancos de fomento, estabeleci… — Santa Catarina</t>
  </si>
  <si>
    <t xml:space="preserve">CREDENCIAMENTO DE INSTITUIÇÕES FINANCEIRAS, COOPERATIVAS DE CRÉDITO, AGÊNCIAS OU BANCOS DE FOMENTO, ESTABELECIDAS NO MUNICÍPIO DE CAMPOS NOVOS/SC, A FIM DE OPER</t>
  </si>
  <si>
    <t xml:space="preserve">PNCP — MUNICIPIO DE CAMPOS NOVOS</t>
  </si>
  <si>
    <t xml:space="preserve">https://pncp.gov.br/app/editais/82939232000174/2024/296</t>
  </si>
  <si>
    <t xml:space="preserve">op-881b3175db06</t>
  </si>
  <si>
    <t xml:space="preserve">Seleção projetos de Organizações da Sociedade Civil - OSC para celebração de Termo de Fomento com Organização … — Rio Grande do Sul</t>
  </si>
  <si>
    <t xml:space="preserve">Seleção projetos de Organizações da Sociedade Civil - OSC para celebração de Termo de Fomento com Organização da Sociedade Civil (OSC), para a consecução de fin</t>
  </si>
  <si>
    <t xml:space="preserve">PNCP — MUNICIPIO DE CARAZINHO</t>
  </si>
  <si>
    <t xml:space="preserve">https://pncp.gov.br/app/editais/87613535000116/2025/536</t>
  </si>
  <si>
    <t xml:space="preserve">op-a67e8dbba3d9</t>
  </si>
  <si>
    <t xml:space="preserve">Chamamento público cultural nº 09/2024 - edital de premiação de pontos de cultura (pnab) - cultura viva do tam… — Rio Grande do Sul</t>
  </si>
  <si>
    <t xml:space="preserve">CHAMAMENTO PÚBLICO CULTURAL Nº 09/2024 - EDITAL DE PREMIAÇÃO DE PONTOS DE CULTURA (PNAB) -  CULTURA VIVA DO TAMANHO DO BRASIL!
Chamamento Público para premiação</t>
  </si>
  <si>
    <t xml:space="preserve">https://pncp.gov.br/app/editais/88254875000160/2024/872</t>
  </si>
  <si>
    <t xml:space="preserve">op-fe78cc2add57</t>
  </si>
  <si>
    <t xml:space="preserve">Credenciamento de pessoa jurídica para realizar serviços necessários relacionados à manutenção e preservação d… — Rio Grande do Sul</t>
  </si>
  <si>
    <t xml:space="preserve">CREDENCIAMENTO DE PESSOA JURÍDICA PARA REALIZAR SERVIÇOS NECESSÁRIOS RELACIONADOS À MANUTENÇÃO E PRESERVAÇÃO DE SUAS INSTALAÇÕES E ESPAÇOS PÚBLICOS</t>
  </si>
  <si>
    <t xml:space="preserve">PNCP — MUNICIPIO DE PANAMBI</t>
  </si>
  <si>
    <t xml:space="preserve">https://pncp.gov.br/app/editais/88702089000189/2024/2</t>
  </si>
  <si>
    <t xml:space="preserve">op-55d4d7b3ff05</t>
  </si>
  <si>
    <t xml:space="preserve">Chamamento público para credenciamento de instituições — São Paulo</t>
  </si>
  <si>
    <t xml:space="preserve">CHAMAMENTO PÚBLICO PARA CREDENCIAMENTO DE INSTITUIÇÕES</t>
  </si>
  <si>
    <t xml:space="preserve">PNCP — INSTITUTO DE PREVIDENCIA DO MUNICIPIO DE BARRETOS</t>
  </si>
  <si>
    <t xml:space="preserve">https://pncp.gov.br/app/editais/66998014000154/2024/21</t>
  </si>
  <si>
    <t xml:space="preserve">op-822cde113e14</t>
  </si>
  <si>
    <t xml:space="preserve">Credenciamento de pessoa juridica para prestacao de servicos VALIDACAO DE ATESTADOS MEDICOS com prazo superior… — Rio Grande do Sul</t>
  </si>
  <si>
    <t xml:space="preserve">Credenciamento de pessoa juridica para prestacao de servicos VALIDACAO DE ATESTADOS MEDICOS com prazo superior a 03  tres  dias e servicos de PERICIAS MEDICAS N</t>
  </si>
  <si>
    <t xml:space="preserve">PNCP — MUNICIPIO DE ENCRUZILHADA DO SUL</t>
  </si>
  <si>
    <t xml:space="preserve">https://pncp.gov.br/app/editais/89363642000169/2023/47</t>
  </si>
  <si>
    <t xml:space="preserve">op-37039904b633</t>
  </si>
  <si>
    <t xml:space="preserve">Concurso de Projetos nº 002/2024 das Parcerias a serem firmadas com as Organizações da Sociedade Civil. — Mato Grosso</t>
  </si>
  <si>
    <t xml:space="preserve">Concurso de Projetos nº 002/2024 das Parcerias a serem firmadas com as Organizações da Sociedade Civil.</t>
  </si>
  <si>
    <t xml:space="preserve">PNCP — MUNICIPIO DE NOVA GUARITA</t>
  </si>
  <si>
    <t xml:space="preserve">https://pncp.gov.br/app/editais/37465598000102/2024/54</t>
  </si>
  <si>
    <t xml:space="preserve">op-0669cdc0501e</t>
  </si>
  <si>
    <t xml:space="preserve">Credenciamento de associações e cooperativas de agricultura familiar para fornecimento de gêneros alimentícios… — Mato Grosso</t>
  </si>
  <si>
    <t xml:space="preserve">CREDENCIAMENTO DE ASSOCIAÇÕES E COOPERATIVAS DE AGRICULTURA FAMILIAR PARA FORNECIMENTO DE GÊNEROS ALIMENTÍCIOS ELENCADOS NO PRESENTE TERMO DE REFERÊNCIA COM BAS</t>
  </si>
  <si>
    <t xml:space="preserve">PNCP — MUNICIPIO DE SORRISO</t>
  </si>
  <si>
    <t xml:space="preserve">https://pncp.gov.br/app/editais/03239076000162/2024/28</t>
  </si>
  <si>
    <t xml:space="preserve">op-d0266b406a15</t>
  </si>
  <si>
    <t xml:space="preserve">Chamamento Público 013/2026, Credenciamento de Agricultores familiares do município de Colombo para Aquisição … — Paraná</t>
  </si>
  <si>
    <t xml:space="preserve">Chamamento Público 013/2026, Credenciamento de Agricultores familiares do município de Colombo para  Aquisição de hortifrútis convencionais e orgânicos para doa</t>
  </si>
  <si>
    <t xml:space="preserve">PNCP — MUNICIPIO DE COLOMBO</t>
  </si>
  <si>
    <t xml:space="preserve">https://pncp.gov.br/app/editais/76105634000170/2026/229</t>
  </si>
  <si>
    <t xml:space="preserve">op-68eb0f9024d3</t>
  </si>
  <si>
    <t xml:space="preserve">Chamamento Público para credenciamento objetivando a contratação de prestação de serviços de pedreiro, carpint… — Bahia</t>
  </si>
  <si>
    <t xml:space="preserve">Chamamento Público para credenciamento objetivando a contratação de prestação de serviços de pedreiro, carpinteiro, soldador, serralheiro, ajudante de pedreiro,</t>
  </si>
  <si>
    <t xml:space="preserve">PNCP — MUNICIPIO DE PLANALTO</t>
  </si>
  <si>
    <t xml:space="preserve">https://pncp.gov.br/app/editais/13858907000138/2024/12</t>
  </si>
  <si>
    <t xml:space="preserve">op-6d84897af8a3</t>
  </si>
  <si>
    <t xml:space="preserve">Constitui objeto do presente edital, chamamento público para fins de CREDENCIAMENTO de pessoa jurídica, para p… — Paraná</t>
  </si>
  <si>
    <t xml:space="preserve">Constitui objeto do presente edital, chamamento público para fins de CREDENCIAMENTO de pessoa jurídica, para prestação de serviços médicos na função de Pediatri</t>
  </si>
  <si>
    <t xml:space="preserve">PNCP — MUNICIPIO DE CRUZ MACHADO</t>
  </si>
  <si>
    <t xml:space="preserve">https://pncp.gov.br/app/editais/76339688000109/2024/50</t>
  </si>
  <si>
    <t xml:space="preserve">op-896f4e18081a</t>
  </si>
  <si>
    <t xml:space="preserve">Chamamento público oriundo do procedimento auxiliar, do tipo CREDENCIAMENTO para credenciar pessoas jurídicas … — Rio Grande do Norte</t>
  </si>
  <si>
    <t xml:space="preserve">Chamamento público oriundo do procedimento auxiliar, do tipo CREDENCIAMENTO para credenciar pessoas jurídicas especializadas na PRESTAÇÃO DE SERVIÇOS PARA CONFE</t>
  </si>
  <si>
    <t xml:space="preserve">PNCP — MUNICIPIO DE JANDUIS</t>
  </si>
  <si>
    <t xml:space="preserve">https://pncp.gov.br/app/editais/08349003000147/2024/31</t>
  </si>
  <si>
    <t xml:space="preserve">op-aa296fdf2764</t>
  </si>
  <si>
    <t xml:space="preserve">Constitui objeto do presente Edital de chamamento Público locação de imóvel urbano não residencial, para insta… — Bahia / Salvador</t>
  </si>
  <si>
    <t xml:space="preserve">Constitui objeto do presente Edital de chamamento Público locação de imóvel urbano não residencial, para instalação da Sede do Conselho Tutelar de Boca do Rio e</t>
  </si>
  <si>
    <t xml:space="preserve">PNCP — ESTADO DA BAHIA</t>
  </si>
  <si>
    <t xml:space="preserve">Salvador</t>
  </si>
  <si>
    <t xml:space="preserve">https://pncp.gov.br/app/editais/13937032000160/2024/1253</t>
  </si>
  <si>
    <t xml:space="preserve">op-b0ac7d6e7102</t>
  </si>
  <si>
    <t xml:space="preserve">Chamamento público para o recebimento de manifestação de interesse por parte de proprietários de áreas rurais … — Santa Catarina</t>
  </si>
  <si>
    <t xml:space="preserve">CHAMAMENTO PÚBLICO PARA O RECEBIMENTO DE MANIFESTAÇÃO DE INTERESSE POR PARTE DE PROPRIETÁRIOS DE ÁREAS RURAIS LOCALIZADAS NAS LOCALIDADES DE SERRA DOS ALVES E R</t>
  </si>
  <si>
    <t xml:space="preserve">https://pncp.gov.br/app/editais/83102582000144/2023/65</t>
  </si>
  <si>
    <t xml:space="preserve">op-36d0b3113051</t>
  </si>
  <si>
    <t xml:space="preserve">Abertura do chamamento público de pessoas jurídicas públicas e privadas, prestadoras de serviço de saúde, inte… — Bahia</t>
  </si>
  <si>
    <t xml:space="preserve">ABERTURA DO CHAMAMENTO PÚBLICO DE PESSOAS JURÍDICAS PÚBLICAS E PRIVADAS, PRESTADORAS DE SERVIÇO DE SAÚDE, INTERESSADOS EM FIRMAR COM O SUS/JEQUIÉ, VISANDO A PRE</t>
  </si>
  <si>
    <t xml:space="preserve">PNCP — MUNICIPIO DE JEQUIE</t>
  </si>
  <si>
    <t xml:space="preserve">https://pncp.gov.br/app/editais/13894878000160/2023/50</t>
  </si>
  <si>
    <t xml:space="preserve">op-003152a2736a</t>
  </si>
  <si>
    <t xml:space="preserve">Chamamento Público 006/2024 para Contratação de Serviços técnicos profissionais para elaboração de pareceres d… — Paraná</t>
  </si>
  <si>
    <t xml:space="preserve">Chamamento Público 006/2024 para Contratação de Serviços técnicos profissionais para elaboração de pareceres de análise e seleção de projetos inscritos por meio</t>
  </si>
  <si>
    <t xml:space="preserve">https://pncp.gov.br/app/editais/76105634000170/2024/242</t>
  </si>
  <si>
    <t xml:space="preserve">op-1ff697f30300</t>
  </si>
  <si>
    <t xml:space="preserve">Chamamento para apresentação de proposta visando implementar o “programa minha casa, minha vida” do governo fe… — Rondônia</t>
  </si>
  <si>
    <t xml:space="preserve">CHAMAMENTO PARA APRESENTAÇÃO DE PROPOSTA VISANDO IMPLEMENTAR O “PROGRAMA MINHA CASA, MINHA VIDA” DO GOVERNO FEDERAL, CONSUBSTANCIADO NA EXECUÇÃO DE PROJETOS E O</t>
  </si>
  <si>
    <t xml:space="preserve">PNCP — MUNICIPIO DE VILHENA</t>
  </si>
  <si>
    <t xml:space="preserve">https://pncp.gov.br/app/editais/04092706000181/2024/99</t>
  </si>
  <si>
    <t xml:space="preserve">op-6ad39cc51c9d</t>
  </si>
  <si>
    <t xml:space="preserve">Credenciamento de Clínica ou Hospital especializado para tratamento de transtornos mentais graves, severos e m… — Minas Gerais</t>
  </si>
  <si>
    <t xml:space="preserve">Credenciamento de Clínica ou Hospital especializado para tratamento de transtornos mentais graves, severos e moderado para ambos os sexos, maiores de 18 anos, m</t>
  </si>
  <si>
    <t xml:space="preserve">PNCP — MUNICIPIO DE BARAO DE COCAIS</t>
  </si>
  <si>
    <t xml:space="preserve">https://pncp.gov.br/app/editais/18317685000160/2025/1</t>
  </si>
  <si>
    <t xml:space="preserve">op-6054a5951f51</t>
  </si>
  <si>
    <t xml:space="preserve">Credenciamento de farmácia para entrega imediata de medicamentos genéricos com menor preço na tabela abc farma… — Minas Gerais</t>
  </si>
  <si>
    <t xml:space="preserve">CREDENCIAMENTO DE FARMÁCIA PARA ENTREGA IMEDIATA DE MEDICAMENTOS GENÉRICOS COM MENOR PREÇO NA TABELA ABC FARMA (ASSOCIAÇÃO BRASILEIRA DE COMÉRCIO FARMACÊUTICO) </t>
  </si>
  <si>
    <t xml:space="preserve">PNCP — MUNICIPIO DE PIRANGUINHO</t>
  </si>
  <si>
    <t xml:space="preserve">https://pncp.gov.br/app/editais/18192906000110/2024/46</t>
  </si>
  <si>
    <t xml:space="preserve">op-c0247de65941</t>
  </si>
  <si>
    <t xml:space="preserve">Chamamento publico de pessoa juridicas para prestacao de servicos de assessoria e suporte no desenvolvimento d… — Minas Gerais</t>
  </si>
  <si>
    <t xml:space="preserve">CHAMAMENTO PUBLICO DE PESSOA JURIDICAS PARA PRESTACAO DE SERVICOS DE ASSESSORIA E SUPORTE NO DESENVOLVIMENTO DA POLITICA MUNICIPAL DE PROTECAO AO PATRIMONIO CUL</t>
  </si>
  <si>
    <t xml:space="preserve">PNCP — MUNICIPIO DE IPIACU</t>
  </si>
  <si>
    <t xml:space="preserve">https://pncp.gov.br/app/editais/18457259000121/2024/11</t>
  </si>
  <si>
    <t xml:space="preserve">op-e69a8d7dab28</t>
  </si>
  <si>
    <t xml:space="preserve">CREDENCIAMENTO/CHAMAMENTO PÚBLICO de prestadores de serviços de exames de imagem. — Rio Grande do Sul</t>
  </si>
  <si>
    <t xml:space="preserve">CREDENCIAMENTO/CHAMAMENTO PÚBLICO de prestadores de serviços de exames de imagem.</t>
  </si>
  <si>
    <t xml:space="preserve">PNCP — MUNICIPIO DE ALVORADA</t>
  </si>
  <si>
    <t xml:space="preserve">https://pncp.gov.br/app/editais/88000906000157/2023/260</t>
  </si>
  <si>
    <t xml:space="preserve">op-c4fa861b6e70</t>
  </si>
  <si>
    <t xml:space="preserve">Chamamento Público de fornecedores e recebimento das propostas de gêneros alimentícios da agricultura familiar… — Paraná</t>
  </si>
  <si>
    <t xml:space="preserve">Chamamento Público de fornecedores e recebimento das propostas de gêneros alimentícios da agricultura familiar para alimentação escolar, no âmbito do Programa N</t>
  </si>
  <si>
    <t xml:space="preserve">PNCP — MUNICIPIO DE IRATI</t>
  </si>
  <si>
    <t xml:space="preserve">https://pncp.gov.br/app/editais/75654574000182/2024/19</t>
  </si>
  <si>
    <t xml:space="preserve">op-7446c0c7f3a9</t>
  </si>
  <si>
    <t xml:space="preserve">Seleção de Organização da Sociedade Civil mediante a formalização de Termo de Colaboração, para execução de Se… — Santa Catarina</t>
  </si>
  <si>
    <t xml:space="preserve">Seleção de Organização da Sociedade Civil mediante a formalização de Termo de Colaboração, para execução de Serviço de Acolhimento Institucional na modalidade C</t>
  </si>
  <si>
    <t xml:space="preserve">PNCP — FUNDO MUNICIPAL DE ASSISTENCIA SOCIAL</t>
  </si>
  <si>
    <t xml:space="preserve">https://pncp.gov.br/app/editais/08345500000177/2026/15</t>
  </si>
  <si>
    <t xml:space="preserve">op-d681f2c2bc54</t>
  </si>
  <si>
    <t xml:space="preserve">Edital de chamamento público nº 03/2024 - credenciamento de pareceristas — Rio de Janeiro / Rio de Janeiro</t>
  </si>
  <si>
    <t xml:space="preserve">EDITAL DE CHAMAMENTO PÚBLICO Nº 03/2024 - CREDENCIAMENTO DE PARECERISTAS</t>
  </si>
  <si>
    <t xml:space="preserve">https://pncp.gov.br/app/editais/42498600000171/2024/2180</t>
  </si>
  <si>
    <t xml:space="preserve">op-51cb57dd6071</t>
  </si>
  <si>
    <t xml:space="preserve">Chamamento Público para o credenciamento de Agricultores Familiares e Empreendedores Familiares Rurais ou suas… — Paraná</t>
  </si>
  <si>
    <t xml:space="preserve">Chamamento Público para o credenciamento de Agricultores Familiares e Empreendedores Familiares Rurais ou suas organizações, interessados em apresentar proposta</t>
  </si>
  <si>
    <t xml:space="preserve">PNCP — MUNICIPIO DE ASTORGA</t>
  </si>
  <si>
    <t xml:space="preserve">https://pncp.gov.br/app/editais/75743377000130/2023/196</t>
  </si>
  <si>
    <t xml:space="preserve">op-669d31f4960e</t>
  </si>
  <si>
    <t xml:space="preserve">Chamamento público para prospecção do mercado imobiliário em Caieiras/SP, visando à locação de imóvel comercia… — São Paulo</t>
  </si>
  <si>
    <t xml:space="preserve">Chamamento público para prospecção do mercado imobiliário em Caieiras/SP, visando à locação de imóvel comercial situado em área urbana, para uso institucional, </t>
  </si>
  <si>
    <t xml:space="preserve">https://pncp.gov.br/app/editais/00509968000148/2026/2916</t>
  </si>
  <si>
    <t xml:space="preserve">op-3f0ff8116c8d</t>
  </si>
  <si>
    <t xml:space="preserve">CHAMADA PÚBLICA PARA CREDENCIAMENTO DE AGRICULTORES PARA ATENDIMENTO para aquisição de gêneros alimentícios da… — Espírito Santo</t>
  </si>
  <si>
    <t xml:space="preserve">CHAMADA PÚBLICA PARA CREDENCIAMENTO DE AGRICULTORES PARA ATENDIMENTO para aquisição de gêneros alimentícios da agricultura familiar no âmbito do Programa de Seg</t>
  </si>
  <si>
    <t xml:space="preserve">PNCP — MUNICIPIO DE SANTA TERESA</t>
  </si>
  <si>
    <t xml:space="preserve">https://pncp.gov.br/app/editais/27167444000172/2023/57</t>
  </si>
  <si>
    <t xml:space="preserve">op-aae061714298</t>
  </si>
  <si>
    <t xml:space="preserve">PMIS - Credenciamento de Organizações da Sociedade Civil – OSCs para Prestar Serviço de Proteção Social Especi… — Paraná</t>
  </si>
  <si>
    <t xml:space="preserve">PMIS - Credenciamento de Organizações da Sociedade Civil – OSCs para Prestar Serviço de Proteção  Social Especial de Alta Complexidade na modalidade de acolhime</t>
  </si>
  <si>
    <t xml:space="preserve">PNCP — MUNICIPIO DE PALMAS</t>
  </si>
  <si>
    <t xml:space="preserve">https://pncp.gov.br/app/editais/76161181000108/2024/92</t>
  </si>
  <si>
    <t xml:space="preserve">op-8952b05367ca</t>
  </si>
  <si>
    <t xml:space="preserve">Chamamento público cultural nº 10/2024 - edital de subsídio para manutenção de espaços, ambientes e iniciativa… — Rio Grande do Sul</t>
  </si>
  <si>
    <t xml:space="preserve">CHAMAMENTO PÚBLICO CULTURAL Nº 10/2024 - EDITAL DE SUBSÍDIO PARA MANUTENÇÃO DE ESPAÇOS, AMBIENTES E INICIATIVAS ARTÍSTICO-CULTURAIS (PNAB) - Chamamento Público </t>
  </si>
  <si>
    <t xml:space="preserve">https://pncp.gov.br/app/editais/88254875000160/2024/873</t>
  </si>
  <si>
    <t xml:space="preserve">op-e4d82c5e9c05</t>
  </si>
  <si>
    <t xml:space="preserve">Chamamento Público para aquisição de gêneros alimentícios da Agricultura Familiar para atendimento ao Programa… — Paraná</t>
  </si>
  <si>
    <t xml:space="preserve">Chamamento Público para aquisição de gêneros alimentícios da Agricultura Familiar para atendimento ao Programa Nacional de Alimentação Escolar, com o fornecimen</t>
  </si>
  <si>
    <t xml:space="preserve">PNCP — MUNICIPIO DE ENEAS MARQUES</t>
  </si>
  <si>
    <t xml:space="preserve">https://pncp.gov.br/app/editais/76205657000157/2024/49</t>
  </si>
  <si>
    <t xml:space="preserve">op-a81368546bee</t>
  </si>
  <si>
    <t xml:space="preserve">O Objeto do presente edital de chamamento público é o processo de seleção de Empreendedores Familiares Rurais,… — Santa Catarina</t>
  </si>
  <si>
    <t xml:space="preserve">O Objeto do presente edital de chamamento público é o processo de seleção de Empreendedores Familiares Rurais, Grupos Formais de Agricultores Familiares, Cooper</t>
  </si>
  <si>
    <t xml:space="preserve">PNCP — MUNICIPIO DE BALNEARIO ARROIO DO SILVA</t>
  </si>
  <si>
    <t xml:space="preserve">https://pncp.gov.br/app/editais/01605479000152/2024/5</t>
  </si>
  <si>
    <t xml:space="preserve">op-f84633d78014</t>
  </si>
  <si>
    <t xml:space="preserve">Credenciamento de projetos culturais do audiovisual, para receberem apoio financeiro nas categorias descritas … — Minas Gerais</t>
  </si>
  <si>
    <t xml:space="preserve">CREDENCIAMENTO DE PROJETOS CULTURAIS DO AUDIOVISUAL, PARA RECEBEREM APOIO FINANCEIRO NAS CATEGORIAS DESCRITAS NA TABELA,, POR MEIO DA CELEBRAÇÃO DE TERMO DE EXE</t>
  </si>
  <si>
    <t xml:space="preserve">https://pncp.gov.br/app/editais/18314609000109/2024/46</t>
  </si>
  <si>
    <t xml:space="preserve">op-96b33ef63ec7</t>
  </si>
  <si>
    <t xml:space="preserve">Chamamento Público para credenciamento de serviços de Exames Laboratoriais. — Rio de Janeiro / Rio de Janeiro</t>
  </si>
  <si>
    <t xml:space="preserve">Chamamento Público para credenciamento de serviços de Exames Laboratoriais.</t>
  </si>
  <si>
    <t xml:space="preserve">https://pncp.gov.br/app/editais/42498600000171/2024/4401</t>
  </si>
  <si>
    <t xml:space="preserve">op-8eb3d9426186</t>
  </si>
  <si>
    <t xml:space="preserve">Chamamento público para fins de aquisição de gêneros alimentícios (perecíveis) da agricultura familiar e empre… — Paraná</t>
  </si>
  <si>
    <t xml:space="preserve">CHAMAMENTO PÚBLICO para fins de AQUISIÇÃO DE GÊNEROS ALIMENTÍCIOS (perecíveis) DA AGRICULTURA FAMILIAR E EMPREENDEDOR FAMILIAR RURAL, PARA ATENDER O PROGRAMA DE</t>
  </si>
  <si>
    <t xml:space="preserve">PNCP — MUNICIPIO DE CAMBE</t>
  </si>
  <si>
    <t xml:space="preserve">https://pncp.gov.br/app/editais/75732057000184/2024/51</t>
  </si>
  <si>
    <t xml:space="preserve">op-9e8548daf32a</t>
  </si>
  <si>
    <t xml:space="preserve">Credenciamento de clínica médica ou comunidade terapêutica especializada em reabilitação de portadores de tran… — Minas Gerais</t>
  </si>
  <si>
    <t xml:space="preserve">Credenciamento de clínica médica ou comunidade terapêutica especializada em reabilitação de portadores de transtornos psíquicos, mentais, dependência química e </t>
  </si>
  <si>
    <t xml:space="preserve">PNCP — MUNICIPIO DE PITANGUI</t>
  </si>
  <si>
    <t xml:space="preserve">https://pncp.gov.br/app/editais/18315226000147/2024/7</t>
  </si>
  <si>
    <t xml:space="preserve">op-47d247018557</t>
  </si>
  <si>
    <t xml:space="preserve">Chamamento publico para formacao de subcomissao tecnica para analise e julgamento de propostas para contrataca… — São Paulo</t>
  </si>
  <si>
    <t xml:space="preserve">CHAMAMENTO PUBLICO para FORMACAO DE SUBCOMISSAO TECNICA PARA ANALISE E JULGAMENTO DE PROPOSTAS PARA CONTRATACAO DE AGENCIA DE PUBLICIDADE E PROPAGANDA DA PREFEI</t>
  </si>
  <si>
    <t xml:space="preserve">PNCP — MUNICIPIO DE SAO ROQUE</t>
  </si>
  <si>
    <t xml:space="preserve">https://pncp.gov.br/app/editais/70946009000175/2024/475</t>
  </si>
  <si>
    <t xml:space="preserve">op-ef5eb832955a</t>
  </si>
  <si>
    <t xml:space="preserve">Credenciamento público na modalidade menor preço o credenciamento de clínicas e/ou hospitais veterinários para… — Santa Catarina</t>
  </si>
  <si>
    <t xml:space="preserve">CREDENCIAMENTO PÚBLICO NA MODALIDADE MENOR PREÇO O CREDENCIAMENTO DE CLÍNICAS E/OU HOSPITAIS VETERINÁRIOS PARA A PRESTAÇÃO DE SERVIÇOS DE CASTRAÇÃO DE ANIMAIS D</t>
  </si>
  <si>
    <t xml:space="preserve">https://pncp.gov.br/app/editais/83102434000120/2026/113</t>
  </si>
  <si>
    <t xml:space="preserve">op-e1cf26ba4c87</t>
  </si>
  <si>
    <t xml:space="preserve">Credenciamento de clínicas ou comunidades terapêuticas especializadas em tratamento e recuperação de dependent… — Minas Gerais</t>
  </si>
  <si>
    <t xml:space="preserve">Credenciamento de clínicas ou comunidades terapêuticas especializadas em tratamento e recuperação de dependentes químicos, em regime de contenção (internação co</t>
  </si>
  <si>
    <t xml:space="preserve">PNCP — MUNICIPIO DE BELO ORIENTE</t>
  </si>
  <si>
    <t xml:space="preserve">https://pncp.gov.br/app/editais/17005653000166/2024/107</t>
  </si>
  <si>
    <t xml:space="preserve">op-10a2abe6167f</t>
  </si>
  <si>
    <t xml:space="preserve">Credenciamento para prestação de serviços Socioassistenciais de Proteção Social Especial de Alta Complexidade … — Minas Gerais</t>
  </si>
  <si>
    <t xml:space="preserve">Credenciamento para prestação de serviços Socioassistenciais de Proteção Social Especial de Alta Complexidade de acolhimento Institucional de Crianças e Adolesc</t>
  </si>
  <si>
    <t xml:space="preserve">PNCP — CONSORCIO INTERMUNICIPAL DE SAUDE E DE POLITICAS DE DESENVOLVIMENTO DA REGIAO DO CALCARIO - CISREC</t>
  </si>
  <si>
    <t xml:space="preserve">https://pncp.gov.br/app/editais/01272081000141/2024/72</t>
  </si>
  <si>
    <t xml:space="preserve">op-d4ecf5995546</t>
  </si>
  <si>
    <t xml:space="preserve">Chamamento público, objetivando firmar parceria por meio de termo de colaboração com organização da sociedade … — Paraná</t>
  </si>
  <si>
    <t xml:space="preserve">CHAMAMENTO PÚBLICO, OBJETIVANDO FIRMAR PARCERIA POR MEIO DE TERMO DE COLABORAÇÃO COM ORGANIZAÇÃO DA SOCIEDADE CIVIL (PESSOA JURÍDICA SEM FINS LUCRATIVOS, COM SE</t>
  </si>
  <si>
    <t xml:space="preserve">PNCP — FUNDACAO DE ESPORTES DE CAMPO MOURAO</t>
  </si>
  <si>
    <t xml:space="preserve">https://pncp.gov.br/app/editais/80889108000116/2024/84</t>
  </si>
  <si>
    <t xml:space="preserve">op-ad7203dcce21</t>
  </si>
  <si>
    <t xml:space="preserve">O presente edital de chamamento público tem por objeto o credenciamento de atrações artísticas, nas modalidade… — Minas Gerais</t>
  </si>
  <si>
    <t xml:space="preserve">O PRESENTE EDITAL DE CHAMAMENTO PÚBLICO TEM POR OBJETO O CREDENCIAMENTO DE ATRAÇÕES ARTÍSTICAS, NAS MODALIDADES ARTISTAS SOLO (TOCA SOZINHO E CANTA), DUPLA (EXE</t>
  </si>
  <si>
    <t xml:space="preserve">https://pncp.gov.br/app/editais/18314609000109/2024/21</t>
  </si>
  <si>
    <t xml:space="preserve">op-d2259e5a1e56</t>
  </si>
  <si>
    <t xml:space="preserve">Seleção de projetos que contemplem as mais variadas formas de atividades artísticas e culturais, garantindo o … — Santa Catarina</t>
  </si>
  <si>
    <t xml:space="preserve">Seleção de projetos que contemplem as mais variadas formas de atividades artísticas e culturais, garantindo o fomento aos artistas e a realização de eventos e e</t>
  </si>
  <si>
    <t xml:space="preserve">PNCP — MUNICIPIO DE BALNEARIO DE PICARRAS</t>
  </si>
  <si>
    <t xml:space="preserve">https://pncp.gov.br/app/editais/83102335000148/2023/101</t>
  </si>
  <si>
    <t xml:space="preserve">op-103422746f93</t>
  </si>
  <si>
    <t xml:space="preserve">Credenciamento para Contratação de entidades privadas de assistência em saúde, com ou sem fins lucrativos, que… — Santa Catarina</t>
  </si>
  <si>
    <t xml:space="preserve">Credenciamento para Contratação de entidades privadas de assistência em saúde, com ou sem fins lucrativos, que tenham interesse em atender de  forma complementa</t>
  </si>
  <si>
    <t xml:space="preserve">PNCP — MUNICIPIO DE SAO JOSE</t>
  </si>
  <si>
    <t xml:space="preserve">https://pncp.gov.br/app/editais/82892274000105/2024/175</t>
  </si>
  <si>
    <t xml:space="preserve">op-3d460b0d41de</t>
  </si>
  <si>
    <t xml:space="preserve">Credenciamento de farmacêuticos para a prestação de serviços remunerados como Ministrantes e Tutores em ações … — São Paulo / São Paulo</t>
  </si>
  <si>
    <t xml:space="preserve">Credenciamento de farmacêuticos para a prestação de serviços remunerados como Ministrantes e Tutores em ações educacionais que visam contribuir no adequado exer</t>
  </si>
  <si>
    <t xml:space="preserve">PNCP — CONSELHO REGIONAL DE FARMACIA DO ESTADO DE SAO PAULO</t>
  </si>
  <si>
    <t xml:space="preserve">https://pncp.gov.br/app/editais/60975075000110/2024/11</t>
  </si>
  <si>
    <t xml:space="preserve">op-87dcdf170bbd</t>
  </si>
  <si>
    <t xml:space="preserve">Serviços socioassitênicias e na lei nº 14.133, de 01 de abril de edital de chamamento público para credenciame… — São Paulo</t>
  </si>
  <si>
    <t xml:space="preserve">SERVIÇOS SOCIOASSITÊNICIAS E NA LEI Nº 14.133, DE 01 DE ABRIL DE EDITAL DE CHAMAMENTO PÚBLICO PARA CREDENCIAMENTO DE OFICINEIROS (PESSOA JURÍDICA) PARA REALIZAÇ</t>
  </si>
  <si>
    <t xml:space="preserve">PNCP — MUNICIPIO DE QUELUZ</t>
  </si>
  <si>
    <t xml:space="preserve">https://pncp.gov.br/app/editais/46670931000106/2024/9</t>
  </si>
  <si>
    <t xml:space="preserve">op-bf17cbbf383f</t>
  </si>
  <si>
    <t xml:space="preserve">Edital de Credenciamento Nº 006.2024 - Ref. captação de recursos financeiros através de verbas/cotas de patroc… — Bahia</t>
  </si>
  <si>
    <t xml:space="preserve">Edital de Credenciamento Nº 006.2024 - Ref. captação de recursos financeiros através de verbas/cotas de patrocínio para os festejos juninos de 2024</t>
  </si>
  <si>
    <t xml:space="preserve">https://pncp.gov.br/app/editais/13715891000104/2024/113</t>
  </si>
  <si>
    <t xml:space="preserve">op-d8da10663a50</t>
  </si>
  <si>
    <t xml:space="preserve">CREDENCIAMENTO pessoa juridica para prestacao de servicos de auxilio funeral — Rio Grande do Sul</t>
  </si>
  <si>
    <t xml:space="preserve">CREDENCIAMENTO pessoa juridica  para prestacao de servicos de auxilio funeral</t>
  </si>
  <si>
    <t xml:space="preserve">PNCP — MUNICIPIO DE ARAMBARE</t>
  </si>
  <si>
    <t xml:space="preserve">https://pncp.gov.br/app/editais/90152950000124/2025/159</t>
  </si>
  <si>
    <t xml:space="preserve">op-8a4bd293921a</t>
  </si>
  <si>
    <t xml:space="preserve">CHAMAMENTO PÚBLICO para a habilitação de empresa da construção civil, com comprovada capacidade técnica e fina… — Santa Catarina</t>
  </si>
  <si>
    <t xml:space="preserve">CHAMAMENTO PÚBLICO para a habilitação de empresa da construção civil, com comprovada capacidade técnica e financeira, interessada em manifestar interesse e apre</t>
  </si>
  <si>
    <t xml:space="preserve">https://pncp.gov.br/app/editais/82821208000136/2026/189</t>
  </si>
  <si>
    <t xml:space="preserve">op-37dcf0c767af</t>
  </si>
  <si>
    <t xml:space="preserve">EDITAL DE CHAMAMENTO PÚBLICO 007.2024 Prospecção do mercado imobiliário em Irecê/BA, com o fito de viabilizar … — Bahia</t>
  </si>
  <si>
    <t xml:space="preserve">EDITAL DE CHAMAMENTO PÚBLICO 007.2024 Prospecção do mercado imobiliário em Irecê/BA, com o fito de viabilizar a locação de 01 (um) imóvel destinado ao funcionam</t>
  </si>
  <si>
    <t xml:space="preserve">https://pncp.gov.br/app/editais/13715891000104/2024/258</t>
  </si>
  <si>
    <t xml:space="preserve">op-c5d6c1b3767f</t>
  </si>
  <si>
    <t xml:space="preserve">Chamamento o estabelecimento de critérios de seleção de Patrocinadores que manifeste apoiar financeiramente a … — Pernambuco / Belo Jardim</t>
  </si>
  <si>
    <t xml:space="preserve">Chamamento o estabelecimento de critérios de seleção de Patrocinadores que manifeste apoiar financeiramente a realização da 55ª Festa das Marocas no Município d</t>
  </si>
  <si>
    <t xml:space="preserve">PNCP — MUNICIPIO DE BELO JARDIM</t>
  </si>
  <si>
    <t xml:space="preserve">Belo Jardim</t>
  </si>
  <si>
    <t xml:space="preserve">https://pncp.gov.br/app/editais/10260222000105/2024/264</t>
  </si>
  <si>
    <t xml:space="preserve">op-abcf31a486e7</t>
  </si>
  <si>
    <t xml:space="preserve">Credenciamento pela secretaria municipal de saúde- sms nazaré,de pessoas jurídicas de direito privado, com ou … — Bahia</t>
  </si>
  <si>
    <t xml:space="preserve">CREDENCIAMENTO PELA SECRETARIA MUNICIPAL DE SAÚDE- SMS NAZARÉ,DE PESSOAS JURÍDICAS DE DIREITO PRIVADO, COM OU SEM FINS LUCRATIVOS, PARA A PRESTAÇÃO DE SERVIÇOS </t>
  </si>
  <si>
    <t xml:space="preserve">PNCP — MUNICIPIO DE NAZARE</t>
  </si>
  <si>
    <t xml:space="preserve">https://pncp.gov.br/app/editais/13797188000192/2025/261</t>
  </si>
  <si>
    <t xml:space="preserve">op-aff13dbba539</t>
  </si>
  <si>
    <t xml:space="preserve">Credenciamento de pessoa jurídica para a prestação dos serviços técnicos profissionais de elaboração de projet… — Mato Grosso</t>
  </si>
  <si>
    <t xml:space="preserve">CREDENCIAMENTO DE PESSOA JURÍDICA PARA A PRESTAÇÃO DOS SERVIÇOS TÉCNICOS PROFISSIONAIS DE ELABORAÇÃO DE PROJETOS DE ENGENHARIA, SUAS APROVAÇÕES EM ÓRGÃOS COMPET</t>
  </si>
  <si>
    <t xml:space="preserve">https://pncp.gov.br/app/editais/03239076000162/2023/11</t>
  </si>
  <si>
    <t xml:space="preserve">op-2197e743bc04</t>
  </si>
  <si>
    <t xml:space="preserve">Credenciamento de laboratórios de analises clinicas para prestação de serviços ao fundo municipal de saúde de … — Santa Catarina</t>
  </si>
  <si>
    <t xml:space="preserve">CREDENCIAMENTO DE LABORATÓRIOS DE ANALISES CLINICAS PARA PRESTAÇÃO DE SERVIÇOS AO FUNDO MUNICIPAL DE SAÚDE DE TRÊS BARRAS.</t>
  </si>
  <si>
    <t xml:space="preserve">PNCP — FUNDO MUNICIPAL DE SAUDE DE TRES BARRAS</t>
  </si>
  <si>
    <t xml:space="preserve">https://pncp.gov.br/app/editais/11491075000139/2025/1</t>
  </si>
  <si>
    <t xml:space="preserve">op-2437ce7af63d</t>
  </si>
  <si>
    <t xml:space="preserve">Edital de chamamento público n. 116/2024, para seleção de espaços, ambientes e iniciativas artístico-culturais… — Minas Gerais</t>
  </si>
  <si>
    <t xml:space="preserve">EDITAL DE CHAMAMENTO PÚBLICO N. 116/2024, PARA SELEÇÃO DE ESPAÇOS, AMBIENTES E INICIATIVAS ARTÍSTICO-CULTURAIS, COM RECURSOS DO GOVERNO FEDERAL REPASSADOS DO MI</t>
  </si>
  <si>
    <t xml:space="preserve">https://pncp.gov.br/app/editais/18314609000109/2024/50</t>
  </si>
  <si>
    <t xml:space="preserve">op-94ae15049066</t>
  </si>
  <si>
    <t xml:space="preserve">Credenciamento nº 01/2024. aquisição de gêneros alimentícios da agricultura familiar e do empreendedor familia… — Bahia</t>
  </si>
  <si>
    <t xml:space="preserve">Credenciamento nº 01/2024.
aquisição de gêneros alimentícios da agricultura familiar e do empreendedor familiar rural ou suas organizações, para a alimentaç</t>
  </si>
  <si>
    <t xml:space="preserve">PNCP — MUNICIPIO DE IBIRAPITANGA</t>
  </si>
  <si>
    <t xml:space="preserve">https://pncp.gov.br/app/editais/13846753000164/2024/1</t>
  </si>
  <si>
    <t xml:space="preserve">op-8673ef4baf74</t>
  </si>
  <si>
    <t xml:space="preserve">Constitui objeto do presente chamamento público a seleção de propostas de cessões de imóveis em comodatos na c… — São Paulo / São Paulo</t>
  </si>
  <si>
    <t xml:space="preserve">Constitui objeto do presente chamamento público a seleção de propostas de cessões de imóveis em comodatos na capital da cidade de São Paulo em favor do DETRAN-S</t>
  </si>
  <si>
    <t xml:space="preserve">PNCP — DEPARTAMENTO ESTADUAL DE TRANSITO</t>
  </si>
  <si>
    <t xml:space="preserve">https://pncp.gov.br/app/editais/15519361000116/2024/23</t>
  </si>
  <si>
    <t xml:space="preserve">op-6cdef0ee9b45</t>
  </si>
  <si>
    <t xml:space="preserve">Constitui objeto do presente chamamento público a seleção de pessoa jurídica de direito privado, sem fins lucr… — Espírito Santo</t>
  </si>
  <si>
    <t xml:space="preserve">Constitui objeto do presente chamamento público a seleção de pessoa jurídica de direito privado, sem fins lucrativos, qualificada como Organização Social nos te</t>
  </si>
  <si>
    <t xml:space="preserve">PNCP — MUNICIPIO DE ITAPEMIRIM</t>
  </si>
  <si>
    <t xml:space="preserve">https://pncp.gov.br/app/editais/27174168000170/2024/284</t>
  </si>
  <si>
    <t xml:space="preserve">op-0674950737ea</t>
  </si>
  <si>
    <t xml:space="preserve">O presente objeto constitui-se em concurso para seleção de 14 (quatorze) projetos culturais nas Categorias Eve… — Santa Catarina</t>
  </si>
  <si>
    <t xml:space="preserve">O presente objeto constitui-se em  concurso para  seleção de 14 (quatorze) projetos culturais nas Categorias Eventos (realização de mostras, feiras, festivais, </t>
  </si>
  <si>
    <t xml:space="preserve">PNCP — MUNICIPIO DE XANXERE</t>
  </si>
  <si>
    <t xml:space="preserve">https://pncp.gov.br/app/editais/83009860000113/2024/148</t>
  </si>
  <si>
    <t xml:space="preserve">op-d794c11c41de</t>
  </si>
  <si>
    <t xml:space="preserve">Contratação da empresa credenciada george peterson da silva clínica de fisioterapia ltda para prestar serviços… — Santa Catarina</t>
  </si>
  <si>
    <t xml:space="preserve">CONTRATAÇÃO DA EMPRESA CREDENCIADA GEORGE PETERSON DA SILVA CLÍNICA DE FISIOTERAPIA LTDA PARA PRESTAR SERVIÇOS DE FISIOTERAPIA, CONFORME ESPECIFICAÇÕES E EXIGÊN</t>
  </si>
  <si>
    <t xml:space="preserve">PNCP — FUNDO MUNICIPAL DE SAUDE DE RIO NEGRINHO</t>
  </si>
  <si>
    <t xml:space="preserve">https://pncp.gov.br/app/editais/10377912000130/2026/19</t>
  </si>
  <si>
    <t xml:space="preserve">op-f697d79e9f6d</t>
  </si>
  <si>
    <t xml:space="preserve">O presente Chamamento Público tem por objeto o CREDENCIAMENTO e a contratação de farmácias e/ou drogarias para… — Bahia</t>
  </si>
  <si>
    <t xml:space="preserve">2.1.	O presente Chamamento Público tem por objeto o CREDENCIAMENTO e a contratação de farmácias e/ou drogarias para fornecimento de medicamentos éticos, genéric</t>
  </si>
  <si>
    <t xml:space="preserve">PNCP — MUNICIPIO DE ITORORO</t>
  </si>
  <si>
    <t xml:space="preserve">https://pncp.gov.br/app/editais/13752993000108/2024/18</t>
  </si>
  <si>
    <t xml:space="preserve">op-48f6e127b9ea</t>
  </si>
  <si>
    <t xml:space="preserve">Edital de chamamento público para fornecimento de viandas conforme necessidade — Rio Grande do Sul</t>
  </si>
  <si>
    <t xml:space="preserve">EDITAL DE CHAMAMENTO PÚBLICO PARA FORNECIMENTO DE VIANDAS CONFORME NECESSIDADE</t>
  </si>
  <si>
    <t xml:space="preserve">PNCP — MUNICIPIO DE TIRADENTES DO SUL</t>
  </si>
  <si>
    <t xml:space="preserve">https://pncp.gov.br/app/editais/94726320000177/2023/13</t>
  </si>
  <si>
    <t xml:space="preserve">op-5fd19edd5bef</t>
  </si>
  <si>
    <t xml:space="preserve">EDITAL DE CREDENCIAMENTO para sociedades e/ou clubes de tiro, pessoas jurídicas sem fins lucrativos, para a pr… — Santa Catarina</t>
  </si>
  <si>
    <t xml:space="preserve">EDITAL DE CREDENCIAMENTO para sociedades e/ou clubes de tiro, pessoas jurídicas sem fins lucrativos, para a prestação de serviços culturais e esportivos, das tr</t>
  </si>
  <si>
    <t xml:space="preserve">PNCP — MUNICIPIO DE JARAGUA DO SUL</t>
  </si>
  <si>
    <t xml:space="preserve">https://pncp.gov.br/app/editais/83102459000123/2025/1475</t>
  </si>
  <si>
    <t xml:space="preserve">op-e25f90bb8df0</t>
  </si>
  <si>
    <t xml:space="preserve">Chamamento público para contratação de pessoa jurídica especializada na prestação de serviço de eventual acolh… — Santa Catarina</t>
  </si>
  <si>
    <t xml:space="preserve">CHAMAMENTO PÚBLICO PARA CONTRATAÇÃO DE PESSOA JURÍDICA ESPECIALIZADA NA PRESTAÇÃO DE SERVIÇO DE EVENTUAL ACOLHIMENTO/INTERNAMENTO DE ADOLESCENTES (ENTRE 16 A 17</t>
  </si>
  <si>
    <t xml:space="preserve">PNCP — FUNDO MUNICIPAL DE SAUDE DE SAO BENTO DO SUL</t>
  </si>
  <si>
    <t xml:space="preserve">https://pncp.gov.br/app/editais/08281643000162/2023/65</t>
  </si>
  <si>
    <t xml:space="preserve">op-31ac1482613b</t>
  </si>
  <si>
    <t xml:space="preserve">Chamamento Público para contratação de Pessoa Jurídica e/ou Física para aquisição de gêneros alimentício da ag… — Paraná</t>
  </si>
  <si>
    <t xml:space="preserve">Chamamento Público para contratação de Pessoa Jurídica e/ou Física para aquisição de gêneros alimentício da agricultura familiar, demais produtores rurais, prog</t>
  </si>
  <si>
    <t xml:space="preserve">PNCP — MUNICIPIO DE APUCARANA</t>
  </si>
  <si>
    <t xml:space="preserve">https://pncp.gov.br/app/editais/75771253000168/2024/234</t>
  </si>
  <si>
    <t xml:space="preserve">op-02c0530db09c</t>
  </si>
  <si>
    <t xml:space="preserve">Chamamento Público visando nova prospecção de imóvel para locação na cidade de Palhoça/SC — Santa Catarina</t>
  </si>
  <si>
    <t xml:space="preserve">Chamamento Público visando nova prospecção de imóvel para locação na cidade de Palhoça/SC</t>
  </si>
  <si>
    <t xml:space="preserve">https://pncp.gov.br/app/editais/83845701000159/2025/6</t>
  </si>
  <si>
    <t xml:space="preserve">op-bd74acf89e90</t>
  </si>
  <si>
    <t xml:space="preserve">O presente Chamamento Público tem por objetivo a prospecção do mercado imobiliário destinado à locação de um i… — Bahia</t>
  </si>
  <si>
    <t xml:space="preserve">O presente Chamamento Público tem por objetivo a prospecção do mercado imobiliário destinado à locação de um imóvel para funcionamento da sede da Agência dos Co</t>
  </si>
  <si>
    <t xml:space="preserve">https://pncp.gov.br/app/editais/13715891000104/2025/4</t>
  </si>
  <si>
    <t xml:space="preserve">op-439178b74b9b</t>
  </si>
  <si>
    <t xml:space="preserve">Processo de chamamento público para credenciamento de Pessoa Jurídica Especializada (Hospital/Clinica Veteriná… — Rondônia</t>
  </si>
  <si>
    <t xml:space="preserve">Processo de chamamento público para credenciamento de Pessoa Jurídica Especializada (Hospital/Clinica Veterinária) que atuem na Prestação de Serviços de Realiza</t>
  </si>
  <si>
    <t xml:space="preserve">PNCP — MUNICIPIO DE ARIQUEMES</t>
  </si>
  <si>
    <t xml:space="preserve">https://pncp.gov.br/app/editais/04104816000116/2024/140</t>
  </si>
  <si>
    <t xml:space="preserve">op-a76d9b4406e6</t>
  </si>
  <si>
    <t xml:space="preserve">Chamamento Publico para credenciamento para a locacao de imoveis para aluguel social para atendimento da Secre… — Bahia</t>
  </si>
  <si>
    <t xml:space="preserve">Chamamento Publico para credenciamento para a locacao de imoveis para aluguel social para atendimento da Secretaria Municipal de Desenvolvimento Social, destina</t>
  </si>
  <si>
    <t xml:space="preserve">PNCP — MUNICIPIO DE PRESIDENTE TANCREDO NEVES</t>
  </si>
  <si>
    <t xml:space="preserve">https://pncp.gov.br/app/editais/13071253000106/2024/11</t>
  </si>
  <si>
    <t xml:space="preserve">op-095b10860cdc</t>
  </si>
  <si>
    <t xml:space="preserve">Chamamento público visando a prospecção de mercado de imóveis disponíveis para a locação, para abrigar o centr… — Ceará</t>
  </si>
  <si>
    <t xml:space="preserve">Chamamento público visando a prospecção de mercado de imóveis disponíveis para a locação, para abrigar o centro de referência especializado da assistência socia</t>
  </si>
  <si>
    <t xml:space="preserve">PNCP — MUNICIPIO DE CAUCAIA</t>
  </si>
  <si>
    <t xml:space="preserve">https://pncp.gov.br/app/editais/07616162000106/2024/17</t>
  </si>
  <si>
    <t xml:space="preserve">op-86a3fd973616</t>
  </si>
  <si>
    <t xml:space="preserve">O obejto do chamamento publico é o credenciamento de tradutor e interprete da lingua brasileira de sinais (lib… — Minas Gerais</t>
  </si>
  <si>
    <t xml:space="preserve">O OBEJTO DO CHAMAMENTO PUBLICO É O CREDENCIAMENTO DE TRADUTOR E INTERPRETE DA LINGUA BRASILEIRA DE SINAIS (LIBRAS) PORTUGUES/LIBRAS - LIBRAS/PORTUGUES, COM NIVE</t>
  </si>
  <si>
    <t xml:space="preserve">PNCP — CAMARA MUNICIPAL DE EXTREMA</t>
  </si>
  <si>
    <t xml:space="preserve">https://pncp.gov.br/app/editais/19038603000100/2024/7</t>
  </si>
  <si>
    <t xml:space="preserve">op-dcdcfe001258</t>
  </si>
  <si>
    <t xml:space="preserve">Edital de Chamamento Público Nº.001/2025, com vistas ao credenciamento de imóveis com finalidade de locação, p… — Bahia</t>
  </si>
  <si>
    <t xml:space="preserve">Edital de Chamamento Público Nº.001/2025, com vistas ao credenciamento de imóveis com finalidade de locação, para atender as necessidades das diversas secretari</t>
  </si>
  <si>
    <t xml:space="preserve">PNCP — MUNICIPIO DE LAGEDO DO TABOCAL</t>
  </si>
  <si>
    <t xml:space="preserve">https://pncp.gov.br/app/editais/16434441000131/2025/2</t>
  </si>
  <si>
    <t xml:space="preserve">op-beaa47270261</t>
  </si>
  <si>
    <t xml:space="preserve">Chamamento público para o fomento de ações artísticas e culturais com recursos da política nacional aldir blan… — Sergipe</t>
  </si>
  <si>
    <t xml:space="preserve">CHAMAMENTO PÚBLICO PARA O FOMENTO DE AÇÕES ARTÍSTICAS E CULTURAIS COM RECURSOS DA POLÍTICA NACIONAL ALDIR BLANC (PNAB) POR MEIO DA SELEÇÃO DE PROJETOS APRESENTA</t>
  </si>
  <si>
    <t xml:space="preserve">PNCP — MUNICIPIO DE NOSSA SENHORA DO SOCORRO</t>
  </si>
  <si>
    <t xml:space="preserve">https://pncp.gov.br/app/editais/13128814000158/2025/284</t>
  </si>
  <si>
    <t xml:space="preserve">op-3fc568dc5e7f</t>
  </si>
  <si>
    <t xml:space="preserve">Chamamento público 05/2025 smc/pnab de fluxo ordinário concentrando o recebimento , análise e seleção de propo… — São Paulo</t>
  </si>
  <si>
    <t xml:space="preserve">CHAMAMENTO PÚBLICO 05/2025 SMC/PNAB DE FLUXO ORDINÁRIO CONCENTRANDO O RECEBIMENTO , ANÁLISE E SELEÇÃO DE PROPOSTA EM PERÍODO DETERNINADO COM O OBJETIVO DE DESEN</t>
  </si>
  <si>
    <t xml:space="preserve">https://pncp.gov.br/app/editais/46588950000180/2025/872</t>
  </si>
  <si>
    <t xml:space="preserve">op-b6fe9be35eee</t>
  </si>
  <si>
    <t xml:space="preserve">Chamamento publico credencimento — Rio Grande do Sul</t>
  </si>
  <si>
    <t xml:space="preserve">CHAMAMENTO PUBLICO CREDENCIMENTO</t>
  </si>
  <si>
    <t xml:space="preserve">PNCP — MUNICIPIO DE TRIUNFO</t>
  </si>
  <si>
    <t xml:space="preserve">https://pncp.gov.br/app/editais/88363189000128/2024/399</t>
  </si>
  <si>
    <t xml:space="preserve">op-c4cf6beb5d78</t>
  </si>
  <si>
    <t xml:space="preserve">Seleção de pessoa jurídica de direito privado, sem fins lucrativos - OSC, sendo CTG (Centro de Tradições Gaúch… — Rio Grande do Sul</t>
  </si>
  <si>
    <t xml:space="preserve">Seleção de pessoa jurídica de direito privado, sem fins lucrativos - OSC, sendo CTG (Centro de Tradições Gaúchas) do município, interessados em celebrar Termo d</t>
  </si>
  <si>
    <t xml:space="preserve">PNCP — MUNICIPIO DE SAPIRANGA</t>
  </si>
  <si>
    <t xml:space="preserve">https://pncp.gov.br/app/editais/87366159000102/2024/296</t>
  </si>
  <si>
    <t xml:space="preserve">op-9d9f1697151c</t>
  </si>
  <si>
    <t xml:space="preserve">Seleção, através de chamamento público, de profissionais com formação superior em comunicação, publicidade ou … — Pernambuco</t>
  </si>
  <si>
    <t xml:space="preserve">seleção, através de chamamento público, de profissionais  com formação superior em comunicação, publicidade ou marketing para compor a Subcomissão Técnica, que </t>
  </si>
  <si>
    <t xml:space="preserve">PNCP — IPOJUCA CAMARA MUNICIPAL</t>
  </si>
  <si>
    <t xml:space="preserve">https://pncp.gov.br/app/editais/08907347000124/2025/8</t>
  </si>
  <si>
    <t xml:space="preserve">op-c9cefe3378fc</t>
  </si>
  <si>
    <t xml:space="preserve">[Publicenter] - contrataçãoda empresa para arrecadação de receitas municipais, conformeEdital de Chamamento Pú… — Minas Gerais</t>
  </si>
  <si>
    <t xml:space="preserve">[Publicenter] - contrataçãoda empresa para arrecadação de receitas municipais, conformeEdital de Chamamento Público n.  12/2024 e amparo legal pelo art. 74 da L</t>
  </si>
  <si>
    <t xml:space="preserve">https://pncp.gov.br/app/editais/18602011000107/2024/254</t>
  </si>
  <si>
    <t xml:space="preserve">op-2649bc0cea5e</t>
  </si>
  <si>
    <t xml:space="preserve">Chamamento público tem por objeto a seleção de empresa para elaboração de projetos e execução de empreendiment… — Minas Gerais</t>
  </si>
  <si>
    <t xml:space="preserve">CHAMAMENTO PÚBLICO TEM POR OBJETO A SELEÇÃO DE EMPRESA PARA ELABORAÇÃO DE PROJETOS E EXECUÇÃO DE EMPREENDIMENTO RESIDENCIAL LOCALIZADO NA RUA CARAMBOLAS, S/Nº, </t>
  </si>
  <si>
    <t xml:space="preserve">PNCP — MUNICIPIO DE PARACATU</t>
  </si>
  <si>
    <t xml:space="preserve">https://pncp.gov.br/app/editais/18278051000145/2025/212</t>
  </si>
  <si>
    <t xml:space="preserve">op-b6a4a1d3e919</t>
  </si>
  <si>
    <t xml:space="preserve">Chamamento público para a seleção de projetos culturais para receberem apoio financeiro, com o objetivo de inc… — Bahia</t>
  </si>
  <si>
    <t xml:space="preserve">CHAMAMENTO PÚBLICO PARA  A SELEÇÃO DE PROJETOS CULTURAIS PARA RECEBEREM APOIO FINANCEIRO, COM O OBJETIVO DE INCENTIVAR A PRODUÇÃO E A FRUIÇÃO ARTÍSTICA E CULTUR</t>
  </si>
  <si>
    <t xml:space="preserve">PNCP — MUNICIPIO DE ALAGOINHAS</t>
  </si>
  <si>
    <t xml:space="preserve">https://pncp.gov.br/app/editais/13646005000138/2024/167</t>
  </si>
  <si>
    <t xml:space="preserve">op-98a19cf137df</t>
  </si>
  <si>
    <t xml:space="preserve">Convocar associação ou cooperativa das áreas de tratamento e destinação de resíduos sólidos e agricultura fami… — Bahia</t>
  </si>
  <si>
    <t xml:space="preserve">Convocar associação ou cooperativa das áreas de tratamento e destinação de resíduos sólidos e agricultura familiar ou definidas em decreto como de interesse col</t>
  </si>
  <si>
    <t xml:space="preserve">PNCP — MUNICIPIO DE ITACARE</t>
  </si>
  <si>
    <t xml:space="preserve">https://pncp.gov.br/app/editais/13846902000195/2023/18</t>
  </si>
  <si>
    <t xml:space="preserve">op-29dbfc92a1a5</t>
  </si>
  <si>
    <t xml:space="preserve">Chamamento Público para credenciamento de músicos para a Linha Turismo Erechim e Eventos, através da Secretari… — Rio Grande do Sul</t>
  </si>
  <si>
    <t xml:space="preserve">Chamamento Público para credenciamento de músicos para a Linha Turismo Erechim e Eventos, através da Secretaria Municipal de Desenvolvimento Econ. Inovação e Tu</t>
  </si>
  <si>
    <t xml:space="preserve">PNCP — MUNICIPIO DE ERECHIM</t>
  </si>
  <si>
    <t xml:space="preserve">https://pncp.gov.br/app/editais/87613477000120/2024/1159</t>
  </si>
  <si>
    <t xml:space="preserve">op-7f8199a8e099</t>
  </si>
  <si>
    <t xml:space="preserve">Credenciamento de instituições de ensino com e sem fins lucrativos - aquisição de até 9000 (nove mil vagas ao … — Santa Catarina</t>
  </si>
  <si>
    <t xml:space="preserve">CREDENCIAMENTO DE INSTITUIÇÕES DE ENSINO COM E SEM FINS LUCRATIVOS - AQUISIÇÃO DE ATÉ 9000 (NOVE MIL VAGAS AO LONGO DE SESSENTE MESES DE VIGÊNCIA DO EDITAL) DE </t>
  </si>
  <si>
    <t xml:space="preserve">https://pncp.gov.br/app/editais/83102277000152/2022/58</t>
  </si>
  <si>
    <t xml:space="preserve">op-c03142690f53</t>
  </si>
  <si>
    <t xml:space="preserve">Chamada pública para seleção de organização da sociedade civil – osc, interessadas em celebrar termo de foment… — Ceará</t>
  </si>
  <si>
    <t xml:space="preserve">CHAMADA PÚBLICA PARA SELEÇÃO DE ORGANIZAÇÃO DA SOCIEDADE CIVIL – OSC, INTERESSADAS EM CELEBRAR TERMO DE FOMENTO QUE TENHA POR OBJETO A IMPLANTAÇÃO DE PROGRAMA D</t>
  </si>
  <si>
    <t xml:space="preserve">PNCP — MUNICIPIO DE OCARA</t>
  </si>
  <si>
    <t xml:space="preserve">https://pncp.gov.br/app/editais/12459616000104/2025/143</t>
  </si>
  <si>
    <t xml:space="preserve">op-293368a4746a</t>
  </si>
  <si>
    <t xml:space="preserve">Edital de chamamento público - credenciamento nº 005/2023 — Bahia</t>
  </si>
  <si>
    <t xml:space="preserve">EDITAL DE CHAMAMENTO PÚBLICO - CREDENCIAMENTO Nº 005/2023</t>
  </si>
  <si>
    <t xml:space="preserve">PNCP — MUNICIPIO DE CACULE</t>
  </si>
  <si>
    <t xml:space="preserve">https://pncp.gov.br/app/editais/13676788000100/2023/7</t>
  </si>
  <si>
    <t xml:space="preserve">op-b27d243681cb</t>
  </si>
  <si>
    <t xml:space="preserve">CHAMAMENTO PÚBLICO e convoca as Organizações da Sociedade Civil (OSC), inscritas no Conselho da Criança e do A… — Rio Grande do Sul</t>
  </si>
  <si>
    <t xml:space="preserve">CHAMAMENTO PÚBLICO e convoca as Organizações da Sociedade Civil (OSC), inscritas no Conselho da Criança e do Adolescente (COMDICA), a apresentarem projetos volt</t>
  </si>
  <si>
    <t xml:space="preserve">https://pncp.gov.br/app/editais/87613626000151/2025/459</t>
  </si>
  <si>
    <t xml:space="preserve">op-6c91d933ad91</t>
  </si>
  <si>
    <t xml:space="preserve">Processo para seleção de entidade de direito privado, sem fins lucrativos, qualificada como organização da soc… — Mato Grosso</t>
  </si>
  <si>
    <t xml:space="preserve">PROCESSO PARA SELEÇÃO DE ENTIDADE DE DIREITO PRIVADO, SEM FINS LUCRATIVOS, QUALIFICADA COMO ORGANIZAÇÃO DA SOCIEDADE CIVIL DE INTERESSE PÚBLICO – OSCIP, NOS TER</t>
  </si>
  <si>
    <t xml:space="preserve">PNCP — MUNICIPIO DE MIRASSOL D'OESTE</t>
  </si>
  <si>
    <t xml:space="preserve">https://pncp.gov.br/app/editais/03755477000175/2025/124</t>
  </si>
  <si>
    <t xml:space="preserve">op-d7df5e58ad13</t>
  </si>
  <si>
    <t xml:space="preserve">Credenciamento da Instituição Financeira BANCO SANTANDER (BRASIL) S/A, inscrita no CNPJ 90.400.888/0001-42, pa… — Minas Gerais</t>
  </si>
  <si>
    <t xml:space="preserve">Credenciamento da Instituição Financeira BANCO SANTANDER (BRASIL) S/A, inscrita no CNPJ 90.400.888/0001-42, para prestação de serviços bancários de recebimento </t>
  </si>
  <si>
    <t xml:space="preserve">PNCP — MUNICIPIO DE BOM DESPACHO</t>
  </si>
  <si>
    <t xml:space="preserve">https://pncp.gov.br/app/editais/18301002000186/2024/49</t>
  </si>
  <si>
    <t xml:space="preserve">op-ab8e940c585c</t>
  </si>
  <si>
    <t xml:space="preserve">CREDENCIAMENTO DE SERVIÇO MÉDICO ESPECIALIZADO EM PSIQUIATRIA para atuar na Rede de Atenção Psicossocial da Fu… — Paraná</t>
  </si>
  <si>
    <t xml:space="preserve">CREDENCIAMENTO DE SERVIÇO MÉDICO ESPECIALIZADO EM PSIQUIATRIA para atuar na Rede de Atenção Psicossocial da Fundação Municipal de Saúde de Ponta Grossa  CAPS-AD</t>
  </si>
  <si>
    <t xml:space="preserve">PNCP — FUNDACAO MUNICIPAL DE SAUDE DE PONTA GROSSA</t>
  </si>
  <si>
    <t xml:space="preserve">https://pncp.gov.br/app/editais/32370759000152/2023/77</t>
  </si>
  <si>
    <t xml:space="preserve">op-2cbebbae1f16</t>
  </si>
  <si>
    <t xml:space="preserve">Consiste na oferta de vagas para o credenciamento de instrutores de artes, a fim de prestarem serviços como in… — Santa Catarina</t>
  </si>
  <si>
    <t xml:space="preserve">Consiste na oferta de vagas para o credenciamento de instrutores de artes, a fim de prestarem serviços  como instrutores de artes em geral, nas categorias de ar</t>
  </si>
  <si>
    <t xml:space="preserve">PNCP — MUNICIPIO DE LAGES</t>
  </si>
  <si>
    <t xml:space="preserve">https://pncp.gov.br/app/editais/82777301000190/2024/68</t>
  </si>
  <si>
    <t xml:space="preserve">op-a8fbcbbc34b8</t>
  </si>
  <si>
    <t xml:space="preserve">Chamamento Público para seleção de proposta de aquisição imobiliária, para futura instalação das Seccionais Re… — São Paulo / São Paulo</t>
  </si>
  <si>
    <t xml:space="preserve">Chamamento Público para seleção de proposta de aquisição imobiliária, para futura instalação das Seccionais Regionais nas cidades de Araçatuba e Bauru do estado</t>
  </si>
  <si>
    <t xml:space="preserve">PNCP — CONSELHO REGIONAL DE EDUCACAO FISICA DA 4 REGIAO</t>
  </si>
  <si>
    <t xml:space="preserve">https://pncp.gov.br/app/editais/03676803000159/2024/3</t>
  </si>
  <si>
    <t xml:space="preserve">op-4d7b744d62f2</t>
  </si>
  <si>
    <t xml:space="preserve">Credenciamento para prestação de serviços bancários de recolhimento de tributos: impostos, taxas, dívida ativa… — Minas Gerais</t>
  </si>
  <si>
    <t xml:space="preserve">CREDENCIAMENTO PARA PRESTAÇÃO DE SERVIÇOS BANCÁRIOS DE RECOLHIMENTO DE TRIBUTOS: IMPOSTOS, TAXAS, DÍVIDA ATIVA E DEMAIS RECEITAS MUNICIPAIS, ATRAVÉS DE DAM, EM </t>
  </si>
  <si>
    <t xml:space="preserve">PNCP — MUNICIPIO DE BOM JESUS DA PENHA</t>
  </si>
  <si>
    <t xml:space="preserve">https://pncp.gov.br/app/editais/18187815000197/2024/219</t>
  </si>
  <si>
    <t xml:space="preserve">op-0dd826d175a6</t>
  </si>
  <si>
    <t xml:space="preserve">Credenciamento de Instituição Financeira para prestação de serviços bancários de recebimento de tributos munic… — Minas Gerais</t>
  </si>
  <si>
    <t xml:space="preserve">O objeto deste edital é o Credenciamento de Instituição Financeira para prestação de serviços bancários de recebimento de tributos municipais e demais receitas </t>
  </si>
  <si>
    <t xml:space="preserve">https://pncp.gov.br/app/editais/18301002000186/2024/9</t>
  </si>
  <si>
    <t xml:space="preserve">op-f7323b31e36c</t>
  </si>
  <si>
    <t xml:space="preserve">Contratação de artistas locais para apresentações durante o ano corrente, através do CHAMAMENTO PÚBLICO PARA A… — Paraíba</t>
  </si>
  <si>
    <t xml:space="preserve">Contratação de artistas locais para apresentações durante o ano corrente, através do CHAMAMENTO PÚBLICO PARA APRESENTAÇÕES CULTURAIS DE ARTISTAS LOCAIS NAS FEIR</t>
  </si>
  <si>
    <t xml:space="preserve">PNCP — MUNICIPIO DE DONA INES</t>
  </si>
  <si>
    <t xml:space="preserve">PB</t>
  </si>
  <si>
    <t xml:space="preserve">https://pncp.gov.br/app/editais/08782146000148/2024/361</t>
  </si>
  <si>
    <t xml:space="preserve">op-dd6302ec6ec5</t>
  </si>
  <si>
    <t xml:space="preserve">Edital a seleção de Entidades Educacionais, sem fins lucrativos, para formalizar Termo de Colaboração para a e… — Rio Grande do Sul</t>
  </si>
  <si>
    <t xml:space="preserve">Edital a seleção de Entidades Educacionais, sem fins lucrativos, para formalizar Termo de Colaboração para a execução  imediata do atendimento a 90 (noventa) va</t>
  </si>
  <si>
    <t xml:space="preserve">PNCP — MUNICIPIO DE SAPUCAIA DO SUL</t>
  </si>
  <si>
    <t xml:space="preserve">https://pncp.gov.br/app/editais/88185020000125/2024/268</t>
  </si>
  <si>
    <t xml:space="preserve">captacao-050</t>
  </si>
  <si>
    <t xml:space="preserve">Pró-Goiás Atleta - atletas e treinadores vinculados a entidades — Goiás</t>
  </si>
  <si>
    <t xml:space="preserve">Pró-Goiás Atleta - atletas e treinadores vinculados a entidades</t>
  </si>
  <si>
    <t xml:space="preserve">2025-10-31</t>
  </si>
  <si>
    <t xml:space="preserve">https://goias.gov.br/esporte/governo-de-goias-abre-novo-edital-do-pro-goias-atleta-com-480-vagas/</t>
  </si>
  <si>
    <t xml:space="preserve">{'observacao': 'Apenas 2025 comprovado; edital 2024 não localizado.'}</t>
  </si>
  <si>
    <t xml:space="preserve">captacao-143</t>
  </si>
  <si>
    <t xml:space="preserve">Pronas/PCD - assistência à pessoa com deficiência — Brasil</t>
  </si>
  <si>
    <t xml:space="preserve">Pronas/PCD - assistência à pessoa com deficiência</t>
  </si>
  <si>
    <t xml:space="preserve">https://www.gov.br/saude/pt-br</t>
  </si>
  <si>
    <t xml:space="preserve">2025-10-07</t>
  </si>
  <si>
    <t xml:space="preserve">{'observacao': 'Páginas-semente informadas retornam 404; o site foi reorganizado em gov.br/saude/pt-br/se/pronon-e-pronas-pcd/chamamentos-publicos, que lista só 2025 em diante. Divergência: o edital PRONON 3/2025 (página /edital) cita 07/10 a 05/11/2025, enquanto a página do chamamento diz até 12/11/2025 (possível prorrogação); registrei 12/11 conforme a página do chamamento, a confirmar. A página</t>
  </si>
  <si>
    <t xml:space="preserve">captacao-140</t>
  </si>
  <si>
    <t xml:space="preserve">Pronon - assistência oncológica — Brasil</t>
  </si>
  <si>
    <t xml:space="preserve">Pronon - assistência oncológica</t>
  </si>
  <si>
    <t xml:space="preserve">nova-a1009b5f388c</t>
  </si>
  <si>
    <t xml:space="preserve">Google Ad Grants para ONGs 2026: Como Conseguir até US$ 10 Mil por Mês em Anúncios — Internacional</t>
  </si>
  <si>
    <t xml:space="preserve">Google Ad Grants para ONGs 2026: Como Conseguir até US$ 10 Mil por Mês em Anúncios</t>
  </si>
  <si>
    <t xml:space="preserve">https://institutosocialcrescervida.blogspot.com/2026/09/google-ad-grants-para-ongs-2026-como.html</t>
  </si>
  <si>
    <t xml:space="preserve">Valor, Órgão / financiador</t>
  </si>
  <si>
    <t xml:space="preserve">{'observacao': "Programa contínuo do Google (Google for Nonprofits / Google Ad Grants), sem 'edições' datadas: a elegibilidade é permanente por cadastro. Não gera janela de inscrição; selo ouro não se aplica por edição. Fonte do livro é blog (agregador); usar a página oficial google.com/nonprofits."}</t>
  </si>
  <si>
    <t xml:space="preserve">curadoria-001</t>
  </si>
  <si>
    <t xml:space="preserve">Banco do Nordeste — Editais Sociais (incentivo fiscal) — Brasil</t>
  </si>
  <si>
    <t xml:space="preserve">Banco do Nordeste do Brasil — BNB</t>
  </si>
  <si>
    <t xml:space="preserve">https://www.bnb.gov.br/web/guest/sustentabilidade/investimentos-sociais-e-esportivos</t>
  </si>
  <si>
    <t xml:space="preserve">Editais Sociais 2026 (incentivos fiscais)</t>
  </si>
  <si>
    <t xml:space="preserve">até R$ 1,5 milhão por projeto</t>
  </si>
  <si>
    <t xml:space="preserve">Banco do Nordeste</t>
  </si>
  <si>
    <t xml:space="preserve">Nordeste; norte de MG e ES</t>
  </si>
  <si>
    <t xml:space="preserve">captacao-166</t>
  </si>
  <si>
    <t xml:space="preserve">FDD - defesa do consumidor — Brasil</t>
  </si>
  <si>
    <t xml:space="preserve">FDD - defesa do consumidor</t>
  </si>
  <si>
    <t xml:space="preserve">captacao-165</t>
  </si>
  <si>
    <t xml:space="preserve">FDD - meio ambiente — Brasil</t>
  </si>
  <si>
    <t xml:space="preserve">FDD - meio ambiente</t>
  </si>
  <si>
    <t xml:space="preserve">captacao-168</t>
  </si>
  <si>
    <t xml:space="preserve">FDD - outros direitos difusos e coletivos — Brasil</t>
  </si>
  <si>
    <t xml:space="preserve">FDD - outros direitos difusos e coletivos</t>
  </si>
  <si>
    <t xml:space="preserve">curadoria-010</t>
  </si>
  <si>
    <t xml:space="preserve">MDHC / CONANDA — Chamamentos publicos de fomento a OSC — Brasil</t>
  </si>
  <si>
    <t xml:space="preserve">MDHC / CONANDA — Chamamentos publicos de fomento a OSC</t>
  </si>
  <si>
    <t xml:space="preserve">Ministerio dos Direitos Humanos e da Cidadania — Conselho Nacional dos Direitos da Crianca e do Adolescente</t>
  </si>
  <si>
    <t xml:space="preserve">https://www.gov.br/mdh/pt-br/navegue-por-temas/crianca-e-adolescente/publicacoes/editais</t>
  </si>
  <si>
    <t xml:space="preserve">captacao-187</t>
  </si>
  <si>
    <t xml:space="preserve">Projeto de acessibilidade cultural/patrimonial — Brasil</t>
  </si>
  <si>
    <t xml:space="preserve">Projeto de acessibilidade cultural/patrimonial</t>
  </si>
  <si>
    <t xml:space="preserve">captacao-186</t>
  </si>
  <si>
    <t xml:space="preserve">Projeto de educação para defesa do consumidor — Brasil</t>
  </si>
  <si>
    <t xml:space="preserve">Projeto de educação para defesa do consumidor</t>
  </si>
  <si>
    <t xml:space="preserve">captacao-169</t>
  </si>
  <si>
    <t xml:space="preserve">FDD/Pronasci - cultura e cidadania em territórios vulneráveis — Brasil</t>
  </si>
  <si>
    <t xml:space="preserve">FDD/Pronasci - cultura e cidadania em territórios vulneráveis</t>
  </si>
  <si>
    <t xml:space="preserve">PRONON / PRONAS</t>
  </si>
  <si>
    <t xml:space="preserve">captacao-144</t>
  </si>
  <si>
    <t xml:space="preserve">Pronas/PCD - formação de profissionais — Brasil</t>
  </si>
  <si>
    <t xml:space="preserve">Pronas/PCD - formação de profissionais</t>
  </si>
  <si>
    <t xml:space="preserve">captacao-145</t>
  </si>
  <si>
    <t xml:space="preserve">Pronas/PCD - pesquisa sobre deficiência — Brasil</t>
  </si>
  <si>
    <t xml:space="preserve">Pronas/PCD - pesquisa sobre deficiência</t>
  </si>
  <si>
    <t xml:space="preserve">captacao-141</t>
  </si>
  <si>
    <t xml:space="preserve">Pronon - formação e treinamento em oncologia — Brasil</t>
  </si>
  <si>
    <t xml:space="preserve">Pronon - formação e treinamento em oncologia</t>
  </si>
  <si>
    <t xml:space="preserve">captacao-142</t>
  </si>
  <si>
    <t xml:space="preserve">Pronon - pesquisa clínica/epidemiológica oncológica — Brasil</t>
  </si>
  <si>
    <t xml:space="preserve">Pronon - pesquisa clínica/epidemiológica oncológica</t>
  </si>
  <si>
    <t xml:space="preserve">nova-8991634e6f68</t>
  </si>
  <si>
    <t xml:space="preserve">Credenciamento de pessoas jurídicas para oficinas esportivas, culturais e artísticas — Município de Senador Ca… — Goiás / Senador Canedo</t>
  </si>
  <si>
    <t xml:space="preserve">Credenciamento de pessoas jurídicas para oficinas esportivas, culturais e artísticas — Município de Senador Canedo</t>
  </si>
  <si>
    <t xml:space="preserve">Município de Senador Canedo</t>
  </si>
  <si>
    <t xml:space="preserve">https://pncp.gov.br/app/editais/25107525000151/2026/357</t>
  </si>
  <si>
    <t xml:space="preserve">{'inicio': '2026-08-27', 'fim': '2027-08-27'}</t>
  </si>
  <si>
    <t xml:space="preserve">{'observacao': 'Fonte oficial: PNCP (campos data_inicio_vigencia/data_fim_vigencia do edital). CORREÇÃO 03/10/2026: edição de 2025/416 removida — a API do PNCP mostra abertura em 2026 (edição corrente), não 2025.'}</t>
  </si>
  <si>
    <t xml:space="preserve">nova-61ce4623d445</t>
  </si>
  <si>
    <t xml:space="preserve">Credenciamento de pessoa jurídica e/ou pessoa física para contratação artistas, grupos musicais e… — municipio… — Bahia</t>
  </si>
  <si>
    <t xml:space="preserve">CREDENCIAMENTO DE PESSOA JURÍDICA E/OU PESSOA FÍSICA PARA CONTRATAÇÃO ARTISTAS, GRUPOS MUSICAIS E… — MUNICIPIO DE CASA NOVA</t>
  </si>
  <si>
    <t xml:space="preserve">https://pncp.gov.br/app/editais/13691811000128/2026/32</t>
  </si>
  <si>
    <t xml:space="preserve">{'inicio': '2026-03-17', 'fim': '2027-03-17'}</t>
  </si>
  <si>
    <t xml:space="preserve">nova-097a639c0531</t>
  </si>
  <si>
    <t xml:space="preserve">Credenciamento de pessoas físicas e jurídicas do setor cultural, residentes ou sediadas no município de paulo…… — Bahia</t>
  </si>
  <si>
    <t xml:space="preserve">CREDENCIAMENTO DE PESSOAS FÍSICAS E JURÍDICAS DO SETOR CULTURAL, RESIDENTES OU SEDIADAS NO MUNICÍPIO DE PAULO… — MUNICIPIO DE PAULO AFONSO</t>
  </si>
  <si>
    <t xml:space="preserve">MUNICIPIO DE PAULO AFONSO</t>
  </si>
  <si>
    <t xml:space="preserve">https://pncp.gov.br/app/editais/14217327000124/2026/231</t>
  </si>
  <si>
    <t xml:space="preserve">{'inicio': '2026-09-02', 'fim': '2027-01-02'}</t>
  </si>
  <si>
    <t xml:space="preserve">nova-ec52c3521a13</t>
  </si>
  <si>
    <t xml:space="preserve">CREDENCIAMENTO de pessoa física/jurídica, sob demanda, para instrutores de oficinas diversas, conforme… — MUNI… — Bahia</t>
  </si>
  <si>
    <t xml:space="preserve">CREDENCIAMENTO de pessoa física/jurídica, sob demanda, para instrutores de oficinas diversas, conforme… — MUNICIPIO DE BARRA DO CHOCA</t>
  </si>
  <si>
    <t xml:space="preserve">MUNICIPIO DE BARRA DO CHOCA</t>
  </si>
  <si>
    <t xml:space="preserve">https://pncp.gov.br/app/editais/13906789000196/2026/31</t>
  </si>
  <si>
    <t xml:space="preserve">{'inicio': '2026-02-26', 'fim': '2026-12-31'}</t>
  </si>
  <si>
    <t xml:space="preserve">nova-c610c138411e</t>
  </si>
  <si>
    <t xml:space="preserve">CREDENCIAMENTO, com o objetivo de Credenciar pessoa física e/ou jurídica residentes ou localizadas no… — MUNIC… — Bahia</t>
  </si>
  <si>
    <t xml:space="preserve">CREDENCIAMENTO, com o objetivo de Credenciar pessoa física e/ou jurídica residentes ou localizadas no… — MUNICIPIO DE SAO FELIPE</t>
  </si>
  <si>
    <t xml:space="preserve">MUNICIPIO DE SAO FELIPE</t>
  </si>
  <si>
    <t xml:space="preserve">https://pncp.gov.br/app/editais/13827027000102/2026/39</t>
  </si>
  <si>
    <t xml:space="preserve">{'inicio': '2026-05-25', 'fim': '2027-05-25'}</t>
  </si>
  <si>
    <t xml:space="preserve">nova-99eef40770a8</t>
  </si>
  <si>
    <t xml:space="preserve">Chamamento Público para credenciamento de pessoas físicas e jurídicas prestadoras de serviços artísticos… — MU… — Bahia</t>
  </si>
  <si>
    <t xml:space="preserve">Chamamento Público para credenciamento de pessoas físicas e jurídicas prestadoras de serviços artísticos… — MUNICIPIO DE LIVRAMENTO DE NOSSA SENHORA</t>
  </si>
  <si>
    <t xml:space="preserve">MUNICIPIO DE LIVRAMENTO DE NOSSA SENHORA</t>
  </si>
  <si>
    <t xml:space="preserve">https://pncp.gov.br/app/editais/13674817000197/2026/115</t>
  </si>
  <si>
    <t xml:space="preserve">{'inicio': '2026-07-23', 'fim': '2027-07-23'}</t>
  </si>
  <si>
    <t xml:space="preserve">nova-4e8ac210055c</t>
  </si>
  <si>
    <t xml:space="preserve">Credenciamento de artistas e grupos culturais, pessoas físicas e/ou jurídicas para a realização de… — MUNICIPI… — Bahia</t>
  </si>
  <si>
    <t xml:space="preserve">Credenciamento de artistas e grupos culturais, pessoas físicas e/ou jurídicas para a realização de… — MUNICIPIO DE ITAPARICA</t>
  </si>
  <si>
    <t xml:space="preserve">MUNICIPIO DE ITAPARICA</t>
  </si>
  <si>
    <t xml:space="preserve">https://pncp.gov.br/app/editais/13882949000104/2026/11</t>
  </si>
  <si>
    <t xml:space="preserve">{'inicio': '2026-02-11', 'fim': '2027-02-11'}</t>
  </si>
  <si>
    <t xml:space="preserve">nova-5c4f6d57e2ef</t>
  </si>
  <si>
    <t xml:space="preserve">Credenciamento de pessoas físicas e jurídicas para apresentações musicais (bandas, duplas e artistas individua… — Bahia</t>
  </si>
  <si>
    <t xml:space="preserve">Credenciamento de pessoas físicas e jurídicas para apresentações musicais (bandas, duplas e artistas individuais) — Credenciamento nº 005/2026 (Artistas locais)</t>
  </si>
  <si>
    <t xml:space="preserve">Município de Riachão das Neves/BA</t>
  </si>
  <si>
    <t xml:space="preserve">https://pncp.gov.br/app/editais/14100747000126/2026/152</t>
  </si>
  <si>
    <t xml:space="preserve">{'inicio': '2026-08-05', 'fim': '2028-12-31'}</t>
  </si>
  <si>
    <t xml:space="preserve">nova-d5ca8613d9e3</t>
  </si>
  <si>
    <t xml:space="preserve">Credenciamento de pessoas físicas e/ou jurídicas residentes em Miguel Calmon/BA para apresentações culturais —… — Bahia</t>
  </si>
  <si>
    <t xml:space="preserve">Credenciamento de pessoas físicas e/ou jurídicas residentes em Miguel Calmon/BA para apresentações culturais — Credenciamento nº 003/2026 (artistas amadores) — </t>
  </si>
  <si>
    <t xml:space="preserve">Município de Miguel Calmon/BA</t>
  </si>
  <si>
    <t xml:space="preserve">https://pncp.gov.br/app/editais/13913363000160/2026/159</t>
  </si>
  <si>
    <t xml:space="preserve">{'inicio': '2026-06-10', 'fim': '2027-06-09'}</t>
  </si>
  <si>
    <t xml:space="preserve">nova-5121757058d3</t>
  </si>
  <si>
    <t xml:space="preserve">Credenciamento de pessoa jurídica e/ou física para serviços artísticos e bandas musicais — Chamamento/Credenci… — Bahia / Mirangaba</t>
  </si>
  <si>
    <t xml:space="preserve">Credenciamento de pessoa jurídica e/ou física para serviços artísticos e bandas musicais — Chamamento/Credenciamento nº 006/2026 — Município de Mirangaba/BA</t>
  </si>
  <si>
    <t xml:space="preserve">Município de Mirangaba/BA</t>
  </si>
  <si>
    <t xml:space="preserve">Mirangaba</t>
  </si>
  <si>
    <t xml:space="preserve">https://pncp.gov.br/app/editais/13913371000106/2026/39</t>
  </si>
  <si>
    <t xml:space="preserve">{'inicio': '2026-04-27', 'fim': '2026-12-31'}</t>
  </si>
  <si>
    <t xml:space="preserve">nova-d0783f6ae5b6</t>
  </si>
  <si>
    <t xml:space="preserve">Credenciamento de pessoas físicas e/ou jurídicas de artistas e conjuntos musicais para eventos festivos e cult… — Bahia / Apuarema</t>
  </si>
  <si>
    <t xml:space="preserve">Credenciamento de pessoas físicas e/ou jurídicas de artistas e conjuntos musicais para eventos festivos e culturais — Município de Apuarema/BA</t>
  </si>
  <si>
    <t xml:space="preserve">MUNICIPIO DE APUAREMA</t>
  </si>
  <si>
    <t xml:space="preserve">Apuarema</t>
  </si>
  <si>
    <t xml:space="preserve">https://pncp.gov.br/app/editais/16434292000100/2026/76</t>
  </si>
  <si>
    <t xml:space="preserve">{'inicio': '2026-05-19', 'fim': '2027-05-19'}</t>
  </si>
  <si>
    <t xml:space="preserve">nova-654f6fca4731</t>
  </si>
  <si>
    <t xml:space="preserve">Credenciamento de prestadores de serviços artísticos de diversos segmentos culturais (artistas e fazedores de … — Bahia / Simões Filho</t>
  </si>
  <si>
    <t xml:space="preserve">Credenciamento de prestadores de serviços artísticos de diversos segmentos culturais (artistas e fazedores de cultura) — Município de Simões Filho/BA</t>
  </si>
  <si>
    <t xml:space="preserve">Município de Simões Filho/BA</t>
  </si>
  <si>
    <t xml:space="preserve">Simões Filho</t>
  </si>
  <si>
    <t xml:space="preserve">https://pncp.gov.br/app/editais/13927827000197/2026/1</t>
  </si>
  <si>
    <t xml:space="preserve">{'inicio': '2026-01-10', 'fim': '2027-01-10'}</t>
  </si>
  <si>
    <t xml:space="preserve">nova-889e10aab7f7</t>
  </si>
  <si>
    <t xml:space="preserve">Chamamento para credenciamento de pessoas físicas e jurídicas com atuação artística regional — Município de No… — Goiás / Nova Roma</t>
  </si>
  <si>
    <t xml:space="preserve">Chamamento para credenciamento de pessoas físicas e jurídicas com atuação artística regional — Município de Nova Roma</t>
  </si>
  <si>
    <t xml:space="preserve">Município de Nova Roma</t>
  </si>
  <si>
    <t xml:space="preserve">Nova Roma</t>
  </si>
  <si>
    <t xml:space="preserve">https://pncp.gov.br/app/editais/01067925000112/2026/23</t>
  </si>
  <si>
    <t xml:space="preserve">{'inicio': '2026-04-27', 'fim': '2027-04-27'}</t>
  </si>
  <si>
    <t xml:space="preserve">op-a916ebb8dd67</t>
  </si>
  <si>
    <t xml:space="preserve">Instituto Sociedade População e Natureza — Fundo Ecos — Brasil</t>
  </si>
  <si>
    <t xml:space="preserve">Instituto Sociedade População e Natureza — Fundo Ecos</t>
  </si>
  <si>
    <t xml:space="preserve">Instituto Sociedade População e Natureza</t>
  </si>
  <si>
    <t xml:space="preserve">https://fundoecos.org.br/edital/edital-47-ticcas</t>
  </si>
  <si>
    <t xml:space="preserve">45º Edital Cerrado e Caatinga</t>
  </si>
  <si>
    <t xml:space="preserve">R$ 150 mil a R$ 250 mil por projeto (~R$ 5 milhões)</t>
  </si>
  <si>
    <t xml:space="preserve">Fundo Ecos / GEF / PNUD / ISPN</t>
  </si>
  <si>
    <t xml:space="preserve">Cerrado e Caatinga</t>
  </si>
  <si>
    <t xml:space="preserve">https://fundoecos.org.br/editais/45o-edital-cerrado-e-caatinga/</t>
  </si>
  <si>
    <t xml:space="preserve">{'observacao': 'VERIFICADO no arquivo de editais do Fundo Ecos/ISPN (API do site, editais 34º a 52º, 2023–2026, 03/10/2026): o 47º edital (Territórios Conservados por Povos Indígenas e Comunidades — TICCAs) não tem edição anterior com o mesmo nome; existem os editais de Territórios Indígenas (42º e 43º, 2024-10-02), tratados como linha vizinha e não contados.'}</t>
  </si>
  <si>
    <t xml:space="preserve">op-1121912b4377</t>
  </si>
  <si>
    <t xml:space="preserve">Associação de Pais e Amigos dos Excepcionais de Lucas do Rio Verde — Fundação Cargill anuncia os 10 projetos s… — Brasil</t>
  </si>
  <si>
    <t xml:space="preserve">Associação de Pais e Amigos dos Excepcionais de Lucas do Rio Verde — Fundação Cargill anuncia os 10 projetos selecionados na 4ª edição da Chamada Nutrindo Soluções Locais</t>
  </si>
  <si>
    <t xml:space="preserve">Associação de Pais e Amigos dos Excepcionais de Lucas do Rio Verde</t>
  </si>
  <si>
    <t xml:space="preserve">https://fundacaocargill.org.br/edital-regional-nutrindo-solucoes-locais-2/</t>
  </si>
  <si>
    <t xml:space="preserve">https://fundacaocargill.org.br/nutrindo-solucoes-locais-6a-edicao/</t>
  </si>
  <si>
    <t xml:space="preserve">Iniciativas que visam fortalecer organizações sociais e promover a inclusão no Centro-Oeste vão receber apoio de até R$ 32 mil cada uma A Fundação Cargill acaba de divulgar os 10 projetos selecionados</t>
  </si>
  <si>
    <t xml:space="preserve">{'observacao': 'Edições anteriores achadas em Fundação Cargill / Fundação Grupo Boticário (sites oficiais, API WordPress, 03/10/2026) (conferidas por leitura).'}</t>
  </si>
  <si>
    <t xml:space="preserve">op-a4e9356b7fb3</t>
  </si>
  <si>
    <t xml:space="preserve">Fundação Cargill anuncia os 15 projetos selecionados na Chamada Semeia 2024 — Brasil</t>
  </si>
  <si>
    <t xml:space="preserve">Fundação Cargill anuncia os 15 projetos selecionados na Chamada Semeia 2024</t>
  </si>
  <si>
    <t xml:space="preserve">https://fundacaocargill.org.br/</t>
  </si>
  <si>
    <t xml:space="preserve">Chamada Semeia 2026</t>
  </si>
  <si>
    <t xml:space="preserve">R$ 100 mil a R$ 150 mil</t>
  </si>
  <si>
    <t xml:space="preserve">Fundação Cargill</t>
  </si>
  <si>
    <t xml:space="preserve">op-c57943921ccd</t>
  </si>
  <si>
    <t xml:space="preserve">Fundação Cargill abre inscrições para apoiar projetos de desenvolvimento institucional no Centro-Oeste — Brasil</t>
  </si>
  <si>
    <t xml:space="preserve">Fundação Cargill abre inscrições para apoiar projetos de desenvolvimento institucional no Centro-Oeste</t>
  </si>
  <si>
    <t xml:space="preserve">https://fundacaocargill.org.br/nutrindo-solucoes-locais/</t>
  </si>
  <si>
    <t xml:space="preserve">Nutrindo Soluções Locais – 6ª edição (Região Sul)</t>
  </si>
  <si>
    <t xml:space="preserve">até R$ 50 mil por organização</t>
  </si>
  <si>
    <t xml:space="preserve">PR; SC; RS</t>
  </si>
  <si>
    <t xml:space="preserve">op-c0289af6330d</t>
  </si>
  <si>
    <t xml:space="preserve">Black STEM – 1ª edição — Brasil</t>
  </si>
  <si>
    <t xml:space="preserve">Black STEM – 1ª edição</t>
  </si>
  <si>
    <t xml:space="preserve">Fundo Baobá para Equidade Racial (parceria B3 Social e BRASA)</t>
  </si>
  <si>
    <t xml:space="preserve">https://baoba.org.br/blackstem/</t>
  </si>
  <si>
    <t xml:space="preserve">https://baoba.org.br/programa-black-stem-abre-oportunidade-de-apoio-a-estudo-no-exterior-para-estudantes-brasileiros/</t>
  </si>
  <si>
    <t xml:space="preserve">Black STEM – 3ª edição</t>
  </si>
  <si>
    <t xml:space="preserve">2026-03-26 a 2026-05-07</t>
  </si>
  <si>
    <t xml:space="preserve">R$ 42.000 anuais por bolsa (até 3 bolsas)</t>
  </si>
  <si>
    <t xml:space="preserve">{'observacao': 'Edições anteriores achadas em Fundo Baobá (site oficial, API WordPress, 03/10/2026) (conferidas por leitura).'}</t>
  </si>
  <si>
    <t xml:space="preserve">op-a5d9015eb79b</t>
  </si>
  <si>
    <t xml:space="preserve">Edital PAPS – Fundação Salvador Arena — Brasil</t>
  </si>
  <si>
    <t xml:space="preserve">Edital PAPS – Fundação Salvador Arena</t>
  </si>
  <si>
    <t xml:space="preserve">Fundação Salvador Arena</t>
  </si>
  <si>
    <t xml:space="preserve">https://www.papsfsa.com.br/</t>
  </si>
  <si>
    <t xml:space="preserve">2026-07-13</t>
  </si>
  <si>
    <t xml:space="preserve">https://www.papsfsa.com.br/wp-content/uploads/2026/06/2027-edital-paps.pdf</t>
  </si>
  <si>
    <t xml:space="preserve">R$ 70 mil a R$ 380 mil</t>
  </si>
  <si>
    <t xml:space="preserve">op-f88c7adf1e60</t>
  </si>
  <si>
    <t xml:space="preserve">Fundo Brasil de Direitos Humanos — Democracia e Direitos — Brasil</t>
  </si>
  <si>
    <t xml:space="preserve">Fundo Brasil de Direitos Humanos — Democracia e Direitos</t>
  </si>
  <si>
    <t xml:space="preserve">https://www.fundobrasil.org.br/edital/democracia-e-direitos-construindo-o-futuro-com-justica-e-igualdade/</t>
  </si>
  <si>
    <t xml:space="preserve">2025-12-06</t>
  </si>
  <si>
    <t xml:space="preserve">2026-03-06</t>
  </si>
  <si>
    <t xml:space="preserve">https://www.fundobrasil.org.br/edital/geral-2026-fortalecendo-direitos-e-gestando-um-mundo-novo/</t>
  </si>
  <si>
    <t xml:space="preserve">Edital Geral 2026 – Fortalecendo Direitos e Gestando um Mundo Novo</t>
  </si>
  <si>
    <t xml:space="preserve">2025-12-06 a 2026-03-06</t>
  </si>
  <si>
    <t xml:space="preserve">até R$ 50.000,00 por proposta; total até R$ 1.000.000,00 (20 apoios)</t>
  </si>
  <si>
    <t xml:space="preserve">{'observacao': 'Edições anteriores achadas em Fundo Brasil de Direitos Humanos (arquivo de editais do site, API WordPress, 03/10/2026) (conferidas por leitura).'}</t>
  </si>
  <si>
    <t xml:space="preserve">op-7c410d703075</t>
  </si>
  <si>
    <t xml:space="preserve">Edital Geral 2024 – Vozes por Direitos e Justiça: fortalecendo a autonomia e a ação da sociedade civil — Brasil</t>
  </si>
  <si>
    <t xml:space="preserve">Edital Geral 2024 – Vozes por Direitos e Justiça: fortalecendo a autonomia e a ação da sociedade civil</t>
  </si>
  <si>
    <t xml:space="preserve">https://www.fundobrasil.org.br/edital/edital-geral-2024-vozes-por-direitos-e-justica-fortalecendo-a-autonomia-e-acao-da-sociedade-civil/</t>
  </si>
  <si>
    <t xml:space="preserve">2023-12-10 a 2024-02-29</t>
  </si>
  <si>
    <t xml:space="preserve">até R$ 40.000,00 por proposta; total até R$ 800.000,00 (20 apoios)</t>
  </si>
  <si>
    <t xml:space="preserve">op-615382e4ae75</t>
  </si>
  <si>
    <t xml:space="preserve">Fundo Brasil de Direitos Humanos visa apoiar projetos voltados ao fortaleci — Fortalecendo Direitos e Gestando… — Brasil</t>
  </si>
  <si>
    <t xml:space="preserve">Fundo Brasil de Direitos Humanos visa apoiar projetos voltados ao fortaleci — Fortalecendo Direitos e Gestando um Mundo Novo</t>
  </si>
  <si>
    <t xml:space="preserve">Fundo Brasil de Direitos Humanos visa apoiar projetos voltados ao fortaleci</t>
  </si>
  <si>
    <t xml:space="preserve">op-d8559501f003</t>
  </si>
  <si>
    <t xml:space="preserve">Senador Canedo — Senador Canedo abre credenciamento para artistas locais do Canedo Fest Show 2026 — Goiás / Senador Canedo</t>
  </si>
  <si>
    <t xml:space="preserve">Senador Canedo — Senador Canedo abre credenciamento para artistas locais do Canedo Fest Show 2026</t>
  </si>
  <si>
    <t xml:space="preserve">https://senadorcanedo.go.gov.br/senador-canedo-abre-credenciamento-para-artistas-locais-do-canedo-fest-show-2026/</t>
  </si>
  <si>
    <t xml:space="preserve">2026-05-06</t>
  </si>
  <si>
    <t xml:space="preserve">2026-05-15</t>
  </si>
  <si>
    <t xml:space="preserve">op-f28760a6931d</t>
  </si>
  <si>
    <t xml:space="preserve">Fundo Baobá apoia estudantes negros em trajetórias internacionais nas áreas de STEM — Brasil</t>
  </si>
  <si>
    <t xml:space="preserve">Fundo Baobá apoia estudantes negros em trajetórias internacionais nas áreas de STEM</t>
  </si>
  <si>
    <t xml:space="preserve">https://editais.baoba.org.br/lp-black-stem</t>
  </si>
  <si>
    <t xml:space="preserve">2026-05-18</t>
  </si>
  <si>
    <t xml:space="preserve">3 bolsas de R$ 42.000 (site oficial)</t>
  </si>
  <si>
    <t xml:space="preserve">op-0284907fba29</t>
  </si>
  <si>
    <t xml:space="preserve">Bolsa Complementar Alcance — Brasil</t>
  </si>
  <si>
    <t xml:space="preserve">Bolsa Complementar Alcance</t>
  </si>
  <si>
    <t xml:space="preserve">Fundação Lemann, com apoio do Fundo Baobá para Equidade Racial</t>
  </si>
  <si>
    <t xml:space="preserve">https://baoba.org.br/fundo-baoba-apoia-programa-de-pos-graduacao-no-exterior/</t>
  </si>
  <si>
    <t xml:space="preserve">USD 7 mil ao longo de 12 meses, renovável</t>
  </si>
  <si>
    <t xml:space="preserve">op-4d0ff23bb619</t>
  </si>
  <si>
    <t xml:space="preserve">Edital Raízes: Fortalecendo Direitos, Autonomia e Sustentabilidade na Amazônia e no Cerrado — Brasil</t>
  </si>
  <si>
    <t xml:space="preserve">Edital Raízes: Fortalecendo Direitos, Autonomia e Sustentabilidade na Amazônia e no Cerrado</t>
  </si>
  <si>
    <t xml:space="preserve">https://www.fundobrasil.org.br/edital/raizes-fortalecendo-direitos-autonomia-e-sustentabilidade-na-amazonia-e-no-cerrado/</t>
  </si>
  <si>
    <t xml:space="preserve">até R$ 60.000,00 por proposta; total até R$ 2.580.000,00 (43 apoios)</t>
  </si>
  <si>
    <t xml:space="preserve">op-1d14d4513cbd</t>
  </si>
  <si>
    <t xml:space="preserve">º Edital Ceará de Cinema e Audiovisual - Modalidade — Ceará</t>
  </si>
  <si>
    <t xml:space="preserve">16º Edital Ceará de Cinema e Audiovisual - Modalidade</t>
  </si>
  <si>
    <t xml:space="preserve">https://mapacultural.secult.ce.gov.br/oportunidade/8132/</t>
  </si>
  <si>
    <t xml:space="preserve">https://mapacultural.secult.ce.gov.br/oportunidade/8130/</t>
  </si>
  <si>
    <t xml:space="preserve">16º Edital Ceará de Cinema e Audiovisual - Modalidade (4)</t>
  </si>
  <si>
    <t xml:space="preserve">op-6178e26d5c46</t>
  </si>
  <si>
    <t xml:space="preserve">Editais - FAPEG</t>
  </si>
  <si>
    <t xml:space="preserve">https://goias.gov.br/fapeg/categoria/editais/</t>
  </si>
  <si>
    <t xml:space="preserve">2025-01-03</t>
  </si>
  <si>
    <t xml:space="preserve">https://goias.gov.br/fapeg/chamada-publica-confap-fapeg-n01-2025-goianos-e-goianas-em-destaque-em-cti/</t>
  </si>
  <si>
    <t xml:space="preserve">op-74377444fb3c</t>
  </si>
  <si>
    <t xml:space="preserve">Fundo Baobá — Programa Marielle Franco — Brasil</t>
  </si>
  <si>
    <t xml:space="preserve">Fundo Baobá — Programa Marielle Franco</t>
  </si>
  <si>
    <t xml:space="preserve">https://capta.org.br/oportunidades/programa-de-aceleracao-do-desenvolvimento-de-liderancas-femininas-negras-marielle-franco-2/</t>
  </si>
  <si>
    <t xml:space="preserve">2025-09-11</t>
  </si>
  <si>
    <t xml:space="preserve">A 2ª edição do Programa de Aceleração do Desenvolvimento de Lideranças Femininas Negras: Marielle Franco, lançado pelo Fundo Baobá, está com inscrições abertas até o dia 19 de outubro. A iniciativa se</t>
  </si>
  <si>
    <t xml:space="preserve">{'observacao': 'Baobá tem vários programas; cada edição é de programa distinto, nenhum com 2+ edições comprovadas na janela. Carreiras em Movimento: 21/9-02/10/2023, fora da janela (encerrou um dia antes). Educação em Tecnologia (R$250-500 mil): datas não achadas. Provas via resumo WebFetch.'}</t>
  </si>
  <si>
    <t xml:space="preserve">op-df2b26cf73c2</t>
  </si>
  <si>
    <t xml:space="preserve">Edital Já É: Educação e Equidade Racial – 2ª edição — Brasil</t>
  </si>
  <si>
    <t xml:space="preserve">Edital Já É: Educação e Equidade Racial – 2ª edição</t>
  </si>
  <si>
    <t xml:space="preserve">https://baoba.org.br/programa-ja-e-2025/</t>
  </si>
  <si>
    <t xml:space="preserve">2025-05-06 a 2025-06-06</t>
  </si>
  <si>
    <t xml:space="preserve">bolsa de R$ 700 mensais por até 2 anos (30 selecionados)</t>
  </si>
  <si>
    <t xml:space="preserve">{'observacao': 'VERIFICADO no site do Fundo Baobá (672 publicações, API, 03/10/2026): a 1ª edição do Programa Já É é anterior a out/2023 e não está datada nas fontes lidas; só a 2ª edição (2025-01-29) está na janela.'}</t>
  </si>
  <si>
    <t xml:space="preserve">op-109a827a27bd</t>
  </si>
  <si>
    <t xml:space="preserve">Edital de Chamamento Público de Instituições sem Fins Lucrativos para a ...</t>
  </si>
  <si>
    <t xml:space="preserve">https://goias.gov.br/social/chamamentopublico-aprendizdofuturo/</t>
  </si>
  <si>
    <t xml:space="preserve">op-84e4b1920f58</t>
  </si>
  <si>
    <t xml:space="preserve">Goiás social — chamamento público – 2022 — Goiás</t>
  </si>
  <si>
    <t xml:space="preserve">Goiás Social — CHAMAMENTO PÚBLICO – 2022</t>
  </si>
  <si>
    <t xml:space="preserve">https://goias.gov.br/social/chamamento-publico-2022/</t>
  </si>
  <si>
    <t xml:space="preserve">Secretaria de Estado de Desenvolvimento Social (SEDS) — fundos e conselhos (FIA/CEDCA, Idoso, FEAS/CEAS, FUNJUVE) — CHAMAMENTO PÚBLICO – 2022</t>
  </si>
  <si>
    <t xml:space="preserve">op-3b4f859a9b9b</t>
  </si>
  <si>
    <t xml:space="preserve">Secretaria de Estado da Cultura (Secult) — Chamamentos Públicos Outros – 2021 — Goiás</t>
  </si>
  <si>
    <t xml:space="preserve">Secretaria de Estado da Cultura (Secult) — Chamamentos Públicos Outros – 2021</t>
  </si>
  <si>
    <t xml:space="preserve">https://goias.gov.br/cultura/chamamentos-publicos-outros-2021/</t>
  </si>
  <si>
    <t xml:space="preserve">2026-01-06</t>
  </si>
  <si>
    <t xml:space="preserve">https://goias.gov.br/cultura/chamamentos-publicos-outros-2026/</t>
  </si>
  <si>
    <t xml:space="preserve">op-10bb4e34fc73</t>
  </si>
  <si>
    <t xml:space="preserve">Edital integrado ciclo ceará carnavalesco - 2027 — Ceará</t>
  </si>
  <si>
    <t xml:space="preserve">EDITAL INTEGRADO CICLO CEARÁ CARNAVALESCO - 2027</t>
  </si>
  <si>
    <t xml:space="preserve">https://mapacultural.secult.ce.gov.br/oportunidade/8184/</t>
  </si>
  <si>
    <t xml:space="preserve">op-2c03cbc9c493</t>
  </si>
  <si>
    <t xml:space="preserve">Fortalecendo Trabalhadores Informais na Luta por Direitos 2024 — Brasil</t>
  </si>
  <si>
    <t xml:space="preserve">Fortalecendo Trabalhadores Informais na Luta por Direitos 2024</t>
  </si>
  <si>
    <t xml:space="preserve">https://www.fundobrasil.org.br/edital/fortalecendo-trabalhadores-informais-na-luta-por-direitos-2024/</t>
  </si>
  <si>
    <t xml:space="preserve">2026-02-09</t>
  </si>
  <si>
    <t xml:space="preserve">https://www.fundobrasil.org.br/edital/edital-fortalecendo-trabalhadores-informais-na-luta-por-direitos-2026/</t>
  </si>
  <si>
    <t xml:space="preserve">Fortalecendo Trabalhadores Informais na Luta por Direitos 2026</t>
  </si>
  <si>
    <t xml:space="preserve">2025-12-17 a 2026-02-09</t>
  </si>
  <si>
    <t xml:space="preserve">Eixo 1 até R$ 50.000,00 (+R$ 5.000,00 parceira fiscal); Eixo 2 até R$ 100.000,00; total até R$ 1.500.000,00</t>
  </si>
  <si>
    <t xml:space="preserve">op-c6bb5a441a16</t>
  </si>
  <si>
    <t xml:space="preserve">Edital de premiação de pontos e pontões de cultura — Ceará</t>
  </si>
  <si>
    <t xml:space="preserve">EDITAL DE PREMIAÇÃO DE PONTOS E PONTÕES DE CULTURA</t>
  </si>
  <si>
    <t xml:space="preserve">https://mapacultural.secult.ce.gov.br/oportunidade/7718/</t>
  </si>
  <si>
    <t xml:space="preserve">https://mapacultural.secult.ce.gov.br/oportunidade/8202/</t>
  </si>
  <si>
    <t xml:space="preserve">EDITAL DE PREMIAÇÃO DE PONTOS E PONTÕES DE CULTURA (2)</t>
  </si>
  <si>
    <t xml:space="preserve">op-8d305d3db974</t>
  </si>
  <si>
    <t xml:space="preserve">Secretaria de Estado da Cultura (Secult) — Inscrições prorrogadas para editais de Pontos e Pontões de Cultura … — Goiás</t>
  </si>
  <si>
    <t xml:space="preserve">Secretaria de Estado da Cultura (Secult) — Inscrições prorrogadas para editais de Pontos e Pontões de Cultura da Pnab 2026</t>
  </si>
  <si>
    <t xml:space="preserve">https://goias.gov.br/cultura/inscricoes-prorrogadas-para-editais-de-pontos-e-pontoes-de-cultura-da-pnab-2026/</t>
  </si>
  <si>
    <t xml:space="preserve">op-246bfd02fd39</t>
  </si>
  <si>
    <t xml:space="preserve">Secretaria de Estado da Cultura (Secult) — Secult Goiás publica novo Chamamento Público para apoio na execução… — Goiás</t>
  </si>
  <si>
    <t xml:space="preserve">Secretaria de Estado da Cultura (Secult) — Secult Goiás publica novo Chamamento Público para apoio na execução da PNAB – 2º Ciclo e revoga anterior</t>
  </si>
  <si>
    <t xml:space="preserve">https://goias.gov.br/cultura/secult-goias-publica-novo-chamamento-publico-para-apoio-na-execucao-da-pnab-2o-ciclo-e-revoga-anterior/</t>
  </si>
  <si>
    <t xml:space="preserve">2023, 2025</t>
  </si>
  <si>
    <t xml:space="preserve">op-9da151fe2f7c</t>
  </si>
  <si>
    <t xml:space="preserve">Secretaria de Estado da Cultura (Secult) — Chamamentos Públicos 2025 (Lei 13.019/14) — Goiás</t>
  </si>
  <si>
    <t xml:space="preserve">Secretaria de Estado da Cultura (Secult) — Chamamentos Públicos 2025 (Lei 13.019/14)</t>
  </si>
  <si>
    <t xml:space="preserve">https://goias.gov.br/cultura/chamamentos-publicos-2025-lei-13-019-14/</t>
  </si>
  <si>
    <t xml:space="preserve">2025-03-05</t>
  </si>
  <si>
    <t xml:space="preserve">op-fc4ae54b664e</t>
  </si>
  <si>
    <t xml:space="preserve">Secretaria de Estado da Cultura (Secult) — Chamamento público de OSC que apoiará Secult Goiás com Política Nac… — Goiás</t>
  </si>
  <si>
    <t xml:space="preserve">Secretaria de Estado da Cultura (Secult) — Chamamento público de OSC que apoiará Secult Goiás com Política Nacional Aldir Blanc segue aberto até 30 de janeiro</t>
  </si>
  <si>
    <t xml:space="preserve">https://goias.gov.br/cultura/chamamento-publico-de-osc-que-apoiara-secult-goias-com-politica-nacional-aldir-blanc-segue-aberto-ate-30-de-janeiro/</t>
  </si>
  <si>
    <t xml:space="preserve">op-94442bd51b20</t>
  </si>
  <si>
    <t xml:space="preserve">Secretaria de Estado da Cultura (Secult) — Confira e-mail para envio de propostas de seleção da OSC que apoiar… — Goiás</t>
  </si>
  <si>
    <t xml:space="preserve">Secretaria de Estado da Cultura (Secult) — Confira e-mail para envio de propostas de seleção da OSC que apoiará Secult Goiás com Política Nacional Aldir Blanc</t>
  </si>
  <si>
    <t xml:space="preserve">https://goias.gov.br/cultura/confira-e-mail-para-envio-de-propostas-de-selecao-da-osc-que-apoiara-secult-goias-com-politica-nacional-aldir-blanc/</t>
  </si>
  <si>
    <t xml:space="preserve">op-50b7d8d8b39f</t>
  </si>
  <si>
    <t xml:space="preserve">Programa Goyazes 2024 - ABRIL — Goiás</t>
  </si>
  <si>
    <t xml:space="preserve">Programa Goyazes 2024 - ABRIL</t>
  </si>
  <si>
    <t xml:space="preserve">https://goias.gov.br/cultura/programa-goyazes/</t>
  </si>
  <si>
    <t xml:space="preserve">PROGRAMA GOYAZES 2026 - EXCEPCIONAIS</t>
  </si>
  <si>
    <t xml:space="preserve">2026-01-20 a 2026-06-10</t>
  </si>
  <si>
    <t xml:space="preserve">op-52a3006e8790</t>
  </si>
  <si>
    <t xml:space="preserve">Edital de Seleção Pública de Projetos 2026 do Fundo Positivo — Brasil</t>
  </si>
  <si>
    <t xml:space="preserve">Edital de Seleção Pública de Projetos 2026 do Fundo Positivo</t>
  </si>
  <si>
    <t xml:space="preserve">https://www.fundopositivoprojetos.org.br/Edital/Details/63</t>
  </si>
  <si>
    <t xml:space="preserve">2025-06-30</t>
  </si>
  <si>
    <t xml:space="preserve">2025-07-31</t>
  </si>
  <si>
    <t xml:space="preserve">https://fundopositivo.org.br/editais/</t>
  </si>
  <si>
    <t xml:space="preserve">O Fundo Positivo, em parceria com o Ministério da Saúde, abriu edital para apoiar organizações da sociedade civil que atuam com mobilização social e ações comunitárias nas áreas de HIV/aids, tuberculo</t>
  </si>
  <si>
    <t xml:space="preserve">op-2c81bca7bf7c</t>
  </si>
  <si>
    <t xml:space="preserve">CENA OCUPA: Convocatória de Ocupação Artística — Ceará</t>
  </si>
  <si>
    <t xml:space="preserve">CENA OCUPA: Convocatória de Ocupação Artística</t>
  </si>
  <si>
    <t xml:space="preserve">https://mapacultural.secult.ce.gov.br/oportunidade/8122/</t>
  </si>
  <si>
    <t xml:space="preserve">op-f7ad2a3c7b61</t>
  </si>
  <si>
    <t xml:space="preserve">Chamada de programação artísticas de difusão — Ceará</t>
  </si>
  <si>
    <t xml:space="preserve">CHAMADA DE PROGRAMAÇÃO ARTÍSTICAS DE DIFUSÃO</t>
  </si>
  <si>
    <t xml:space="preserve">https://mapacultural.secult.ce.gov.br/oportunidade/8084/</t>
  </si>
  <si>
    <t xml:space="preserve">2026-08-06</t>
  </si>
  <si>
    <t xml:space="preserve">op-ab0a8da04bba</t>
  </si>
  <si>
    <t xml:space="preserve">Cadastro e exportação de informações — São Paulo</t>
  </si>
  <si>
    <t xml:space="preserve">CADASTRO E EXPORTAÇÃO DE INFORMAÇÕES</t>
  </si>
  <si>
    <t xml:space="preserve">MUNICIPIO DE CAMPOS DO JORDAO</t>
  </si>
  <si>
    <t xml:space="preserve">https://pncp.gov.br/app/editais/45699626000176/2026/370</t>
  </si>
  <si>
    <t xml:space="preserve">2026-08-19</t>
  </si>
  <si>
    <t xml:space="preserve">op-2c696c15a56a</t>
  </si>
  <si>
    <t xml:space="preserve">Edital grupos ciclo ceará natalino - 2026 — Ceará</t>
  </si>
  <si>
    <t xml:space="preserve">EDITAL GRUPOS CICLO CEARÁ NATALINO - 2026</t>
  </si>
  <si>
    <t xml:space="preserve">https://mapacultural.secult.ce.gov.br/oportunidade/8181/</t>
  </si>
  <si>
    <t xml:space="preserve">op-3fed70f5065f</t>
  </si>
  <si>
    <t xml:space="preserve">Edital para mostras do ciclo ceará natalino - 2026 — Ceará</t>
  </si>
  <si>
    <t xml:space="preserve">EDITAL PARA MOSTRAS DO CICLO CEARÁ NATALINO - 2026</t>
  </si>
  <si>
    <t xml:space="preserve">https://mapacultural.secult.ce.gov.br/oportunidade/8182/</t>
  </si>
  <si>
    <t xml:space="preserve">op-f5d398f4f2d4</t>
  </si>
  <si>
    <t xml:space="preserve">Edital ciclo ceará carnavalesco - 2027 — Ceará</t>
  </si>
  <si>
    <t xml:space="preserve">EDITAL CICLO CEARÁ CARNAVALESCO - 2027</t>
  </si>
  <si>
    <t xml:space="preserve">https://mapacultural.secult.ce.gov.br/oportunidade/8183/</t>
  </si>
  <si>
    <t xml:space="preserve">op-9bc7b44615c1</t>
  </si>
  <si>
    <t xml:space="preserve">º seminário de formação, avaliação e planejamento — Ceará</t>
  </si>
  <si>
    <t xml:space="preserve">8º SEMINÁRIO DE FORMAÇÃO, AVALIAÇÃO E PLANEJAMENTO</t>
  </si>
  <si>
    <t xml:space="preserve">https://mapacultural.secult.ce.gov.br/oportunidade/8186/</t>
  </si>
  <si>
    <t xml:space="preserve">op-a8e20e91a4d0</t>
  </si>
  <si>
    <t xml:space="preserve">Programa contra a insegurança alimentar — Brasil</t>
  </si>
  <si>
    <t xml:space="preserve">Programa contra a insegurança alimentar</t>
  </si>
  <si>
    <t xml:space="preserve">https://www.pasfsa.com.br</t>
  </si>
  <si>
    <t xml:space="preserve">op-c8756e6725cf</t>
  </si>
  <si>
    <t xml:space="preserve">Chamada Educação para o Bem Viver 2026 – Fortalecendo organizações indígenas e quilombolas pela equidade na ed… — Brasil</t>
  </si>
  <si>
    <t xml:space="preserve">Chamada Educação para o Bem Viver 2026 – Fortalecendo organizações indígenas e quilombolas pela equidade na educação</t>
  </si>
  <si>
    <t xml:space="preserve">Fundo Casa Socioambiental (apoio: Alliance for the Amazon and Beyond, Imaginable Futures)</t>
  </si>
  <si>
    <t xml:space="preserve">https://casa.org.br/chamadas/chamada-educacao-para-o-bem-viver-2026-fortalecendo-organizacoes-indigenas-e-quilombolas-pela-equidade-na-educacao/</t>
  </si>
  <si>
    <t xml:space="preserve">2026-03-17 a 2026-04-28</t>
  </si>
  <si>
    <t xml:space="preserve">R$ 2.500.000,00 total; até R$ 50.000,00 por projeto (até 50)</t>
  </si>
  <si>
    <t xml:space="preserve">op-db2d54eeb38d</t>
  </si>
  <si>
    <t xml:space="preserve">Rede Municipal de Pontos de Cultura de Goiânia — Política Nacional Cultura Viva — Goiás / Goiânia</t>
  </si>
  <si>
    <t xml:space="preserve">Rede Municipal de Pontos de Cultura de Goiânia — Política Nacional Cultura Viva</t>
  </si>
  <si>
    <t xml:space="preserve">Fundo de Apoio à Cultura — FAC (Goiânia)</t>
  </si>
  <si>
    <t xml:space="preserve">https://pncp.gov.br/app/editais/05780030000181/2025/76</t>
  </si>
  <si>
    <t xml:space="preserve">2026-07-13 a 2026-07-30</t>
  </si>
  <si>
    <t xml:space="preserve">R$ 90.196,06 (estimado)</t>
  </si>
  <si>
    <t xml:space="preserve">{'observacao': 'Goiânia: edição 2024 (Edital 013/2024, série PNAB Goiânia) e 2025 (PNCP). CORREÇÃO 03/10/2026: edição de /2025/76 removida — a API do PNCP mostra abertura em 2026 (edição corrente), não 2025.'}</t>
  </si>
  <si>
    <t xml:space="preserve">op-6fb328772313</t>
  </si>
  <si>
    <t xml:space="preserve">Chamamento público para seleção de interessados na utilização de espaço público para uso de estrutura física p… — Paraná</t>
  </si>
  <si>
    <t xml:space="preserve">Chamamento público para seleção de interessados na utilização de espaço público para uso de estrutura física para emprego de mão de obra prisional na Penitenciá</t>
  </si>
  <si>
    <t xml:space="preserve">PNCP — SECRETARIA DE ESTADO DA SEGURANCA PUBLICA</t>
  </si>
  <si>
    <t xml:space="preserve">https://pncp.gov.br/app/editais/76416932000181/2026/165</t>
  </si>
  <si>
    <t xml:space="preserve">op-091477acf9f5</t>
  </si>
  <si>
    <t xml:space="preserve">Goiás Social — Edital de Chamamento Público de Instituições sem Fins Lucrativos para a Execução do Programa Ap… — Goiás</t>
  </si>
  <si>
    <t xml:space="preserve">Goiás Social — Edital de Chamamento Público de Instituições sem Fins Lucrativos para a Execução do Programa Aprendiz do Futuro</t>
  </si>
  <si>
    <t xml:space="preserve">Secretaria de Estado de Desenvolvimento Social (SEDS) — fundos e conselhos (FIA/CEDCA, Idoso, FEAS/CEAS, FUNJUVE) — Edital de Chamamento Público de Instituições sem Fins Lucrativos para a Execução do </t>
  </si>
  <si>
    <t xml:space="preserve">op-13fa9a35a173</t>
  </si>
  <si>
    <t xml:space="preserve">Bolsa Funarte Brasil Conexões Internacionais 2025 - Temporada Cultural Brasil-França - Participação de jovens … — Brasil</t>
  </si>
  <si>
    <t xml:space="preserve">Bolsa Funarte Brasil Conexões Internacionais 2025 - Temporada Cultural Brasil-França - Participação de jovens criadores(as) no Festival OFF Avignon e na Bienal de Dança de Lyon</t>
  </si>
  <si>
    <t xml:space="preserve">https://www.gov.br/funarte/pt-br/editais/2025/bolsa-funarte-brasil-conexoes-internacionais-2025-temporada-cultural-brasil-franca-participacao-de-jovens-criadores-as-no-festival-off-avignon-e-na-bienal-de-danca-de-lyon</t>
  </si>
  <si>
    <t xml:space="preserve">2025-04-11</t>
  </si>
  <si>
    <t xml:space="preserve">https://www.gov.br/funarte/pt-br/editais/2025/bolsa-funarte-brasil-conexoes-internacionais-2025-temporada-cultural-brasil-franca-participacao-em-eventos</t>
  </si>
  <si>
    <t xml:space="preserve">Bolsa Funarte Brasil Conexões Internacionais 2025 - Temporada Cultural Brasil-França - Participação em Eventos</t>
  </si>
  <si>
    <t xml:space="preserve">2025-03-17 a 2025-04-11</t>
  </si>
  <si>
    <t xml:space="preserve">R$ 1 milhão + R$ 578 mil de suplementação; individual R$ 17 mil; grupos de R$ 17 mil a R$ 148 mil</t>
  </si>
  <si>
    <t xml:space="preserve">op-0da47b0cfa76</t>
  </si>
  <si>
    <t xml:space="preserve">Enfrentando o Racismo a partir da Base – 2024 — Brasil</t>
  </si>
  <si>
    <t xml:space="preserve">Enfrentando o Racismo a partir da Base – 2024</t>
  </si>
  <si>
    <t xml:space="preserve">https://www.fundobrasil.org.br/edital/edital-enfrentando-o-racismo-a-partir-da-base-2024/</t>
  </si>
  <si>
    <t xml:space="preserve">https://www.fundobrasil.org.br/edital/enfrentando-o-racismo-a-partir-da-base-2025/</t>
  </si>
  <si>
    <t xml:space="preserve">Enfrentando o Racismo a partir da Base 2025</t>
  </si>
  <si>
    <t xml:space="preserve">2025-05-15 a 2025-06-27</t>
  </si>
  <si>
    <t xml:space="preserve">op-98e99b03f670</t>
  </si>
  <si>
    <t xml:space="preserve">Promoção e Defesa de Direitos Humanos na Bacia do Rio Doce — Brasil</t>
  </si>
  <si>
    <t xml:space="preserve">Promoção e Defesa de Direitos Humanos na Bacia do Rio Doce</t>
  </si>
  <si>
    <t xml:space="preserve">MG/ES</t>
  </si>
  <si>
    <t xml:space="preserve">https://www.fundobrasil.org.br/edital/promocao-e-defesa-de-direitos-humanos-na-bacia-do-rio-doce/</t>
  </si>
  <si>
    <t xml:space="preserve">2025-07-22</t>
  </si>
  <si>
    <t xml:space="preserve">https://www.fundobrasil.org.br/edital/promocao-e-defesa-de-direitos-humanos-na-bacia-do-rio-doce-2025/</t>
  </si>
  <si>
    <t xml:space="preserve">Promoção e Defesa de Direitos Humanos na Bacia do Rio Doce – 2025</t>
  </si>
  <si>
    <t xml:space="preserve">2025-06-11 a 2025-07-22</t>
  </si>
  <si>
    <t xml:space="preserve">até R$ 50.000,00 por proposta; total até R$ 1.000.000,00</t>
  </si>
  <si>
    <t xml:space="preserve">op-5bef9637599b</t>
  </si>
  <si>
    <t xml:space="preserve">Mata Atlântica Viva – apoiando soluções para conservação e regeneração — Brasil</t>
  </si>
  <si>
    <t xml:space="preserve">Mata Atlântica Viva – apoiando soluções para conservação e regeneração</t>
  </si>
  <si>
    <t xml:space="preserve">Fundo Casa Socioambiental (apoio: Global Greengrants Fund, Instituto Itaúsa, Alliance for the Amazon and Beyond, Hempel Foundation)</t>
  </si>
  <si>
    <t xml:space="preserve">https://casa.org.br/chamadas/mata-atlantica-viva-apoiando-solucoes-para-conservacao-e-regeneracao/</t>
  </si>
  <si>
    <t xml:space="preserve">https://casa.org.br/chamadas/mata-atlantica-viva-apoiando-solucoes-para-conservacao-e-regeneracao-2026/</t>
  </si>
  <si>
    <t xml:space="preserve">Mata Atlântica Viva – Apoiando soluções para conservação e regeneração 2026</t>
  </si>
  <si>
    <t xml:space="preserve">2026-02-24 a 2026-03-25</t>
  </si>
  <si>
    <t xml:space="preserve">R$ 2.546.000,00 total; até R$ 60.000,00 por projeto (até 42)</t>
  </si>
  <si>
    <t xml:space="preserve">Fundo Casa Socioambiental (apoio: Global Greengrants Fund, Alliance for the Amazon and Beyond, Hempel Foundation)</t>
  </si>
  <si>
    <t xml:space="preserve">op-bd0fd2fd7df6</t>
  </si>
  <si>
    <t xml:space="preserve">Chamamento Público Nº 006/2026 para Seleção de Projetos</t>
  </si>
  <si>
    <t xml:space="preserve">FUNDO MUNICIPAL DE EDUCACAO DE ALVORADA DO NORTE - FME</t>
  </si>
  <si>
    <t xml:space="preserve">https://pncp.gov.br/app/editais/46658543000100/2026/143</t>
  </si>
  <si>
    <t xml:space="preserve">https://pncp.gov.br/app/editais/46658543000100/2026/142</t>
  </si>
  <si>
    <t xml:space="preserve">op-7eb687c9b0e6</t>
  </si>
  <si>
    <t xml:space="preserve">Funcultura - Edital 01/2026 - Circulação e intercâmbio — Espírito Santo</t>
  </si>
  <si>
    <t xml:space="preserve">Funcultura - Edital 01/2026 - Circulação e intercâmbio</t>
  </si>
  <si>
    <t xml:space="preserve">https://mapa.cultura.es.gov.br/oportunidade/2546/</t>
  </si>
  <si>
    <t xml:space="preserve">https://mapa.cultura.es.gov.br/oportunidade/2587/</t>
  </si>
  <si>
    <t xml:space="preserve">Funcultura - Edital 01/2026 - Circulação e intercâmbio (3)</t>
  </si>
  <si>
    <t xml:space="preserve">op-69a23cbff244</t>
  </si>
  <si>
    <t xml:space="preserve">Edital de fomento a projetos continuados de pontos de cultura — Ceará</t>
  </si>
  <si>
    <t xml:space="preserve">EDITAL DE FOMENTO A PROJETOS CONTINUADOS DE PONTOS DE CULTURA</t>
  </si>
  <si>
    <t xml:space="preserve">https://mapacultural.secult.ce.gov.br/oportunidade/7731/</t>
  </si>
  <si>
    <t xml:space="preserve">https://mapacultural.secult.ce.gov.br/oportunidade/7620/</t>
  </si>
  <si>
    <t xml:space="preserve">EDITAL DE FOMENTO A PROJETOS CONTINUADOS DE PONTOS DE CULTURA (2)</t>
  </si>
  <si>
    <t xml:space="preserve">op-619e57b590f4</t>
  </si>
  <si>
    <t xml:space="preserve">Edital das artes de juazeiro do norte/ce - pnab — Ceará</t>
  </si>
  <si>
    <t xml:space="preserve">EDITAL DAS ARTES DE JUAZEIRO DO NORTE/CE - PNAB</t>
  </si>
  <si>
    <t xml:space="preserve">https://mapacultural.secult.ce.gov.br/oportunidade/8277/</t>
  </si>
  <si>
    <t xml:space="preserve">2026-09-26</t>
  </si>
  <si>
    <t xml:space="preserve">https://mapacultural.secult.ce.gov.br/oportunidade/8275/</t>
  </si>
  <si>
    <t xml:space="preserve">EDITAL DAS ARTES DE JUAZEIRO DO NORTE/CE - PNAB - ARTES</t>
  </si>
  <si>
    <t xml:space="preserve">op-251b74f7ad26</t>
  </si>
  <si>
    <t xml:space="preserve">º Edital Educação com Cidadania — Brasil</t>
  </si>
  <si>
    <t xml:space="preserve">6º Edital Educação com Cidadania</t>
  </si>
  <si>
    <t xml:space="preserve">Instituto Chamex</t>
  </si>
  <si>
    <t xml:space="preserve">https://institutochamex.com.br/inscricoes-abertas-instituto-chamex-lanca-sexto-edital-educacao-com-cidadania/</t>
  </si>
  <si>
    <t xml:space="preserve">https://institutochamex.com.br/</t>
  </si>
  <si>
    <t xml:space="preserve">até R$ 37.500 por projeto; 6 organizações</t>
  </si>
  <si>
    <t xml:space="preserve">Instituto Chamex (Sylvamo)</t>
  </si>
  <si>
    <t xml:space="preserve">op-eb51e4ab1a5c</t>
  </si>
  <si>
    <t xml:space="preserve">Amazônia Viva – Fortalecendo a Autonomia e Resiliência dos Povos da Floresta — Brasil</t>
  </si>
  <si>
    <t xml:space="preserve">Amazônia Viva – Fortalecendo a Autonomia e Resiliência dos Povos da Floresta</t>
  </si>
  <si>
    <t xml:space="preserve">https://casa.org.br/chamadas/amazonia-viva-fortalecendo-a-autonomia-e-resiliencia-dos-povos-da-floresta/</t>
  </si>
  <si>
    <t xml:space="preserve">2025-06-24</t>
  </si>
  <si>
    <t xml:space="preserve">2024-03-20 a 2024-05-20</t>
  </si>
  <si>
    <t xml:space="preserve">R$ 2.600.000,00 total; até R$ 50.000,00 por projeto (52)</t>
  </si>
  <si>
    <t xml:space="preserve">op-4aa7c5be0da7</t>
  </si>
  <si>
    <t xml:space="preserve">Reconstruir RS – Apoio à Resiliência Climática e Reconstrução Comunitária 2025 — Rio Grande do Sul</t>
  </si>
  <si>
    <t xml:space="preserve">Reconstruir RS – Apoio à Resiliência Climática e Reconstrução Comunitária 2025</t>
  </si>
  <si>
    <t xml:space="preserve">Fundo Casa Socioambiental (apoio: BrazilFoundation, GlobalGiving, RegeneraRS, recursos próprios)</t>
  </si>
  <si>
    <t xml:space="preserve">https://casa.org.br/chamadas/reconstruir-rs-apoio-a-resiliencia-climatica-e-reconstrucao-comunitaria-2025/</t>
  </si>
  <si>
    <t xml:space="preserve">2025-09-22</t>
  </si>
  <si>
    <t xml:space="preserve">2025-08-19 a 2025-09-22</t>
  </si>
  <si>
    <t xml:space="preserve">R$ 2.250.000,00 total; até R$ 50.000,00 por projeto (até 45)</t>
  </si>
  <si>
    <t xml:space="preserve">op-555d13de7752</t>
  </si>
  <si>
    <t xml:space="preserve">Itaberaí — edital de chamamento público nº 002/2025 — Goiás</t>
  </si>
  <si>
    <t xml:space="preserve">Itaberaí — EDITAL DE CHAMAMENTO PÚBLICO Nº 002/2025</t>
  </si>
  <si>
    <t xml:space="preserve">https://itaberai.go.gov.br/dital-de-chamamento-publico-no-002-2025/</t>
  </si>
  <si>
    <t xml:space="preserve">Itaberaí — EDITAL DE CHAMAMENTO PÚBLICO Nº 005/2024</t>
  </si>
  <si>
    <t xml:space="preserve">https://itaberai.go.gov.br/edital-de-chamamento-publico-no-005-2024/</t>
  </si>
  <si>
    <t xml:space="preserve">op-76409b46b2bc</t>
  </si>
  <si>
    <t xml:space="preserve">Secretaria de Estado da Cultura (Secult) — Chamamento público de seleção de OSC para execução do projeto CineL… — Goiás</t>
  </si>
  <si>
    <t xml:space="preserve">Secretaria de Estado da Cultura (Secult) — Chamamento público de seleção de OSC para execução do projeto CineLeitura do Bem encerra neste sábado (27/12)</t>
  </si>
  <si>
    <t xml:space="preserve">https://goias.gov.br/cultura/chamamento-publico-de-selecao-de-osc-para-execucao-do-projeto-cineleitura-do-bem-encerra-neste-sabado-27-12/</t>
  </si>
  <si>
    <t xml:space="preserve">2025-08-13</t>
  </si>
  <si>
    <t xml:space="preserve">2025-09-10</t>
  </si>
  <si>
    <t xml:space="preserve">https://goias.gov.br/cultura/governo-de-goias-abre-chamamento-publico-para-execucao-do-projeto-cine-goias-itinerante/</t>
  </si>
  <si>
    <t xml:space="preserve">{'observacao': 'Série oficial identificada na API do site goias.gov.br (publicações 2023–2025): CINE. Categoria específica pode ter edital próprio; conferir no Diário Oficial.'}</t>
  </si>
  <si>
    <t xml:space="preserve">op-c501e2550cc5</t>
  </si>
  <si>
    <t xml:space="preserve">Secretaria de Estado da Cultura (Secult) — Secult realiza ajustes no Chamamento Público do projeto Cine Goiás … — Goiás</t>
  </si>
  <si>
    <t xml:space="preserve">Secretaria de Estado da Cultura (Secult) — Secult realiza ajustes no Chamamento Público do projeto Cine Goiás Itinerante</t>
  </si>
  <si>
    <t xml:space="preserve">https://goias.gov.br/cultura/secult-realiza-ajustes-no-chamamento-publico-do-projeto-cine-goias-itinerante/</t>
  </si>
  <si>
    <t xml:space="preserve">op-34fe6648d23a</t>
  </si>
  <si>
    <t xml:space="preserve">Secretaria de Estado da Cultura (Secult) — Governo de Goiás abre chamamento público para execução do Projeto C… — Goiás</t>
  </si>
  <si>
    <t xml:space="preserve">Secretaria de Estado da Cultura (Secult) — Governo de Goiás abre chamamento público para execução do Projeto Cine Goiás Itinerante</t>
  </si>
  <si>
    <t xml:space="preserve">op-68a96ee2ea0e</t>
  </si>
  <si>
    <t xml:space="preserve">Secretaria de Estado da Cultura (Secult) — Governo de Goiás publica cronograma do edital de apoio a blocos de … — Goiás</t>
  </si>
  <si>
    <t xml:space="preserve">Secretaria de Estado da Cultura (Secult) — Governo de Goiás publica cronograma do edital de apoio a blocos de pré e carnaval de rua</t>
  </si>
  <si>
    <t xml:space="preserve">https://goias.gov.br/cultura/governo-de-goias-publica-cronograma-do-edital-de-apoio-a-blocos-de-pre-e-carnaval-de-rua/</t>
  </si>
  <si>
    <t xml:space="preserve">2025-01-27</t>
  </si>
  <si>
    <t xml:space="preserve">2025-01-31</t>
  </si>
  <si>
    <t xml:space="preserve">https://goias.gov.br/cultura/governo-de-goias-lanca-edital-de-fomento-aos-blocos-de-carnaval-na-capital-e-nas-cidades-do-interior/</t>
  </si>
  <si>
    <t xml:space="preserve">{'observacao': 'Série oficial identificada na API do site goias.gov.br (publicações 2023–2025): BLOCOS. Categoria específica pode ter edital próprio; conferir no Diário Oficial.'}</t>
  </si>
  <si>
    <t xml:space="preserve">op-96e7ff1f222a</t>
  </si>
  <si>
    <t xml:space="preserve">Secretaria de Estado da Cultura (Secult) — Governo de Goiás abre seleção de pareceristas para projetos cultura… — Goiás</t>
  </si>
  <si>
    <t xml:space="preserve">Secretaria de Estado da Cultura (Secult) — Governo de Goiás abre seleção de pareceristas para projetos culturais da Pnab</t>
  </si>
  <si>
    <t xml:space="preserve">https://goias.gov.br/cultura/governo-de-goias-abre-selecao-de-pareceristas-para-projetos-culturais-da-pnab/</t>
  </si>
  <si>
    <t xml:space="preserve">2024-08-14</t>
  </si>
  <si>
    <t xml:space="preserve">2024-08-22</t>
  </si>
  <si>
    <t xml:space="preserve">https://goias.gov.br/cultura/secult-goias-abre-inscricao-para-pareceristas-dos-editais-da-politica-nacional-aldir-blanc/</t>
  </si>
  <si>
    <t xml:space="preserve">{'observacao': 'Seleção de pareceristas da PNAB 2024 (site Secult).'}</t>
  </si>
  <si>
    <t xml:space="preserve">op-555316c50431</t>
  </si>
  <si>
    <t xml:space="preserve">Secretaria de Estado da Cultura (Secult) — Governo de Goiás lança edital de R$ 1 milhão para apoiar bandas, co… — Goiás</t>
  </si>
  <si>
    <t xml:space="preserve">Secretaria de Estado da Cultura (Secult) — Governo de Goiás lança edital de R$ 1 milhão para apoiar bandas, corais e fanfarras</t>
  </si>
  <si>
    <t xml:space="preserve">https://goias.gov.br/cultura/governo-de-goias-lanca-edital-de-r-1-milhao-para-apoiar-bandas-corais-e-fanfarras/</t>
  </si>
  <si>
    <t xml:space="preserve">2025-04-09</t>
  </si>
  <si>
    <t xml:space="preserve">{'observacao': 'Série oficial identificada na API do site goias.gov.br (publicações 2023–2025): BANDAS. Categoria específica pode ter edital próprio; conferir no Diário Oficial.'}</t>
  </si>
  <si>
    <t xml:space="preserve">op-a978edc890dc</t>
  </si>
  <si>
    <t xml:space="preserve">Execução de ações culturais (apoio direto a projetos) — seleção para Termo de Execução Cultural PNAB — Goiás</t>
  </si>
  <si>
    <t xml:space="preserve">Execução de ações culturais (apoio direto a projetos) — seleção para Termo de Execução Cultural PNAB</t>
  </si>
  <si>
    <t xml:space="preserve">Município de Davinópolis</t>
  </si>
  <si>
    <t xml:space="preserve">https://pncp.gov.br/app/editais/01130277000100/2026/72</t>
  </si>
  <si>
    <t xml:space="preserve">2026-08-29</t>
  </si>
  <si>
    <t xml:space="preserve">2026-06-23 a 2026-08-29</t>
  </si>
  <si>
    <t xml:space="preserve">R$ 31.789,48 (estimado)</t>
  </si>
  <si>
    <t xml:space="preserve">op-8c3d45a9a560</t>
  </si>
  <si>
    <t xml:space="preserve">Chamada Pública FAPEG nº 17/2026 – complementar à Chamada CONFAP/WBI — Goiás</t>
  </si>
  <si>
    <t xml:space="preserve">Chamada Pública FAPEG nº 17/2026 – complementar à Chamada CONFAP/WBI</t>
  </si>
  <si>
    <t xml:space="preserve">https://goias.gov.br/fapeg/wp-content/uploads/sites/5/2026/08/Chamada_Publica_FAPEG_17_2026_complementar_a_Chamada_CONFAP_WBI.pdf</t>
  </si>
  <si>
    <t xml:space="preserve">https://goias.gov.br/fapeg/prazo-para-submeter-propostas-a-chamada-confap-wbi-belgica-e-ate-dia-22/</t>
  </si>
  <si>
    <t xml:space="preserve">R$ 100 mil por projeto</t>
  </si>
  <si>
    <t xml:space="preserve">{'observacao': 'Edição 2022 (23/03/2022) fora da janela de 3 anos. Data de abertura de 2024 não localizada; resultado final em 19/12/2024.'}</t>
  </si>
  <si>
    <t xml:space="preserve">op-6f92b1128d4a</t>
  </si>
  <si>
    <t xml:space="preserve">PNAB Goiânia 2024 - Edital 08 - Fomento Cultural I – Criação, Montagem, Circulação — Goiás / Goiânia</t>
  </si>
  <si>
    <t xml:space="preserve">PNAB Goiânia 2024 - Edital 08 - Fomento Cultural I – Criação, Montagem, Circulação</t>
  </si>
  <si>
    <t xml:space="preserve">https://www.goiania.go.gov.br/secult/pnab-2024/</t>
  </si>
  <si>
    <t xml:space="preserve">op-697bd59d47f8</t>
  </si>
  <si>
    <t xml:space="preserve">PNAB Goiânia 2024 - Edital 09 - Fomento Cultural II – Ações Formativas — Goiás / Goiânia</t>
  </si>
  <si>
    <t xml:space="preserve">PNAB Goiânia 2024 - Edital 09 - Fomento Cultural II – Ações Formativas</t>
  </si>
  <si>
    <t xml:space="preserve">op-29aa342fc85c</t>
  </si>
  <si>
    <t xml:space="preserve">PNAB Goiânia 2024 - Edital 10 - Fomento Cultural III – Patrimônio Cultural — Goiás / Goiânia</t>
  </si>
  <si>
    <t xml:space="preserve">PNAB Goiânia 2024 - Edital 10 - Fomento Cultural III – Patrimônio Cultural</t>
  </si>
  <si>
    <t xml:space="preserve">op-3307ca10cc6a</t>
  </si>
  <si>
    <t xml:space="preserve">PNAB Goiânia 2024 - Edital 12 - Subsídio para Manutenção de Espaços Culturais — Goiás / Goiânia</t>
  </si>
  <si>
    <t xml:space="preserve">PNAB Goiânia 2024 - Edital 12 - Subsídio para Manutenção de Espaços Culturais</t>
  </si>
  <si>
    <t xml:space="preserve">op-e94b086a73cb</t>
  </si>
  <si>
    <t xml:space="preserve">PNAB Goiânia 2024 - Edital 13 - Cultura Viva para fomento a Pontos de Cultura — Goiás / Goiânia</t>
  </si>
  <si>
    <t xml:space="preserve">PNAB Goiânia 2024 - Edital 13 - Cultura Viva para fomento a Pontos de Cultura</t>
  </si>
  <si>
    <t xml:space="preserve">op-31d1eb1cb9a9</t>
  </si>
  <si>
    <t xml:space="preserve">Prêmio Funarte Mestras e Mestres das Artes 2025 — Brasil</t>
  </si>
  <si>
    <t xml:space="preserve">Prêmio Funarte Mestras e Mestres das Artes 2025</t>
  </si>
  <si>
    <t xml:space="preserve">https://www.gov.br/funarte/pt-br/editais/2025/premio-funarte-mestras-e-mestres-das-artes-2025</t>
  </si>
  <si>
    <t xml:space="preserve">2025-08-29</t>
  </si>
  <si>
    <t xml:space="preserve">2025-09-29</t>
  </si>
  <si>
    <t xml:space="preserve">2025-08-29 a 2025-09-29</t>
  </si>
  <si>
    <t xml:space="preserve">R$ 5 milhões; 50 prêmios de R$ 100 mil</t>
  </si>
  <si>
    <t xml:space="preserve">op-789c308663e0</t>
  </si>
  <si>
    <t xml:space="preserve">Programa Funarte de Difusão Nacional 2025 - Circuito Myriam Muniz de Teatro — Brasil</t>
  </si>
  <si>
    <t xml:space="preserve">Programa Funarte de Difusão Nacional 2025 - Circuito Myriam Muniz de Teatro</t>
  </si>
  <si>
    <t xml:space="preserve">https://www.gov.br/funarte/pt-br/editais/2025/programa-funarte-de-difusao-nacional-2025/circuito-myriam-muniz-de-teatro</t>
  </si>
  <si>
    <t xml:space="preserve">2025-12-19</t>
  </si>
  <si>
    <t xml:space="preserve">https://www.gov.br/funarte/pt-br/editais/2025/programa-funarte-de-difusao-nacional-2025/circuito-pixinguinha-de-musica</t>
  </si>
  <si>
    <t xml:space="preserve">2025-12-19 a 2026-01-28</t>
  </si>
  <si>
    <t xml:space="preserve">R$ 4,5 milhões; R$ 150 mil, R$ 300 mil ou R$ 500 mil por circuito</t>
  </si>
  <si>
    <t xml:space="preserve">op-21b31c90e94a</t>
  </si>
  <si>
    <t xml:space="preserve">Anápolis — Fundo Municipal de Cultura recebe inscrições até domingo (19)</t>
  </si>
  <si>
    <t xml:space="preserve">https://www.anapolis.go.gov.br/fundo-municipal-de-cultura-recebe-inscricoes-ate-domingo-19/</t>
  </si>
  <si>
    <t xml:space="preserve">2024-03-13</t>
  </si>
  <si>
    <t xml:space="preserve">2024-05-19</t>
  </si>
  <si>
    <t xml:space="preserve">{'observacao': 'Inscrições de 13/03 a 19/05/2024 (prorrogadas). Ciclo 2023/2024 único localizado.'}</t>
  </si>
  <si>
    <t xml:space="preserve">op-29f1c31d8df6</t>
  </si>
  <si>
    <t xml:space="preserve">Credenciamento de artistas e bandas para a realização de apresentações musicais a serem executadas… — MUNICIPI… — Brasil</t>
  </si>
  <si>
    <t xml:space="preserve">Credenciamento de artistas e bandas para a realização de apresentações musicais a serem executadas… — MUNICIPIO DE PARIPIRANGA</t>
  </si>
  <si>
    <t xml:space="preserve">MUNICIPIO DE PARIPIRANGA</t>
  </si>
  <si>
    <t xml:space="preserve">https://pncp.gov.br/app/editais/14215826000182/2025/171</t>
  </si>
  <si>
    <t xml:space="preserve">op-7a33a41da37e</t>
  </si>
  <si>
    <t xml:space="preserve">Referente a contratação de artistas e produtores culturais pessoas jurídicas (mei) para ministrar oficinas em…… — Brasil</t>
  </si>
  <si>
    <t xml:space="preserve">REFERENTE A CONTRATAÇÃO DE ARTISTAS E PRODUTORES CULTURAIS PESSOAS JURÍDICAS (MEI) PARA MINISTRAR OFICINAS EM… — FUNDACAO MUNICIPAL DE CULTURA DE BALNEARIO PICA</t>
  </si>
  <si>
    <t xml:space="preserve">FUNDACAO MUNICIPAL DE CULTURA DE BALNEARIO PICARRAS</t>
  </si>
  <si>
    <t xml:space="preserve">https://pncp.gov.br/app/editais/19767892000189/2024/4</t>
  </si>
  <si>
    <t xml:space="preserve">2025-11-03</t>
  </si>
  <si>
    <t xml:space="preserve">https://pncp.gov.br/app/editais/19767892000189/2025/3</t>
  </si>
  <si>
    <t xml:space="preserve">op-0ec160525b20</t>
  </si>
  <si>
    <t xml:space="preserve">Referente a contratação de artistas e produtroes culturais pessoas jurídicas (mei) para ministrar oficinas em…… — Brasil</t>
  </si>
  <si>
    <t xml:space="preserve">REFERENTE A CONTRATAÇÃO DE ARTISTAS E PRODUTROES CULTURAIS PESSOAS JURÍDICAS (MEI) PARA MINISTRAR OFICINAS EM… — FUNDACAO MUNICIPAL DE CULTURA DE BALNEARIO PICA</t>
  </si>
  <si>
    <t xml:space="preserve">2024-11-18</t>
  </si>
  <si>
    <t xml:space="preserve">op-12126556b22a</t>
  </si>
  <si>
    <t xml:space="preserve">Fortalecendo o Protagonismo Local na Agenda Climática — Brasil</t>
  </si>
  <si>
    <t xml:space="preserve">Fortalecendo o Protagonismo Local na Agenda Climática</t>
  </si>
  <si>
    <t xml:space="preserve">https://casa.org.br/chamadas/fortalecendo-o-protagonismo-local-na-agenda-climatica-apoio-a-acoes-de-incidencia-e-producao-de-conhecimento-para-a-cop30-e-outros-espacos/</t>
  </si>
  <si>
    <t xml:space="preserve">2025-04-07</t>
  </si>
  <si>
    <t xml:space="preserve">Fortalecendo o protagonismo local na agenda climática – Apoio a ações de incidência e produção de conhecimento para a COP30 e outros espaços</t>
  </si>
  <si>
    <t xml:space="preserve">2025-04-08 a 2025-05-08</t>
  </si>
  <si>
    <t xml:space="preserve">R$ 1.500.000,00 total; até R$ 30.000,00 por projeto (até 50)</t>
  </si>
  <si>
    <t xml:space="preserve">Fundo Casa Socioambiental (apoio: MacKenzie Scott)</t>
  </si>
  <si>
    <t xml:space="preserve">op-91ac86f3457d</t>
  </si>
  <si>
    <t xml:space="preserve">A AIPÊ – Aliança pela Inclusão Produtiva lança duas novas chamadas públicas. — Brasil</t>
  </si>
  <si>
    <t xml:space="preserve">A AIPÊ – Aliança pela Inclusão Produtiva lança duas novas chamadas públicas.</t>
  </si>
  <si>
    <t xml:space="preserve">https://www.aipe.org.br/</t>
  </si>
  <si>
    <t xml:space="preserve">2024-12-23</t>
  </si>
  <si>
    <t xml:space="preserve">2025-02-14</t>
  </si>
  <si>
    <t xml:space="preserve">https://aipe.org.br/chamadas.php</t>
  </si>
  <si>
    <t xml:space="preserve">Você tem um projeto que atua com práticas de agricultura sustentável ou turismo sustentável e quer fortalecer a sua iniciativa? Confira as duas novas chamadas da AIPÊ com inscrições abertas até dia 21</t>
  </si>
  <si>
    <t xml:space="preserve">op-e4c2cbb7615b</t>
  </si>
  <si>
    <t xml:space="preserve">Chamada Instituto Cultural Vale 2026 — Brasil</t>
  </si>
  <si>
    <t xml:space="preserve">Chamada Instituto Cultural Vale 2026</t>
  </si>
  <si>
    <t xml:space="preserve">Instituto Cultural Vale</t>
  </si>
  <si>
    <t xml:space="preserve">https://institutoculturalvale.org/wp-content/uploads/2026/04/Regulamento-Chamada-Instituto-Cultural-Vale-2026-16-Abr-2026-14h50.pdf</t>
  </si>
  <si>
    <t xml:space="preserve">30.000.000,00 (valor total, moeda da fonte)</t>
  </si>
  <si>
    <t xml:space="preserve">op-b442871d369a</t>
  </si>
  <si>
    <t xml:space="preserve">Promac 2026 — Programa Municipal de Apoio a Projetos Culturais (SP) — São Paulo / São Paulo</t>
  </si>
  <si>
    <t xml:space="preserve">Promac 2026 — Programa Municipal de Apoio a Projetos Culturais (SP)</t>
  </si>
  <si>
    <t xml:space="preserve">Secretaria Municipal de Cultura — São Paulo</t>
  </si>
  <si>
    <t xml:space="preserve">https://prefeitura.sp.gov.br/web/se/w/prefeitura-de-s%C3%A3o-paulo-abre-inscri%C3%A7%C3%B5es-para-edital-do-programa-municipal-de-apoio-a-projetos-culturais-promac-2026</t>
  </si>
  <si>
    <t xml:space="preserve">op-ca038bd686a1</t>
  </si>
  <si>
    <t xml:space="preserve">Edital de fomento a ações artísticas e culturais - política nacional aldir blanc — Ceará</t>
  </si>
  <si>
    <t xml:space="preserve">EDITAL DE FOMENTO A AÇÕES ARTÍSTICAS E CULTURAIS - POLÍTICA NACIONAL ALDIR BLANC</t>
  </si>
  <si>
    <t xml:space="preserve">https://mapacultural.secult.ce.gov.br/oportunidade/8062/</t>
  </si>
  <si>
    <t xml:space="preserve">2026-07-24</t>
  </si>
  <si>
    <t xml:space="preserve">op-e937d7a68c7e</t>
  </si>
  <si>
    <t xml:space="preserve">Concurso para selecao de duas propostas de montagem teatral — Minas Gerais</t>
  </si>
  <si>
    <t xml:space="preserve">CONCURSO PARA SELECAO DE DUAS PROPOSTAS DE MONTAGEM TEATRAL</t>
  </si>
  <si>
    <t xml:space="preserve">FUNDACAO MUNICIPAL DE CULTURA</t>
  </si>
  <si>
    <t xml:space="preserve">https://pncp.gov.br/app/editais/07252975000156/2026/20</t>
  </si>
  <si>
    <t xml:space="preserve">op-b79b12a1ca65</t>
  </si>
  <si>
    <t xml:space="preserve">Edital de chamamento público mestra dona baia — Ceará</t>
  </si>
  <si>
    <t xml:space="preserve">EDITAL DE CHAMAMENTO PÚBLICO MESTRA DONA BAIA</t>
  </si>
  <si>
    <t xml:space="preserve">https://mapacultural.secult.ce.gov.br/oportunidade/8064/</t>
  </si>
  <si>
    <t xml:space="preserve">op-0c6e4c34ca5f</t>
  </si>
  <si>
    <t xml:space="preserve">Convocatória PRIS - Programa de Residências e Intercâmbio — Ceará</t>
  </si>
  <si>
    <t xml:space="preserve">Convocatória PRIS - Programa de Residências e Intercâmbio</t>
  </si>
  <si>
    <t xml:space="preserve">https://mapacultural.secult.ce.gov.br/oportunidade/7868/</t>
  </si>
  <si>
    <t xml:space="preserve">op-a1bf9790ce4e</t>
  </si>
  <si>
    <t xml:space="preserve">Credenciamento de artistas regionais pessoa jurídica — Minas Gerais</t>
  </si>
  <si>
    <t xml:space="preserve">Credenciamento de artistas regionais pessoa jurídica</t>
  </si>
  <si>
    <t xml:space="preserve">MUNICIPIO DE PORTEIRINHA</t>
  </si>
  <si>
    <t xml:space="preserve">https://pncp.gov.br/app/editais/18013326000119/2026/79</t>
  </si>
  <si>
    <t xml:space="preserve">op-4d05b359e46a</t>
  </si>
  <si>
    <t xml:space="preserve">Edital de fomento a ações artísticas e culturais — Ceará</t>
  </si>
  <si>
    <t xml:space="preserve">EDITAL DE FOMENTO A AÇÕES ARTÍSTICAS E CULTURAIS</t>
  </si>
  <si>
    <t xml:space="preserve">https://mapacultural.secult.ce.gov.br/oportunidade/8109/</t>
  </si>
  <si>
    <t xml:space="preserve">op-59d9ff5da0d7</t>
  </si>
  <si>
    <t xml:space="preserve">Seleção Petrobras Cultural 2026 — Brasil</t>
  </si>
  <si>
    <t xml:space="preserve">Seleção Petrobras Cultural 2026</t>
  </si>
  <si>
    <t xml:space="preserve">https://petrobras.com.br/cultural/selecoes-publicas-culturais</t>
  </si>
  <si>
    <t xml:space="preserve">https://www.gov.br/cultura/pt-br/assuntos/editais/inscricoes-encerradas/selecao-petrobras-cultural-2013-novos-eixos-1</t>
  </si>
  <si>
    <t xml:space="preserve">R$ 270 milhões no total</t>
  </si>
  <si>
    <t xml:space="preserve">op-2b60204e2972</t>
  </si>
  <si>
    <t xml:space="preserve">Fomento CultSP – ProAC nº 09/2026 — Projetos Culturais em municípios de até 50 mil habitantes — São Paulo / São Paulo</t>
  </si>
  <si>
    <t xml:space="preserve">Fomento CultSP – ProAC nº 09/2026 — Projetos Culturais em municípios de até 50 mil habitantes</t>
  </si>
  <si>
    <t xml:space="preserve">Secretaria da Cultura, Economia e Indústria Criativas de São Paulo</t>
  </si>
  <si>
    <t xml:space="preserve">https://www.cultura.sp.gov.br/sec_cultura/Arquivo_de_Editais/Editais_Fomento_Cultsp/Fomento_CultSP_2026/realizacao_de_projetos_culturais_em_municipios_de_ate_50_mil_habitantes_2026</t>
  </si>
  <si>
    <t xml:space="preserve">R$ 12.000.000,00 (valor total)</t>
  </si>
  <si>
    <t xml:space="preserve">op-e12a6e8019b3</t>
  </si>
  <si>
    <t xml:space="preserve">Fomento CultSP – ProAC nº 08/2026 — Mostras, Festivais e Eventos — São Paulo / São Paulo</t>
  </si>
  <si>
    <t xml:space="preserve">Fomento CultSP – ProAC nº 08/2026 — Mostras, Festivais e Eventos</t>
  </si>
  <si>
    <t xml:space="preserve">https://www.cultura.sp.gov.br/sec_cultura/Arquivo_de_Editais/Editais_Fomento_Cultsp/Fomento_CultSP_2026/economia_criativa_fomento_a_mostras_festivais_e_eventos_2026/</t>
  </si>
  <si>
    <t xml:space="preserve">R$ 15.000.000,00 (valor total)</t>
  </si>
  <si>
    <t xml:space="preserve">op-260eb0496772</t>
  </si>
  <si>
    <t xml:space="preserve">Edital BH nas Telas 2026 (Belo Horizonte) — Minas Gerais / Belo Horizonte</t>
  </si>
  <si>
    <t xml:space="preserve">Edital BH nas Telas 2026 (Belo Horizonte)</t>
  </si>
  <si>
    <t xml:space="preserve">Prefeitura de Belo Horizonte — Secretaria Municipal de Cultura / Fundo Municipal de Cultura (LMIC)</t>
  </si>
  <si>
    <t xml:space="preserve">Belo Horizonte</t>
  </si>
  <si>
    <t xml:space="preserve">https://prefeitura.pbh.gov.br/cultura/edital-bh-nas-telas-2026</t>
  </si>
  <si>
    <t xml:space="preserve">R$ 2.000.000,00 (valor total)</t>
  </si>
  <si>
    <t xml:space="preserve">op-87708fd2c096</t>
  </si>
  <si>
    <t xml:space="preserve">Edital 002/2026 - ii festival das artes — Ceará</t>
  </si>
  <si>
    <t xml:space="preserve">EDITAL 002/2026 - II FESTIVAL DAS ARTES</t>
  </si>
  <si>
    <t xml:space="preserve">https://mapacultural.secult.ce.gov.br/oportunidade/8136/</t>
  </si>
  <si>
    <t xml:space="preserve">R$ 40.000,00 (valor total)</t>
  </si>
  <si>
    <t xml:space="preserve">op-0b45790407a7</t>
  </si>
  <si>
    <t xml:space="preserve">Edital LMIC Multilinguagens 2026 (Belo Horizonte) — Minas Gerais / Belo Horizonte</t>
  </si>
  <si>
    <t xml:space="preserve">Edital LMIC Multilinguagens 2026 (Belo Horizonte)</t>
  </si>
  <si>
    <t xml:space="preserve">https://prefeitura.pbh.gov.br/cultura/edital-multilinguagens-2026</t>
  </si>
  <si>
    <t xml:space="preserve">R$ 9.600.000,00 (valor total)</t>
  </si>
  <si>
    <t xml:space="preserve">op-24ae928195ee</t>
  </si>
  <si>
    <t xml:space="preserve">Credenciamento de atividades, artistas, grupos e coletivos — Santa Catarina</t>
  </si>
  <si>
    <t xml:space="preserve">Credenciamento de atividades, artistas, grupos e coletivos</t>
  </si>
  <si>
    <t xml:space="preserve">https://pncp.gov.br/app/editais/01605479000152/2026/78</t>
  </si>
  <si>
    <t xml:space="preserve">2025-12-30</t>
  </si>
  <si>
    <t xml:space="preserve">op-2a685fac3424</t>
  </si>
  <si>
    <t xml:space="preserve">Edital de chamamento público nº 02/2026 pnab secult — Ceará</t>
  </si>
  <si>
    <t xml:space="preserve">EDITAL DE CHAMAMENTO PÚBLICO Nº 02/2026 PNAB SECULT</t>
  </si>
  <si>
    <t xml:space="preserve">https://mapacultural.secult.ce.gov.br/oportunidade/7955/</t>
  </si>
  <si>
    <t xml:space="preserve">op-543623b96ab6</t>
  </si>
  <si>
    <t xml:space="preserve">Edital ciclo ceará da paixão – 2027 — Ceará</t>
  </si>
  <si>
    <t xml:space="preserve">EDITAL CICLO CEARÁ DA PAIXÃO – 2027</t>
  </si>
  <si>
    <t xml:space="preserve">https://mapacultural.secult.ce.gov.br/oportunidade/8185/</t>
  </si>
  <si>
    <t xml:space="preserve">op-682201e45198</t>
  </si>
  <si>
    <t xml:space="preserve">Seleção de 5 propostas de pesquisa em dança — Minas Gerais</t>
  </si>
  <si>
    <t xml:space="preserve">SELEÇÃO DE 5 PROPOSTAS DE PESQUISA EM DANÇA</t>
  </si>
  <si>
    <t xml:space="preserve">https://pncp.gov.br/app/editais/07252975000156/2026/29</t>
  </si>
  <si>
    <t xml:space="preserve">op-f38ebe3707ee</t>
  </si>
  <si>
    <t xml:space="preserve">Chamamento público para premiação de agentes culturais — Bahia</t>
  </si>
  <si>
    <t xml:space="preserve">CHAMAMENTO PÚBLICO PARA PREMIAÇÃO DE AGENTES CULTURAIS</t>
  </si>
  <si>
    <t xml:space="preserve">MUNICIPIO DE ALAGOINHAS</t>
  </si>
  <si>
    <t xml:space="preserve">https://pncp.gov.br/app/editais/13646005000138/2026/150</t>
  </si>
  <si>
    <t xml:space="preserve">op-cf54c1e95868</t>
  </si>
  <si>
    <t xml:space="preserve">Edital de intercâmbio cultural minc nº 1 - circulação e participação audiovisual — Brasil</t>
  </si>
  <si>
    <t xml:space="preserve">EDITAL DE INTERCÂMBIO CULTURAL MINC Nº 1 - CIRCULAÇÃO E PARTICIPAÇÃO AUDIOVISUAL</t>
  </si>
  <si>
    <t xml:space="preserve">Secretaria do Audiovisual (SAv/MinC)</t>
  </si>
  <si>
    <t xml:space="preserve">https://www.gov.br/cultura/pt-br/assuntos/editais/inscricoes-encerradas/edital-de-intercambio-cultural-circulacao-e-participacao-audiovisual-no-exterior</t>
  </si>
  <si>
    <t xml:space="preserve">2026-06-15 a 2026-09-29</t>
  </si>
  <si>
    <t xml:space="preserve">op-7e74410ed7fc</t>
  </si>
  <si>
    <t xml:space="preserve">Edital nº 2/2026 UNAIDS/DATHI – ações comunitárias em HIV/aids e ISTs — Brasil</t>
  </si>
  <si>
    <t xml:space="preserve">Edital nº 2/2026 UNAIDS/DATHI – ações comunitárias em HIV/aids e ISTs</t>
  </si>
  <si>
    <t xml:space="preserve">Ministério da Saúde / UNAIDS</t>
  </si>
  <si>
    <t xml:space="preserve">https://unaids.org.br/wp-content/uploads/2026/04/2026-Edital-2-UNAIDS-DATHI-220426-12h54min.pdf</t>
  </si>
  <si>
    <t xml:space="preserve">2026-05-22</t>
  </si>
  <si>
    <t xml:space="preserve">até R$ 100 mil por projeto</t>
  </si>
  <si>
    <t xml:space="preserve">op-309d19c810e4</t>
  </si>
  <si>
    <t xml:space="preserve">Edital Instituto Alcoa 2026 — Brasil</t>
  </si>
  <si>
    <t xml:space="preserve">Edital Instituto Alcoa 2026</t>
  </si>
  <si>
    <t xml:space="preserve">Instituto Alcoa</t>
  </si>
  <si>
    <t xml:space="preserve">PA; MA; MG; SP</t>
  </si>
  <si>
    <t xml:space="preserve">https://institutoalcoa.sponsor.com/</t>
  </si>
  <si>
    <t xml:space="preserve">R$ 50 mil a R$ 200 mil</t>
  </si>
  <si>
    <t xml:space="preserve">op-fc3bed85b5a8</t>
  </si>
  <si>
    <t xml:space="preserve">Edital Itaú Viver Mais 2026 — Brasil</t>
  </si>
  <si>
    <t xml:space="preserve">Edital Itaú Viver Mais 2026</t>
  </si>
  <si>
    <t xml:space="preserve">Itaú Viver Mais</t>
  </si>
  <si>
    <t xml:space="preserve">http://www.itauvivermais.com.br/pilares/editais/edital-ivm-2026</t>
  </si>
  <si>
    <t xml:space="preserve">op-2fe4d5ad7972</t>
  </si>
  <si>
    <t xml:space="preserve">BNDES Periferias em Rede – Chamada Permanente do Fundo Socioambiental (6º ciclo) — Brasil</t>
  </si>
  <si>
    <t xml:space="preserve">BNDES Periferias em Rede – Chamada Permanente do Fundo Socioambiental (6º ciclo)</t>
  </si>
  <si>
    <t xml:space="preserve">https://bndes.gov.br/periferias</t>
  </si>
  <si>
    <t xml:space="preserve">projeto mínimo de R$ 20 milhões (com contrapartida)</t>
  </si>
  <si>
    <t xml:space="preserve">op-793dbd4d5ada</t>
  </si>
  <si>
    <t xml:space="preserve">Edital Agenda Rio 2030 – Edição Especial Complexos da Penha e do Alemão — Rio de Janeiro</t>
  </si>
  <si>
    <t xml:space="preserve">Edital Agenda Rio 2030 – Edição Especial Complexos da Penha e do Alemão</t>
  </si>
  <si>
    <t xml:space="preserve">Casa Fluminense</t>
  </si>
  <si>
    <t xml:space="preserve">https://casafluminense.org.br/atuacao/fundo-casa-fluminense/</t>
  </si>
  <si>
    <t xml:space="preserve">2026-07-12</t>
  </si>
  <si>
    <t xml:space="preserve">R$ 30.000 por iniciativa</t>
  </si>
  <si>
    <t xml:space="preserve">op-c03ac83c936b</t>
  </si>
  <si>
    <t xml:space="preserve">Apoio Emergencial Defensores de Direitos Humanos — Brasil</t>
  </si>
  <si>
    <t xml:space="preserve">Apoio Emergencial Defensores de Direitos Humanos</t>
  </si>
  <si>
    <t xml:space="preserve">https://www.fundobrasil.org.br/edital/apoio-emergencial-defensores-de-direitos-humanos/</t>
  </si>
  <si>
    <t xml:space="preserve">2024-11-22</t>
  </si>
  <si>
    <t xml:space="preserve">op-d78b71950718</t>
  </si>
  <si>
    <t xml:space="preserve">UNDEF — chamada anual 2026 (anunciada, datas ainda não publicadas) — Internacional</t>
  </si>
  <si>
    <t xml:space="preserve">UNDEF — chamada anual 2026 (anunciada, datas ainda não publicadas)</t>
  </si>
  <si>
    <t xml:space="preserve">https://www.un.org/democracyfund/en/content/when-apply-and-who-can-apply</t>
  </si>
  <si>
    <t xml:space="preserve">2025-02-01</t>
  </si>
  <si>
    <t xml:space="preserve">US$ 100.000 a US$ 200.000 por projeto (faixa informada pelo financiador)</t>
  </si>
  <si>
    <t xml:space="preserve">op-96048ef203d7</t>
  </si>
  <si>
    <t xml:space="preserve">Apoio a ações comunitárias frente aos incêndios florestais — Brasil</t>
  </si>
  <si>
    <t xml:space="preserve">Apoio a ações comunitárias frente aos incêndios florestais</t>
  </si>
  <si>
    <t xml:space="preserve">Fundo Casa Socioambiental (apoio: Instituto Itaúsa, Bem-Te-Vi Diversidade, Lush Cosmetics)</t>
  </si>
  <si>
    <t xml:space="preserve">2026-02-04</t>
  </si>
  <si>
    <t xml:space="preserve">2026-01-05 a 2026-02-04</t>
  </si>
  <si>
    <t xml:space="preserve">R$ 2.400.000,00 total; até R$ 60.000,00 por projeto (até 40)</t>
  </si>
  <si>
    <t xml:space="preserve">op-3c0aedd44295</t>
  </si>
  <si>
    <t xml:space="preserve">Fortalecimento dos direitos territoriais — Internacional</t>
  </si>
  <si>
    <t xml:space="preserve">Fortalecimento dos direitos territoriais</t>
  </si>
  <si>
    <t xml:space="preserve">Fundo Casa Socioambiental (apoio: Charles Stewart Mott Foundation, MacKenzie Scott (Yield Giving))</t>
  </si>
  <si>
    <t xml:space="preserve">AC,AL,AM,AP,BA,CE,MA,MT,PA,PB,PE,PI,RN,RO,RR,SE,TO</t>
  </si>
  <si>
    <t xml:space="preserve">https://casa.org.br/chamadas/fortalecimento-dos-direitos-territoriais/</t>
  </si>
  <si>
    <t xml:space="preserve">2026-05-19</t>
  </si>
  <si>
    <t xml:space="preserve">2026-04-16 a 2026-05-19</t>
  </si>
  <si>
    <t xml:space="preserve">op-d45be74abd34</t>
  </si>
  <si>
    <t xml:space="preserve">Seleção de entidade de direito privado, sem fins lucrativos, qualificada como organização da sociedade civil d… — Mato Grosso</t>
  </si>
  <si>
    <t xml:space="preserve">SELEÇÃO DE ENTIDADE DE DIREITO PRIVADO, SEM FINS LUCRATIVOS, QUALIFICADA COMO ORGANIZAÇÃO DA SOCIEDADE CIVIL DE INTERESSE PÚBLICO - OSCIP PARA CELEBRAR TERMO DE</t>
  </si>
  <si>
    <t xml:space="preserve">https://pncp.gov.br/app/editais/03239076000162/2026/26</t>
  </si>
  <si>
    <t xml:space="preserve">op-6195d37a1d25</t>
  </si>
  <si>
    <t xml:space="preserve">Seleção de projetos apresentados por Organizações da Sociedade Civil - OSCs, sem fins lucrativos, para celebra… — Rio Grande do Sul</t>
  </si>
  <si>
    <t xml:space="preserve">Seleção de projetos apresentados por Organizações da Sociedade Civil - OSCs, sem fins lucrativos, para celebrar Termo de Fomento, voltadas ao atendimento de cri</t>
  </si>
  <si>
    <t xml:space="preserve">PNCP — MUNICIPIO DE PASSO FUNDO</t>
  </si>
  <si>
    <t xml:space="preserve">https://pncp.gov.br/app/editais/87612537000190/2026/55</t>
  </si>
  <si>
    <t xml:space="preserve">nova-057d9af691af</t>
  </si>
  <si>
    <t xml:space="preserve">Convocação dos aprovados no processo seletivo – Edital nº 07/2025 Sead/Seds — Goiás</t>
  </si>
  <si>
    <t xml:space="preserve">Convocação dos aprovados no processo seletivo – Edital nº 07/2025 Sead/Seds</t>
  </si>
  <si>
    <t xml:space="preserve">https://goias.gov.br/social/convocacao-dos-aprovados-no-processo-seletivo-edital-no-07-2025-sead-seds</t>
  </si>
  <si>
    <t xml:space="preserve">nova-05b51e7bde77</t>
  </si>
  <si>
    <t xml:space="preserve">Edital Arranjos Regionais — Goiás</t>
  </si>
  <si>
    <t xml:space="preserve">Edital Arranjos Regionais</t>
  </si>
  <si>
    <t xml:space="preserve">https://goias.gov.br/cultura/tags/edital-arranjos-regionais</t>
  </si>
  <si>
    <t xml:space="preserve">nova-91d5d8b16912</t>
  </si>
  <si>
    <t xml:space="preserve">Credenciamento de pessoa física e/ou jurídica para possíveis e futuras contratações de grupos culturais… — fun… — Bahia</t>
  </si>
  <si>
    <t xml:space="preserve">1.1. CREDENCIAMENTO DE PESSOA FÍSICA E/OU JURÍDICA PARA POSSÍVEIS E FUTURAS CONTRATAÇÕES DE GRUPOS CULTURAIS… — FUNDO MUNICIPAL DE EDUCACAO - FME</t>
  </si>
  <si>
    <t xml:space="preserve">FUNDO MUNICIPAL DE EDUCACAO - FME</t>
  </si>
  <si>
    <t xml:space="preserve">https://pncp.gov.br/app/editais/21763447000192/2026/7</t>
  </si>
  <si>
    <t xml:space="preserve">2025-02-04</t>
  </si>
  <si>
    <t xml:space="preserve">https://pncp.gov.br/app/editais/21763447000192/2025/3</t>
  </si>
  <si>
    <t xml:space="preserve">{'inicio': '2026-01-22', 'fim': '2027-01-22'}</t>
  </si>
  <si>
    <t xml:space="preserve">op-8267bba8ae4c</t>
  </si>
  <si>
    <t xml:space="preserve">Credenciamento de artistas — municipio de guaruja — Brasil</t>
  </si>
  <si>
    <t xml:space="preserve">CREDENCIAMENTO DE ARTISTAS — MUNICIPIO DE GUARUJA</t>
  </si>
  <si>
    <t xml:space="preserve">MUNICIPIO DE GUARUJA</t>
  </si>
  <si>
    <t xml:space="preserve">https://pncp.gov.br/app/editais/44959021000104/2025/194</t>
  </si>
  <si>
    <t xml:space="preserve">op-5c7a39d5c394</t>
  </si>
  <si>
    <t xml:space="preserve">Credenciamento para contratação de artistas locais e regionais nas seguintes categorias: solo (voz e violão… —… — Brasil</t>
  </si>
  <si>
    <t xml:space="preserve">Credenciamento para contratação de artistas locais e regionais nas seguintes categorias: solo (voz e violão… — MUNICIPIO DE TEIXEIRA DE FREITAS</t>
  </si>
  <si>
    <t xml:space="preserve">MUNICIPIO DE TEIXEIRA DE FREITAS</t>
  </si>
  <si>
    <t xml:space="preserve">https://pncp.gov.br/app/editais/13650403000128/2025/715</t>
  </si>
  <si>
    <t xml:space="preserve">op-e58c39895a99</t>
  </si>
  <si>
    <t xml:space="preserve">Credenciamento de artistas ou bandas do segmentos musical para atender os eventos oficiais do municipio de… — … — Brasil</t>
  </si>
  <si>
    <t xml:space="preserve">CREDENCIAMENTO DE ARTISTAS OU BANDAS DO SEGMENTOS MUSICAL PARA ATENDER OS EVENTOS OFICIAIS DO MUNICIPIO DE… — MUNICIPIO DE RIO LARGO</t>
  </si>
  <si>
    <t xml:space="preserve">MUNICIPIO DE RIO LARGO</t>
  </si>
  <si>
    <t xml:space="preserve">https://pncp.gov.br/app/editais/12200168000120/2025/119</t>
  </si>
  <si>
    <t xml:space="preserve">op-8711d8f2380e</t>
  </si>
  <si>
    <t xml:space="preserve">Credenciamento de artistas, bandas, grupos musicais nos variados estilos para possíveis e futuras… — municipio… — Brasil</t>
  </si>
  <si>
    <t xml:space="preserve">CREDENCIAMENTO DE ARTISTAS, BANDAS, GRUPOS MUSICAIS NOS VARIADOS ESTILOS PARA POSSÍVEIS E FUTURAS… — MUNICIPIO DE ITAJAI</t>
  </si>
  <si>
    <t xml:space="preserve">MUNICIPIO DE ITAJAI</t>
  </si>
  <si>
    <t xml:space="preserve">https://pncp.gov.br/app/editais/83102277000152/2025/422</t>
  </si>
  <si>
    <t xml:space="preserve">op-1ea4ee1f2455</t>
  </si>
  <si>
    <t xml:space="preserve">Credenciamento para a prestação de serviços artísticos, incluindo artistas, grupos e bandas musicais locais e…… — Brasil</t>
  </si>
  <si>
    <t xml:space="preserve">Credenciamento para a prestação de serviços artísticos, incluindo artistas, grupos e bandas musicais locais e… — MUNICIPIO DE PORTO UNIAO</t>
  </si>
  <si>
    <t xml:space="preserve">MUNICIPIO DE PORTO UNIAO</t>
  </si>
  <si>
    <t xml:space="preserve">https://pncp.gov.br/app/editais/83102541000158/2025/179</t>
  </si>
  <si>
    <t xml:space="preserve">op-af754412e97a</t>
  </si>
  <si>
    <t xml:space="preserve">Contratação de artistas de renome local e/ou regional para apresentações musicais durante o calendário das… — … — Brasil</t>
  </si>
  <si>
    <t xml:space="preserve">CONTRATAÇÃO DE ARTISTAS DE RENOME LOCAL E/OU REGIONAL PARA APRESENTAÇÕES MUSICAIS DURANTE O CALENDÁRIO DAS… — MUNICIPIO DE LONTRA</t>
  </si>
  <si>
    <t xml:space="preserve">MUNICIPIO DE LONTRA</t>
  </si>
  <si>
    <t xml:space="preserve">https://pncp.gov.br/app/editais/25223009000192/2025/151</t>
  </si>
  <si>
    <t xml:space="preserve">op-f683c942a64e</t>
  </si>
  <si>
    <t xml:space="preserve">Credenciamento de artistas, bandas e grupos musicais, de variados estilos, para apresentações artísticas em… —… — Brasil</t>
  </si>
  <si>
    <t xml:space="preserve">CREDENCIAMENTO DE ARTISTAS, BANDAS E GRUPOS MUSICAIS, DE VARIADOS ESTILOS, PARA APRESENTAÇÕES ARTÍSTICAS EM… — MUNICIPIO DE VERDELANDIA</t>
  </si>
  <si>
    <t xml:space="preserve">MUNICIPIO DE VERDELANDIA</t>
  </si>
  <si>
    <t xml:space="preserve">https://pncp.gov.br/app/editais/01612505000170/2025/106</t>
  </si>
  <si>
    <t xml:space="preserve">op-f73e7c8d585d</t>
  </si>
  <si>
    <t xml:space="preserve">Credenciamento de artistas locais e regionais para eventos municipais de médio e grande porte e baile da… — MU… — Brasil</t>
  </si>
  <si>
    <t xml:space="preserve">Credenciamento de artistas locais e regionais para eventos municipais de médio e grande porte e baile da… — MUNICIPIO DE RODEIRO</t>
  </si>
  <si>
    <t xml:space="preserve">MUNICIPIO DE RODEIRO</t>
  </si>
  <si>
    <t xml:space="preserve">https://pncp.gov.br/app/editais/18128256000144/2025/90</t>
  </si>
  <si>
    <t xml:space="preserve">op-fd6c13b5a00a</t>
  </si>
  <si>
    <t xml:space="preserve">Procedimento auxiliar de credenciamento de artistas musicais, locais e regionais, para atendimento de… — munic… — Brasil</t>
  </si>
  <si>
    <t xml:space="preserve">PROCEDIMENTO AUXILIAR DE CREDENCIAMENTO DE ARTISTAS MUSICAIS, LOCAIS E REGIONAIS, PARA ATENDIMENTO DE… — MUNICIPIO DE CONEGO MARINHO</t>
  </si>
  <si>
    <t xml:space="preserve">MUNICIPIO DE CONEGO MARINHO</t>
  </si>
  <si>
    <t xml:space="preserve">https://pncp.gov.br/app/editais/01612492000139/2025/5</t>
  </si>
  <si>
    <t xml:space="preserve">op-677f595e8004</t>
  </si>
  <si>
    <t xml:space="preserve">Credenciamento de artistas e profissionais da cultura e da arte de Rio das Ostras, a fim de viabilizar futura…… — Brasil</t>
  </si>
  <si>
    <t xml:space="preserve">Credenciamento de artistas e profissionais da cultura e da arte de Rio das Ostras, a fim de viabilizar futura… — FUNDACAO RIO DAS OSTRAS DE CULTURA</t>
  </si>
  <si>
    <t xml:space="preserve">FUNDACAO RIO DAS OSTRAS DE CULTURA</t>
  </si>
  <si>
    <t xml:space="preserve">https://pncp.gov.br/app/editais/02246138000109/2025/25</t>
  </si>
  <si>
    <t xml:space="preserve">op-e9cf17136509</t>
  </si>
  <si>
    <t xml:space="preserve">Credenciamento de artistas locais e/ou regionais para produção musical, artística e cultural que integre a… — … — Brasil</t>
  </si>
  <si>
    <t xml:space="preserve">CREDENCIAMENTO DE ARTISTAS LOCAIS E/OU REGIONAIS PARA PRODUÇÃO MUSICAL, ARTÍSTICA E CULTURAL QUE INTEGRE A… — MUNICIPIO DE OURICURI</t>
  </si>
  <si>
    <t xml:space="preserve">MUNICIPIO DE OURICURI</t>
  </si>
  <si>
    <t xml:space="preserve">https://pncp.gov.br/app/editais/11040904000167/2025/240</t>
  </si>
  <si>
    <t xml:space="preserve">op-af7f945fa031</t>
  </si>
  <si>
    <t xml:space="preserve">Edital de Credenciamento de Artistas Culturais — FUNDACAO MUNICIPAL DE CULTURA- FUNDAC — Brasil</t>
  </si>
  <si>
    <t xml:space="preserve">Edital de Credenciamento de Artistas Culturais — FUNDACAO MUNICIPAL DE CULTURA- FUNDAC</t>
  </si>
  <si>
    <t xml:space="preserve">FUNDACAO MUNICIPAL DE CULTURA- FUNDAC</t>
  </si>
  <si>
    <t xml:space="preserve">https://pncp.gov.br/app/editais/61864543000141/2025/3</t>
  </si>
  <si>
    <t xml:space="preserve">op-23d46fc0806e</t>
  </si>
  <si>
    <t xml:space="preserve">Fundo municipal de assistencia social de guaramirim — credenciamento de instituição de acolhimento destinado a… — Santa Catarina</t>
  </si>
  <si>
    <t xml:space="preserve">FUNDO MUNICIPAL DE ASSISTENCIA SOCIAL DE GUARAMIRIM — CREDENCIAMENTO DE INSTITUIÇÃO DE ACOLHIMENTO DESTINADO A PESSOAS (ADULTOS) DE AMBOS OS SEXOS E GRUPO FAMIL</t>
  </si>
  <si>
    <t xml:space="preserve">FUNDO MUNICIPAL DE ASSISTENCIA SOCIAL DE GUARAMIRIM</t>
  </si>
  <si>
    <t xml:space="preserve">https://pncp.gov.br/app/editais/13884310000168/2025/4</t>
  </si>
  <si>
    <t xml:space="preserve">{'inicio': None, 'fim': '2027-08-17'}</t>
  </si>
  <si>
    <t xml:space="preserve">op-2c1c755bd366</t>
  </si>
  <si>
    <t xml:space="preserve">O II Prêmio PI nas Escolas tem por objeto o fomento, em âmbito nacional, da inserção da propriedade intelectua… — Rio de Janeiro</t>
  </si>
  <si>
    <t xml:space="preserve">O II Prêmio PI nas Escolas tem por objeto o fomento, em âmbito nacional, da inserção da propriedade intelectual nas escolas da rede pública e privada de ensino,</t>
  </si>
  <si>
    <t xml:space="preserve">PNCP — INSTITUTO NACIONAL DA PROPRIEDADE INDUSTRIAL</t>
  </si>
  <si>
    <t xml:space="preserve">https://cnetmobile.estaleiro.serpro.gov.br/comprasnet-web/public/landing?destino=acompanhamento-compra&amp;compra=18303820900012024</t>
  </si>
  <si>
    <t xml:space="preserve">op-919e31fee4df</t>
  </si>
  <si>
    <t xml:space="preserve">Chamamento Público para credenciar instituições interessadas na DOAÇÃO DE BENS MÓVEIS considerados INSERVÍVEIS… — Amazonas</t>
  </si>
  <si>
    <t xml:space="preserve">Chamamento Público para credenciar instituições interessadas na DOAÇÃO DE BENS MÓVEIS considerados INSERVÍVEIS ou ANTIECONÔMICOS à Administração, sem ônus ao do</t>
  </si>
  <si>
    <t xml:space="preserve">PNCP — PROCURADORIA GERAL DE JUSTICA DO ESTADO DO AMAZONAS</t>
  </si>
  <si>
    <t xml:space="preserve">https://pncp.gov.br/app/editais/04153748000185/2025/4</t>
  </si>
  <si>
    <t xml:space="preserve">op-6a4828be8b70</t>
  </si>
  <si>
    <t xml:space="preserve">Credenciamento de instituições privadas (com ou sem fins lucrativos), de forma complementar ao sistema único d… — Tocantins</t>
  </si>
  <si>
    <t xml:space="preserve">CREDENCIAMENTO DE INSTITUIÇÕES PRIVADAS (COM OU SEM FINS LUCRATIVOS), DE FORMA COMPLEMENTAR AO SISTEMA ÚNICO DE SAÚDE NO ESTADO DO TOCANTINS, INTERESSADAS EM OF</t>
  </si>
  <si>
    <t xml:space="preserve">PNCP — SECRETARIA DA SAUDE</t>
  </si>
  <si>
    <t xml:space="preserve">https://pncp.gov.br/app/editais/25053117000164/2026/51</t>
  </si>
  <si>
    <t xml:space="preserve">op-005c664f5238</t>
  </si>
  <si>
    <t xml:space="preserve">Credenciamento prévio de Organizações da Sociedade Civil (OSC) que trabalhem no ramo de ATER formação e capaci… — Pará</t>
  </si>
  <si>
    <t xml:space="preserve">Credenciamento prévio de Organizações da Sociedade Civil (OSC) que trabalhem no ramo de ATER formação e capacitação, de produtores rurais e comunidades tradicio</t>
  </si>
  <si>
    <t xml:space="preserve">PNCP — SECRETARIA DE ESTADO DE DESENVOLVIMENTO AGROPECUARIO E DA PESCA - SEDAP</t>
  </si>
  <si>
    <t xml:space="preserve">['OSC e associações', 'Povos e comunidades tradicionais']</t>
  </si>
  <si>
    <t xml:space="preserve">https://pncp.gov.br/app/editais/05054945000100/2025/1</t>
  </si>
  <si>
    <t xml:space="preserve">op-a68b2d4bf7e6</t>
  </si>
  <si>
    <t xml:space="preserve">Constitui objeto deste Chamamento Público a Seleção pública de pessoa jurídica de direito privado, sem fins lu… — Acre</t>
  </si>
  <si>
    <t xml:space="preserve">Constitui objeto deste Chamamento Público a Seleção pública de pessoa jurídica de direito privado, sem fins lucrativos, qualificada como Organização Social de S</t>
  </si>
  <si>
    <t xml:space="preserve">PNCP — ESTADO DO ACRE</t>
  </si>
  <si>
    <t xml:space="preserve">AC</t>
  </si>
  <si>
    <t xml:space="preserve">https://pncp.gov.br/app/editais/63606479000124/2025/918</t>
  </si>
  <si>
    <t xml:space="preserve">op-78a3b9c1fda4</t>
  </si>
  <si>
    <t xml:space="preserve">Chamamento Público para prospecção de imóvel apto à alienação na cidade de Jaraguá do Sul — Santa Catarina</t>
  </si>
  <si>
    <t xml:space="preserve">Chamamento Público para prospecção de imóvel apto à alienação na cidade de Jaraguá do Sul</t>
  </si>
  <si>
    <t xml:space="preserve">https://pncp.gov.br/app/editais/83845701000159/2026/58</t>
  </si>
  <si>
    <t xml:space="preserve">op-468ddb8b0921</t>
  </si>
  <si>
    <t xml:space="preserve">[LICITANET] - Chamamento público na forma de credenciamento de associações e/ou cooperativas de trabalhadores … — Alagoas</t>
  </si>
  <si>
    <t xml:space="preserve">[LICITANET] - Chamamento público na forma de credenciamento de associações e/ou cooperativas de trabalhadores catadores para assinatura de TERMO DE COMPROMISSO </t>
  </si>
  <si>
    <t xml:space="preserve">PNCP — TRIBUNAL DE JUSTICA DO ESTADO DE ALAGOAS</t>
  </si>
  <si>
    <t xml:space="preserve">https://portal.licitanet.com.br/acesso-visitante/WkpTbG1wT28=</t>
  </si>
  <si>
    <t xml:space="preserve">op-125667ed1c24</t>
  </si>
  <si>
    <t xml:space="preserve">Edital de chamamento público n° 01/2026 para habilitação de associação ou cooperativa de catadores de materiai… — Rio de Janeiro</t>
  </si>
  <si>
    <t xml:space="preserve">EDITAL DE CHAMAMENTO PÚBLICO N° 01/2026 PARA HABILITAÇÃO DE ASSOCIAÇÃO OU COOPERATIVA DE CATADORES DE MATERIAIS RECICLÁVEIS.</t>
  </si>
  <si>
    <t xml:space="preserve">PNCP — COMANDO DA MARINHA</t>
  </si>
  <si>
    <t xml:space="preserve">https://pncp.gov.br/app/editais/00394502000144/2026/10604</t>
  </si>
  <si>
    <t xml:space="preserve">op-42dba74a8659</t>
  </si>
  <si>
    <t xml:space="preserve">Constitui objeto do presente Chamamento Público selecionar e premiar 40 (quarenta) ações de museologia social,… — Distrito Federal</t>
  </si>
  <si>
    <t xml:space="preserve">Constitui objeto do presente Chamamento Público selecionar e premiar 40 (quarenta) ações de museologia social, realizadas por entidades culturais e coletivos cu</t>
  </si>
  <si>
    <t xml:space="preserve">PNCP — INSTITUTO BRASILEIRO DE MUSEUS - IBRAM</t>
  </si>
  <si>
    <t xml:space="preserve">https://cnetmobile.estaleiro.serpro.gov.br/comprasnet-web/public/landing?destino=acompanhamento-compra&amp;compra=42300220000012023</t>
  </si>
  <si>
    <t xml:space="preserve">op-0cecd6a75e2e</t>
  </si>
  <si>
    <t xml:space="preserve">Prorrogação do prazo para divulgação do resultado preliminar do Edital de Credenciamento nº 05/2026, que tem p… — Distrito Federal</t>
  </si>
  <si>
    <t xml:space="preserve">Prorrogação do prazo para divulgação do resultado preliminar do Edital de Credenciamento nº 05/2026, que tem por objeto o credenciamento prévio de Organizações </t>
  </si>
  <si>
    <t xml:space="preserve">https://pncp.gov.br/app/editais/18299670000116/2026/12</t>
  </si>
  <si>
    <t xml:space="preserve">op-b9c7c8f6d880</t>
  </si>
  <si>
    <t xml:space="preserve">Credenciamento de associações, cooperativas, entidades sem fins lucrativos e empresas para a coleta seletiva s… — Paraná</t>
  </si>
  <si>
    <t xml:space="preserve">Credenciamento de associações, cooperativas, entidades sem fins lucrativos e empresas para a coleta seletiva solidária, transporte, triagem e destinação ambient</t>
  </si>
  <si>
    <t xml:space="preserve">PNCP — UNIVERSIDADE ESTADUAL DO CENTRO OESTE</t>
  </si>
  <si>
    <t xml:space="preserve">https://pncp.gov.br/app/editais/77902914000172/2026/1</t>
  </si>
  <si>
    <t xml:space="preserve">op-c009dea67f2e</t>
  </si>
  <si>
    <t xml:space="preserve">Chamamento Público para Credenciamento de Instituição Sem Fins Lucrativos para Apoio à Fiscalização Preventiva… — Bahia</t>
  </si>
  <si>
    <t xml:space="preserve">Chamamento Público para Credenciamento de Instituição 
Sem Fins Lucrativos para Apoio à Fiscalização Preventiva 
Integrada na Bacia do Rio São Francisco</t>
  </si>
  <si>
    <t xml:space="preserve">PNCP — CONSELHO REGIONAL DOS TECNICOS INDUSTRIAIS DA BAHIA - CRT-BA</t>
  </si>
  <si>
    <t xml:space="preserve">https://pncp.gov.br/app/editais/32784905000196/2025/5</t>
  </si>
  <si>
    <t xml:space="preserve">op-e7745f20733f</t>
  </si>
  <si>
    <t xml:space="preserve">CHAMAMENTO PÚBLICO Nº 005/2024, credenciamento de grupos formais, organizações produtivas detentoras da DAP (D… — Internacional</t>
  </si>
  <si>
    <t xml:space="preserve">CHAMAMENTO PÚBLICO Nº 005/2024, credenciamento de grupos formais, organizações produtivas detentoras da DAP (Declaração de Aptidão ao Pronaf) do município de Co</t>
  </si>
  <si>
    <t xml:space="preserve">https://pncp.gov.br/app/editais/76105634000170/2024/204</t>
  </si>
  <si>
    <t xml:space="preserve">op-15f93ac59626</t>
  </si>
  <si>
    <t xml:space="preserve">º Edital de Projetos Fundação Aperam Acesita – Social 2026 Fundação Aperam Acesita Aceita: organizações da soc… — Brasil</t>
  </si>
  <si>
    <t xml:space="preserve">15º Edital de Projetos Fundação Aperam Acesita – Social 2026 Fundação Aperam Acesita Aceita:   organizações da sociedade civil, outros perfis Prazo:  04/10/2026</t>
  </si>
  <si>
    <t xml:space="preserve">https://capitaai.com.br/captacao/edital-projetos-fundacao-aperam-acesita-social-2026-fundacao-wrm570</t>
  </si>
  <si>
    <t xml:space="preserve">op-ae99ff61c8c9</t>
  </si>
  <si>
    <t xml:space="preserve">Edital de Projetos Fundação APERAM ACESITA – Social 15ª Edição Fundação APERAM ACESITA R$ 25 mil Aceita: organ… — Brasil</t>
  </si>
  <si>
    <t xml:space="preserve">Edital de Projetos Fundação APERAM ACESITA – Social 15ª Edição Fundação APERAM ACESITA R$ 25 mil Aceita:   organizações da sociedade civil, outros perfis Prazo:</t>
  </si>
  <si>
    <t xml:space="preserve">https://capitaai.com.br/captacao/edital-projetos-fundacao-aperam-acesita-social-edicao-fundacao-p5hvyn</t>
  </si>
  <si>
    <t xml:space="preserve">op-bbc057e3060b</t>
  </si>
  <si>
    <t xml:space="preserve">Credenciamento de pessoa jurídica de direito privado da área médica e fisioterapia para atender as necessidade… — Minas Gerais</t>
  </si>
  <si>
    <t xml:space="preserve">CREDENCIAMENTO DE PESSOA JURÍDICA DE DIREITO PRIVADO DA ÁREA MÉDICA E FISIOTERAPIA PARA ATENDER AS NECESSIDADES DA FUNDAÇÃO HOSPITALAR DE JANAÚBAMG</t>
  </si>
  <si>
    <t xml:space="preserve">PNCP — FUNDACAO HOSPITALAR DE JANAUBA</t>
  </si>
  <si>
    <t xml:space="preserve">https://www.hrjanauba.com.br/28.html</t>
  </si>
  <si>
    <t xml:space="preserve">op-31b4a13545ca</t>
  </si>
  <si>
    <t xml:space="preserve">Edital de Seleção de Projetos via Incentivo Fiscal 2026 – Zurich Seguros Zurich Seguros Aceita: organizações d… — Brasil</t>
  </si>
  <si>
    <t xml:space="preserve">Edital de Seleção de Projetos via Incentivo Fiscal 2026 – Zurich Seguros Zurich Seguros Aceita:   organizações da sociedade civil Prazo:  19/10/2026 (20d) Ver d</t>
  </si>
  <si>
    <t xml:space="preserve">https://capitaai.com.br/captacao/edital-selecao-projetos-via-incentivo-fiscal-2026-zurich-uucllb</t>
  </si>
  <si>
    <t xml:space="preserve">op-167829dfd75a</t>
  </si>
  <si>
    <t xml:space="preserve">Mapfre abre seleção de projetos incentivados com foco em cultura, esporte e inclusão social Observatório 3º Se… — Brasil</t>
  </si>
  <si>
    <t xml:space="preserve">Mapfre abre seleção de projetos incentivados com foco em cultura, esporte e inclusão social Observatório 3º Setor (fonte) Aceita:   organizações da sociedade ci</t>
  </si>
  <si>
    <t xml:space="preserve">https://capitaai.com.br/captacao/mapfre-abre-selecao-projetos-incentivados-foco-cultura-esporte-3q2365</t>
  </si>
  <si>
    <t xml:space="preserve">2026-12-15</t>
  </si>
  <si>
    <t xml:space="preserve">op-23e3ac8151d7</t>
  </si>
  <si>
    <t xml:space="preserve">Chamada Pública 01/2026 – Projeto Floresta+ Amazônia Projeto Floresta+ Amazônia R$ 4 mil Aceita: outros perfis… — Brasil</t>
  </si>
  <si>
    <t xml:space="preserve">Chamada Pública 01/2026 – Projeto Floresta+ Amazônia Projeto Floresta+ Amazônia R$ 4 mil Aceita:   outros perfis Prazo:  31/12/2026 (92d) Ver detalhes →</t>
  </si>
  <si>
    <t xml:space="preserve">https://capitaai.com.br/captacao/chamada-publica-012026-projeto-floresta-amazonia-projeto-floresta-3qac2i</t>
  </si>
  <si>
    <t xml:space="preserve">op-ea890a898b0a</t>
  </si>
  <si>
    <t xml:space="preserve">Rede Memória Viva abre inscrições para organizações culturais - Viva ... — Brasil</t>
  </si>
  <si>
    <t xml:space="preserve">Rede Memória Viva abre inscrições para organizações culturais - Viva ...</t>
  </si>
  <si>
    <t xml:space="preserve">https://vivapequenaafrica.com/rede-memoria-viva-inscricoes-organizacoes-culturais/</t>
  </si>
  <si>
    <t xml:space="preserve">op-edd38c624f34</t>
  </si>
  <si>
    <t xml:space="preserve">Rede Memória Viva abre inscrições para organizações que preservam a ... — Brasil</t>
  </si>
  <si>
    <t xml:space="preserve">Rede Memória Viva abre inscrições para organizações que preservam a ...</t>
  </si>
  <si>
    <t xml:space="preserve">https://observatorio3setor.org.br/rede-memoria-viva-abre-inscricoes-para-organizacoes-que-preservam-a-memoria-africana-e-afro-brasileira/</t>
  </si>
  <si>
    <t xml:space="preserve">op-1774cb83232d</t>
  </si>
  <si>
    <t xml:space="preserve">Rede Memória Viva: Inscrições Abertas Agora — Brasil</t>
  </si>
  <si>
    <t xml:space="preserve">Rede Memória Viva: Inscrições Abertas Agora</t>
  </si>
  <si>
    <t xml:space="preserve">https://portalmeuamazonas.com.br/cultura/rede-memoria-viva-afroturismo-edital-2026/</t>
  </si>
  <si>
    <t xml:space="preserve">op-e455c74edd1c</t>
  </si>
  <si>
    <t xml:space="preserve">Rede Memória Viva abre edital para fortalecer afroturismo e cultura negra — Brasil</t>
  </si>
  <si>
    <t xml:space="preserve">Rede Memória Viva abre edital para fortalecer afroturismo e cultura negra</t>
  </si>
  <si>
    <t xml:space="preserve">https://olhonobrasil.com.br/noticias/cultura/rede-memoria-viva-abre-edital-para-fortalecer-afroturismo-e-cultura-negra-25162.html</t>
  </si>
  <si>
    <t xml:space="preserve">op-ff6a79f1ae6b</t>
  </si>
  <si>
    <t xml:space="preserve">Edital CONANDA/SNDCA: 6 projetos com até R$ 6 milhões — Brasil</t>
  </si>
  <si>
    <t xml:space="preserve">Edital CONANDA/SNDCA: 6 projetos com até R$ 6 milhões</t>
  </si>
  <si>
    <t xml:space="preserve">https://guiadaposgraduacao.com.br/edital-conanda-sndca-seleciona-6-projetos-com-ate-r-6-milhoes/</t>
  </si>
  <si>
    <t xml:space="preserve">op-055df7109811</t>
  </si>
  <si>
    <t xml:space="preserve">PDF Edital De Chamamento Nº 01/2025 Estabelece a Seleção De Propostas De ... — Brasil</t>
  </si>
  <si>
    <t xml:space="preserve">PDF Edital De Chamamento Nº 01/2025 Estabelece a Seleção De Propostas De ...</t>
  </si>
  <si>
    <t xml:space="preserve">https://firebasestorage.googleapis.com/v0/b/mineiros-go-gov-br/o/2025/mineiros-go-gov-br-2025-06-26T19:24:57.276Z-0.pdf?alt=media</t>
  </si>
  <si>
    <t xml:space="preserve">op-329ea445fd11</t>
  </si>
  <si>
    <t xml:space="preserve">PDF Imagem digitalizada EDITAL No 02, DE 1 - guaranidegoias.go.gov.br — Goiás</t>
  </si>
  <si>
    <t xml:space="preserve">PDF Imagem digitalizada EDITAL No 02, DE 1 - guaranidegoias.go.gov.br</t>
  </si>
  <si>
    <t xml:space="preserve">https://guaranidegoias.go.gov.br/wp-content/uploads/2025/10/EDITAL-0020225-CMDPI.pdf</t>
  </si>
  <si>
    <t xml:space="preserve">op-078c1b888faf</t>
  </si>
  <si>
    <t xml:space="preserve">Senador Canedo divulga edital de apoio a projetos para a pessoa idosa — Goiás / Senador Canedo</t>
  </si>
  <si>
    <t xml:space="preserve">Senador Canedo divulga edital de apoio a projetos para a pessoa idosa</t>
  </si>
  <si>
    <t xml:space="preserve">https://senadorcanedo.go.gov.br/senador-canedo-divulga-edital-de-apoio-a-projetos-para-a-pessoa-idosa/</t>
  </si>
  <si>
    <t xml:space="preserve">op-60ed2e219908</t>
  </si>
  <si>
    <t xml:space="preserve">PDF EDITAL DE CREDENCIAMENTO DE No001/2026 - ORGANIZAÇÕES DA SOCIEDADE CIVIL</t>
  </si>
  <si>
    <t xml:space="preserve">op-9d1ad15968be</t>
  </si>
  <si>
    <t xml:space="preserve">Editais abertos para projetos sociais em 2026 · Capitaai — Brasil</t>
  </si>
  <si>
    <t xml:space="preserve">Editais abertos para projetos sociais em 2026 · Capitaai</t>
  </si>
  <si>
    <t xml:space="preserve">https://capitaai.com.br/editais-abertos/assistencia-social</t>
  </si>
  <si>
    <t xml:space="preserve">op-0a781236293c</t>
  </si>
  <si>
    <t xml:space="preserve">Organizações sociais - Casa Civil — Goiás</t>
  </si>
  <si>
    <t xml:space="preserve">Organizações sociais - Casa Civil</t>
  </si>
  <si>
    <t xml:space="preserve">https://goias.gov.br/casacivil/organizacoes-sociais/</t>
  </si>
  <si>
    <t xml:space="preserve">op-c73ce129d288</t>
  </si>
  <si>
    <t xml:space="preserve">ª Edição do Prêmio Goiás mais Transparente - Transparência Goiás — Goiás</t>
  </si>
  <si>
    <t xml:space="preserve">1ª Edição do Prêmio Goiás mais Transparente - Transparência Goiás</t>
  </si>
  <si>
    <t xml:space="preserve">https://transparencia.go.gov.br/goias-mais-transparente/</t>
  </si>
  <si>
    <t xml:space="preserve">op-b07dd3466cf4</t>
  </si>
  <si>
    <t xml:space="preserve">Arquivos fundo de fomento à filantropia | IDISIDIS — Brasil</t>
  </si>
  <si>
    <t xml:space="preserve">Arquivos fundo de fomento à filantropia | IDISIDIS</t>
  </si>
  <si>
    <t xml:space="preserve">https://www.idis.org.br/tag/fundo-de-fomento-a-filantropia/</t>
  </si>
  <si>
    <t xml:space="preserve">op-2e470208d165</t>
  </si>
  <si>
    <t xml:space="preserve">Editais - Ministério dos Direitos Humanos e da Cidadania — Brasil</t>
  </si>
  <si>
    <t xml:space="preserve">Editais - Ministério dos Direitos Humanos e da Cidadania</t>
  </si>
  <si>
    <t xml:space="preserve">op-17a8e4708d6d</t>
  </si>
  <si>
    <t xml:space="preserve">Edital oferece até R$ 6 milhões para projetos de proteção de crianças e ... — Brasil</t>
  </si>
  <si>
    <t xml:space="preserve">Edital oferece até R$ 6 milhões para projetos de proteção de crianças e ...</t>
  </si>
  <si>
    <t xml:space="preserve">https://conectaprofessores.com/2026/09/05/edital-oferece-ate-r-6-milhoes-para-projetos-de-protecao-de-criancas-e-adolescentes/</t>
  </si>
  <si>
    <t xml:space="preserve">op-928640a47b52</t>
  </si>
  <si>
    <t xml:space="preserve">Edital CONANDA/SNDCA nº 01/2026 seleciona projetos para fortalecer os ... — Brasil</t>
  </si>
  <si>
    <t xml:space="preserve">Edital CONANDA/SNDCA nº 01/2026 seleciona projetos para fortalecer os ...</t>
  </si>
  <si>
    <t xml:space="preserve">https://apoioplus.com.br/editalconanda012026/</t>
  </si>
  <si>
    <t xml:space="preserve">op-afa66314c783</t>
  </si>
  <si>
    <t xml:space="preserve">Editais - Plataforma OSCs — Brasil</t>
  </si>
  <si>
    <t xml:space="preserve">Editais - Plataforma OSCs</t>
  </si>
  <si>
    <t xml:space="preserve">https://plataformaosc.org.br/editais/</t>
  </si>
  <si>
    <t xml:space="preserve">op-bf555d966ae9</t>
  </si>
  <si>
    <t xml:space="preserve">Western Digital — Brasil</t>
  </si>
  <si>
    <t xml:space="preserve">Western Digital</t>
  </si>
  <si>
    <t xml:space="preserve">https://www.westerndigital.com/pt-br/company/corporate-responsibility/philanthropy</t>
  </si>
  <si>
    <t xml:space="preserve">op-6adbadfa5b06</t>
  </si>
  <si>
    <t xml:space="preserve">EditalFomento.com.br - Editais de Fomento Atualizados — Brasil</t>
  </si>
  <si>
    <t xml:space="preserve">EditalFomento.com.br - Editais de Fomento Atualizados</t>
  </si>
  <si>
    <t xml:space="preserve">https://editalfomento.com.br/</t>
  </si>
  <si>
    <t xml:space="preserve">op-38517b811c29</t>
  </si>
  <si>
    <t xml:space="preserve">Edital Investimento Social Minas Gerais 2025 - 2026 — Brasil</t>
  </si>
  <si>
    <t xml:space="preserve">Edital Investimento Social Minas Gerais 2025 - 2026</t>
  </si>
  <si>
    <t xml:space="preserve">https://prosas.com.br/editais/16045</t>
  </si>
  <si>
    <t xml:space="preserve">op-eab25023cac9</t>
  </si>
  <si>
    <t xml:space="preserve">Fundação de Amparo à Pesquisa do Estado de Goiás (FAPEG) — Fapeg lança chamada pública para seleção de projeto… — Goiás</t>
  </si>
  <si>
    <t xml:space="preserve">Fundação de Amparo à Pesquisa do Estado de Goiás (FAPEG) — Fapeg lança chamada pública para seleção de projetos de pesquisa em áreas de graduação em licenciaturas</t>
  </si>
  <si>
    <t xml:space="preserve">https://goias.gov.br/fapeg/fapeg-lanca-chamada-publica-para-selecao-de-projetos-de-pesquisa-em-areas-de-graduacao-em-licenciaturas/</t>
  </si>
  <si>
    <t xml:space="preserve">op-03b34415fb6d</t>
  </si>
  <si>
    <t xml:space="preserve">Fundação de Amparo à Pesquisa do Estado de Goiás (FAPEG) — Goiás premia projetos de IA que transformam educaçã… — Goiás</t>
  </si>
  <si>
    <t xml:space="preserve">Fundação de Amparo à Pesquisa do Estado de Goiás (FAPEG) — Goiás premia projetos de IA que transformam educação, saúde e segurança com soluções inovadoras</t>
  </si>
  <si>
    <t xml:space="preserve">https://goias.gov.br/fapeg/goias-premia-projetos-de-ia-que-transformam-educacao-saude-e-seguranca-com-solucoes-inovadoras/</t>
  </si>
  <si>
    <t xml:space="preserve">op-667f16f9b9ce</t>
  </si>
  <si>
    <t xml:space="preserve">Goiás Social — Governo de Goiás faz chamamento público para prestação de auxílios — Goiás</t>
  </si>
  <si>
    <t xml:space="preserve">Goiás Social — Governo de Goiás faz chamamento público para prestação de auxílios</t>
  </si>
  <si>
    <t xml:space="preserve">https://goias.gov.br/social/governo-de-goias-faz-chamamento-publico/</t>
  </si>
  <si>
    <t xml:space="preserve">{'observacao': 'VERIFICADO em 03/10/2026 (busca web; o portal goias.gov.br suspendeu notícias no período eleitoral): Goiás Social publica chamamento de entidades assistenciais para auxílios; as edições anteriores aparecem em notícias sem datas legíveis.'}</t>
  </si>
  <si>
    <t xml:space="preserve">op-fcf1fc70af14</t>
  </si>
  <si>
    <t xml:space="preserve">Goiás Social — Inscrições abertas para representantes da sociedade civil interessados em integrar o Conselho E… — Goiás</t>
  </si>
  <si>
    <t xml:space="preserve">Goiás Social — Inscrições abertas para representantes da sociedade civil interessados em integrar o Conselho Estadual de Direitos Humanos, Igualdade Racial e Combate ao Preconceito</t>
  </si>
  <si>
    <t xml:space="preserve">https://goias.gov.br/social/inscricoes-abertas-para-representantes-da-sociedade-civil-interessados-em-integrar-o-conselho-estadual-de-direitos-humanos-igualdade-racial-e-combate-ao-preconceito-2/</t>
  </si>
  <si>
    <t xml:space="preserve">Secretaria de Estado de Desenvolvimento Social (SEDS) — fundos e conselhos (FIA/CEDCA, Idoso, FEAS/CEAS, FUNJUVE) — Inscrições abertas para representantes da sociedade civil interessados em integrar o</t>
  </si>
  <si>
    <t xml:space="preserve">op-1ad012b587a8</t>
  </si>
  <si>
    <t xml:space="preserve">Secretaria de Estado da Cultura (Secult) — Secult Goiás publica novo cronograma de seleção da OSC que operacio… — Goiás</t>
  </si>
  <si>
    <t xml:space="preserve">Secretaria de Estado da Cultura (Secult) — Secult Goiás publica novo cronograma de seleção da OSC que operacionalizará 2° ciclo da Pnab</t>
  </si>
  <si>
    <t xml:space="preserve">https://goias.gov.br/cultura/secult-goias-publica-novo-cronograma-de-selecao-da-osc-que-operacionalizara-2-ciclo-da-pnab/</t>
  </si>
  <si>
    <t xml:space="preserve">op-113d3528836c</t>
  </si>
  <si>
    <t xml:space="preserve">Secretaria de Estado da Cultura (Secult) — Secult lança edital de chamamento público para execução do projeto … — Goiás</t>
  </si>
  <si>
    <t xml:space="preserve">Secretaria de Estado da Cultura (Secult) — Secult lança edital de chamamento público para execução do projeto CineLeitura do Bem</t>
  </si>
  <si>
    <t xml:space="preserve">https://goias.gov.br/cultura/secult-lanca-edital-de-chamamento-publico-para-execucao-do-projeto-cineleitura-do-bem/</t>
  </si>
  <si>
    <t xml:space="preserve">2025-12-27</t>
  </si>
  <si>
    <t xml:space="preserve">op-eb5659a9f752</t>
  </si>
  <si>
    <t xml:space="preserve">Secretaria de Estado de Meio Ambiente e Desenvolvimento Sustentável (Semad) — Edital para credenciamento — Goiás</t>
  </si>
  <si>
    <t xml:space="preserve">Secretaria de Estado de Meio Ambiente e Desenvolvimento Sustentável (Semad) — Edital para credenciamento</t>
  </si>
  <si>
    <t xml:space="preserve">Secretaria de Estado de Meio Ambiente e Desenvolvimento Sustentável (Semad)</t>
  </si>
  <si>
    <t xml:space="preserve">{'observacao': 'VERIFICADO em 03/10/2026 (página oficial Semad-GO e Agência Goiás): credenciamento de associações e cooperativas de catadores de recicláveis para submeter propostas de apoio à implantação de resíduos sólidos (atualizado em 28/09/2026); edição anterior não localizada.'}</t>
  </si>
  <si>
    <t xml:space="preserve">op-ca3dc8071554</t>
  </si>
  <si>
    <t xml:space="preserve">Chamamento público publicado no Diário Oficial em 31/07/2026 — São Paulo / Campinas</t>
  </si>
  <si>
    <t xml:space="preserve">Diário Oficial de Campinas (SP) 2026-07-31 — "chamamento público" "organizações da sociedade civil" — Prefeitura Municipal de Campinas</t>
  </si>
  <si>
    <t xml:space="preserve">https://portal-adm.campinas.sp.gov.br/sites/default/files/publicacoes-dom/dom/1982421463360714633619824231.pdf</t>
  </si>
  <si>
    <t xml:space="preserve">op-d5a3f3e58937</t>
  </si>
  <si>
    <t xml:space="preserve">Chamamento público publicado no Diário Oficial em 14/08/2026 — São Paulo / Iracemápolis</t>
  </si>
  <si>
    <t xml:space="preserve">Diário Oficial de Iracemápolis (SP) 2026-08-14 — "edital de chamamento público" associação</t>
  </si>
  <si>
    <t xml:space="preserve">Prefeitura Municipal de Iracemápolis</t>
  </si>
  <si>
    <t xml:space="preserve">Iracemápolis</t>
  </si>
  <si>
    <t xml:space="preserve">https://iracemapolis.siscam.com.br/arquivo?Id=41354</t>
  </si>
  <si>
    <t xml:space="preserve">PNAB 008/2026 (Iracemápolis/SP)</t>
  </si>
  <si>
    <t xml:space="preserve">op-77795f555424</t>
  </si>
  <si>
    <t xml:space="preserve">Chamamento público publicado no Diário Oficial em 25/09/2026 — São Paulo / Valinhos</t>
  </si>
  <si>
    <t xml:space="preserve">Diário Oficial de Valinhos (SP) 2026-09-25 — "edital de chamamento público" associação</t>
  </si>
  <si>
    <t xml:space="preserve">Prefeitura Municipal de Valinhos</t>
  </si>
  <si>
    <t xml:space="preserve">Valinhos</t>
  </si>
  <si>
    <t xml:space="preserve">https://data.queridodiario.ok.org.br/3556206/2026-09-25/56aea1ce2320e8f0a5b14032fed10736db597209.pdf</t>
  </si>
  <si>
    <t xml:space="preserve">edital de chamamento 03/2026 — Secretaria de Desenvolvimento Social (Valinhos/SP); objeto não visível no trecho</t>
  </si>
  <si>
    <t xml:space="preserve">op-6a6aab45a9b8</t>
  </si>
  <si>
    <t xml:space="preserve">Chamamento público publicado no Diário Oficial em 28/08/2026 — Bahia / Alcobaça</t>
  </si>
  <si>
    <t xml:space="preserve">Diário Oficial de Alcobaça (BA) 2026-08-28 — "edital de chamamento público" associação</t>
  </si>
  <si>
    <t xml:space="preserve">Prefeitura Municipal de Alcobaça</t>
  </si>
  <si>
    <t xml:space="preserve">Alcobaça</t>
  </si>
  <si>
    <t xml:space="preserve">https://pmalcobaca.ba.gov.br/</t>
  </si>
  <si>
    <t xml:space="preserve">PNAB 002 e 0003/2026 criação de projetos culturais (Alcobaça/BA)</t>
  </si>
  <si>
    <t xml:space="preserve">op-37317c86c2d2</t>
  </si>
  <si>
    <t xml:space="preserve">Chamamento público publicado no Diário Oficial em 12/08/2026 — Bahia / Inhambupe</t>
  </si>
  <si>
    <t xml:space="preserve">Diário Oficial de Inhambupe (BA) 2026-08-12 — "edital de chamamento público" associação</t>
  </si>
  <si>
    <t xml:space="preserve">Prefeitura Municipal de Inhambupe</t>
  </si>
  <si>
    <t xml:space="preserve">Inhambupe</t>
  </si>
  <si>
    <t xml:space="preserve">http://www.inhambupe.ba.gov.br</t>
  </si>
  <si>
    <t xml:space="preserve">edital PNAB de subsídio a culturas populares (Inhambupe/BA)</t>
  </si>
  <si>
    <t xml:space="preserve">op-839ffa450c4b</t>
  </si>
  <si>
    <t xml:space="preserve">Chamamento público publicado no Diário Oficial em 17/09/2026 — Bahia / Ipiaú</t>
  </si>
  <si>
    <t xml:space="preserve">Diário Oficial de Ipiaú (BA) 2026-09-17 — "edital de chamamento público" associação</t>
  </si>
  <si>
    <t xml:space="preserve">PREFEITURA MUNICIPAL DE IPIAÚ</t>
  </si>
  <si>
    <t xml:space="preserve">Ipiaú</t>
  </si>
  <si>
    <t xml:space="preserve">https://transparencia.ipiau.ba.gov.br/</t>
  </si>
  <si>
    <t xml:space="preserve">edital PNAB 01/2026 Virada Cultural (repetição publicada por Mutuípe/BA)</t>
  </si>
  <si>
    <t xml:space="preserve">op-3e753bd338c7</t>
  </si>
  <si>
    <t xml:space="preserve">Chamamento público publicado no Diário Oficial em 20/08/2026 — Bahia / Ituaçu</t>
  </si>
  <si>
    <t xml:space="preserve">Diário Oficial de Ituaçu (BA) 2026-08-20 — "chamamento público" "organizações da sociedade civil"</t>
  </si>
  <si>
    <t xml:space="preserve">Prefeitura Municipal de Ituaçu</t>
  </si>
  <si>
    <t xml:space="preserve">https://data.queridodiario.ok.org.br/2917201/2026-08-20/be2d2b128107d81aec318f61d37b70d05be02e3c.pdf</t>
  </si>
  <si>
    <t xml:space="preserve">PNAB 003/2026 festividade cultural e religiosa (Ituaçu/BA)</t>
  </si>
  <si>
    <t xml:space="preserve">op-75ca6fa64768</t>
  </si>
  <si>
    <t xml:space="preserve">Chamamento público publicado no Diário Oficial em 16/09/2026 — Paraná / Arapongas</t>
  </si>
  <si>
    <t xml:space="preserve">Diário Oficial de Arapongas (PR) 2026-09-16 — "edital de chamamento público" associação</t>
  </si>
  <si>
    <t xml:space="preserve">Prefeitura Municipal de Arapongas</t>
  </si>
  <si>
    <t xml:space="preserve">Arapongas</t>
  </si>
  <si>
    <t xml:space="preserve">https://www.arapongas.pr.gov.br/editais/2023/set/29.09_assinado.pdf</t>
  </si>
  <si>
    <t xml:space="preserve">edital 050/2026 vagas remanescentes "João de Barro" — ações formativas (Arapongas/PR)</t>
  </si>
  <si>
    <t xml:space="preserve">op-7f758b239850</t>
  </si>
  <si>
    <t xml:space="preserve">Chamamento público publicado no Diário Oficial em 17/09/2026 — Paraná / Arapongas</t>
  </si>
  <si>
    <t xml:space="preserve">Diário Oficial de Arapongas (PR) 2026-09-17 — "edital de chamamento público" associação</t>
  </si>
  <si>
    <t xml:space="preserve">Município de Arapongas</t>
  </si>
  <si>
    <t xml:space="preserve">https://sapl.arapongas.pr.leg.br/media/sapl/public/documentoacessorio/2026/888/plano_municipal_voo_cultural_2026_1_1.pdf</t>
  </si>
  <si>
    <t xml:space="preserve">edital 052/2026 vagas remanescentes "Som do Rouxinol" — retificação (Arapongas/PR)</t>
  </si>
  <si>
    <t xml:space="preserve">op-affb5cbfe586</t>
  </si>
  <si>
    <t xml:space="preserve">Chamamento público publicado no Diário Oficial em 18/09/2026 — Paraná / Londrina</t>
  </si>
  <si>
    <t xml:space="preserve">Diário Oficial de Londrina (PR) 2026-09-18 — "edital de chamamento público" associação</t>
  </si>
  <si>
    <t xml:space="preserve">Município de Londrina</t>
  </si>
  <si>
    <t xml:space="preserve">Londrina</t>
  </si>
  <si>
    <t xml:space="preserve">https://portal.londrina.pr.gov.br/plano-plurianual-ppa</t>
  </si>
  <si>
    <t xml:space="preserve">edital 004/2026 termo de execução cultural (Londrina/PR)</t>
  </si>
  <si>
    <t xml:space="preserve">op-6c00d5782f6b</t>
  </si>
  <si>
    <t xml:space="preserve">Chamamento público publicado no Diário Oficial em 21/08/2026 — Paraná / Pinhais</t>
  </si>
  <si>
    <t xml:space="preserve">Diário Oficial de Pinhais (PR) 2026-08-21 — "edital de chamamento público" associação</t>
  </si>
  <si>
    <t xml:space="preserve">Município de Pinhais</t>
  </si>
  <si>
    <t xml:space="preserve">https://data.queridodiario.ok.org.br/4119152/2026-08-21/2188f535812941e17b09185f24c721b7257bdb19.pdf</t>
  </si>
  <si>
    <t xml:space="preserve">PNAB 050/2026 apoio a projetos de fomento (Pinhais/PR)</t>
  </si>
  <si>
    <t xml:space="preserve">op-050390d83bf5</t>
  </si>
  <si>
    <t xml:space="preserve">Chamamento público publicado no Diário Oficial em 28/08/2026 — Paraná / Primeiro de Maio</t>
  </si>
  <si>
    <t xml:space="preserve">Diário Oficial de Primeiro de Maio (PR) 2026-08-28 — "edital de chamamento público" associação</t>
  </si>
  <si>
    <t xml:space="preserve">SECRETARIA MUNICIPAL DE CULTURA</t>
  </si>
  <si>
    <t xml:space="preserve">Primeiro de Maio</t>
  </si>
  <si>
    <t xml:space="preserve">https://www.gov.br/cultura/pt-br/assuntos/politica-nacional-aldir-blanc/painel-de-dados</t>
  </si>
  <si>
    <t xml:space="preserve">PNAB 001/2026 ciclo II fomento direto PF/PJ (Primeiro de Maio/PR)</t>
  </si>
  <si>
    <t xml:space="preserve">op-71a1692a61f4</t>
  </si>
  <si>
    <t xml:space="preserve">Edital de subsídio para manutenção de espaços, ambientes e iniciativas artístico-culturais — Ceará</t>
  </si>
  <si>
    <t xml:space="preserve">EDITAL DE SUBSÍDIO PARA MANUTENÇÃO DE ESPAÇOS, AMBIENTES E INICIATIVAS ARTÍSTICO-CULTURAIS</t>
  </si>
  <si>
    <t xml:space="preserve">Prefeitura Municipal de Potengi através da Secretaria de Cultura, Turismo, Esporte e Juventude</t>
  </si>
  <si>
    <t xml:space="preserve">https://potengi.ce.gov.br/publicacoes.php?pagina=1</t>
  </si>
  <si>
    <t xml:space="preserve">op-4ebe5e030d16</t>
  </si>
  <si>
    <t xml:space="preserve">Edital de fomento as linguagens artisticas do municipio de sobral – política nacional aldir blanc de fomento à… — Ceará</t>
  </si>
  <si>
    <t xml:space="preserve">EDITAL DE FOMENTO AS LINGUAGENS ARTISTICAS DO MUNICIPIO DE SOBRAL – POLÍTICA NACIONAL ALDIR BLANC DE FOMENTO À CULTURA – PNAB</t>
  </si>
  <si>
    <t xml:space="preserve">https://mapacultural.secult.ce.gov.br/oportunidade/8215/</t>
  </si>
  <si>
    <t xml:space="preserve">op-e5acc44fdef1</t>
  </si>
  <si>
    <t xml:space="preserve">Edital de Credenciamento de Organizações da Sociedade Civil - OSC Nº. 02/ 2026 — São Paulo</t>
  </si>
  <si>
    <t xml:space="preserve">Edital de Credenciamento de Organizações da Sociedade Civil - OSC Nº. 02/ 2026</t>
  </si>
  <si>
    <t xml:space="preserve">https://www.quata.sp.gov.br/noticias/promocao-social-assistencia-/2026/05/21/edital-de-credenciamento-de-organizacoes-da-sociedade-civil-osc-no-02-2026/3977</t>
  </si>
  <si>
    <t xml:space="preserve">op-abc796954c80</t>
  </si>
  <si>
    <t xml:space="preserve">Chamamento público publicado no Diário Oficial em 22/09/2026 — Alagoas / Igaci</t>
  </si>
  <si>
    <t xml:space="preserve">Diário Oficial de Igaci (AL) 2026-09-22 — "chamamento público" "organizações da sociedade civil"</t>
  </si>
  <si>
    <t xml:space="preserve">Igaci</t>
  </si>
  <si>
    <t xml:space="preserve">https://data.queridodiario.ok.org.br/2703106/2026-09-22/bf2154ae3cb114933af3983d99b7ff3cf5064bfa.pdf</t>
  </si>
  <si>
    <t xml:space="preserve">aviso de credenciamento de OSC da área da saúde (Igaci/AL)</t>
  </si>
  <si>
    <t xml:space="preserve">op-105a55ba7bdd</t>
  </si>
  <si>
    <t xml:space="preserve">Edital ocupa varjota 2026 de apoio a ações culturais e formativas do município de varjota - política nacional … — Ceará</t>
  </si>
  <si>
    <t xml:space="preserve">EDITAL OCUPA VARJOTA 2026 DE APOIO A AÇÕES CULTURAIS E FORMATIVAS DO MUNICÍPIO DE VARJOTA - POLÍTICA NACIONAL ALDIR BLANC DE FOMENTO À CULTURA (PNAB)</t>
  </si>
  <si>
    <t xml:space="preserve">Secretaria da Cultura</t>
  </si>
  <si>
    <t xml:space="preserve">https://mapacultural.secult.ce.gov.br/oportunidade/8286/</t>
  </si>
  <si>
    <t xml:space="preserve">SELEÇÃO DE PROJETOS DE MANUTENÇÃO DE ATIVIDADES DE FORMAÇÃO ARTÍSTICOS-CULTURIAS E NOVAS INICIATIVAS ARTÍSTICAS, PESQUISAS, ESTREIAS E LANÇAMENTOS DE PRODUTOS CULTURAIS</t>
  </si>
  <si>
    <t xml:space="preserve">op-0b4bdb4822aa</t>
  </si>
  <si>
    <t xml:space="preserve">Edital de fomento a ações culturais - política nacional aldir blanc - maranguape - edital nº 008/2026- linguag… — Ceará</t>
  </si>
  <si>
    <t xml:space="preserve">EDITAL DE FOMENTO A AÇÕES CULTURAIS - POLÍTICA NACIONAL ALDIR BLANC - MARANGUAPE - EDITAL Nº 008/2026- LINGUAGEM DIVERSAS DA CULTURA.</t>
  </si>
  <si>
    <t xml:space="preserve">Prefeitura Municipal de Maranguape</t>
  </si>
  <si>
    <t xml:space="preserve">https://www.maranguape.ce.gov.br/informa/328/edital-de-fomento-n-004-2026-espa-os-culturais</t>
  </si>
  <si>
    <t xml:space="preserve">seleção de propostas culturais destinadas ao fomento à manutenção e programação de espaços, ambientes e iniciativas culturais de Maranguape/CE</t>
  </si>
  <si>
    <t xml:space="preserve">op-ddc44ffa87dc</t>
  </si>
  <si>
    <t xml:space="preserve">Chamamento público publicado no Diário Oficial em 18/09/2026 — Santa Catarina / Florianópolis</t>
  </si>
  <si>
    <t xml:space="preserve">Diário Oficial de Florianópolis (SC) 2026-09-18 — "chamamento público" "organizações da sociedade civil"</t>
  </si>
  <si>
    <t xml:space="preserve">Município de Florianópolis</t>
  </si>
  <si>
    <t xml:space="preserve">Florianópolis</t>
  </si>
  <si>
    <t xml:space="preserve">https://ecrie.com.br/sistema/conteudos/arquivo/a_61_0_1_31032025131336.pdf</t>
  </si>
  <si>
    <t xml:space="preserve">chamamento de OSC — até 35 núcleos de iniciação esportiva, Florianópolis</t>
  </si>
  <si>
    <t xml:space="preserve">op-abee4126363d</t>
  </si>
  <si>
    <t xml:space="preserve">Chamamento público publicado no Diário Oficial em 24/09/2026 — Minas Gerais / Nova Serrana</t>
  </si>
  <si>
    <t xml:space="preserve">Diário Oficial de Nova Serrana (MG) 2026-09-24 — "edital de chamamento público" associação</t>
  </si>
  <si>
    <t xml:space="preserve">PREFEITURA MUNICIPAL DE NOVA SERRANA/MG</t>
  </si>
  <si>
    <t xml:space="preserve">Nova Serrana</t>
  </si>
  <si>
    <t xml:space="preserve">https://www.novaserrana.mg.gov.br/portal/editais/1</t>
  </si>
  <si>
    <t xml:space="preserve">edital 07/2026 seleção de OSC — termo de fomento para evento de cultura afro-brasileira (Nova Serrana/MG)</t>
  </si>
  <si>
    <t xml:space="preserve">op-1b458a574c96</t>
  </si>
  <si>
    <t xml:space="preserve">Chamamento público publicado no Diário Oficial em 14/09/2026 — Minas Gerais / Uberaba</t>
  </si>
  <si>
    <t xml:space="preserve">Diário Oficial de Uberaba (MG) 2026-09-14 — "edital de chamamento público" associação</t>
  </si>
  <si>
    <t xml:space="preserve">ESTADO DE MINAS GERAIS, por intermédio da SECRETARIA DE ESTADO DE SAÚDE – SES/MG</t>
  </si>
  <si>
    <t xml:space="preserve">Uberaba</t>
  </si>
  <si>
    <t xml:space="preserve">https://www.saude.mg.gov.br/transparencia/</t>
  </si>
  <si>
    <t xml:space="preserve">PNAB 002/2026 bolsas (Uberaba/MG) — mesma oportunidade de 35053888</t>
  </si>
  <si>
    <t xml:space="preserve">op-981853d3cfcb</t>
  </si>
  <si>
    <t xml:space="preserve">Chamamento público publicado no Diário Oficial em 22/09/2026 — Minas Gerais / Uberaba</t>
  </si>
  <si>
    <t xml:space="preserve">Diário Oficial de Uberaba (MG) 2026-09-22 — "edital de chamamento público" associação</t>
  </si>
  <si>
    <t xml:space="preserve">Município de Uberaba</t>
  </si>
  <si>
    <t xml:space="preserve">https://www.folhauberaba.com.br/fundacao-cultural-de-uberaba-publica-editais-da-pnab-de-fomento-a-cultura/</t>
  </si>
  <si>
    <t xml:space="preserve">PNAB 004/2026 projetos de música (Uberaba/MG)</t>
  </si>
  <si>
    <t xml:space="preserve">op-e9287fca0e79</t>
  </si>
  <si>
    <t xml:space="preserve">Chamamento público publicado no Diário Oficial em 15/09/2026 — Rio Grande do Norte / Mossoró</t>
  </si>
  <si>
    <t xml:space="preserve">Diário Oficial de Mossoró (RN) 2026-09-15 — "edital de chamamento público" associação</t>
  </si>
  <si>
    <t xml:space="preserve">Câmara Municipal de Mossoró</t>
  </si>
  <si>
    <t xml:space="preserve">Mossoró</t>
  </si>
  <si>
    <t xml:space="preserve">https://dom.mossoro.rn.gov.br/dom/leis</t>
  </si>
  <si>
    <t xml:space="preserve">edital de repasse a projetos artísticos (Mossoró/RN)</t>
  </si>
  <si>
    <t xml:space="preserve">op-e507b04d788c</t>
  </si>
  <si>
    <t xml:space="preserve">Chamamento público publicado no Diário Oficial em 16/09/2026 — Rio de Janeiro / Niterói</t>
  </si>
  <si>
    <t xml:space="preserve">Diário Oficial de Niterói (RJ) 2026-09-16 — "edital de chamamento público" associação</t>
  </si>
  <si>
    <t xml:space="preserve">PREFEITURA MUNICIPAL DE NITERÓI</t>
  </si>
  <si>
    <t xml:space="preserve">Niterói</t>
  </si>
  <si>
    <t xml:space="preserve">https://data.queridodiario.ok.org.br/3303302/2026-09-16/ccf1c49b084e03c847238247609227d2b877c10d.pdf</t>
  </si>
  <si>
    <t xml:space="preserve">extrato do edital SMC 02/2026 Cultura Geek (Niterói/RJ)</t>
  </si>
  <si>
    <t xml:space="preserve">op-9e7d4afa9055</t>
  </si>
  <si>
    <t xml:space="preserve">Chamamento público publicado no Diário Oficial em 17/08/2026 — Sergipe / Simão Dias</t>
  </si>
  <si>
    <t xml:space="preserve">Diário Oficial de Simão Dias (SE) 2026-08-17 — "edital de chamamento público" associação</t>
  </si>
  <si>
    <t xml:space="preserve">associação</t>
  </si>
  <si>
    <t xml:space="preserve">Simão Dias</t>
  </si>
  <si>
    <t xml:space="preserve">https://notasocial.com.br/minc-abre-edital-para-selecionar-oscs-para-executar-acoes-do-programa-nacional-dos-comites-de-cultura-2/</t>
  </si>
  <si>
    <t xml:space="preserve">editais culturais 003 e 004/2026 SEMCULT (Simão Dias/SE)</t>
  </si>
  <si>
    <t xml:space="preserve">op-4a9bc87ef4bf</t>
  </si>
  <si>
    <t xml:space="preserve">Chamamento público publicado no Diário Oficial em 05/08/2026 — Roraima / Boa Vista</t>
  </si>
  <si>
    <t xml:space="preserve">Diário Oficial de Boa Vista (RR) 2026-08-05 — "edital de chamamento público" associação</t>
  </si>
  <si>
    <t xml:space="preserve">Prefeitura Municipal de Boa Vista</t>
  </si>
  <si>
    <t xml:space="preserve">RR</t>
  </si>
  <si>
    <t xml:space="preserve">Boa Vista</t>
  </si>
  <si>
    <t xml:space="preserve">https://data.queridodiario.ok.org.br/1400100/2026-08-05/a89b261c79746242d23685140310c4ff21c8c191.pdf</t>
  </si>
  <si>
    <t xml:space="preserve">resultado final com REABERTURA DE PRAZO de chamamento de OSC — saúde (Boa Vista/RR); prazo não confirmado</t>
  </si>
  <si>
    <t xml:space="preserve">op-400bbbdbafa8</t>
  </si>
  <si>
    <t xml:space="preserve">Edital de cadastramento de entidades no Sistema de Destinações (pré-requisito de todos os editais de indicação… — Goiás</t>
  </si>
  <si>
    <t xml:space="preserve">Edital de cadastramento de entidades no Sistema de Destinações (pré-requisito de todos os editais de indicação)</t>
  </si>
  <si>
    <t xml:space="preserve">MPT-GO — PRT 18ª Região</t>
  </si>
  <si>
    <t xml:space="preserve">https://destinacoes.mpt.mp.br/</t>
  </si>
  <si>
    <t xml:space="preserve">op-8f4aa3b9b1fa</t>
  </si>
  <si>
    <t xml:space="preserve">MPT-GO entrega dois caminhões a cooperativas de catadores de materiais recicláveis em Goiânia — Goiás / Goiânia</t>
  </si>
  <si>
    <t xml:space="preserve">MPT-GO entrega dois caminhões a cooperativas de catadores de materiais recicláveis em Goiânia</t>
  </si>
  <si>
    <t xml:space="preserve">https://www.prt18.mpt.mp.br/informe-se/noticias-do-mpt-go/1141-mpt-go-entrega-dois-caminhoes-a-cooperativas-de-catadores-de-materiais-reciclaveis-em-goiania</t>
  </si>
  <si>
    <t xml:space="preserve">R$ 1 milhao (caminhoes)</t>
  </si>
  <si>
    <t xml:space="preserve">op-9f517d94dcda</t>
  </si>
  <si>
    <t xml:space="preserve">Evento marca entrega de certificados de capacitação profissional a adolescentes e jovens em vulnerabilidade da… — Goiás / Goiânia</t>
  </si>
  <si>
    <t xml:space="preserve">Evento marca entrega de certificados de capacitação profissional a adolescentes e jovens em vulnerabilidade da Cidade de Goiás</t>
  </si>
  <si>
    <t xml:space="preserve">https://www.prt18.mpt.mp.br/informe-se/noticias-do-mpt-go/1090-evento-marca-entrega-de-certificados-de-capacitacao-profissional-a-adolescentes-e-jovens-em-vulnerabilidade-da-cidade-de-goias</t>
  </si>
  <si>
    <t xml:space="preserve">op-2aa02b1def27</t>
  </si>
  <si>
    <t xml:space="preserve">Projeto "Mais Um Sem Dor" recebe R$ 103 mil para custear suas atividades em Palmeiras de Goiás — Goiás / Goiânia</t>
  </si>
  <si>
    <t xml:space="preserve">Projeto "Mais Um Sem Dor" recebe R$ 103 mil para custear suas atividades em Palmeiras de Goiás</t>
  </si>
  <si>
    <t xml:space="preserve">https://www.prt18.mpt.mp.br/informe-se/noticias-do-mpt-go/1084-projeto-mais-um-sem-dor-recebe-r-103-mil-para-custear-suas-atividades-em-palmeiras-de-goias</t>
  </si>
  <si>
    <t xml:space="preserve">R$ 103.000</t>
  </si>
  <si>
    <t xml:space="preserve">op-655f62da892b</t>
  </si>
  <si>
    <t xml:space="preserve">MPT divulga nova portaria e edital e convoca entidades para atualizar cadastro de destinações — Brasil</t>
  </si>
  <si>
    <t xml:space="preserve">MPT divulga nova portaria e edital e convoca entidades para atualizar cadastro de destinações</t>
  </si>
  <si>
    <t xml:space="preserve">MPT nacional — nao identificada</t>
  </si>
  <si>
    <t xml:space="preserve">https://mpt.mp.br/pgt/noticias/mpt-divulga-nova-portaria-e-edital-e-convoca-entidades-para-atualizar-cadastro-de-destinacoes</t>
  </si>
  <si>
    <t xml:space="preserve">op-d94ac7806d3a</t>
  </si>
  <si>
    <t xml:space="preserve">Nota Técnica nº 9/2025 - GT Reversões - Decisão cautelar STF ADPF 944 — Brasil</t>
  </si>
  <si>
    <t xml:space="preserve">Nota Técnica nº 9/2025 - GT Reversões - Decisão cautelar STF ADPF 944</t>
  </si>
  <si>
    <t xml:space="preserve">MPT nacional — PGT - GT Reversoes</t>
  </si>
  <si>
    <t xml:space="preserve">https://mpt.mp.br/pgt/noticias/nota-tecnica-no-9-2025-gt-reversoes-decisao-cautelar-stf-adpf-944.pdf/view</t>
  </si>
  <si>
    <t xml:space="preserve">op-2333f2d2746d</t>
  </si>
  <si>
    <t xml:space="preserve">Regulamenta o cadastramento de entidades e órgãos para recebimento de bens e valores e a prestação de contas — Goiás</t>
  </si>
  <si>
    <t xml:space="preserve">Regulamenta o cadastramento de entidades e órgãos para recebimento de bens e valores e a prestação de contas</t>
  </si>
  <si>
    <t xml:space="preserve">MPF — PGR</t>
  </si>
  <si>
    <t xml:space="preserve">https://www.mpf.mp.br/atuacao/ccr4/normas/copy_of_portarias/portarias-2024/Portaria10972024PGRMPF.pdf/view</t>
  </si>
  <si>
    <t xml:space="preserve">op-6c0e3937043e</t>
  </si>
  <si>
    <t xml:space="preserve">MPF divulga lista de instituições selecionadas para receber bens doados</t>
  </si>
  <si>
    <t xml:space="preserve">MPF — PR-GO</t>
  </si>
  <si>
    <t xml:space="preserve">https://www.mpf.mp.br/o-mpf/unidades/pr-go/noticias/mpf-divulga-lista-de-instituicoes-selecionadas-para-receber-bens-doados</t>
  </si>
  <si>
    <t xml:space="preserve">op-b391b564b8a4</t>
  </si>
  <si>
    <t xml:space="preserve">Edital de formação de cadastro de pessoas jurídicas de direito privado sem fins lucrativos — Brasil</t>
  </si>
  <si>
    <t xml:space="preserve">Edital de formação de cadastro de pessoas jurídicas de direito privado sem fins lucrativos</t>
  </si>
  <si>
    <t xml:space="preserve">MPDFT — PGJ / Cema / Apma</t>
  </si>
  <si>
    <t xml:space="preserve">https://www.mpdft.mp.br/portal/index.php/comunicacao-menu/sala-de-imprensa/noticias/noticias-2026/17805-medidas-alternativas-mpdft-apresenta-resultados-e-iniciativas-dos-ultimos-dois-anos</t>
  </si>
  <si>
    <t xml:space="preserve">abril/2026 (dia não confirmado) a abril/2026 (dia não confirmado)</t>
  </si>
  <si>
    <t xml:space="preserve">op-c734fac6e9a4</t>
  </si>
  <si>
    <t xml:space="preserve">Sede de grupo escoteiro no Riacho Fundo I é inaugurada com recurso de medidas alternativas — Brasil</t>
  </si>
  <si>
    <t xml:space="preserve">Sede de grupo escoteiro no Riacho Fundo I é inaugurada com recurso de medidas alternativas</t>
  </si>
  <si>
    <t xml:space="preserve">MPDFT — Sema Riacho Fundo</t>
  </si>
  <si>
    <t xml:space="preserve">https://www.mpdft.mp.br/portal/index.php/comunicacao-menu/sala-de-imprensa/noticias/noticias-2026/17970-sede-de-grupo-escoteiro-no-riacho-fundo-i-e-inaugurada-com-recurso-de-medidas-alternativas</t>
  </si>
  <si>
    <t xml:space="preserve">op-0131c4dfc04c</t>
  </si>
  <si>
    <t xml:space="preserve">Ministério Público Militar celebra Acordo de Não Persecução Penal em crime militar ambiental — Brasil</t>
  </si>
  <si>
    <t xml:space="preserve">Ministério Público Militar celebra Acordo de Não Persecução Penal em crime militar ambiental</t>
  </si>
  <si>
    <t xml:space="preserve">MPM — 4ª PJM Rio de Janeiro</t>
  </si>
  <si>
    <t xml:space="preserve">https://www.mpm.mp.br/arquivos/62167</t>
  </si>
  <si>
    <t xml:space="preserve">op-00df10b8466e</t>
  </si>
  <si>
    <t xml:space="preserve">Empresa Brasileira de Correios e Telégrafos — EDITAL nº CP 01/2026 — Brasil</t>
  </si>
  <si>
    <t xml:space="preserve">Empresa Brasileira de Correios e Telégrafos — EDITAL nº CP 01/2026</t>
  </si>
  <si>
    <t xml:space="preserve">Empresa Brasileira de Correios e Telégrafos</t>
  </si>
  <si>
    <t xml:space="preserve">https://www.in.gov.br/web/dou/-/edital-n-cp-01/2026-731661657</t>
  </si>
  <si>
    <t xml:space="preserve">informado (Motor 03 — Diário Oficial da União — histórico de 3 anos, 2026-10-03)</t>
  </si>
  <si>
    <t xml:space="preserve">op-04990cca4f6a</t>
  </si>
  <si>
    <t xml:space="preserve">Empresa Brasileira de Correios e Telégrafos — EDITAL DE CHAMAMENTO PÚBLICO — Brasil</t>
  </si>
  <si>
    <t xml:space="preserve">Empresa Brasileira de Correios e Telégrafos — EDITAL DE CHAMAMENTO PÚBLICO</t>
  </si>
  <si>
    <t xml:space="preserve">https://www.in.gov.br/web/dou/-/edital-de-chamamento-publico-731554631</t>
  </si>
  <si>
    <t xml:space="preserve">op-af85ca3d9e40</t>
  </si>
  <si>
    <t xml:space="preserve">Torcedor de Pernambuco — Juizado do Torcedor de Pernambuco financia projetos sociais com recursos de prestaçõe… — Goiás</t>
  </si>
  <si>
    <t xml:space="preserve">Torcedor de Pernambuco — Juizado do Torcedor de Pernambuco financia projetos sociais com recursos de prestações pecuniárias</t>
  </si>
  <si>
    <t xml:space="preserve">https://www.cnj.jus.br/juizado-do-torcedor-de-pernambuco-financia-projetos-sociais-com-recursos-de-prestacoes-pecuniarias/</t>
  </si>
  <si>
    <t xml:space="preserve">op-6d8ba7df4bd6</t>
  </si>
  <si>
    <t xml:space="preserve">PE: Judiciário beneficia 16 projetos sociais com a aplicação de penas pecuniárias — Brasil</t>
  </si>
  <si>
    <t xml:space="preserve">PE: Judiciário beneficia 16 projetos sociais com a aplicação de penas pecuniárias</t>
  </si>
  <si>
    <t xml:space="preserve">https://www.cnj.jus.br/pe-judiciario-beneficia-16-projetos-sociais-com-a-aplicacao-de-penas-pecuniarias/</t>
  </si>
  <si>
    <t xml:space="preserve">op-bd01f26ced1b</t>
  </si>
  <si>
    <t xml:space="preserve">Publicada Resolução que destina penas pecuniárias para projetos e entidades sociais — Brasil</t>
  </si>
  <si>
    <t xml:space="preserve">Publicada Resolução que destina penas pecuniárias para projetos e entidades sociais</t>
  </si>
  <si>
    <t xml:space="preserve">https://www.cnj.jus.br/publicada-resolucao-que-destina-penas-pecuniarias-para-projetos-e-entidades-sociais/</t>
  </si>
  <si>
    <t xml:space="preserve">op-dfc25174ff92</t>
  </si>
  <si>
    <t xml:space="preserve">Arrecadação de penas pecuniárias irá para projetos sociais — Brasil</t>
  </si>
  <si>
    <t xml:space="preserve">Arrecadação de penas pecuniárias irá para projetos sociais</t>
  </si>
  <si>
    <t xml:space="preserve">https://www.cnj.jus.br/arrecadacao-de-penas-pecuniarias-ira-para-projetos-sociais/</t>
  </si>
  <si>
    <t xml:space="preserve">op-1298d3fdd558</t>
  </si>
  <si>
    <t xml:space="preserve">Acari — Vara Única de Acari (RN) destina R$ 153 mil a projetos sociais — Goiás</t>
  </si>
  <si>
    <t xml:space="preserve">Acari — Vara Única de Acari (RN) destina R$ 153 mil a projetos sociais</t>
  </si>
  <si>
    <t xml:space="preserve">https://www.cnj.jus.br/vara-unica-de-acari-rn-destina-r-153-mil-a-projetos-sociais/</t>
  </si>
  <si>
    <t xml:space="preserve">2027-01-26</t>
  </si>
  <si>
    <t xml:space="preserve">op-d30007c5f96c</t>
  </si>
  <si>
    <t xml:space="preserve">Pena pecuniária: Justiça goiana cria cadastro online de projetos sociais — Brasil</t>
  </si>
  <si>
    <t xml:space="preserve">Pena pecuniária: Justiça goiana cria cadastro online de projetos sociais</t>
  </si>
  <si>
    <t xml:space="preserve">https://www.cnj.jus.br/pena-pecuniaria-justica-goiana-cria-cadastro-digital-de-projetos-sociais/</t>
  </si>
  <si>
    <t xml:space="preserve">op-9b56a1195028</t>
  </si>
  <si>
    <t xml:space="preserve">Pernambuco — Projetos sociais recebem R$ 360 mil de verba pecuniária em Pernambuco — Goiás</t>
  </si>
  <si>
    <t xml:space="preserve">Pernambuco — Projetos sociais recebem R$ 360 mil de verba pecuniária em Pernambuco</t>
  </si>
  <si>
    <t xml:space="preserve">https://www.cnj.jus.br/projetos-sociais-recebem-r-360-mil-de-verba-pecuniaria-em-pernambuco/</t>
  </si>
  <si>
    <t xml:space="preserve">2027-05-21</t>
  </si>
  <si>
    <t xml:space="preserve">op-a89e958cbd8b</t>
  </si>
  <si>
    <t xml:space="preserve">Edital seleciona entidades sociais de Goiás para receber recursos de penas pecuniárias — Goiás</t>
  </si>
  <si>
    <t xml:space="preserve">Edital seleciona entidades sociais de Goiás para receber recursos de penas pecuniárias</t>
  </si>
  <si>
    <t xml:space="preserve">https://www.cnj.jus.br/edital-seleciona-entidades-sociais-de-goias-para-receber-recursos-de-penas-pecuniarias/</t>
  </si>
  <si>
    <t xml:space="preserve">2027-08-07</t>
  </si>
  <si>
    <t xml:space="preserve">op-e2b46c78f03f</t>
  </si>
  <si>
    <t xml:space="preserve">Verba pecuniária auxilia na expansão de projetos sociais no Pará — Brasil</t>
  </si>
  <si>
    <t xml:space="preserve">Verba pecuniária auxilia na expansão de projetos sociais no Pará</t>
  </si>
  <si>
    <t xml:space="preserve">https://www.cnj.jus.br/wp-content/uploads/2015/06/resolucao_154_13072012_10102012192953.pdf</t>
  </si>
  <si>
    <t xml:space="preserve">op-324d63643a47</t>
  </si>
  <si>
    <t xml:space="preserve">Fundo Casa Socioambiental — Juventudes e Justiça Climática — Brasil</t>
  </si>
  <si>
    <t xml:space="preserve">Fundo Casa Socioambiental — Juventudes e Justiça Climática</t>
  </si>
  <si>
    <t xml:space="preserve">https://casa.org.br/chamadas/juventudes-e-justica-climatica-apoio-a-solucoes-lideradas-por-juventudes-perifericas-e-de-comunidades-tradicionais/</t>
  </si>
  <si>
    <t xml:space="preserve">Juventudes e Justiça Climática – Apoio a soluções lideradas por juventudes periféricas e de comunidades tradicionais</t>
  </si>
  <si>
    <t xml:space="preserve">2026-06-01 a 2026-06-30</t>
  </si>
  <si>
    <t xml:space="preserve">R$ 1.920.000,00 total; até R$ 60.000,00 por projeto (até 32)</t>
  </si>
  <si>
    <t xml:space="preserve">Fundo Casa Socioambiental (apoio: MacKenzie Scott (Yield Giving), Embaixada da França no Brasil)</t>
  </si>
  <si>
    <t xml:space="preserve">{'observacao': "VERIFICADO no arquivo de chamadas do Fundo Casa Socioambiental (API do site, 41 chamadas de 2023–2026, 03/10/2026): sem edição anterior com o mesmo nome; 'Fortalecendo juventudes no enfrentamento ao racismo ambiental' (2024-04) é linha vizinha, não contada."}</t>
  </si>
  <si>
    <t xml:space="preserve">op-66a134083774</t>
  </si>
  <si>
    <t xml:space="preserve">Fundação Banco do Brasil e UnB lançam edital para apoiar o desenvolvimento de Tecnologias Sociais em todo o pa… — Brasil</t>
  </si>
  <si>
    <t xml:space="preserve">Fundação Banco do Brasil e UnB lançam edital para apoiar o desenvolvimento de Tecnologias Sociais em todo o país</t>
  </si>
  <si>
    <t xml:space="preserve">https://transforma.fbb.org.br/premio/17</t>
  </si>
  <si>
    <t xml:space="preserve">Iniciativa inédita do Laboratório de Tecnologia Social (LabTS) da Fundação BB vai selecionar, para processo de incubação, projetos que promovam transformação social A Fundação Banco do Brasil, em parc</t>
  </si>
  <si>
    <t xml:space="preserve">op-d0c4ee4dcc33</t>
  </si>
  <si>
    <t xml:space="preserve">A AIPÊ está com inscrições abertas para a chamada pública de Soluções Socioambientais para Centros Urbanos — Brasil</t>
  </si>
  <si>
    <t xml:space="preserve">A AIPÊ está com inscrições abertas para a chamada pública de Soluções Socioambientais para Centros Urbanos</t>
  </si>
  <si>
    <t xml:space="preserve">https://gife.org.br/a-aipe-esta-com-inscricoes-abertas-para-a-chamada-publica-de-solucoes-socioambientais-para-centros-urbanos/</t>
  </si>
  <si>
    <t xml:space="preserve">Você faz parte de uma organização que contribui para que a vida nas cidades seja mais sustentável? A Aliança pela Inclusão Produtiva (AIPÊ) está com inscrições abertas para uma nova chamada pública qu</t>
  </si>
  <si>
    <t xml:space="preserve">2025-03-07</t>
  </si>
  <si>
    <t xml:space="preserve">op-2b2da12c7dc4</t>
  </si>
  <si>
    <t xml:space="preserve">Instituto Sociedade População e Natureza — Projetos socioambientais — Brasil</t>
  </si>
  <si>
    <t xml:space="preserve">Instituto Sociedade População e Natureza — Projetos socioambientais</t>
  </si>
  <si>
    <t xml:space="preserve">https://ppp-ecos.ispn.org.br/editais/39o-edital/</t>
  </si>
  <si>
    <t xml:space="preserve">O “39º Edital PPP-ECOS”, do Instituto Sociedade População e Natureza, visa apoiar projetos socioambientais de mulheres e jovens pertencentes a povos indígenas, comunidades tradicionais e agricultores </t>
  </si>
  <si>
    <t xml:space="preserve">2024-10-02</t>
  </si>
  <si>
    <t xml:space="preserve">op-2a72652689b1</t>
  </si>
  <si>
    <t xml:space="preserve">Proteção de crianças e adolescentes — Brasil</t>
  </si>
  <si>
    <t xml:space="preserve">Proteção de crianças e adolescentes</t>
  </si>
  <si>
    <t xml:space="preserve">https://childfundbrasil.org.br/frentes-de-atuacao/editais?_gl=1*14ywme0*_gcl_au*ODUwNzE0NDY1LjE3MjczNjQ2MzM.*_ga*OTUxNjUxMjUzLjE3MjczNjQ2MzM.*_ga_ZN7ZBHPWV8*MTcyNzM2NDYzMi4xLjEuMTcyNzM2NDcwOC41MC4wLjgzMzYyOTA3Ng..</t>
  </si>
  <si>
    <t xml:space="preserve">A ChildFund Brasil está com inscrições abertas até o dia 6 de outubro para apoiar organizações que trabalham no desenvolvimento e proteção de crianças e adolescentes em situação de vulnerabilidade soc</t>
  </si>
  <si>
    <t xml:space="preserve">2024-10-06</t>
  </si>
  <si>
    <t xml:space="preserve">https://childfundbrasil.org.br/frentes-de-atuacao/editais?_gl=1*14ywme0*_gcl_au*ODUwNzE0NDY1LjE3MjczNjQ2MzM.*_ga*OTUxNjUxMjUzLjE3MjczNjQ2MzM.*_ga_ZN7ZBHPWV8*MTcyNzM2NDYzMi4xLjEuMTcyNzM2NDcwOC41MC4wLjg</t>
  </si>
  <si>
    <t xml:space="preserve">{'observacao': 'SERIE CONFIRMADA SEM DATAS (Busca web e página oficial do financiador, leitura de 03/10/2026): edições anuais de 2024, 2025 comprovadas na página oficial, mas as datas de inscrição não foram lidas; previsão de janela só após ler essas datas.'}</t>
  </si>
  <si>
    <t xml:space="preserve">op-ea36e22bfad5</t>
  </si>
  <si>
    <t xml:space="preserve">ª Edição do Programa Evoluir 2024 — Brasil</t>
  </si>
  <si>
    <t xml:space="preserve">2ª Edição do Programa Evoluir 2024</t>
  </si>
  <si>
    <t xml:space="preserve">https://forms.office.com/pages/responsepage.aspx?id=B1lJuNxLeEioKKkCGcrTb1wYZolGLe5ClzO7GQ2P-LVUNkk5TlFFNlIzUkhOWUROMVhYSkkxUExJQS4u</t>
  </si>
  <si>
    <t xml:space="preserve">A chamada é uma iniciativa do Hub Social e Instituto MRV e tem o objetivo de ampliar o profissionalismo de organizações da sociedade civil de todo o país promovendo imersão empreendedora. Serão seleci</t>
  </si>
  <si>
    <t xml:space="preserve">2024-08-30</t>
  </si>
  <si>
    <t xml:space="preserve">op-3013877e2a10</t>
  </si>
  <si>
    <t xml:space="preserve">Itaú Unibanco abre inscrições para a 6ª Edição do Edital Itaú Esporte — Brasil</t>
  </si>
  <si>
    <t xml:space="preserve">Itaú Unibanco abre inscrições para a 6ª Edição do Edital Itaú Esporte</t>
  </si>
  <si>
    <t xml:space="preserve">https://futebolderua.org/ct/</t>
  </si>
  <si>
    <t xml:space="preserve">Em sua 6ª edição, o Edital destinará cerca de R$ 9 milhões para apoiar projetos aprovados pela Lei do Esporte que promovam impacto social; as inscrições são gratuitas e estão abertas até 02 de agosto.</t>
  </si>
  <si>
    <t xml:space="preserve">2024-08-02</t>
  </si>
  <si>
    <t xml:space="preserve">op-49f6e85e1fbf</t>
  </si>
  <si>
    <t xml:space="preserve">Edital FIA repassará até R$ 500 mil para projetos que assegurem direito à educação de crianças e adolescentes — Brasil</t>
  </si>
  <si>
    <t xml:space="preserve">Edital FIA repassará até R$ 500 mil para projetos que assegurem direito à educação de crianças e adolescentes</t>
  </si>
  <si>
    <t xml:space="preserve">https://gife.org.br/edital-fia-repassara-ate-r-500-mil-para-projetos-que-assegurem-direito-a-educacao-de-criancas-e-adolescentes/</t>
  </si>
  <si>
    <t xml:space="preserve">Conselhos Municipais dos Direitos da Criança e do Adolescente poderão inscrever propostas articuladas com secretarias municipais ou organizações da sociedade civil, visando impacto em escolas públicas</t>
  </si>
  <si>
    <t xml:space="preserve">2024-07-05</t>
  </si>
  <si>
    <t xml:space="preserve">op-3e27e9f1aff0</t>
  </si>
  <si>
    <t xml:space="preserve">Credenciamento de entidades privadas sem fins lucrativos com finalidade estatutária compatível com saúde e pro… — São Paulo</t>
  </si>
  <si>
    <t xml:space="preserve">CREDENCIAMENTO DE ENTIDADES PRIVADAS SEM FINS LUCRATIVOS COM FINALIDADE ESTATUTÁRIA COMPATÍVEL COM SAÚDE E PROTEÇÃO ANIMAL para a prestação de serviços de inten</t>
  </si>
  <si>
    <t xml:space="preserve">PNCP — FUNDO MUNICIPAL DE SAUDE - FMS</t>
  </si>
  <si>
    <t xml:space="preserve">op-82ea396b8e5f</t>
  </si>
  <si>
    <t xml:space="preserve">Chamamento público para seleção pública de entidades privadas sem fins lucrativos, qualificadas como organizaç… — Rio de Janeiro</t>
  </si>
  <si>
    <t xml:space="preserve">CHAMAMENTO PÚBLICO PARA SELEÇÃO PÚBLICA DE ENTIDADES PRIVADAS SEM FINS LUCRATIVOS, QUALIFICADAS COMO ORGANIZAÇÕES SOCIAIS NO MUNICÍPIO DE JAPERI, PARA CELEBRAÇÃ</t>
  </si>
  <si>
    <t xml:space="preserve">PNCP — MUNICIPIO DE JAPERI</t>
  </si>
  <si>
    <t xml:space="preserve">op-58234d11f0b6</t>
  </si>
  <si>
    <t xml:space="preserve">Santana — Justiça do Amapá destina mais de R$ 450 mil em verbas pecuniárias a projetos sociais — Goiás</t>
  </si>
  <si>
    <t xml:space="preserve">Santana — Justiça do Amapá destina mais de R$ 450 mil em verbas pecuniárias a projetos sociais</t>
  </si>
  <si>
    <t xml:space="preserve">https://www.cnj.jus.br/justica-do-amapa-destina-mais-de-r-450-mil-em-verbas-pecuniarias-a-projetos-sociais/</t>
  </si>
  <si>
    <t xml:space="preserve">op-7451e52233f6</t>
  </si>
  <si>
    <t xml:space="preserve">Canguçu — Norma do CNJ garante verbas para projetos sociais em Canguçu (RS)</t>
  </si>
  <si>
    <t xml:space="preserve">https://www.cnj.jus.br/norma-do-cnj-garante-verbas-para-projetos-sociais-em-cangucu-rs/</t>
  </si>
  <si>
    <t xml:space="preserve">op-ac30ecfe738a</t>
  </si>
  <si>
    <t xml:space="preserve">Tutóia — Tutóia divulga resultado de seleção para projetos sociais — Goiás</t>
  </si>
  <si>
    <t xml:space="preserve">Tutóia — Tutóia divulga resultado de seleção para projetos sociais</t>
  </si>
  <si>
    <t xml:space="preserve">https://www.cnj.jus.br/comarca-de-tutoia-divulga-resultado-de-selecao-para-projetos-sociais/</t>
  </si>
  <si>
    <t xml:space="preserve">op-3969b12581f5</t>
  </si>
  <si>
    <t xml:space="preserve">Spcine — edital de Desenvolvimento e Work in Progress em parceria com a NFVF (África do Sul) — São Paulo</t>
  </si>
  <si>
    <t xml:space="preserve">Spcine — edital de Desenvolvimento e Work in Progress em parceria com a NFVF (África do Sul)</t>
  </si>
  <si>
    <t xml:space="preserve">Spcine</t>
  </si>
  <si>
    <t xml:space="preserve">https://spcine.com.br/spcine-abre-inscricoes-para-edital-de-desenvolvimento-e-work-in-progress-em-parceria-com-a-national-film-and-video-foundation/</t>
  </si>
  <si>
    <t xml:space="preserve">2025-07-17</t>
  </si>
  <si>
    <t xml:space="preserve">2025-06-04 a 2025-07-17</t>
  </si>
  <si>
    <t xml:space="preserve">R$ 113.376 por projeto paulistano</t>
  </si>
  <si>
    <t xml:space="preserve">op-95ec751cc7e5</t>
  </si>
  <si>
    <t xml:space="preserve">Edital de Termo de Execução Cultural referente ao Inventário Participativo — Brasil</t>
  </si>
  <si>
    <t xml:space="preserve">Edital de Termo de Execução Cultural referente ao Inventário Participativo</t>
  </si>
  <si>
    <t xml:space="preserve">Iphan — Instituto do Patrimônio Histórico e Artístico Nacional</t>
  </si>
  <si>
    <t xml:space="preserve">https://www.gov.br/iphan/pt-br/acesso-a-informacao/editais-e-selecoes/abertos/edital-de-termo-de-execucao-cultural-no-1-2025-iphan-df-1</t>
  </si>
  <si>
    <t xml:space="preserve">2025-12-18</t>
  </si>
  <si>
    <t xml:space="preserve">op-e6dcfcc5cc8f</t>
  </si>
  <si>
    <t xml:space="preserve">DGARTES abre inscrições para Bolsa de Consultores e Especialistas — Internacional</t>
  </si>
  <si>
    <t xml:space="preserve">DGARTES abre inscrições para Bolsa de Consultores e Especialistas</t>
  </si>
  <si>
    <t xml:space="preserve">https://www.dgartes.gov.pt/pt/node/9678</t>
  </si>
  <si>
    <t xml:space="preserve">2026-03-19</t>
  </si>
  <si>
    <t xml:space="preserve">op-a6142d85f0a7</t>
  </si>
  <si>
    <t xml:space="preserve">Edital - centenário de darcy penteado — Brasil</t>
  </si>
  <si>
    <t xml:space="preserve">EDITAL - CENTENÁRIO DE DARCY PENTEADO</t>
  </si>
  <si>
    <t xml:space="preserve">https://mapa.cultura.gov.br/oportunidade/7110/</t>
  </si>
  <si>
    <t xml:space="preserve">op-ba15caa2a5b9</t>
  </si>
  <si>
    <t xml:space="preserve">Edital Ações Continuadas — Rio de Janeiro 2026 — Rio de Janeiro / Rio de Janeiro</t>
  </si>
  <si>
    <t xml:space="preserve">Edital Ações Continuadas — Rio de Janeiro 2026</t>
  </si>
  <si>
    <t xml:space="preserve">Secretaria Municipal de Cultura do Rio de Janeiro</t>
  </si>
  <si>
    <t xml:space="preserve">https://cultura.prefeitura.rio/</t>
  </si>
  <si>
    <t xml:space="preserve">R$ 19.200.000,00 (valor total)</t>
  </si>
  <si>
    <t xml:space="preserve">op-1224c877ec09</t>
  </si>
  <si>
    <t xml:space="preserve">Edital SC Cultura Viva 2026 (PNAB) — Santa Catarina</t>
  </si>
  <si>
    <t xml:space="preserve">Edital SC Cultura Viva 2026 (PNAB)</t>
  </si>
  <si>
    <t xml:space="preserve">Fundação Catarinense de Cultura — FCC</t>
  </si>
  <si>
    <t xml:space="preserve">https://www.cultura.sc.gov.br/editais-e-acoes/editais</t>
  </si>
  <si>
    <t xml:space="preserve">op-ecb6f49091a7</t>
  </si>
  <si>
    <t xml:space="preserve">Prêmio Nacional Vozes Periféricas — Brasil</t>
  </si>
  <si>
    <t xml:space="preserve">Prêmio Nacional Vozes Periféricas</t>
  </si>
  <si>
    <t xml:space="preserve">https://mapa.cultura.gov.br/oportunidade/8010/</t>
  </si>
  <si>
    <t xml:space="preserve">op-47f6eea324f8</t>
  </si>
  <si>
    <t xml:space="preserve">Bolsa Ofício 2026 — 2º Processo Seletivo (Conservatório de Tatuí) — São Paulo</t>
  </si>
  <si>
    <t xml:space="preserve">Bolsa Ofício 2026 — 2º Processo Seletivo (Conservatório de Tatuí)</t>
  </si>
  <si>
    <t xml:space="preserve">Conservatório de Tatuí — Sustenidos OS</t>
  </si>
  <si>
    <t xml:space="preserve">https://www.conservatoriodetatui.org.br/bolsa-oficio-inscricoes-abertas-2o-processo-seletivo-para-bolsa-oficio/</t>
  </si>
  <si>
    <t xml:space="preserve">op-2644abfa14ce</t>
  </si>
  <si>
    <t xml:space="preserve">Bolsa Cultura Viva — Mestras e Mestres das Culturas Tradicionais (Paraná) — Paraná</t>
  </si>
  <si>
    <t xml:space="preserve">Bolsa Cultura Viva — Mestras e Mestres das Culturas Tradicionais (Paraná)</t>
  </si>
  <si>
    <t xml:space="preserve">Governo do Estado do Paraná</t>
  </si>
  <si>
    <t xml:space="preserve">https://www.parana.pr.gov.br/aen/Noticia/Estado-lanca-edital-de-bolsas-para-mestras-e-mestres-de-culturas-tradicionais-e</t>
  </si>
  <si>
    <t xml:space="preserve">R$ 1.491.000,00 (valor total)</t>
  </si>
  <si>
    <t xml:space="preserve">op-eb2df11c8597</t>
  </si>
  <si>
    <t xml:space="preserve">Elaboração e Gestão de Projetos Culturais — Brasil</t>
  </si>
  <si>
    <t xml:space="preserve">Elaboração e Gestão de Projetos Culturais</t>
  </si>
  <si>
    <t xml:space="preserve">https://mapa.cultura.gov.br/oportunidade/7253/</t>
  </si>
  <si>
    <t xml:space="preserve">2026-05-23</t>
  </si>
  <si>
    <t xml:space="preserve">op-9d2f85d99a8f</t>
  </si>
  <si>
    <t xml:space="preserve">Escuta Zona Oeste — Brasil</t>
  </si>
  <si>
    <t xml:space="preserve">2 Escuta Zona Oeste</t>
  </si>
  <si>
    <t xml:space="preserve">https://mapa.cultura.gov.br/oportunidade/6978/</t>
  </si>
  <si>
    <t xml:space="preserve">2026-05-30</t>
  </si>
  <si>
    <t xml:space="preserve">op-9c48f926d8de</t>
  </si>
  <si>
    <t xml:space="preserve">Pausa Cotidiana - Parque Glória Maria (RJ) — Brasil</t>
  </si>
  <si>
    <t xml:space="preserve">Pausa Cotidiana - Parque Glória Maria (RJ)</t>
  </si>
  <si>
    <t xml:space="preserve">https://mapa.cultura.gov.br/oportunidade/8122/</t>
  </si>
  <si>
    <t xml:space="preserve">op-74b1b79a093c</t>
  </si>
  <si>
    <t xml:space="preserve">ª Mapeamento Nacional de Trancistas Negras — Brasil</t>
  </si>
  <si>
    <t xml:space="preserve">2ª Mapeamento Nacional de Trancistas Negras</t>
  </si>
  <si>
    <t xml:space="preserve">https://mapa.cultura.gov.br/oportunidade/8133/</t>
  </si>
  <si>
    <t xml:space="preserve">op-a4a1bfda60cb</t>
  </si>
  <si>
    <t xml:space="preserve">Oficina para formação de pareceristas de editais na área da cultura — Brasil</t>
  </si>
  <si>
    <t xml:space="preserve">OFICINA PARA FORMAÇÃO DE PARECERISTAS DE EDITAIS NA ÁREA DA CULTURA</t>
  </si>
  <si>
    <t xml:space="preserve">https://mapa.cultura.gov.br/oportunidade/9090/</t>
  </si>
  <si>
    <t xml:space="preserve">op-875789d79c77</t>
  </si>
  <si>
    <t xml:space="preserve">Consulta Pública Preliminar - Edital de Seleção SCDC/MinC/2026 — Brasil</t>
  </si>
  <si>
    <t xml:space="preserve">Consulta Pública Preliminar - Edital de Seleção SCDC/MinC/2026</t>
  </si>
  <si>
    <t xml:space="preserve">https://mapa.cultura.gov.br/oportunidade/8699/</t>
  </si>
  <si>
    <t xml:space="preserve">2026-06-05</t>
  </si>
  <si>
    <t xml:space="preserve">op-c99d8296cd85</t>
  </si>
  <si>
    <t xml:space="preserve">Certificação de Escolas Livres de Formação em Arte e Cultura — Brasil</t>
  </si>
  <si>
    <t xml:space="preserve">Certificação de Escolas Livres de Formação em Arte e Cultura</t>
  </si>
  <si>
    <t xml:space="preserve">https://mapa.cultura.gov.br/oportunidade/8204/</t>
  </si>
  <si>
    <t xml:space="preserve">op-b9976b35bad1</t>
  </si>
  <si>
    <t xml:space="preserve">Festival Itinerância O cinema é Rio - 2º edição — Brasil</t>
  </si>
  <si>
    <t xml:space="preserve">Festival Itinerância O cinema é Rio - 2º edição</t>
  </si>
  <si>
    <t xml:space="preserve">https://mapa.cultura.gov.br/oportunidade/9142/</t>
  </si>
  <si>
    <t xml:space="preserve">2026-06-10</t>
  </si>
  <si>
    <t xml:space="preserve">op-c4d0631a0418</t>
  </si>
  <si>
    <t xml:space="preserve">Concurso para seleção de obras para compor o 25º Encontro de Artes Plásticas — Brasil</t>
  </si>
  <si>
    <t xml:space="preserve">Concurso para seleção de obras para compor o 25º Encontro de Artes Plásticas</t>
  </si>
  <si>
    <t xml:space="preserve">https://mapa.cultura.gov.br/oportunidade/8900/</t>
  </si>
  <si>
    <t xml:space="preserve">op-30de0d8ce43b</t>
  </si>
  <si>
    <t xml:space="preserve">Chamamento Público 01/26 - PNAB Camaquã - Seleção de Projetos Culturais — Rio Grande do Sul</t>
  </si>
  <si>
    <t xml:space="preserve">Chamamento Público 01/26 - PNAB Camaquã - Seleção de Projetos Culturais</t>
  </si>
  <si>
    <t xml:space="preserve">https://mapa.cultura.gov.br/oportunidade/8879/</t>
  </si>
  <si>
    <t xml:space="preserve">op-a64684205cb5</t>
  </si>
  <si>
    <t xml:space="preserve">Chamamento Público 2/26 Camaquã - Premiação de Pontos e Pontões de Cultura — Rio Grande do Sul</t>
  </si>
  <si>
    <t xml:space="preserve">Chamamento Público 2/26 Camaquã - Premiação de Pontos e Pontões de Cultura</t>
  </si>
  <si>
    <t xml:space="preserve">https://mapa.cultura.gov.br/oportunidade/9337/</t>
  </si>
  <si>
    <t xml:space="preserve">op-563d0b0cd645</t>
  </si>
  <si>
    <t xml:space="preserve">Luiz alves - pnab - edital de chamamento público 01/2026 - semec — Santa Catarina</t>
  </si>
  <si>
    <t xml:space="preserve">LUIZ ALVES - PNAB - EDITAL DE CHAMAMENTO PÚBLICO 01/2026 - SEMEC</t>
  </si>
  <si>
    <t xml:space="preserve">https://mapa.cultura.gov.br/oportunidade/7960/</t>
  </si>
  <si>
    <t xml:space="preserve">op-4dace14d1586</t>
  </si>
  <si>
    <t xml:space="preserve">Seleção e habilitação de grupos de capoeira tradicional municipal — Mato Grosso</t>
  </si>
  <si>
    <t xml:space="preserve">SELEÇÃO E HABILITAÇÃO DE GRUPOS DE CAPOEIRA TRADICIONAL MUNICIPAL</t>
  </si>
  <si>
    <t xml:space="preserve">MUNICIPIO DE VILA RICA</t>
  </si>
  <si>
    <t xml:space="preserve">https://pncp.gov.br/app/editais/03238862000145/2026/62</t>
  </si>
  <si>
    <t xml:space="preserve">op-4ef10e8356a7</t>
  </si>
  <si>
    <t xml:space="preserve">Credenciamento para Artistas e Fazedores da Cultura, para o ano de 2026 — São Paulo</t>
  </si>
  <si>
    <t xml:space="preserve">Credenciamento para Artistas e Fazedores da Cultura, para o ano de 2026</t>
  </si>
  <si>
    <t xml:space="preserve">MUNICIPIO DE ARARAS</t>
  </si>
  <si>
    <t xml:space="preserve">https://pncp.gov.br/app/editais/44215846000114/2026/141</t>
  </si>
  <si>
    <t xml:space="preserve">op-c2b0dd6e3ba0</t>
  </si>
  <si>
    <t xml:space="preserve">º Edital João Celeste Alencar de Fomento à Cultura Vaqueira de Aiuaba — Ceará</t>
  </si>
  <si>
    <t xml:space="preserve">1º Edital João Celeste Alencar de Fomento à Cultura Vaqueira de Aiuaba</t>
  </si>
  <si>
    <t xml:space="preserve">https://mapacultural.secult.ce.gov.br/oportunidade/8116/</t>
  </si>
  <si>
    <t xml:space="preserve">op-6ea7b11134c7</t>
  </si>
  <si>
    <t xml:space="preserve">Contratação de serviços de apresentações musicais, envolvendo artistas — Rio Grande do Norte</t>
  </si>
  <si>
    <t xml:space="preserve">Contratação de serviços de apresentações musicais, envolvendo artistas</t>
  </si>
  <si>
    <t xml:space="preserve">MUNICIPIO DE PARELHAS</t>
  </si>
  <si>
    <t xml:space="preserve">https://pncp.gov.br/app/editais/08087561000181/2025/177</t>
  </si>
  <si>
    <t xml:space="preserve">op-2e6ff4575e8c</t>
  </si>
  <si>
    <t xml:space="preserve">CAIS Fellowships — pesquisa sobre transformação digital (Bochum, Alemanha) — Internacional</t>
  </si>
  <si>
    <t xml:space="preserve">CAIS Fellowships — pesquisa sobre transformação digital (Bochum, Alemanha)</t>
  </si>
  <si>
    <t xml:space="preserve">Center for Advanced Internet Studies (CAIS)</t>
  </si>
  <si>
    <t xml:space="preserve">https://cais-research.de/en/cais-college/fellowships/</t>
  </si>
  <si>
    <t xml:space="preserve">2026-07-23</t>
  </si>
  <si>
    <t xml:space="preserve">op-a60e087d18cb</t>
  </si>
  <si>
    <t xml:space="preserve">Prêmio Impactos Positivos 2026 — reconhecimento a negócios e iniciativas — Brasil</t>
  </si>
  <si>
    <t xml:space="preserve">Prêmio Impactos Positivos 2026 — reconhecimento a negócios e iniciativas</t>
  </si>
  <si>
    <t xml:space="preserve">Global Vision Access (GVA)</t>
  </si>
  <si>
    <t xml:space="preserve">https://vitrine.impactospositivos.com</t>
  </si>
  <si>
    <t xml:space="preserve">op-3fd92e42283c</t>
  </si>
  <si>
    <t xml:space="preserve">Abertura de chamamento público para seleção e premiação de propostas — Rio Grande do Sul</t>
  </si>
  <si>
    <t xml:space="preserve">ABERTURA DE CHAMAMENTO PÚBLICO PARA SELEÇÃO E PREMIAÇÃO DE PROPOSTAS</t>
  </si>
  <si>
    <t xml:space="preserve">https://pncp.gov.br/app/editais/87849923000109/2026/440</t>
  </si>
  <si>
    <t xml:space="preserve">{'observacao': 'VERIFICADO em 03/10/2026 (PNCP e site da prefeitura de Bento Gonçalves): Edital 19/2026 de seleção e premiação de propostas culturais de circulação (inscrições 07 a 24/07/2026); edição anterior do mesmo objeto não localizada.'}</t>
  </si>
  <si>
    <t xml:space="preserve">op-b729bf53043d</t>
  </si>
  <si>
    <t xml:space="preserve">Residência Online com Efe Godoy 2026 — Centro Cultural Veras — Brasil</t>
  </si>
  <si>
    <t xml:space="preserve">Residência Online com Efe Godoy 2026 — Centro Cultural Veras</t>
  </si>
  <si>
    <t xml:space="preserve">Centro Cultural Veras</t>
  </si>
  <si>
    <t xml:space="preserve">https://rededasartes.cultura.gov.br/oportunidade/9832/</t>
  </si>
  <si>
    <t xml:space="preserve">2026-07-25</t>
  </si>
  <si>
    <t xml:space="preserve">op-b745a58baa89</t>
  </si>
  <si>
    <t xml:space="preserve">Edital de chamamento público nº 001/2026-pnab marco - edital padroeira — Ceará</t>
  </si>
  <si>
    <t xml:space="preserve">EDITAL DE CHAMAMENTO PÚBLICO Nº 001/2026-PNAB MARCO - EDITAL PADROEIRA</t>
  </si>
  <si>
    <t xml:space="preserve">https://mapacultural.secult.ce.gov.br/oportunidade/8093/</t>
  </si>
  <si>
    <t xml:space="preserve">2026-07-26</t>
  </si>
  <si>
    <t xml:space="preserve">op-c1cdb73941a8</t>
  </si>
  <si>
    <t xml:space="preserve">Edital de chamamento público para fomento à programação de espaços culturais — Ceará</t>
  </si>
  <si>
    <t xml:space="preserve">EDITAL DE CHAMAMENTO PÚBLICO PARA FOMENTO À PROGRAMAÇÃO DE ESPAÇOS CULTURAIS</t>
  </si>
  <si>
    <t xml:space="preserve">https://mapacultural.secult.ce.gov.br/oportunidade/8063/</t>
  </si>
  <si>
    <t xml:space="preserve">op-19813c092849</t>
  </si>
  <si>
    <t xml:space="preserve">Edital de chamamento público nº 004/2026 "simp... — Ceará</t>
  </si>
  <si>
    <t xml:space="preserve">EDITAL DE CHAMAMENTO PÚBLICO Nº 004/2026 "SIMP...</t>
  </si>
  <si>
    <t xml:space="preserve">https://mapacultural.secult.ce.gov.br/oportunidade/8139/</t>
  </si>
  <si>
    <t xml:space="preserve">op-7d490a25a123</t>
  </si>
  <si>
    <t xml:space="preserve">Prémios da Associação Portuguesa de Museologia — Brasil</t>
  </si>
  <si>
    <t xml:space="preserve">Prémios da Associação Portuguesa de Museologia</t>
  </si>
  <si>
    <t xml:space="preserve">Associação Portuguesa de Museologia (APOM)</t>
  </si>
  <si>
    <t xml:space="preserve">https://apom.pt/2026/06/premios-apom-2026-candidaturas-a-decorre/</t>
  </si>
  <si>
    <t xml:space="preserve">op-f1506d722019</t>
  </si>
  <si>
    <t xml:space="preserve">Seleção de 6 projetos culturais de agentes residentes — Rio Grande do Sul</t>
  </si>
  <si>
    <t xml:space="preserve">Seleção de 6 projetos culturais de agentes residentes</t>
  </si>
  <si>
    <t xml:space="preserve">MUNICIPIO DE LAGOA VERMELHA</t>
  </si>
  <si>
    <t xml:space="preserve">https://pncp.gov.br/app/editais/87613626000151/2026/286</t>
  </si>
  <si>
    <t xml:space="preserve">R$ 70.000,00 (valor total)</t>
  </si>
  <si>
    <t xml:space="preserve">op-7c33333c5cb1</t>
  </si>
  <si>
    <t xml:space="preserve">Credenciamento de artistas, grupos artísticos — Pernambuco</t>
  </si>
  <si>
    <t xml:space="preserve">CREDENCIAMENTO DE ARTISTAS, GRUPOS ARTÍSTICOS</t>
  </si>
  <si>
    <t xml:space="preserve">MUNICIPIO DE TACAIMBO</t>
  </si>
  <si>
    <t xml:space="preserve">https://pncp.gov.br/app/editais/10091601000100/2025/103</t>
  </si>
  <si>
    <t xml:space="preserve">op-f7bef609cd55</t>
  </si>
  <si>
    <t xml:space="preserve">Credenciamento de bandas, artistas musicais — Minas Gerais</t>
  </si>
  <si>
    <t xml:space="preserve">Credenciamento de BANDAS, ARTISTAS MUSICAIS</t>
  </si>
  <si>
    <t xml:space="preserve">op-1a2e63681be8</t>
  </si>
  <si>
    <t xml:space="preserve">XII Prêmio Hermilo Borba Filho de Literatura — Pernambuco</t>
  </si>
  <si>
    <t xml:space="preserve">XII Prêmio Hermilo Borba Filho de Literatura</t>
  </si>
  <si>
    <t xml:space="preserve">SECULT-PE / CEPE</t>
  </si>
  <si>
    <t xml:space="preserve">https://www.mapacultural.pe.gov.br/oportunidade/3284/</t>
  </si>
  <si>
    <t xml:space="preserve">R$ 90.000,00 (valor total)</t>
  </si>
  <si>
    <t xml:space="preserve">op-4677246e1743</t>
  </si>
  <si>
    <t xml:space="preserve">FAPESP PIPE Jornada Tecnológica — até R$ 500 mil — São Paulo</t>
  </si>
  <si>
    <t xml:space="preserve">FAPESP PIPE Jornada Tecnológica — até R$ 500 mil</t>
  </si>
  <si>
    <t xml:space="preserve">https://fapesp.br/18243/</t>
  </si>
  <si>
    <t xml:space="preserve">R$ 50.000.000,00 (valor total)</t>
  </si>
  <si>
    <t xml:space="preserve">op-caa65d2e7957</t>
  </si>
  <si>
    <t xml:space="preserve">Credenciamento de interessados em prestar serviços — Bahia</t>
  </si>
  <si>
    <t xml:space="preserve">Credenciamento de interessados em prestar serviços</t>
  </si>
  <si>
    <t xml:space="preserve">MUNICIPIO DE LAJE</t>
  </si>
  <si>
    <t xml:space="preserve">https://pncp.gov.br/app/editais/13825492000104/2025/33</t>
  </si>
  <si>
    <t xml:space="preserve">op-62c2c1d0bfd1</t>
  </si>
  <si>
    <t xml:space="preserve">Credenciamento de proposta artistica — Minas Gerais</t>
  </si>
  <si>
    <t xml:space="preserve">CREDENCIAMENTO DE PROPOSTA ARTISTICA</t>
  </si>
  <si>
    <t xml:space="preserve">MUNICIPIO DE MATOZINHOS</t>
  </si>
  <si>
    <t xml:space="preserve">https://pncp.gov.br/app/editais/18771238000186/2025/104</t>
  </si>
  <si>
    <t xml:space="preserve">op-0172e6822442</t>
  </si>
  <si>
    <t xml:space="preserve">Edital nº 001/2026 de fomento para linguagens — Ceará</t>
  </si>
  <si>
    <t xml:space="preserve">EDITAL Nº 001/2026 DE FOMENTO PARA LINGUAGENS</t>
  </si>
  <si>
    <t xml:space="preserve">https://mapacultural.secult.ce.gov.br/oportunidade/8015/</t>
  </si>
  <si>
    <t xml:space="preserve">op-d647fe01da50</t>
  </si>
  <si>
    <t xml:space="preserve">Bolsa-residência Emsländische Landschaft — Brasil</t>
  </si>
  <si>
    <t xml:space="preserve">Bolsa-residência Emsländische Landschaft</t>
  </si>
  <si>
    <t xml:space="preserve">Emsländische Landschaft e.V.</t>
  </si>
  <si>
    <t xml:space="preserve">https://www.emslaendische-landschaft.de/news/ausschreibung-kunstlerstipendium-der-emslandischen-landschaft-e-v.html</t>
  </si>
  <si>
    <t xml:space="preserve">op-5aaafc878a3d</t>
  </si>
  <si>
    <t xml:space="preserve">Bolsas DAAD — Programa Helmut Schmidt de mestrado — Brasil</t>
  </si>
  <si>
    <t xml:space="preserve">Bolsas DAAD — Programa Helmut Schmidt de mestrado</t>
  </si>
  <si>
    <t xml:space="preserve">DAAD — Serviço Alemão de Intercâmbio Acadêmico</t>
  </si>
  <si>
    <t xml:space="preserve">https://www.daad-brasil.org/pt/2026/05/05/programa-helmut-schmidt-oferece-bolsas-de-pos-graduacao-em-politicas-publicas/</t>
  </si>
  <si>
    <t xml:space="preserve">op-c4cedba16aa1</t>
  </si>
  <si>
    <t xml:space="preserve">Kometa Fellows — bolsa de €10 mil para jornalismo — Brasil</t>
  </si>
  <si>
    <t xml:space="preserve">Kometa Fellows — bolsa de €10 mil para jornalismo</t>
  </si>
  <si>
    <t xml:space="preserve">Kometa</t>
  </si>
  <si>
    <t xml:space="preserve">https://kometarevue.com/page/fellows</t>
  </si>
  <si>
    <t xml:space="preserve">op-732329d4b16c</t>
  </si>
  <si>
    <t xml:space="preserve">Les Nuits Magiques — Festival Internacional de Animação — Brasil</t>
  </si>
  <si>
    <t xml:space="preserve">Les Nuits Magiques — Festival Internacional de Animação</t>
  </si>
  <si>
    <t xml:space="preserve">Les Nuits Magiques</t>
  </si>
  <si>
    <t xml:space="preserve">https://www.lesnuitsmagiques.fr/inscription.html</t>
  </si>
  <si>
    <t xml:space="preserve">op-1659e926a27a</t>
  </si>
  <si>
    <t xml:space="preserve">VIFF — Un Brin de Court: festival de microcurtas — Brasil</t>
  </si>
  <si>
    <t xml:space="preserve">VIFF — Un Brin de Court: festival de microcurtas</t>
  </si>
  <si>
    <t xml:space="preserve">Club Audiovisuel de Vichy</t>
  </si>
  <si>
    <t xml:space="preserve">https://www.viff.info/</t>
  </si>
  <si>
    <t xml:space="preserve">op-6f29bf2363f3</t>
  </si>
  <si>
    <t xml:space="preserve">Prémio Imprensa Nacional / Ferreira de Castro 2026 — Internacional</t>
  </si>
  <si>
    <t xml:space="preserve">Prémio Imprensa Nacional / Ferreira de Castro 2026</t>
  </si>
  <si>
    <t xml:space="preserve">Imprensa Nacional-Casa da Moeda (INCM)</t>
  </si>
  <si>
    <t xml:space="preserve">https://incm.pt/site/abertas-as-candidaturas-aos-premios-incm-para-a-lingua-portuguesa-2026/</t>
  </si>
  <si>
    <t xml:space="preserve">5.000,00 (valor total, moeda da fonte)</t>
  </si>
  <si>
    <t xml:space="preserve">op-e8987a7a8a2d</t>
  </si>
  <si>
    <t xml:space="preserve">EMS × AdK Residency — música eletroacústica — Internacional</t>
  </si>
  <si>
    <t xml:space="preserve">EMS × AdK Residency — música eletroacústica</t>
  </si>
  <si>
    <t xml:space="preserve">Elektronmusikstudion (EMS) + Akademie der Künste (AdK)</t>
  </si>
  <si>
    <t xml:space="preserve">https://elektronmusikstudion.se/en/aktuellt/call-for-applications-ems-x-adk-residency/</t>
  </si>
  <si>
    <t xml:space="preserve">op-4a548ca5762f</t>
  </si>
  <si>
    <t xml:space="preserve">Art &amp; Environment Prize — Lee Ufan Arles + Maison Guerlain — Brasil</t>
  </si>
  <si>
    <t xml:space="preserve">Art &amp; Environment Prize — Lee Ufan Arles + Maison Guerlain</t>
  </si>
  <si>
    <t xml:space="preserve">Lee Ufan Arles / Maison Guerlain</t>
  </si>
  <si>
    <t xml:space="preserve">https://en.leeufan-arles.org/evenements/art-environment-prize</t>
  </si>
  <si>
    <t xml:space="preserve">op-214f65a97d50</t>
  </si>
  <si>
    <t xml:space="preserve">Contratação de músicos através de credenciamento — São Paulo</t>
  </si>
  <si>
    <t xml:space="preserve">Contratação de músicos através de credenciamento</t>
  </si>
  <si>
    <t xml:space="preserve">MUNICIPIO DE INDAIATUBA</t>
  </si>
  <si>
    <t xml:space="preserve">https://pncp.gov.br/app/editais/44733608000109/2025/251</t>
  </si>
  <si>
    <t xml:space="preserve">op-b0c061ea39a2</t>
  </si>
  <si>
    <t xml:space="preserve">Edital 08.fmcb.2026 - mestre cantalício rocha — Santa Catarina</t>
  </si>
  <si>
    <t xml:space="preserve">EDITAL 08.FMCB.2026 - MESTRE CANTALÍCIO ROCHA</t>
  </si>
  <si>
    <t xml:space="preserve">https://pncp.gov.br/app/editais/09362501000192/2026/24</t>
  </si>
  <si>
    <t xml:space="preserve">op-d791fdb22c79</t>
  </si>
  <si>
    <t xml:space="preserve">Territórios da Escrita — Brasil</t>
  </si>
  <si>
    <t xml:space="preserve">Territórios da Escrita</t>
  </si>
  <si>
    <t xml:space="preserve">https://mapa.cultura.gov.br/oportunidade/9276/</t>
  </si>
  <si>
    <t xml:space="preserve">op-05313f003d22</t>
  </si>
  <si>
    <t xml:space="preserve">Contratação da prestação de serviços musicais</t>
  </si>
  <si>
    <t xml:space="preserve">FUNDO DE APOIO A CULTURA-FAC</t>
  </si>
  <si>
    <t xml:space="preserve">op-8baad15881a9</t>
  </si>
  <si>
    <t xml:space="preserve">Edital de fomento às artes de ipaporanga - 2026 — Ceará</t>
  </si>
  <si>
    <t xml:space="preserve">EDITAL DE FOMENTO ÀS ARTES DE IPAPORANGA - 2026</t>
  </si>
  <si>
    <t xml:space="preserve">https://mapacultural.secult.ce.gov.br/oportunidade/8133/</t>
  </si>
  <si>
    <t xml:space="preserve">op-092c08e21f83</t>
  </si>
  <si>
    <t xml:space="preserve">Movimentos à Beira — Residência Artística no (en)Veras — Santa Catarina</t>
  </si>
  <si>
    <t xml:space="preserve">Movimentos à Beira — Residência Artística no (en)Veras</t>
  </si>
  <si>
    <t xml:space="preserve">https://centroculturalveras.org/residencia-artistica-no-en-veras-2026/</t>
  </si>
  <si>
    <t xml:space="preserve">op-b4a7d340c0d6</t>
  </si>
  <si>
    <t xml:space="preserve">BigCi Environmental Awards 2026 — Brasil</t>
  </si>
  <si>
    <t xml:space="preserve">BigCi Environmental Awards 2026</t>
  </si>
  <si>
    <t xml:space="preserve">BigCi — Bilpin international ground for Creative initiatives</t>
  </si>
  <si>
    <t xml:space="preserve">https://bigci.org/awards/</t>
  </si>
  <si>
    <t xml:space="preserve">10.000,00 (valor total, moeda da fonte)</t>
  </si>
  <si>
    <t xml:space="preserve">op-a5ab49dc5678</t>
  </si>
  <si>
    <t xml:space="preserve">Maleta Abierta 2026 — apoio a projetos de arte migrante — Brasil</t>
  </si>
  <si>
    <t xml:space="preserve">Maleta Abierta 2026 — apoio a projetos de arte migrante</t>
  </si>
  <si>
    <t xml:space="preserve">IBER-RUTAS / SEGIB</t>
  </si>
  <si>
    <t xml:space="preserve">https://segib.org/es/convocatoria-maleta-abierta-2026-para-proyectos-de-arte-migrante-en-iberoamerica/</t>
  </si>
  <si>
    <t xml:space="preserve">25.000,00 (valor total, moeda da fonte)</t>
  </si>
  <si>
    <t xml:space="preserve">op-76dda448f242</t>
  </si>
  <si>
    <t xml:space="preserve">BBA 360 Exhibition — competição digital de artes — Brasil</t>
  </si>
  <si>
    <t xml:space="preserve">BBA 360 Exhibition — competição digital de artes</t>
  </si>
  <si>
    <t xml:space="preserve">BBA Gallery</t>
  </si>
  <si>
    <t xml:space="preserve">https://bba-prizes.com/360</t>
  </si>
  <si>
    <t xml:space="preserve">op-8480de37d1fe</t>
  </si>
  <si>
    <t xml:space="preserve">Fomento CultSP – ProAC nº 01/2026 — Apoio à Produção de Longa-metragem — São Paulo / São Paulo</t>
  </si>
  <si>
    <t xml:space="preserve">Fomento CultSP – ProAC nº 01/2026 — Apoio à Produção de Longa-metragem</t>
  </si>
  <si>
    <t xml:space="preserve">https://www.cultura.sp.gov.br/sec_cultura/Arquivo_de_Editais/Editais_Fomento_Cultsp/Fomento_CultSP_2026/apoio_a_producao_de_longa_metragem_2026/</t>
  </si>
  <si>
    <t xml:space="preserve">R$ 32.000.000,00 (valor total)</t>
  </si>
  <si>
    <t xml:space="preserve">op-82348774fd89</t>
  </si>
  <si>
    <t xml:space="preserve">Fomento CultSP – ProAC nº 05/2026 — Desenvolvimento de jogos eletrônicos — São Paulo / São Paulo</t>
  </si>
  <si>
    <t xml:space="preserve">Fomento CultSP – ProAC nº 05/2026 — Desenvolvimento de jogos eletrônicos</t>
  </si>
  <si>
    <t xml:space="preserve">https://www.cultura.sp.gov.br/sec_cultura/Arquivo_de_Editais/Editais_Fomento_Cultsp/Fomento_CultSP_2026/desenvolvimento_ou_finalizacao_e_publicacao_de_jogos_eletronicos_2026/</t>
  </si>
  <si>
    <t xml:space="preserve">R$ 6.000.000,00 (valor total)</t>
  </si>
  <si>
    <t xml:space="preserve">op-f64dcf92b24b</t>
  </si>
  <si>
    <t xml:space="preserve">Chamada CNPq Universal 2026 — R$ 300 milhões — Distrito Federal</t>
  </si>
  <si>
    <t xml:space="preserve">Chamada CNPq Universal 2026 — R$ 300 milhões</t>
  </si>
  <si>
    <t xml:space="preserve">CNPq / FNDCT</t>
  </si>
  <si>
    <t xml:space="preserve">https://www.gov.br/cnpq/pt-br/chamadas/todas-as-chamadas/chamadas-2026/chamada-no-06-2026/ChamadaUniversal062026.pdf</t>
  </si>
  <si>
    <t xml:space="preserve">R$ 300.000.000,00 (valor total)</t>
  </si>
  <si>
    <t xml:space="preserve">op-c131658a44f7</t>
  </si>
  <si>
    <t xml:space="preserve">Fomento CultSP – ProAC nº 03/2026 — Plano de Trabalho para Cinemas de Rua — São Paulo / São Paulo</t>
  </si>
  <si>
    <t xml:space="preserve">Fomento CultSP – ProAC nº 03/2026 — Plano de Trabalho para Cinemas de Rua</t>
  </si>
  <si>
    <t xml:space="preserve">https://www.cultura.sp.gov.br/sec_cultura/Arquivo_de_Editais/Editais_Fomento_Cultsp/Fomento_CultSP_2026/plano_de_trabalho_para_cinemas_de_rua/</t>
  </si>
  <si>
    <t xml:space="preserve">R$ 4.500.000,00 (valor total)</t>
  </si>
  <si>
    <t xml:space="preserve">op-87d96b66d912</t>
  </si>
  <si>
    <t xml:space="preserve">Edital PNAB PE — R$ 110 mil por projeto para Pontos de Cultura — Pernambuco</t>
  </si>
  <si>
    <t xml:space="preserve">Edital PNAB PE — R$ 110 mil por projeto para Pontos de Cultura</t>
  </si>
  <si>
    <t xml:space="preserve">SECULT-PE</t>
  </si>
  <si>
    <t xml:space="preserve">https://www.mapacultural.pe.gov.br/oportunidade/2831/</t>
  </si>
  <si>
    <t xml:space="preserve">R$ 4.400.000,00 (valor total)</t>
  </si>
  <si>
    <t xml:space="preserve">{'observacao': 'VERIFICADO no Mapa Cultural de Pernambuco (API oficial, 03/10/2026): o mesmo publicador não tem edição anterior com objeto equivalente na janela de 3 anos (100 oportunidades da Secult-PE, 11/2024 a 10/2026; só a edição corrente de PNAB Pontos de Cultura; a 4ª TEIA (2025) é evento, não edital equivalente); livro sem série.'}</t>
  </si>
  <si>
    <t xml:space="preserve">op-2a116c7b4a61</t>
  </si>
  <si>
    <t xml:space="preserve">Fomento CultSP – ProAC nº 04/2026 — Adaptação de obra literária para roteiro — São Paulo / São Paulo</t>
  </si>
  <si>
    <t xml:space="preserve">Fomento CultSP – ProAC nº 04/2026 — Adaptação de obra literária para roteiro</t>
  </si>
  <si>
    <t xml:space="preserve">https://www.cultura.sp.gov.br/sec_cultura/Arquivo_de_Editais/Editais_Fomento_Cultsp/Fomento_CultSP_2026/adaptacao_de_obra_literaria_para_roteiro_cinematografico_2026/</t>
  </si>
  <si>
    <t xml:space="preserve">R$ 1.500.000,00 (valor total)</t>
  </si>
  <si>
    <t xml:space="preserve">op-fabcd7ddd682</t>
  </si>
  <si>
    <t xml:space="preserve">Prêmio Mário de Andrade de Fotografias Etnográficas 2026 — Rio de Janeiro</t>
  </si>
  <si>
    <t xml:space="preserve">Prêmio Mário de Andrade de Fotografias Etnográficas 2026</t>
  </si>
  <si>
    <t xml:space="preserve">Iphan / Centro Nacional de Folclore e Cultura Popular (CNFCP)</t>
  </si>
  <si>
    <t xml:space="preserve">https://www.gov.br/iphan/pt-br/unidades-especiais/centro-nacional-de-folclore-e-cultura-popular/noticias-1/cnfcp-lanca-edital-do-premio-mario-de-andrade-de-fotografias-etnograficas-2026</t>
  </si>
  <si>
    <t xml:space="preserve">2026-08-04</t>
  </si>
  <si>
    <t xml:space="preserve">op-b2f0d75401d2</t>
  </si>
  <si>
    <t xml:space="preserve">Edital FAPES 18/2026 — R$ 9,8 milhões para parcerias entre startups — Espírito Santo</t>
  </si>
  <si>
    <t xml:space="preserve">Edital FAPES 18/2026 — R$ 9,8 milhões para parcerias entre startups</t>
  </si>
  <si>
    <t xml:space="preserve">FAPES</t>
  </si>
  <si>
    <t xml:space="preserve">https://fapes.es.gov.br/Media/fapes/Editais/EDITAL_FAPES_18-2026_-_PARCERIAS_ENTRE_STARTUPS%20(1).pdf</t>
  </si>
  <si>
    <t xml:space="preserve">R$ 9.800.000,00 (valor total)</t>
  </si>
  <si>
    <t xml:space="preserve">op-d92a2596e0b7</t>
  </si>
  <si>
    <t xml:space="preserve">º Prêmio Pernambuco de Artesanato — Pernambuco</t>
  </si>
  <si>
    <t xml:space="preserve">3º Prêmio Pernambuco de Artesanato</t>
  </si>
  <si>
    <t xml:space="preserve">Secretaria de Cultura do Estado de Pernambuco (SECULT-PE)</t>
  </si>
  <si>
    <t xml:space="preserve">https://www.mapacultural.pe.gov.br/oportunidade/3278/</t>
  </si>
  <si>
    <t xml:space="preserve">2026-08-05</t>
  </si>
  <si>
    <t xml:space="preserve">op-281f63b9b42d</t>
  </si>
  <si>
    <t xml:space="preserve">º Prêmio Euclides da Fonseca de Ópera — Pernambuco</t>
  </si>
  <si>
    <t xml:space="preserve">3º Prêmio Euclides da Fonseca de Ópera</t>
  </si>
  <si>
    <t xml:space="preserve">https://www.mapacultural.pe.gov.br/oportunidade/3276/</t>
  </si>
  <si>
    <t xml:space="preserve">R$ 88.000,00 (valor total)</t>
  </si>
  <si>
    <t xml:space="preserve">op-dd3ae5726bd2</t>
  </si>
  <si>
    <t xml:space="preserve">º Prêmio Trajetórias em Dança Mestra Nice Teles — Pernambuco</t>
  </si>
  <si>
    <t xml:space="preserve">3º Prêmio Trajetórias em Dança Mestra Nice Teles</t>
  </si>
  <si>
    <t xml:space="preserve">https://www.mapacultural.pe.gov.br/oportunidade/3287/</t>
  </si>
  <si>
    <t xml:space="preserve">R$ 160.200,00 (valor total)</t>
  </si>
  <si>
    <t xml:space="preserve">op-a34e20927e17</t>
  </si>
  <si>
    <t xml:space="preserve">ª edição do Prêmio Bastidores em Cena — Pernambuco</t>
  </si>
  <si>
    <t xml:space="preserve">3ª edição do Prêmio Bastidores em Cena</t>
  </si>
  <si>
    <t xml:space="preserve">https://www.mapacultural.pe.gov.br/oportunidade/3289/</t>
  </si>
  <si>
    <t xml:space="preserve">R$ 92.800,00 (valor total)</t>
  </si>
  <si>
    <t xml:space="preserve">op-3cdbbe48cc97</t>
  </si>
  <si>
    <t xml:space="preserve">Edital de chamamento público nº 002/2026 - seleção — Ceará</t>
  </si>
  <si>
    <t xml:space="preserve">EDITAL DE CHAMAMENTO PÚBLICO Nº 002/2026 - SELEÇÃO</t>
  </si>
  <si>
    <t xml:space="preserve">https://mapacultural.secult.ce.gov.br/oportunidade/8175/</t>
  </si>
  <si>
    <t xml:space="preserve">op-91f5afcd1dfb</t>
  </si>
  <si>
    <t xml:space="preserve">Edital n° 17/2026 - Apoio a Ações Continuadas — Sergipe</t>
  </si>
  <si>
    <t xml:space="preserve">Edital n° 17/2026 - Apoio a Ações Continuadas</t>
  </si>
  <si>
    <t xml:space="preserve">https://mapacultural.se.gov.br/oportunidade/46/</t>
  </si>
  <si>
    <t xml:space="preserve">{'observacao': 'VERIFICADO no Mapa Cultural de Sergipe (API oficial, 03/10/2026): o mesmo publicador não tem edição anterior com objeto equivalente na janela de 3 anos (17 oportunidades do publicador, todas de 2026 (PNAB ciclo 2)); livro sem série.'}</t>
  </si>
  <si>
    <t xml:space="preserve">op-ee08308b9187</t>
  </si>
  <si>
    <t xml:space="preserve">PNAB n° 18/2026 - Subsídio para Manutenção de Espaços — Sergipe</t>
  </si>
  <si>
    <t xml:space="preserve">PNAB n° 18/2026 - Subsídio para Manutenção de Espaços</t>
  </si>
  <si>
    <t xml:space="preserve">https://mapacultural.se.gov.br/oportunidade/49/</t>
  </si>
  <si>
    <t xml:space="preserve">op-7808cbe8901b</t>
  </si>
  <si>
    <t xml:space="preserve">Chamamento Público destinado a selecionar Organizações — Ceará</t>
  </si>
  <si>
    <t xml:space="preserve">Chamamento Público destinado a selecionar Organizações</t>
  </si>
  <si>
    <t xml:space="preserve">MUNICIPIO DE CROATA</t>
  </si>
  <si>
    <t xml:space="preserve">https://pncp.gov.br/app/editais/10462349000107/2026/35</t>
  </si>
  <si>
    <t xml:space="preserve">op-060403f5c7ff</t>
  </si>
  <si>
    <t xml:space="preserve">º Festival Internacional Sesc de Música: bolsas — Rio Grande do Sul</t>
  </si>
  <si>
    <t xml:space="preserve">15º Festival Internacional Sesc de Música: bolsas</t>
  </si>
  <si>
    <t xml:space="preserve">Sesc/RS — Serviço Social do Comércio do Rio Grande do Sul</t>
  </si>
  <si>
    <t xml:space="preserve">https://www.sesc-rs.com.br/festival/alunos/</t>
  </si>
  <si>
    <t xml:space="preserve">op-2b064c327a99</t>
  </si>
  <si>
    <t xml:space="preserve">Edital 012/2026 - Economia Criativa - PNAB Pacajus — Ceará</t>
  </si>
  <si>
    <t xml:space="preserve">Edital 012/2026 - Economia Criativa - PNAB Pacajus</t>
  </si>
  <si>
    <t xml:space="preserve">https://mapacultural.secult.ce.gov.br/oportunidade/8192/</t>
  </si>
  <si>
    <t xml:space="preserve">op-66022254b3d9</t>
  </si>
  <si>
    <t xml:space="preserve">Edital de seleção pública nº 005/2026 – projetos — Ceará</t>
  </si>
  <si>
    <t xml:space="preserve">EDITAL DE SELEÇÃO PÚBLICA Nº 005/2026 – PROJETOS</t>
  </si>
  <si>
    <t xml:space="preserve">https://mapacultural.secult.ce.gov.br/oportunidade/8195/</t>
  </si>
  <si>
    <t xml:space="preserve">op-9f53e18de343</t>
  </si>
  <si>
    <t xml:space="preserve">Prague City of Literature — Creative Residency 2027 — Brasil</t>
  </si>
  <si>
    <t xml:space="preserve">Prague City of Literature — Creative Residency 2027</t>
  </si>
  <si>
    <t xml:space="preserve">Prague City of Literature / Municipal Library of Prague</t>
  </si>
  <si>
    <t xml:space="preserve">https://www.prahamestoliteratury.cz/2027-prague-creative-residency/</t>
  </si>
  <si>
    <t xml:space="preserve">op-968c71466e7c</t>
  </si>
  <si>
    <t xml:space="preserve">CREDENCIAMENTO de Microempreendedor Individual — Pernambuco</t>
  </si>
  <si>
    <t xml:space="preserve">CREDENCIAMENTO de Microempreendedor Individual</t>
  </si>
  <si>
    <t xml:space="preserve">MUNICIPIO DE TAQUARITINGA DO NORTE</t>
  </si>
  <si>
    <t xml:space="preserve">https://pncp.gov.br/app/editais/10091593000100/2025/64</t>
  </si>
  <si>
    <t xml:space="preserve">op-09009a173a27</t>
  </si>
  <si>
    <t xml:space="preserve">Secultfor - edital de seleção de artistas/grupos — Ceará</t>
  </si>
  <si>
    <t xml:space="preserve">SECULTFOR - EDITAL DE SELEÇÃO DE ARTISTAS/GRUPOS</t>
  </si>
  <si>
    <t xml:space="preserve">https://mapacultural.secult.ce.gov.br/oportunidade/8159/</t>
  </si>
  <si>
    <t xml:space="preserve">op-05583c5e97ea</t>
  </si>
  <si>
    <t xml:space="preserve">Credenciamento para a contratação de artistas regionais — Minas Gerais</t>
  </si>
  <si>
    <t xml:space="preserve">Credenciamento para a contratação de artistas regionais</t>
  </si>
  <si>
    <t xml:space="preserve">MUNICIPIO DE CONCEICAO DE IPANEMA</t>
  </si>
  <si>
    <t xml:space="preserve">https://pncp.gov.br/app/editais/18334300000172/2025/56</t>
  </si>
  <si>
    <t xml:space="preserve">2026-08-08</t>
  </si>
  <si>
    <t xml:space="preserve">op-f8e0295d4bf2</t>
  </si>
  <si>
    <t xml:space="preserve">Confluence of Myths Residency 2026 — Goethe-Institut — Internacional</t>
  </si>
  <si>
    <t xml:space="preserve">Confluence of Myths Residency 2026 — Goethe-Institut</t>
  </si>
  <si>
    <t xml:space="preserve">Goethe-Institut Vietnam</t>
  </si>
  <si>
    <t xml:space="preserve">https://www.goethe.de/ins/vn/en/kul/aus/tvr.html</t>
  </si>
  <si>
    <t xml:space="preserve">2026-08-09</t>
  </si>
  <si>
    <t xml:space="preserve">op-77f1efd4cab0</t>
  </si>
  <si>
    <t xml:space="preserve">Credenciamento de artistas, grupos, coletivos, produtores — São Paulo</t>
  </si>
  <si>
    <t xml:space="preserve">Credenciamento de artistas, grupos, coletivos, produtores</t>
  </si>
  <si>
    <t xml:space="preserve">CONSORCIO INTERMUNICIPAL GRANDE ABC</t>
  </si>
  <si>
    <t xml:space="preserve">https://pncp.gov.br/app/editais/58151580000106/2026/35</t>
  </si>
  <si>
    <t xml:space="preserve">op-616265312511</t>
  </si>
  <si>
    <t xml:space="preserve">Edital de chamamento público nº 003/2026 prêmio — Pernambuco</t>
  </si>
  <si>
    <t xml:space="preserve">EDITAL DE CHAMAMENTO PÚBLICO Nº 003/2026 PRÊMIO</t>
  </si>
  <si>
    <t xml:space="preserve">https://mapacultural.pe.gov.br/oportunidade/3314/</t>
  </si>
  <si>
    <t xml:space="preserve">{'observacao': 'VERIFICADO no Mapa Cultural de Pernambuco / Arcoverde (API oficial, 03/10/2026): o mesmo publicador não tem edição anterior com objeto equivalente na janela de 3 anos (publicador municipal com poucas oportunidades, todas de 2026); livro sem série.'}</t>
  </si>
  <si>
    <t xml:space="preserve">op-e260b090279a</t>
  </si>
  <si>
    <t xml:space="preserve">MICSUL 2026: MinC seleciona 65 empreendedores culturais — Distrito Federal</t>
  </si>
  <si>
    <t xml:space="preserve">MICSUL 2026: MinC seleciona 65 empreendedores culturais</t>
  </si>
  <si>
    <t xml:space="preserve">Ministério da Cultura (MinC) — Economia Criativa</t>
  </si>
  <si>
    <t xml:space="preserve">https://mapa.cultura.gov.br/oportunidade/9881/</t>
  </si>
  <si>
    <t xml:space="preserve">op-cad1a489fc94</t>
  </si>
  <si>
    <t xml:space="preserve">PNAB Pernambuco — Premiação aos Pontos e Pontões de Cultura — Pernambuco</t>
  </si>
  <si>
    <t xml:space="preserve">PNAB Pernambuco — Premiação aos Pontos e Pontões de Cultura</t>
  </si>
  <si>
    <t xml:space="preserve">https://www.mapacultural.pe.gov.br/oportunidade/3263/</t>
  </si>
  <si>
    <t xml:space="preserve">R$ 3.000.000,00 (valor total)</t>
  </si>
  <si>
    <t xml:space="preserve">{'observacao': 'VERIFICADO no Mapa Cultural de Pernambuco (API oficial, 03/10/2026): o mesmo publicador não tem edição anterior com objeto equivalente na janela de 3 anos (100 oportunidades da Secult-PE, 11/2024 a 10/2026); livro sem série.'}</t>
  </si>
  <si>
    <t xml:space="preserve">op-5e5d6eec59b4</t>
  </si>
  <si>
    <t xml:space="preserve">TaDA — Textile and Design Alliance, Residência 2027 — Internacional</t>
  </si>
  <si>
    <t xml:space="preserve">TaDA — Textile and Design Alliance, Residência 2027</t>
  </si>
  <si>
    <t xml:space="preserve">TaDA – Textile and Design Alliance</t>
  </si>
  <si>
    <t xml:space="preserve">https://tada-residency.ch/en/residence</t>
  </si>
  <si>
    <t xml:space="preserve">op-2d39b48bb9bb</t>
  </si>
  <si>
    <t xml:space="preserve">K3 Tanzplan Hamburg — Residência para Coreógrafos — Internacional</t>
  </si>
  <si>
    <t xml:space="preserve">K3 Tanzplan Hamburg — Residência para Coreógrafos</t>
  </si>
  <si>
    <t xml:space="preserve">K3 – Zentrum für Choreographie / Tanzplan Hamburg</t>
  </si>
  <si>
    <t xml:space="preserve">https://www.k3-hamburg.de/en/residency/application/</t>
  </si>
  <si>
    <t xml:space="preserve">op-d90f818a9436</t>
  </si>
  <si>
    <t xml:space="preserve">DOK Short n' Sweet — pitch de curtas no DOK Leipzig — Internacional</t>
  </si>
  <si>
    <t xml:space="preserve">DOK Short n' Sweet — pitch de curtas no DOK Leipzig</t>
  </si>
  <si>
    <t xml:space="preserve">DOK Leipzig</t>
  </si>
  <si>
    <t xml:space="preserve">https://www.dok-leipzig.de/en/</t>
  </si>
  <si>
    <t xml:space="preserve">op-7716b6566aad</t>
  </si>
  <si>
    <t xml:space="preserve">Programa Rouanet Centro-Oeste — Brasil</t>
  </si>
  <si>
    <t xml:space="preserve">Programa Rouanet Centro-Oeste</t>
  </si>
  <si>
    <t xml:space="preserve">https://www.gov.br/cultura/pt-br/assuntos/editais/inscricoes-abertas/programa-rouanet-centro-oeste/programa-rouanet-centro-oeste</t>
  </si>
  <si>
    <t xml:space="preserve">2026-06-16 a 2026-08-13</t>
  </si>
  <si>
    <t xml:space="preserve">R$ 29 milhões no total; faixas até R$ 200 mil, R$ 200–500 mil e R$ 500–650 mil por projeto</t>
  </si>
  <si>
    <t xml:space="preserve">op-bcf565c745ce</t>
  </si>
  <si>
    <t xml:space="preserve">º Concurso de Fotografias do CAU/RS 2026 — Rio Grande do Sul</t>
  </si>
  <si>
    <t xml:space="preserve">5º Concurso de Fotografias do CAU/RS 2026</t>
  </si>
  <si>
    <t xml:space="preserve">Conselho de Arquitetura e Urbanismo do Rio Grande do Sul (CAU/RS)</t>
  </si>
  <si>
    <t xml:space="preserve">https://transparencia.caurs.gov.br/chamada-publica-005-2026/</t>
  </si>
  <si>
    <t xml:space="preserve">2026-08-14</t>
  </si>
  <si>
    <t xml:space="preserve">R$ 18.000,00 (valor total)</t>
  </si>
  <si>
    <t xml:space="preserve">op-1a2fd4ded5b6</t>
  </si>
  <si>
    <t xml:space="preserve">HKBU International Writers' Workshop 2027 — Brasil</t>
  </si>
  <si>
    <t xml:space="preserve">HKBU International Writers' Workshop 2027</t>
  </si>
  <si>
    <t xml:space="preserve">Hong Kong Baptist University (IWW)</t>
  </si>
  <si>
    <t xml:space="preserve">https://iww.hkbu.edu.hk/</t>
  </si>
  <si>
    <t xml:space="preserve">op-c7c6e8b2f828</t>
  </si>
  <si>
    <t xml:space="preserve">Edital Maximiano da Mata Teixeira — Aquisição — Tocantins</t>
  </si>
  <si>
    <t xml:space="preserve">Edital Maximiano da Mata Teixeira — Aquisição</t>
  </si>
  <si>
    <t xml:space="preserve">Secretaria de Estado da Cultura do Tocantins (Secult-TO) / Fundo Estadual de Cultura</t>
  </si>
  <si>
    <t xml:space="preserve">https://www.to.gov.br/secult/editais-fundo-cultural/30k0lktxt9lk</t>
  </si>
  <si>
    <t xml:space="preserve">R$ 498.400,00 (valor total)</t>
  </si>
  <si>
    <t xml:space="preserve">op-ea527b0908ca</t>
  </si>
  <si>
    <t xml:space="preserve">Global Gastronomy Museum — "Foodstay" Artist Residency — Brasil</t>
  </si>
  <si>
    <t xml:space="preserve">Global Gastronomy Museum — "Foodstay" Artist Residency</t>
  </si>
  <si>
    <t xml:space="preserve">Global Gastronomy Museum</t>
  </si>
  <si>
    <t xml:space="preserve">https://www.global-gastronomy.com/foodstay-en.html</t>
  </si>
  <si>
    <t xml:space="preserve">op-724d7f157cf2</t>
  </si>
  <si>
    <t xml:space="preserve">Ocupa LabMultipalco: nove residências — Rio Grande do Sul</t>
  </si>
  <si>
    <t xml:space="preserve">Ocupa LabMultipalco: nove residências</t>
  </si>
  <si>
    <t xml:space="preserve">Sedac-RS / Ieacen / Fundação Theatro São Pedro</t>
  </si>
  <si>
    <t xml:space="preserve">https://cultura.rs.gov.br/edital-ocupa-labmultipalco-esta-com-inscricoes-abertas-ate-15-de-agosto</t>
  </si>
  <si>
    <t xml:space="preserve">R$ 270.000,00 (valor total)</t>
  </si>
  <si>
    <t xml:space="preserve">op-8e13f4139c14</t>
  </si>
  <si>
    <t xml:space="preserve">Fundo de Fomento Cultural (Portugal) — Projetos de cruzamento entre cultura e tecnologia — Brasil</t>
  </si>
  <si>
    <t xml:space="preserve">Fundo de Fomento Cultural (Portugal) — Projetos de cruzamento entre cultura e tecnologia</t>
  </si>
  <si>
    <t xml:space="preserve">Fundo de Fomento Cultural / GEPAC — Ministério da Cultura de Portugal</t>
  </si>
  <si>
    <t xml:space="preserve">https://culturaportugal.gov.pt/pt/saber/2026/06/candidaturas-ao-programa-de-apoio-a-projetos-de-cruzamento-entre-cultura-e-tecnologia/</t>
  </si>
  <si>
    <t xml:space="preserve">op-53cd043994b3</t>
  </si>
  <si>
    <t xml:space="preserve">Seleção de projetos culturais para receber apoio — Ceará</t>
  </si>
  <si>
    <t xml:space="preserve">SELEÇÃO DE PROJETOS CULTURAIS PARA RECEBER APOIO</t>
  </si>
  <si>
    <t xml:space="preserve">https://mapacultural.secult.ce.gov.br/oportunidade/8085/</t>
  </si>
  <si>
    <t xml:space="preserve">2026-08-16</t>
  </si>
  <si>
    <t xml:space="preserve">op-da13b6cc1506</t>
  </si>
  <si>
    <t xml:space="preserve">Cité internationale des arts × AFOC — Internacional</t>
  </si>
  <si>
    <t xml:space="preserve">Cité internationale des arts × AFOC</t>
  </si>
  <si>
    <t xml:space="preserve">Cité internationale des arts</t>
  </si>
  <si>
    <t xml:space="preserve">https://www.citeinternationaledesarts.fr/appels-a-candidature/association-francoise-pour-loeuvre-contemporaine-x-cite-internationale-des-arts/</t>
  </si>
  <si>
    <t xml:space="preserve">op-f24df72f3c95</t>
  </si>
  <si>
    <t xml:space="preserve">Edital Sesc Artes da Cena 04/26 — Paraná</t>
  </si>
  <si>
    <t xml:space="preserve">Edital Sesc Artes da Cena 04/26</t>
  </si>
  <si>
    <t xml:space="preserve">Sesc Paraná</t>
  </si>
  <si>
    <t xml:space="preserve">https://www.sescpr.com.br/edital/edital-sesc-artes-da-cena/</t>
  </si>
  <si>
    <t xml:space="preserve">op-c02f8cf39c27</t>
  </si>
  <si>
    <t xml:space="preserve">Fundação Cultural de Curitiba — Edital Lei de Incentivo — Paraná / Curitiba</t>
  </si>
  <si>
    <t xml:space="preserve">Fundação Cultural de Curitiba — Edital Lei de Incentivo</t>
  </si>
  <si>
    <t xml:space="preserve">Fundação Cultural de Curitiba (FCC) / Prefeitura de Curitiba</t>
  </si>
  <si>
    <t xml:space="preserve">http://www.fundacaoculturaldecuritiba.com.br/leideincentivo/avisos/</t>
  </si>
  <si>
    <t xml:space="preserve">R$ 905.000,00 (valor total)</t>
  </si>
  <si>
    <t xml:space="preserve">op-a1b17ef6d4d4</t>
  </si>
  <si>
    <t xml:space="preserve">Seleção de projetos para firmar termo de execução cultural — Rio Grande do Sul</t>
  </si>
  <si>
    <t xml:space="preserve">SELEÇÃO DE PROJETOS PARA FIRMAR TERMO DE EXECUÇÃO CULTURAL</t>
  </si>
  <si>
    <t xml:space="preserve">MUNICIPIO DE CAPAO DA CANOA</t>
  </si>
  <si>
    <t xml:space="preserve">https://pncp.gov.br/app/editais/90836693000140/2026/650</t>
  </si>
  <si>
    <t xml:space="preserve">op-ed90b188452a</t>
  </si>
  <si>
    <t xml:space="preserve">Credenciamento de artistas da área de entretenimento — Piauí</t>
  </si>
  <si>
    <t xml:space="preserve">CREDENCIAMENTO DE ARTISTAS DA ÁREA DE ENTRETENIMENTO</t>
  </si>
  <si>
    <t xml:space="preserve">MUNICIPIO DE UNIAO</t>
  </si>
  <si>
    <t xml:space="preserve">https://pncp.gov.br/app/editais/06553606000130/2026/112</t>
  </si>
  <si>
    <t xml:space="preserve">op-3a1b124d857c</t>
  </si>
  <si>
    <t xml:space="preserve">Edital de chamamento público 011/2026 — Ceará</t>
  </si>
  <si>
    <t xml:space="preserve">EDITAL DE CHAMAMENTO PÚBLICO 011/2026</t>
  </si>
  <si>
    <t xml:space="preserve">https://mapacultural.secult.ce.gov.br/oportunidade/8146/</t>
  </si>
  <si>
    <t xml:space="preserve">op-8c46f252f993</t>
  </si>
  <si>
    <t xml:space="preserve">Seleção de projetos culturais para receber apoio — Paraná</t>
  </si>
  <si>
    <t xml:space="preserve">Seleção de projetos culturais para receber apoio</t>
  </si>
  <si>
    <t xml:space="preserve">https://pncp.gov.br/app/editais/77857183000190/2026/204</t>
  </si>
  <si>
    <t xml:space="preserve">op-bb12159760c2</t>
  </si>
  <si>
    <t xml:space="preserve">Secretaria de cultura de são joão do jaguaribe — Ceará</t>
  </si>
  <si>
    <t xml:space="preserve">SECRETARIA DE CULTURA DE SÃO JOÃO DO JAGUARIBE</t>
  </si>
  <si>
    <t xml:space="preserve">https://mapacultural.secult.ce.gov.br/oportunidade/8199/</t>
  </si>
  <si>
    <t xml:space="preserve">op-51fee7bf2909</t>
  </si>
  <si>
    <t xml:space="preserve">Seleção de projetos artístico culturais — Mato Grosso</t>
  </si>
  <si>
    <t xml:space="preserve">SELEÇÃO DE PROJETOS ARTÍSTICO CULTURAIS</t>
  </si>
  <si>
    <t xml:space="preserve">https://pncp.gov.br/app/editais/03238862000145/2026/66</t>
  </si>
  <si>
    <t xml:space="preserve">op-f03cedd613c9</t>
  </si>
  <si>
    <t xml:space="preserve">Chamamento público 006/2026 para seleção — Rio Grande do Sul</t>
  </si>
  <si>
    <t xml:space="preserve">CHAMAMENTO PÚBLICO 006/2026 PARA SELEÇÃO</t>
  </si>
  <si>
    <t xml:space="preserve">https://pncp.gov.br/app/editais/98661366000106/2026/417</t>
  </si>
  <si>
    <t xml:space="preserve">{'observacao': 'VERIFICADO em 03/10/2026 (PNCP e portais de editais): Chamamento 006/2026 de Vera Cruz/RS é seleção de projetos culturais pelo Ciclo 2 da PNAB; o ciclo 1 do programa existe, edital municipal anterior não lido.'}</t>
  </si>
  <si>
    <t xml:space="preserve">op-319654d4b7a3</t>
  </si>
  <si>
    <t xml:space="preserve">Festival Sesc de Música 2026 — Rio Grande do Norte</t>
  </si>
  <si>
    <t xml:space="preserve">Festival Sesc de Música 2026</t>
  </si>
  <si>
    <t xml:space="preserve">Sesc RN</t>
  </si>
  <si>
    <t xml:space="preserve">https://sescrn.com.br/festival-sesc-de-musica-entra-na-fase-final-de-inscricoes/</t>
  </si>
  <si>
    <t xml:space="preserve">2026-08-23</t>
  </si>
  <si>
    <t xml:space="preserve">op-3715ecc44850</t>
  </si>
  <si>
    <t xml:space="preserve">Celebração de parceria com Organização da Sociedade Civil — Rio de Janeiro</t>
  </si>
  <si>
    <t xml:space="preserve">Celebração de parceria com Organização da Sociedade Civil</t>
  </si>
  <si>
    <t xml:space="preserve">MUNICIPIO DE MACAE</t>
  </si>
  <si>
    <t xml:space="preserve">https://pncp.gov.br/app/editais/29115474000160/2026/407</t>
  </si>
  <si>
    <t xml:space="preserve">op-486291a64231</t>
  </si>
  <si>
    <t xml:space="preserve">Seleção de projetos culturais de proponentes — Pernambuco</t>
  </si>
  <si>
    <t xml:space="preserve">Seleção de projetos culturais de proponentes</t>
  </si>
  <si>
    <t xml:space="preserve">MUNICIPIO DE OLINDA</t>
  </si>
  <si>
    <t xml:space="preserve">https://pncp.gov.br/app/editais/10404184000109/2026/492</t>
  </si>
  <si>
    <t xml:space="preserve">2026-08-26</t>
  </si>
  <si>
    <t xml:space="preserve">op-208b245ed3ac</t>
  </si>
  <si>
    <t xml:space="preserve">Premiação de 14 iniciativas — Pernambuco</t>
  </si>
  <si>
    <t xml:space="preserve">https://pncp.gov.br/app/editais/10404184000109/2026/494</t>
  </si>
  <si>
    <t xml:space="preserve">op-dc3a3e803851</t>
  </si>
  <si>
    <t xml:space="preserve">Edital agentes territoriais de cultura — Ceará</t>
  </si>
  <si>
    <t xml:space="preserve">EDITAL AGENTES TERRITORIAIS DE CULTURA</t>
  </si>
  <si>
    <t xml:space="preserve">https://mapacultural.secult.ce.gov.br/oportunidade/8231/</t>
  </si>
  <si>
    <t xml:space="preserve">op-0d1eff1500ed</t>
  </si>
  <si>
    <t xml:space="preserve">Premiação de agentes culturais — Pernambuco</t>
  </si>
  <si>
    <t xml:space="preserve">Premiação de agentes culturais</t>
  </si>
  <si>
    <t xml:space="preserve">https://pncp.gov.br/app/editais/10404184000109/2026/491</t>
  </si>
  <si>
    <t xml:space="preserve">op-e2939f14f039</t>
  </si>
  <si>
    <t xml:space="preserve">CREDENCIAMENTO de interessados para apresentações — Pernambuco</t>
  </si>
  <si>
    <t xml:space="preserve">CREDENCIAMENTO de interessados para apresentações</t>
  </si>
  <si>
    <t xml:space="preserve">MUNICIPIO DE ABREU E LIMA</t>
  </si>
  <si>
    <t xml:space="preserve">https://pncp.gov.br/app/editais/08637373000180/2026/252</t>
  </si>
  <si>
    <t xml:space="preserve">op-d2bf726dffe0</t>
  </si>
  <si>
    <t xml:space="preserve">Edital de Chamamento Público nº 004/2026 – Subsídio — Ceará</t>
  </si>
  <si>
    <t xml:space="preserve">Edital de Chamamento Público nº 004/2026 – Subsídio</t>
  </si>
  <si>
    <t xml:space="preserve">https://mapacultural.secult.ce.gov.br/oportunidade/8176/</t>
  </si>
  <si>
    <t xml:space="preserve">op-7193a3ba68ab</t>
  </si>
  <si>
    <t xml:space="preserve">Viana/es - edital 001/2026 - pnab seleção de projetos — Espírito Santo</t>
  </si>
  <si>
    <t xml:space="preserve">VIANA/ES - EDITAL 001/2026 - PNAB SELEÇÃO DE PROJETOS</t>
  </si>
  <si>
    <t xml:space="preserve">https://mapa.cultura.es.gov.br/oportunidade/2370/</t>
  </si>
  <si>
    <t xml:space="preserve">op-ff0ac671cf8c</t>
  </si>
  <si>
    <t xml:space="preserve">Viana/es - edital 005/2026 - pnab/pncv premiação — Espírito Santo</t>
  </si>
  <si>
    <t xml:space="preserve">VIANA/ES - EDITAL 005/2026 - PNAB/PNCV PREMIAÇÃO</t>
  </si>
  <si>
    <t xml:space="preserve">https://mapa.cultura.es.gov.br/oportunidade/2478/</t>
  </si>
  <si>
    <t xml:space="preserve">op-45371eb89af9</t>
  </si>
  <si>
    <t xml:space="preserve">Prêmio Iecine de Suporte por Desempenho Artístico — Rio Grande do Sul</t>
  </si>
  <si>
    <t xml:space="preserve">Prêmio Iecine de Suporte por Desempenho Artístico</t>
  </si>
  <si>
    <t xml:space="preserve">Secretaria da Cultura do Estado do Rio Grande do Sul</t>
  </si>
  <si>
    <t xml:space="preserve">https://www.procultura.rs.gov.br/index.php?menu=facinf</t>
  </si>
  <si>
    <t xml:space="preserve">R$ 760.000,00 (valor total)</t>
  </si>
  <si>
    <t xml:space="preserve">op-dd0cb2ba7335</t>
  </si>
  <si>
    <t xml:space="preserve">Seleção de projetos de Pontos de Cultura — Pernambuco</t>
  </si>
  <si>
    <t xml:space="preserve">Seleção de projetos de Pontos de Cultura</t>
  </si>
  <si>
    <t xml:space="preserve">https://pncp.gov.br/app/editais/10404184000109/2026/493</t>
  </si>
  <si>
    <t xml:space="preserve">op-f65b0203098e</t>
  </si>
  <si>
    <t xml:space="preserve">Viana/es - edital 002/2026 - pnab aquisição — Espírito Santo</t>
  </si>
  <si>
    <t xml:space="preserve">VIANA/ES - EDITAL 002/2026 - PNAB AQUISIÇÃO</t>
  </si>
  <si>
    <t xml:space="preserve">https://mapa.cultura.es.gov.br/oportunidade/2452/</t>
  </si>
  <si>
    <t xml:space="preserve">op-61dcd4ae8b9b</t>
  </si>
  <si>
    <t xml:space="preserve">Viana/es - edital 004/2026 - pnab seleção de espaços — Espírito Santo</t>
  </si>
  <si>
    <t xml:space="preserve">VIANA/ES - EDITAL 004/2026 - PNAB SELEÇÃO DE ESPAÇOS</t>
  </si>
  <si>
    <t xml:space="preserve">https://mapa.cultura.es.gov.br/oportunidade/2460/</t>
  </si>
  <si>
    <t xml:space="preserve">op-38f9428c77c1</t>
  </si>
  <si>
    <t xml:space="preserve">Edital Sedac 24/2026 — Artista na Escola em Tempo Integral — Rio Grande do Sul</t>
  </si>
  <si>
    <t xml:space="preserve">Edital Sedac 24/2026 — Artista na Escola em Tempo Integral</t>
  </si>
  <si>
    <t xml:space="preserve">Secretaria de Estado da Cultura do Rio Grande do Sul</t>
  </si>
  <si>
    <t xml:space="preserve">https://cultura.rs.gov.br/edital-para-projetos-culturais-em-escolas-de-tempo-integral-esta-com-inscricoes-abertas</t>
  </si>
  <si>
    <t xml:space="preserve">R$ 1.106.560,00 (valor total)</t>
  </si>
  <si>
    <t xml:space="preserve">op-4eb0158283d2</t>
  </si>
  <si>
    <t xml:space="preserve">Viana/es - edital 003/2026 - pnab circulação — Espírito Santo</t>
  </si>
  <si>
    <t xml:space="preserve">VIANA/ES - EDITAL 003/2026 - PNAB CIRCULAÇÃO</t>
  </si>
  <si>
    <t xml:space="preserve">https://mapa.cultura.es.gov.br/oportunidade/2457/</t>
  </si>
  <si>
    <t xml:space="preserve">op-7bd7fdeb958d</t>
  </si>
  <si>
    <t xml:space="preserve">Credenciamento para eventual contratação de serviços — Minas Gerais</t>
  </si>
  <si>
    <t xml:space="preserve">Credenciamento para eventual contratação de serviços</t>
  </si>
  <si>
    <t xml:space="preserve">FUNDACAO CULTURAL CARLOS DRUMMOND DE ANDRADE</t>
  </si>
  <si>
    <t xml:space="preserve">https://pncp.gov.br/app/editais/21611579000107/2025/44</t>
  </si>
  <si>
    <t xml:space="preserve">op-c2a09442b2a6</t>
  </si>
  <si>
    <t xml:space="preserve">Residências Cruzadas Museu da Língua Portuguesa e Cité — São Paulo</t>
  </si>
  <si>
    <t xml:space="preserve">Residências Cruzadas Museu da Língua Portuguesa e Cité</t>
  </si>
  <si>
    <t xml:space="preserve">Museu da Língua Portuguesa (IDBrasil Cultura, Educação e Esporte)</t>
  </si>
  <si>
    <t xml:space="preserve">https://www.idbr.org.br/edital-do-programa-de-residencias-cruzadas-linguas-e-conhecimentos-indigenas-alem-das-fronteiras/</t>
  </si>
  <si>
    <t xml:space="preserve">2026-08-30</t>
  </si>
  <si>
    <t xml:space="preserve">R$ 6.000,00 (valor total)</t>
  </si>
  <si>
    <t xml:space="preserve">op-dc483d6d6e67</t>
  </si>
  <si>
    <t xml:space="preserve">Mostra Nacional Jovens Criadores 2026 (IPDJ/Gerador) — Brasil</t>
  </si>
  <si>
    <t xml:space="preserve">Mostra Nacional Jovens Criadores 2026 (IPDJ/Gerador)</t>
  </si>
  <si>
    <t xml:space="preserve">IPDJ — Instituto Português do Desporto e Juventude</t>
  </si>
  <si>
    <t xml:space="preserve">https://ipdj.gov.pt/noticias/mostra-nacional-jovens-criadores-2026-candidaturas-abertas</t>
  </si>
  <si>
    <t xml:space="preserve">16.500,00 (valor total, moeda da fonte)</t>
  </si>
  <si>
    <t xml:space="preserve">op-de567e06f134</t>
  </si>
  <si>
    <t xml:space="preserve">Rostocker Kunstpreis 2026 — Brasil</t>
  </si>
  <si>
    <t xml:space="preserve">Rostocker Kunstpreis 2026</t>
  </si>
  <si>
    <t xml:space="preserve">Kunsthalle Rostock / Kulturstiftung Rostock</t>
  </si>
  <si>
    <t xml:space="preserve">https://www.kunsthallerostock.de/de/aktuelles/news/ausschreibung-rostocker-kunstpreis-2026</t>
  </si>
  <si>
    <t xml:space="preserve">op-f27230d48ca0</t>
  </si>
  <si>
    <t xml:space="preserve">Otte 1 — residência artística de 4 meses com bolsa — Brasil</t>
  </si>
  <si>
    <t xml:space="preserve">Otte 1 — residência artística de 4 meses com bolsa</t>
  </si>
  <si>
    <t xml:space="preserve">Künstlerhaus Otte 1</t>
  </si>
  <si>
    <t xml:space="preserve">https://www.otte1.org/de/bewerbung/</t>
  </si>
  <si>
    <t xml:space="preserve">op-28198cb45d01</t>
  </si>
  <si>
    <t xml:space="preserve">Premiação dos Agentes Culturais Balsenses – Mestres — Maranhão</t>
  </si>
  <si>
    <t xml:space="preserve">Premiação dos Agentes Culturais Balsenses – Mestres</t>
  </si>
  <si>
    <t xml:space="preserve">MUNICIPIO DE BALSAS</t>
  </si>
  <si>
    <t xml:space="preserve">MA</t>
  </si>
  <si>
    <t xml:space="preserve">https://pncp.gov.br/app/editais/06441430000125/2026/104</t>
  </si>
  <si>
    <t xml:space="preserve">op-0f5097604002</t>
  </si>
  <si>
    <t xml:space="preserve">Fondation Jan Michalski — Residência para Escritores — Brasil</t>
  </si>
  <si>
    <t xml:space="preserve">Fondation Jan Michalski — Residência para Escritores</t>
  </si>
  <si>
    <t xml:space="preserve">Fondation Jan Michalski pour l'écriture et la littérature</t>
  </si>
  <si>
    <t xml:space="preserve">https://fondation-janmichalski.com/en/residences</t>
  </si>
  <si>
    <t xml:space="preserve">op-8df621007f8f</t>
  </si>
  <si>
    <t xml:space="preserve">Edital de credenciamento circula canindé - 06/2026 — Ceará</t>
  </si>
  <si>
    <t xml:space="preserve">EDITAL DE CREDENCIAMENTO CIRCULA CANINDÉ - 06/2026</t>
  </si>
  <si>
    <t xml:space="preserve">https://mapacultural.secult.ce.gov.br/oportunidade/8222/</t>
  </si>
  <si>
    <t xml:space="preserve">op-650ef4bf0946</t>
  </si>
  <si>
    <t xml:space="preserve">LIC-DF 2026: R$ 16,27 milhões em incentivo fiscal — Distrito Federal</t>
  </si>
  <si>
    <t xml:space="preserve">LIC-DF 2026: R$ 16,27 milhões em incentivo fiscal</t>
  </si>
  <si>
    <t xml:space="preserve">Secretaria de Estado de Cultura e Economia Criativa do DF</t>
  </si>
  <si>
    <t xml:space="preserve">https://sufic.cultura.df.gov.br/como-inscrever-seu-projeto-2</t>
  </si>
  <si>
    <t xml:space="preserve">R$ 16.274.384,00 (valor total)</t>
  </si>
  <si>
    <t xml:space="preserve">op-6695f59a5137</t>
  </si>
  <si>
    <t xml:space="preserve">Residência Artística FAAP — São Paulo</t>
  </si>
  <si>
    <t xml:space="preserve">Residência Artística FAAP</t>
  </si>
  <si>
    <t xml:space="preserve">FAAP — Fundação Armando Alvares Penteado</t>
  </si>
  <si>
    <t xml:space="preserve">https://www.faap.br/residencia-artistica/</t>
  </si>
  <si>
    <t xml:space="preserve">op-e3e7d1f5a12e</t>
  </si>
  <si>
    <t xml:space="preserve">Continuidade da prestação de serviços por meio do credenciamento — Distrito Federal</t>
  </si>
  <si>
    <t xml:space="preserve">Continuidade da prestação de serviços por meio do credenciamento</t>
  </si>
  <si>
    <t xml:space="preserve">MINISTERIO DA CULTURA</t>
  </si>
  <si>
    <t xml:space="preserve">https://pncp.gov.br/app/editais/01264142000129/2027/1</t>
  </si>
  <si>
    <t xml:space="preserve">op-338e07556b2b</t>
  </si>
  <si>
    <t xml:space="preserve">Seleção de pareceristas para avaliação do mérito cultural — Ceará</t>
  </si>
  <si>
    <t xml:space="preserve">SELEÇÃO DE PARECERISTAS PARA AVALIAÇÃO DO MÉRITO CULTURAL</t>
  </si>
  <si>
    <t xml:space="preserve">https://mapacultural.secult.ce.gov.br/oportunidade/8220/</t>
  </si>
  <si>
    <t xml:space="preserve">op-dc2a2198947d</t>
  </si>
  <si>
    <t xml:space="preserve">Duisburg — bolsa-residência de 1 ano — Internacional</t>
  </si>
  <si>
    <t xml:space="preserve">Duisburg — bolsa-residência de 1 ano</t>
  </si>
  <si>
    <t xml:space="preserve">Kulturbüro der Stadt Duisburg</t>
  </si>
  <si>
    <t xml:space="preserve">https://www.duisburg.de/microsites/kulturbuero-duisburg/foerderung/ausschreibung-aufenthaltsstipendium</t>
  </si>
  <si>
    <t xml:space="preserve">op-a4cdef3a8ac5</t>
  </si>
  <si>
    <t xml:space="preserve">Credenciamento de artistas nas categorias de cantor — Minas Gerais</t>
  </si>
  <si>
    <t xml:space="preserve">CREDENCIAMENTO DE ARTISTAS NAS CATEGORIAS DE CANTOR</t>
  </si>
  <si>
    <t xml:space="preserve">MUNICIPIO DE TEIXEIRAS</t>
  </si>
  <si>
    <t xml:space="preserve">https://pncp.gov.br/app/editais/18134056000102/2025/67</t>
  </si>
  <si>
    <t xml:space="preserve">2026-09-01</t>
  </si>
  <si>
    <t xml:space="preserve">op-20c865bc8ec2</t>
  </si>
  <si>
    <t xml:space="preserve">Edital nº 011/2026 - rede municipal de pontos e pontões — Ceará</t>
  </si>
  <si>
    <t xml:space="preserve">EDITAL Nº 011/2026 - REDE MUNICIPAL DE PONTOS E PONTÕES</t>
  </si>
  <si>
    <t xml:space="preserve">https://mapacultural.secult.ce.gov.br/oportunidade/8218/</t>
  </si>
  <si>
    <t xml:space="preserve">op-2f3ed8496a63</t>
  </si>
  <si>
    <t xml:space="preserve">Chamamento Público para fins de credenciamento de artistas — Bahia</t>
  </si>
  <si>
    <t xml:space="preserve">Chamamento Público para fins de credenciamento de artistas</t>
  </si>
  <si>
    <t xml:space="preserve">MUNICIPIO DE EUCLIDES DA CUNHA</t>
  </si>
  <si>
    <t xml:space="preserve">https://pncp.gov.br/app/editais/13698774000180/2025/158</t>
  </si>
  <si>
    <t xml:space="preserve">op-97ce2ac07fac</t>
  </si>
  <si>
    <t xml:space="preserve">Bolsa de Trabalho para Artistas Visuais de Berlim 2027 — Internacional</t>
  </si>
  <si>
    <t xml:space="preserve">Bolsa de Trabalho para Artistas Visuais de Berlim 2027</t>
  </si>
  <si>
    <t xml:space="preserve">Senatsverwaltung für Kultur und Gesellschaftlichen Zusammenhalt</t>
  </si>
  <si>
    <t xml:space="preserve">https://www.berlin.de/sen/kultgz/aktuelles/pressemitteilungen/2026/pressemitteilung.1690417.php</t>
  </si>
  <si>
    <t xml:space="preserve">2026-09-02</t>
  </si>
  <si>
    <t xml:space="preserve">op-9918d319fd7e</t>
  </si>
  <si>
    <t xml:space="preserve">Edital chamamento público 007/2026 fomento a projetos — Ceará</t>
  </si>
  <si>
    <t xml:space="preserve">EDITAL CHAMAMENTO PÚBLICO 007/2026 FOMENTO A PROJETOS</t>
  </si>
  <si>
    <t xml:space="preserve">https://mapacultural.secult.ce.gov.br/oportunidade/8253/</t>
  </si>
  <si>
    <t xml:space="preserve">op-b4a12069d084</t>
  </si>
  <si>
    <t xml:space="preserve">Credenciamento de Artistas, Grupos e Profissionais da Cultura — Alagoas</t>
  </si>
  <si>
    <t xml:space="preserve">Credenciamento de Artistas, Grupos e Profissionais da Cultura</t>
  </si>
  <si>
    <t xml:space="preserve">MUNICIPIO DE ARAPIRACA</t>
  </si>
  <si>
    <t xml:space="preserve">https://pncp.gov.br/app/editais/12198693000158/2026/182</t>
  </si>
  <si>
    <t xml:space="preserve">2026-09-03</t>
  </si>
  <si>
    <t xml:space="preserve">op-8fcae0638c45</t>
  </si>
  <si>
    <t xml:space="preserve">Chamamento público 01/2026 - arte e cultura na educação — Espírito Santo</t>
  </si>
  <si>
    <t xml:space="preserve">Chamamento Público 01/2026 - ARTE E CULTURA NA EDUCAÇÃO</t>
  </si>
  <si>
    <t xml:space="preserve">https://mapa.cultura.es.gov.br/oportunidade/2566/</t>
  </si>
  <si>
    <t xml:space="preserve">op-4e64cd3cc777</t>
  </si>
  <si>
    <t xml:space="preserve">Chamamento público para Premiações por Trajetória — Rio Grande do Sul</t>
  </si>
  <si>
    <t xml:space="preserve">Chamamento público para Premiações por Trajetória</t>
  </si>
  <si>
    <t xml:space="preserve">https://pncp.gov.br/app/editais/87890992000158/2026/911</t>
  </si>
  <si>
    <t xml:space="preserve">op-8b0193d5b4c7</t>
  </si>
  <si>
    <t xml:space="preserve">Edital nº 003/2026 – pnab amontada – apoio a grupos — Ceará</t>
  </si>
  <si>
    <t xml:space="preserve">EDITAL Nº 003/2026 – PNAB AMONTADA – APOIO A GRUPOS</t>
  </si>
  <si>
    <t xml:space="preserve">https://mapacultural.secult.ce.gov.br/oportunidade/8291/</t>
  </si>
  <si>
    <t xml:space="preserve">op-2627bb2cc1cd</t>
  </si>
  <si>
    <t xml:space="preserve">Edital 009 - cultura infancia — Ceará</t>
  </si>
  <si>
    <t xml:space="preserve">EDITAL 009 - CULTURA INFANCIA</t>
  </si>
  <si>
    <t xml:space="preserve">https://mapacultural.secult.ce.gov.br/oportunidade/8282/</t>
  </si>
  <si>
    <t xml:space="preserve">op-7a84eeaee45f</t>
  </si>
  <si>
    <t xml:space="preserve">Prêmio Elisabete Anderle de Estímulo à Cultura 2026 — Santa Catarina</t>
  </si>
  <si>
    <t xml:space="preserve">Prêmio Elisabete Anderle de Estímulo à Cultura 2026</t>
  </si>
  <si>
    <t xml:space="preserve">Fundação Catarinense de Cultura (FCC)</t>
  </si>
  <si>
    <t xml:space="preserve">https://www.cultura.sc.gov.br/editais-e-acoes/editais/26552-edital-premio-elisabete-anderle-de-estimulo-a-cultura-2026</t>
  </si>
  <si>
    <t xml:space="preserve">R$ 9.000.000,00 (valor total)</t>
  </si>
  <si>
    <t xml:space="preserve">op-2d8c1b215302</t>
  </si>
  <si>
    <t xml:space="preserve">Edital prêmio cultura viva canindé - 07/2026 - pnab — Ceará</t>
  </si>
  <si>
    <t xml:space="preserve">EDITAL PRÊMIO CULTURA VIVA CANINDÉ - 07/2026 - PNAB</t>
  </si>
  <si>
    <t xml:space="preserve">https://mapacultural.secult.ce.gov.br/oportunidade/8223/</t>
  </si>
  <si>
    <t xml:space="preserve">op-d8b731f57365</t>
  </si>
  <si>
    <t xml:space="preserve">Edital de chamamento público de oscs para elaboração — Ceará</t>
  </si>
  <si>
    <t xml:space="preserve">EDITAL DE CHAMAMENTO PÚBLICO DE OSCs PARA ELABORAÇÃO</t>
  </si>
  <si>
    <t xml:space="preserve">https://mapacultural.secult.ce.gov.br/oportunidade/8065/</t>
  </si>
  <si>
    <t xml:space="preserve">2026-09-06</t>
  </si>
  <si>
    <t xml:space="preserve">op-46ae45345297</t>
  </si>
  <si>
    <t xml:space="preserve">Facteur de Ciel — residências de escrita e criação — Brasil</t>
  </si>
  <si>
    <t xml:space="preserve">Facteur de Ciel — residências de escrita e criação</t>
  </si>
  <si>
    <t xml:space="preserve">Facteur de Ciel</t>
  </si>
  <si>
    <t xml:space="preserve">https://www.facteurdeciel.com/les-r%C3%A9sidences</t>
  </si>
  <si>
    <t xml:space="preserve">2.000,00 (valor total, moeda da fonte)</t>
  </si>
  <si>
    <t xml:space="preserve">op-1658873cdca9</t>
  </si>
  <si>
    <t xml:space="preserve">Edital de formação e credenciamento dos ciclos — Ceará</t>
  </si>
  <si>
    <t xml:space="preserve">EDITAL DE FORMAÇÃO E CREDENCIAMENTO DOS CICLOS</t>
  </si>
  <si>
    <t xml:space="preserve">https://mapacultural.secult.ce.gov.br/oportunidade/8123/</t>
  </si>
  <si>
    <t xml:space="preserve">2026-09-07</t>
  </si>
  <si>
    <t xml:space="preserve">op-216d5129383d</t>
  </si>
  <si>
    <t xml:space="preserve">Credenciamento para contratação de artistas locais — Minas Gerais</t>
  </si>
  <si>
    <t xml:space="preserve">CREDENCIAMENTO PARA CONTRATAÇÃO DE ARTISTAS LOCAIS</t>
  </si>
  <si>
    <t xml:space="preserve">MUNICIPIO DE ABRE CAMPO</t>
  </si>
  <si>
    <t xml:space="preserve">https://pncp.gov.br/app/editais/18837278000183/2025/40</t>
  </si>
  <si>
    <t xml:space="preserve">op-62fafa39e8d6</t>
  </si>
  <si>
    <t xml:space="preserve">Credenciamento eletrônico para receber propostas — Minas Gerais</t>
  </si>
  <si>
    <t xml:space="preserve">CREDENCIAMENTO ELETRÔNICO PARA RECEBER PROPOSTAS</t>
  </si>
  <si>
    <t xml:space="preserve">MUNICIPIO DE ARCEBURGO</t>
  </si>
  <si>
    <t xml:space="preserve">https://pncp.gov.br/app/editais/17899717000110/2025/74</t>
  </si>
  <si>
    <t xml:space="preserve">op-b52d0b1985d3</t>
  </si>
  <si>
    <t xml:space="preserve">Edital de chamamento público nº 002/2026-pnab — Ceará</t>
  </si>
  <si>
    <t xml:space="preserve">EDITAL DE CHAMAMENTO PÚBLICO Nº 002/2026-PNAB</t>
  </si>
  <si>
    <t xml:space="preserve">https://mapacultural.secult.ce.gov.br/oportunidade/8167/</t>
  </si>
  <si>
    <t xml:space="preserve">op-41dd9213b541</t>
  </si>
  <si>
    <t xml:space="preserve">Credenciamento de artistas e cantores locais — Paraná</t>
  </si>
  <si>
    <t xml:space="preserve">Credenciamento de artistas e cantores locais</t>
  </si>
  <si>
    <t xml:space="preserve">MUNICIPIO DE ASSIS CHATEAUBRIAND</t>
  </si>
  <si>
    <t xml:space="preserve">https://pncp.gov.br/app/editais/76208479000118/2026/157</t>
  </si>
  <si>
    <t xml:space="preserve">op-c6681c1a5ca7</t>
  </si>
  <si>
    <t xml:space="preserve">Convocatória para as Artes Cênicas - Teatro Carlos Câmara — Ceará</t>
  </si>
  <si>
    <t xml:space="preserve">Convocatória para as Artes Cênicas - Teatro Carlos Câmara</t>
  </si>
  <si>
    <t xml:space="preserve">https://mapacultural.secult.ce.gov.br/oportunidade/8216/</t>
  </si>
  <si>
    <t xml:space="preserve">op-96fb6f113159</t>
  </si>
  <si>
    <t xml:space="preserve">CREDENCIAMENTO de artistas e bandas da terra — Santa Catarina</t>
  </si>
  <si>
    <t xml:space="preserve">CREDENCIAMENTO de artistas e bandas da terra</t>
  </si>
  <si>
    <t xml:space="preserve">MUNICIPIO DE FRAIBURGO</t>
  </si>
  <si>
    <t xml:space="preserve">https://pncp.gov.br/app/editais/82947979000174/2025/222</t>
  </si>
  <si>
    <t xml:space="preserve">op-e9004f7c1516</t>
  </si>
  <si>
    <t xml:space="preserve">ª edição edital dona santa de fomento a projetos — Ceará</t>
  </si>
  <si>
    <t xml:space="preserve">2ª EDIÇÃO EDITAL DONA SANTA DE FOMENTO A PROJETOS</t>
  </si>
  <si>
    <t xml:space="preserve">https://mapacultural.secult.ce.gov.br/oportunidade/8269/</t>
  </si>
  <si>
    <t xml:space="preserve">op-0d1e59fb8036</t>
  </si>
  <si>
    <t xml:space="preserve">Chamamento Público para seleção de projetos culturais — Rio Grande do Sul</t>
  </si>
  <si>
    <t xml:space="preserve">Chamamento Público para seleção de projetos culturais</t>
  </si>
  <si>
    <t xml:space="preserve">MUNICIPIO DE DOIS IRMAOS</t>
  </si>
  <si>
    <t xml:space="preserve">https://pncp.gov.br/app/editais/88254891000153/2026/207</t>
  </si>
  <si>
    <t xml:space="preserve">op-1ca0fa5ba500</t>
  </si>
  <si>
    <t xml:space="preserve">Ii edital de fomento às artes luzanite cunha — Ceará</t>
  </si>
  <si>
    <t xml:space="preserve">II EDITAL DE FOMENTO ÀS ARTES LUZANITE CUNHA</t>
  </si>
  <si>
    <t xml:space="preserve">https://mapacultural.secult.ce.gov.br/oportunidade/8232/</t>
  </si>
  <si>
    <t xml:space="preserve">op-c9939f6f57e3</t>
  </si>
  <si>
    <t xml:space="preserve">Accueils Studio — residência de criação em dança — Internacional</t>
  </si>
  <si>
    <t xml:space="preserve">Accueils Studio — residência de criação em dança</t>
  </si>
  <si>
    <t xml:space="preserve">Centre Chorégraphique National de Caen en Normandie</t>
  </si>
  <si>
    <t xml:space="preserve">https://ccncn.eu/artistes-accompagnes/accueils-studio/</t>
  </si>
  <si>
    <t xml:space="preserve">op-9ce267250b6c</t>
  </si>
  <si>
    <t xml:space="preserve">Credenciamento de instrutores e oficineiros — Espírito Santo</t>
  </si>
  <si>
    <t xml:space="preserve">CREDENCIAMENTO DE INSTRUTORES E OFICINEIROS</t>
  </si>
  <si>
    <t xml:space="preserve">MUNICIPIO DE BOM JESUS DO NORTE</t>
  </si>
  <si>
    <t xml:space="preserve">https://pncp.gov.br/app/editais/27167360000139/2026/32</t>
  </si>
  <si>
    <t xml:space="preserve">op-53aae39b4445</t>
  </si>
  <si>
    <t xml:space="preserve">MacDowell Fellowship — residência artística multidisciplinar — Brasil</t>
  </si>
  <si>
    <t xml:space="preserve">MacDowell Fellowship — residência artística multidisciplinar</t>
  </si>
  <si>
    <t xml:space="preserve">MacDowell</t>
  </si>
  <si>
    <t xml:space="preserve">https://www.macdowell.org/apply/apply-for-fellowship</t>
  </si>
  <si>
    <t xml:space="preserve">op-5830759430c9</t>
  </si>
  <si>
    <t xml:space="preserve">Copa Aéreo Dance Brasil 2026 — Brasil</t>
  </si>
  <si>
    <t xml:space="preserve">Copa Aéreo Dance Brasil 2026</t>
  </si>
  <si>
    <t xml:space="preserve">https://mapa.cultura.gov.br/oportunidade/7130/</t>
  </si>
  <si>
    <t xml:space="preserve">op-4b19174778ba</t>
  </si>
  <si>
    <t xml:space="preserve">Credenciamento via chamamento público para contratação — Santa Catarina</t>
  </si>
  <si>
    <t xml:space="preserve">CREDENCIAMENTO VIA CHAMAMENTO PÚBLICO PARA CONTRATAÇÃO</t>
  </si>
  <si>
    <t xml:space="preserve">MUNICIPIO DE SAO BENTO DO SUL</t>
  </si>
  <si>
    <t xml:space="preserve">https://pncp.gov.br/app/editais/86051398000100/2025/170</t>
  </si>
  <si>
    <t xml:space="preserve">op-dbb77b4af982</t>
  </si>
  <si>
    <t xml:space="preserve">Edital de chamamento público nº 009/2026 - semcult — Espírito Santo</t>
  </si>
  <si>
    <t xml:space="preserve">EDITAL DE CHAMAMENTO PÚBLICO Nº 009/2026 - SEMCULT</t>
  </si>
  <si>
    <t xml:space="preserve">https://mapa.cultura.es.gov.br/oportunidade/2575/</t>
  </si>
  <si>
    <t xml:space="preserve">2026-09-11</t>
  </si>
  <si>
    <t xml:space="preserve">op-680f2508f918</t>
  </si>
  <si>
    <t xml:space="preserve">Edital de agentes territoriais culturais de fortaleza — Ceará / Fortaleza</t>
  </si>
  <si>
    <t xml:space="preserve">EDITAL DE AGENTES TERRITORIAIS CULTURAIS DE FORTALEZA</t>
  </si>
  <si>
    <t xml:space="preserve">Fortaleza</t>
  </si>
  <si>
    <t xml:space="preserve">https://mapacultural.secult.ce.gov.br/oportunidade/8228/</t>
  </si>
  <si>
    <t xml:space="preserve">op-2148eba51c6a</t>
  </si>
  <si>
    <t xml:space="preserve">Credenciamento de bandas acima de 03 integrantes — Bahia</t>
  </si>
  <si>
    <t xml:space="preserve">Credenciamento de bandas acima de 03 integrantes</t>
  </si>
  <si>
    <t xml:space="preserve">https://pncp.gov.br/app/editais/13825476000103/2025/96</t>
  </si>
  <si>
    <t xml:space="preserve">op-3452c7142546</t>
  </si>
  <si>
    <t xml:space="preserve">Premiação aos candidatos classificados no concurso — Paraná</t>
  </si>
  <si>
    <t xml:space="preserve">PREMIAÇÃO AOS CANDIDATOS CLASSIFICADOS NO CONCURSO</t>
  </si>
  <si>
    <t xml:space="preserve">MUNICIPIO DE PALOTINA</t>
  </si>
  <si>
    <t xml:space="preserve">https://pncp.gov.br/app/editais/76208487000164/2026/164</t>
  </si>
  <si>
    <t xml:space="preserve">op-09e83cd0e2a0</t>
  </si>
  <si>
    <t xml:space="preserve">Seleção de projetos culturais para receberem apoio — Bahia</t>
  </si>
  <si>
    <t xml:space="preserve">Seleção de projetos culturais para receberem apoio</t>
  </si>
  <si>
    <t xml:space="preserve">MUNICIPIO DE SAO MIGUEL DAS MATAS</t>
  </si>
  <si>
    <t xml:space="preserve">https://pncp.gov.br/app/editais/13825500000104/2026/119</t>
  </si>
  <si>
    <t xml:space="preserve">op-0512144b6391</t>
  </si>
  <si>
    <t xml:space="preserve">Edital de chamamento público nº 05/2026 – aldir blanc — Ceará</t>
  </si>
  <si>
    <t xml:space="preserve">EDITAL DE CHAMAMENTO PÚBLICO Nº 05/2026 – ALDIR BLANC</t>
  </si>
  <si>
    <t xml:space="preserve">https://mapacultural.secult.ce.gov.br/oportunidade/8260/</t>
  </si>
  <si>
    <t xml:space="preserve">2026-09-12</t>
  </si>
  <si>
    <t xml:space="preserve">op-5a0a6ded8580</t>
  </si>
  <si>
    <t xml:space="preserve">Edital de chamamento público nº 005/2026 - secult — Ceará</t>
  </si>
  <si>
    <t xml:space="preserve">EDITAL DE CHAMAMENTO PÚBLICO Nº 005/2026 - SECULT</t>
  </si>
  <si>
    <t xml:space="preserve">https://mapacultural.secult.ce.gov.br/oportunidade/8339/</t>
  </si>
  <si>
    <t xml:space="preserve">op-30397e5f176d</t>
  </si>
  <si>
    <t xml:space="preserve">Edital de chamamento público nº 02/2026 – seleção (2) — Ceará</t>
  </si>
  <si>
    <t xml:space="preserve">EDITAL DE CHAMAMENTO PÚBLICO Nº 02/2026 – SELEÇÃO (2)</t>
  </si>
  <si>
    <t xml:space="preserve">https://mapacultural.secult.ce.gov.br/oportunidade/8335/</t>
  </si>
  <si>
    <t xml:space="preserve">op-f178696563ca</t>
  </si>
  <si>
    <t xml:space="preserve">Eurazeo Photo Prize 2026 — Brasil</t>
  </si>
  <si>
    <t xml:space="preserve">Eurazeo Photo Prize 2026</t>
  </si>
  <si>
    <t xml:space="preserve">Eurazeo Endowment Fund</t>
  </si>
  <si>
    <t xml:space="preserve">https://en.newsroom.eurazeo.com/news/eurazeo-launches-the-eurazeo-photo-prize-2026-a-photography-grant-b278f-52e2c.html</t>
  </si>
  <si>
    <t xml:space="preserve">20.000,00 (valor total, moeda da fonte)</t>
  </si>
  <si>
    <t xml:space="preserve">op-d0862c8efaed</t>
  </si>
  <si>
    <t xml:space="preserve">Fondo de Incentivo Cultural (FIC) 2026 — Uruguai — Brasil</t>
  </si>
  <si>
    <t xml:space="preserve">Fondo de Incentivo Cultural (FIC) 2026 — Uruguai</t>
  </si>
  <si>
    <t xml:space="preserve">Ministerio de Educación y Cultura (MEC) — Fondo de Incentivo Cultural</t>
  </si>
  <si>
    <t xml:space="preserve">https://www.gub.uy/ministerio-educacion-cultura/comunicacion/noticias/abrio-convocatoria-2026-del-fondo-incentivo-cultural-para-proyectos-artistico</t>
  </si>
  <si>
    <t xml:space="preserve">op-53ad2c20683a</t>
  </si>
  <si>
    <t xml:space="preserve">Edital nº 04/2026 de formação artística e cultural — Ceará</t>
  </si>
  <si>
    <t xml:space="preserve">EDITAL Nº 04/2026 DE FORMAÇÃO ARTÍSTICA E CULTURAL</t>
  </si>
  <si>
    <t xml:space="preserve">https://mapacultural.secult.ce.gov.br/oportunidade/8320/</t>
  </si>
  <si>
    <t xml:space="preserve">op-f08c0f4bacec</t>
  </si>
  <si>
    <t xml:space="preserve">Credenciamento para prestação de serviços de apresentação — Alagoas</t>
  </si>
  <si>
    <t xml:space="preserve">CREDENCIAMENTO PARA PRESTAÇÃO DE SERVIÇOS DE APRESENTAÇÃO</t>
  </si>
  <si>
    <t xml:space="preserve">MUNICIPIO DE SAO MIGUEL DOS CAMPOS</t>
  </si>
  <si>
    <t xml:space="preserve">https://pncp.gov.br/app/editais/12264222000109/2025/82</t>
  </si>
  <si>
    <t xml:space="preserve">op-41f2f35c93d7</t>
  </si>
  <si>
    <t xml:space="preserve">Guggenheim Fellowship 2027 — Brasil</t>
  </si>
  <si>
    <t xml:space="preserve">Guggenheim Fellowship 2027</t>
  </si>
  <si>
    <t xml:space="preserve">John Simon Guggenheim Memorial Foundation</t>
  </si>
  <si>
    <t xml:space="preserve">https://www.gf.org/program/how-to-apply</t>
  </si>
  <si>
    <t xml:space="preserve">op-af765f01c87a</t>
  </si>
  <si>
    <t xml:space="preserve">Concurso de Fotografia SÁBADO 2026 — Brasil</t>
  </si>
  <si>
    <t xml:space="preserve">Concurso de Fotografia SÁBADO 2026</t>
  </si>
  <si>
    <t xml:space="preserve">Revista SÁBADO</t>
  </si>
  <si>
    <t xml:space="preserve">https://concursodefotografia.com/</t>
  </si>
  <si>
    <t xml:space="preserve">op-445631fecc0d</t>
  </si>
  <si>
    <t xml:space="preserve">Laç(z)os Artísticos (2ª edição, DGARTES/Camões/OEI) — Brasil</t>
  </si>
  <si>
    <t xml:space="preserve">Laç(z)os Artísticos (2ª edição, DGARTES/Camões/OEI)</t>
  </si>
  <si>
    <t xml:space="preserve">DGARTES / Camões, I.P. / OEI</t>
  </si>
  <si>
    <t xml:space="preserve">https://www.dgartes.gov.pt/pt/noticia/10099</t>
  </si>
  <si>
    <t xml:space="preserve">45.000,00 (valor total, moeda da fonte)</t>
  </si>
  <si>
    <t xml:space="preserve">op-1bcd4585ab17</t>
  </si>
  <si>
    <t xml:space="preserve">Chamamento público para seleção de projeto cultural — Bahia</t>
  </si>
  <si>
    <t xml:space="preserve">CHAMAMENTO PÚBLICO PARA SELEÇÃO DE PROJETO CULTURAL</t>
  </si>
  <si>
    <t xml:space="preserve">https://pncp.gov.br/app/editais/13646005000138/2026/139</t>
  </si>
  <si>
    <t xml:space="preserve">op-a609a3e4b3c5</t>
  </si>
  <si>
    <t xml:space="preserve">Edital texte de cultura artesanal — Ceará</t>
  </si>
  <si>
    <t xml:space="preserve">EDITAL TEXTE DE CULTURA ARTESANAL</t>
  </si>
  <si>
    <t xml:space="preserve">https://mapacultural.secult.ce.gov.br/oportunidade/8362/</t>
  </si>
  <si>
    <t xml:space="preserve">op-d7b29e586a02</t>
  </si>
  <si>
    <t xml:space="preserve">Edital de chamamento público para credenciamento — São Paulo</t>
  </si>
  <si>
    <t xml:space="preserve">EDITAL DE CHAMAMENTO PÚBLICO PARA CREDENCIAMENTO</t>
  </si>
  <si>
    <t xml:space="preserve">MUNICIPIO DE CATANDUVA</t>
  </si>
  <si>
    <t xml:space="preserve">https://pncp.gov.br/app/editais/45122603000102/2026/545</t>
  </si>
  <si>
    <t xml:space="preserve">op-eb609be7f5e7</t>
  </si>
  <si>
    <t xml:space="preserve">ª FAMPOP — Festival de Música Popular de Avaré 2026 — São Paulo</t>
  </si>
  <si>
    <t xml:space="preserve">43ª FAMPOP — Festival de Música Popular de Avaré 2026</t>
  </si>
  <si>
    <t xml:space="preserve">Prefeitura da Estância Turística de Avaré</t>
  </si>
  <si>
    <t xml:space="preserve">https://fampop.art</t>
  </si>
  <si>
    <t xml:space="preserve">R$ 58.000,00 (valor total)</t>
  </si>
  <si>
    <t xml:space="preserve">op-3fa3f6b8cc6a</t>
  </si>
  <si>
    <t xml:space="preserve">Seleção de Propostas Culturais para o Programa Percursos — Ceará</t>
  </si>
  <si>
    <t xml:space="preserve">Seleção de Propostas Culturais para o Programa Percursos</t>
  </si>
  <si>
    <t xml:space="preserve">https://mapacultural.secult.ce.gov.br/oportunidade/8333/</t>
  </si>
  <si>
    <t xml:space="preserve">op-a1f578b34696</t>
  </si>
  <si>
    <t xml:space="preserve">Edital de chamamento público nº 009/2026 – premiação — Ceará</t>
  </si>
  <si>
    <t xml:space="preserve">EDITAL DE CHAMAMENTO PÚBLICO Nº 009/2026 – PREMIAÇÃO</t>
  </si>
  <si>
    <t xml:space="preserve">https://mapacultural.secult.ce.gov.br/oportunidade/8310/</t>
  </si>
  <si>
    <t xml:space="preserve">op-61f99a8a8b7e</t>
  </si>
  <si>
    <t xml:space="preserve">Edital Cultura e Infância Fortaleza — Ceará / Fortaleza</t>
  </si>
  <si>
    <t xml:space="preserve">Edital Cultura e Infância Fortaleza</t>
  </si>
  <si>
    <t xml:space="preserve">https://mapacultural.secult.ce.gov.br/oportunidade/8350/</t>
  </si>
  <si>
    <t xml:space="preserve">op-586a0028e377</t>
  </si>
  <si>
    <t xml:space="preserve">Edital de fomento às demais áreas da cultura — Ceará</t>
  </si>
  <si>
    <t xml:space="preserve">EDITAL DE FOMENTO ÀS DEMAIS ÁREAS DA CULTURA</t>
  </si>
  <si>
    <t xml:space="preserve">https://mapacultural.secult.ce.gov.br/oportunidade/8329/</t>
  </si>
  <si>
    <t xml:space="preserve">op-43e7595970dd</t>
  </si>
  <si>
    <t xml:space="preserve">Processo para Celebração de Termo de Fomento com OSC — Rio Grande do Sul</t>
  </si>
  <si>
    <t xml:space="preserve">Processo para Celebração de Termo de Fomento com OSC</t>
  </si>
  <si>
    <t xml:space="preserve">https://pncp.gov.br/app/editais/87990800000185/2026/43</t>
  </si>
  <si>
    <t xml:space="preserve">{'observacao': 'VERIFICADO em 03/10/2026 (PNCP e portais de editais): Chamamento CHP 1/2026 de Cachoeirinha/RS, termo de fomento com OSC cultural e esportiva em regime de não exclusividade; edição anterior não localizada.'}</t>
  </si>
  <si>
    <t xml:space="preserve">op-723a8d89960c</t>
  </si>
  <si>
    <t xml:space="preserve">X festama — Ceará</t>
  </si>
  <si>
    <t xml:space="preserve">X FESTAMA</t>
  </si>
  <si>
    <t xml:space="preserve">https://mapacultural.secult.ce.gov.br/oportunidade/6933/</t>
  </si>
  <si>
    <t xml:space="preserve">2026-09-20</t>
  </si>
  <si>
    <t xml:space="preserve">op-1fcf8ab188ca</t>
  </si>
  <si>
    <t xml:space="preserve">Prémio VS. – Ernesto Sampaio 2026 — Brasil</t>
  </si>
  <si>
    <t xml:space="preserve">Prémio VS. – Ernesto Sampaio 2026</t>
  </si>
  <si>
    <t xml:space="preserve">VS. Editor (Vasco Santos Editor)</t>
  </si>
  <si>
    <t xml:space="preserve">https://www.vseditor.net/premiovs</t>
  </si>
  <si>
    <t xml:space="preserve">op-98451aa20690</t>
  </si>
  <si>
    <t xml:space="preserve">Edital de chamamento público - 2º festival — Ceará</t>
  </si>
  <si>
    <t xml:space="preserve">EDITAL DE CHAMAMENTO PÚBLICO - 2º FESTIVAL</t>
  </si>
  <si>
    <t xml:space="preserve">https://mapacultural.secult.ce.gov.br/oportunidade/8343/</t>
  </si>
  <si>
    <t xml:space="preserve">op-2feb20518f6f</t>
  </si>
  <si>
    <t xml:space="preserve">Edital das artes de juazeiro do norte/ce - artes — Ceará</t>
  </si>
  <si>
    <t xml:space="preserve">EDITAL DAS ARTES DE JUAZEIRO DO NORTE/CE - ARTES</t>
  </si>
  <si>
    <t xml:space="preserve">https://mapacultural.secult.ce.gov.br/oportunidade/8268/</t>
  </si>
  <si>
    <t xml:space="preserve">op-777b79fb6a9e</t>
  </si>
  <si>
    <t xml:space="preserve">º Edital Preta Tia Simoa — Ceará</t>
  </si>
  <si>
    <t xml:space="preserve">2º Edital Preta Tia Simoa</t>
  </si>
  <si>
    <t xml:space="preserve">https://mapacultural.secult.ce.gov.br/oportunidade/8261/</t>
  </si>
  <si>
    <t xml:space="preserve">op-342622448d4b</t>
  </si>
  <si>
    <t xml:space="preserve">Edital 008/2026 - pnab - secult crato - premiação — Ceará</t>
  </si>
  <si>
    <t xml:space="preserve">EDITAL 008/2026 - PNAB - SECULT CRATO - PREMIAÇÃO</t>
  </si>
  <si>
    <t xml:space="preserve">https://mapacultural.secult.ce.gov.br/oportunidade/8248/</t>
  </si>
  <si>
    <t xml:space="preserve">op-59f0555b8f74</t>
  </si>
  <si>
    <t xml:space="preserve">Edital 010/2026 - crato dos encontros — Ceará</t>
  </si>
  <si>
    <t xml:space="preserve">Edital 010/2026 - CRATO DOS ENCONTROS</t>
  </si>
  <si>
    <t xml:space="preserve">https://mapacultural.secult.ce.gov.br/oportunidade/8249/</t>
  </si>
  <si>
    <t xml:space="preserve">op-89b8ae1941eb</t>
  </si>
  <si>
    <t xml:space="preserve">Chamamento público para fins de credenciamento — Pará</t>
  </si>
  <si>
    <t xml:space="preserve">CHAMAMENTO PÚBLICO PARA FINS DE CREDENCIAMENTO</t>
  </si>
  <si>
    <t xml:space="preserve">SECRETARIA MUNICIPAL DE ADMINISTRACAO</t>
  </si>
  <si>
    <t xml:space="preserve">https://pncp.gov.br/app/editais/27993108000189/2026/1</t>
  </si>
  <si>
    <t xml:space="preserve">op-ff279a10fa65</t>
  </si>
  <si>
    <t xml:space="preserve">Concurso Público de Arte Pública — Santa Catarina / Florianópolis</t>
  </si>
  <si>
    <t xml:space="preserve">Concurso Público de Arte Pública</t>
  </si>
  <si>
    <t xml:space="preserve">MUNICIPIO DE FLORIANOPOLIS</t>
  </si>
  <si>
    <t xml:space="preserve">https://pncp.gov.br/app/editais/82892282000143/2026/129</t>
  </si>
  <si>
    <t xml:space="preserve">op-e57aca593f51</t>
  </si>
  <si>
    <t xml:space="preserve">Clermont-Ferrand 2027 — festival de curtas — Brasil</t>
  </si>
  <si>
    <t xml:space="preserve">Clermont-Ferrand 2027 — festival de curtas</t>
  </si>
  <si>
    <t xml:space="preserve">Festival du Court Métrage de Clermont-Ferrand</t>
  </si>
  <si>
    <t xml:space="preserve">https://www.lecourt-clermont.org/pros/inscrire-um-filme/</t>
  </si>
  <si>
    <t xml:space="preserve">op-7a4faad951a5</t>
  </si>
  <si>
    <t xml:space="preserve">Seleção de 29 projetos culturais — Maranhão</t>
  </si>
  <si>
    <t xml:space="preserve">SELEÇÃO DE 29 PROJETOS CULTURAIS</t>
  </si>
  <si>
    <t xml:space="preserve">MUNICIPIO DE CODO</t>
  </si>
  <si>
    <t xml:space="preserve">https://pncp.gov.br/app/editais/06104863000195/2026/106</t>
  </si>
  <si>
    <t xml:space="preserve">op-556055b9bf26</t>
  </si>
  <si>
    <t xml:space="preserve">Edital nº 01.09.007/2026 – secult chamamento público — Ceará</t>
  </si>
  <si>
    <t xml:space="preserve">EDITAL Nº 01.09.007/2026 – SECULT CHAMAMENTO PÚBLICO</t>
  </si>
  <si>
    <t xml:space="preserve">https://mapacultural.secult.ce.gov.br/oportunidade/8313/</t>
  </si>
  <si>
    <t xml:space="preserve">op-3dbfd7e47ba6</t>
  </si>
  <si>
    <t xml:space="preserve">Edital das artes de juazeiro do norte/ce - pnab - cultura — Ceará</t>
  </si>
  <si>
    <t xml:space="preserve">EDITAL DAS ARTES DE JUAZEIRO DO NORTE/CE - PNAB - CULTURA</t>
  </si>
  <si>
    <t xml:space="preserve">https://mapacultural.secult.ce.gov.br/oportunidade/8274/</t>
  </si>
  <si>
    <t xml:space="preserve">op-e8e73751ee50</t>
  </si>
  <si>
    <t xml:space="preserve">Edital das artes de juazeiro do norte/ce - pnab - literatura — Ceará</t>
  </si>
  <si>
    <t xml:space="preserve">EDITAL DAS ARTES DE JUAZEIRO DO NORTE/CE - PNAB - LITERATURA</t>
  </si>
  <si>
    <t xml:space="preserve">https://mapacultural.secult.ce.gov.br/oportunidade/8276/</t>
  </si>
  <si>
    <t xml:space="preserve">op-17c02f1ee500</t>
  </si>
  <si>
    <t xml:space="preserve">Chamamento público para seleção de organização da sociedade civil — Ceará</t>
  </si>
  <si>
    <t xml:space="preserve">CHAMAMENTO PÚBLICO PARA SELEÇÃO DE ORGANIZAÇÃO DA SOCIEDADE CIVIL</t>
  </si>
  <si>
    <t xml:space="preserve">https://mapacultural.secult.ce.gov.br/oportunidade/8290/</t>
  </si>
  <si>
    <t xml:space="preserve">op-18afb479ee17</t>
  </si>
  <si>
    <t xml:space="preserve">Edital das artes de juazeiro do norte/ce - pnab - dança — Ceará</t>
  </si>
  <si>
    <t xml:space="preserve">EDITAL DAS ARTES DE JUAZEIRO DO NORTE/CE - PNAB - DANÇA</t>
  </si>
  <si>
    <t xml:space="preserve">https://mapacultural.secult.ce.gov.br/oportunidade/8272/</t>
  </si>
  <si>
    <t xml:space="preserve">op-a72a94d3011c</t>
  </si>
  <si>
    <t xml:space="preserve">Edital das artes de juazeiro do norte/ce - pnab - teatro — Ceará</t>
  </si>
  <si>
    <t xml:space="preserve">EDITAL DAS ARTES DE JUAZEIRO DO NORTE/CE - PNAB - TEATRO</t>
  </si>
  <si>
    <t xml:space="preserve">https://mapacultural.secult.ce.gov.br/oportunidade/8278/</t>
  </si>
  <si>
    <t xml:space="preserve">op-6a9b1f84dfff</t>
  </si>
  <si>
    <t xml:space="preserve">Prêmio FCW de Fotografia 2026 "Veredas do Brasil" — São Paulo</t>
  </si>
  <si>
    <t xml:space="preserve">Prêmio FCW de Fotografia 2026 "Veredas do Brasil"</t>
  </si>
  <si>
    <t xml:space="preserve">Fundação Conrado Wessel</t>
  </si>
  <si>
    <t xml:space="preserve">https://www.fcw.org.br/premio-fotografia-2026</t>
  </si>
  <si>
    <t xml:space="preserve">2026-09-27</t>
  </si>
  <si>
    <t xml:space="preserve">R$ 155.000,00 (valor total)</t>
  </si>
  <si>
    <t xml:space="preserve">op-867090bf1c0f</t>
  </si>
  <si>
    <t xml:space="preserve">Credenciamento e seleção de propostas — Paraná</t>
  </si>
  <si>
    <t xml:space="preserve">Credenciamento e seleção de propostas</t>
  </si>
  <si>
    <t xml:space="preserve">MUNICIPIO DE FAZENDA RIO GRANDE</t>
  </si>
  <si>
    <t xml:space="preserve">https://pncp.gov.br/app/editais/95422986000102/2025/212</t>
  </si>
  <si>
    <t xml:space="preserve">op-37f3ecb31818</t>
  </si>
  <si>
    <t xml:space="preserve">Seleção de projetos culturais apresentados por agentes — São Paulo</t>
  </si>
  <si>
    <t xml:space="preserve">SELEÇÃO DE PROJETOS CULTURAIS APRESENTADOS POR AGENTES</t>
  </si>
  <si>
    <t xml:space="preserve">MUNICIPIO DE COLINA</t>
  </si>
  <si>
    <t xml:space="preserve">https://pncp.gov.br/app/editais/45291234000173/2026/124</t>
  </si>
  <si>
    <t xml:space="preserve">op-455cc3840242</t>
  </si>
  <si>
    <t xml:space="preserve">Edital de fomento às multilinguagens artísticas — Ceará</t>
  </si>
  <si>
    <t xml:space="preserve">EDITAL DE FOMENTO ÀS MULTILINGUAGENS ARTÍSTICAS</t>
  </si>
  <si>
    <t xml:space="preserve">https://mapacultural.secult.ce.gov.br/oportunidade/8372/</t>
  </si>
  <si>
    <t xml:space="preserve">op-86a7f8a11fa3</t>
  </si>
  <si>
    <t xml:space="preserve">Edital de chamamento público nº 001/2026-pnab catunda — Ceará</t>
  </si>
  <si>
    <t xml:space="preserve">EDITAL DE CHAMAMENTO PÚBLICO Nº 001/2026-PNAB CATUNDA</t>
  </si>
  <si>
    <t xml:space="preserve">https://mapacultural.secult.ce.gov.br/oportunidade/8254/</t>
  </si>
  <si>
    <t xml:space="preserve">op-bac8c2d33faa</t>
  </si>
  <si>
    <t xml:space="preserve">Edital de produção de longa-metragem para sala de cinema — Ceará</t>
  </si>
  <si>
    <t xml:space="preserve">EDITAL DE PRODUÇÃO DE LONGA-METRAGEM PARA SALA DE CINEMA</t>
  </si>
  <si>
    <t xml:space="preserve">https://mapacultural.secult.ce.gov.br/oportunidade/8135/</t>
  </si>
  <si>
    <t xml:space="preserve">op-65646d7be10b</t>
  </si>
  <si>
    <t xml:space="preserve">Edital de produção de série para tv - vod – secult ce — Ceará</t>
  </si>
  <si>
    <t xml:space="preserve">EDITAL DE PRODUÇÃO DE SÉRIE PARA TV - VOD – SECULT CE</t>
  </si>
  <si>
    <t xml:space="preserve">https://mapacultural.secult.ce.gov.br/oportunidade/8138/</t>
  </si>
  <si>
    <t xml:space="preserve">op-27f22444cf15</t>
  </si>
  <si>
    <t xml:space="preserve">Edital de chamamento público nº 03/2026 oficinas — Ceará</t>
  </si>
  <si>
    <t xml:space="preserve">EDITAL DE CHAMAMENTO PÚBLICO Nº 03/2026 OFICINAS</t>
  </si>
  <si>
    <t xml:space="preserve">https://mapacultural.secult.ce.gov.br/oportunidade/8315/</t>
  </si>
  <si>
    <t xml:space="preserve">op-b7c82639033a</t>
  </si>
  <si>
    <t xml:space="preserve">Chamamento público para seleção de espaços culturais — Bahia</t>
  </si>
  <si>
    <t xml:space="preserve">CHAMAMENTO PÚBLICO PARA SELEÇÃO DE ESPAÇOS CULTURAIS</t>
  </si>
  <si>
    <t xml:space="preserve">https://pncp.gov.br/app/editais/13646005000138/2026/149</t>
  </si>
  <si>
    <t xml:space="preserve">op-ec0b367f99c4</t>
  </si>
  <si>
    <t xml:space="preserve">ICA — Protocolo Luso-Brasileiro de Coprodução Cinematográfica — Internacional</t>
  </si>
  <si>
    <t xml:space="preserve">ICA — Protocolo Luso-Brasileiro de Coprodução Cinematográfica</t>
  </si>
  <si>
    <t xml:space="preserve">Instituto do Cinema e do Audiovisual, I.P. (ICA)</t>
  </si>
  <si>
    <t xml:space="preserve">https://www.ica-ip.pt/pt/concursos/protocolo-luso-brasileiro/2026/protocolo-luso-brasileiro/</t>
  </si>
  <si>
    <t xml:space="preserve">350.000,00 (valor total, moeda da fonte)</t>
  </si>
  <si>
    <t xml:space="preserve">op-8f5896923125</t>
  </si>
  <si>
    <t xml:space="preserve">Chamamento público para seleção de projetos culturais (1) — Bahia</t>
  </si>
  <si>
    <t xml:space="preserve">CHAMAMENTO PÚBLICO PARA SELEÇÃO DE PROJETOS CULTURAIS (1)</t>
  </si>
  <si>
    <t xml:space="preserve">https://pncp.gov.br/app/editais/13646005000138/2026/147</t>
  </si>
  <si>
    <t xml:space="preserve">op-d1170edb8282</t>
  </si>
  <si>
    <t xml:space="preserve">Chamamento público para seleção de projetos culturais (2) — Bahia</t>
  </si>
  <si>
    <t xml:space="preserve">CHAMAMENTO PÚBLICO PARA SELEÇÃO DE PROJETOS CULTURAIS (2)</t>
  </si>
  <si>
    <t xml:space="preserve">https://pncp.gov.br/app/editais/13646005000138/2026/148</t>
  </si>
  <si>
    <t xml:space="preserve">op-4b02fb32242c</t>
  </si>
  <si>
    <t xml:space="preserve">Ibermúsicas — Ajuda a artistas e pesquisadores para mobilidade — Brasil</t>
  </si>
  <si>
    <t xml:space="preserve">Ibermúsicas — Ajuda a artistas e pesquisadores para mobilidade</t>
  </si>
  <si>
    <t xml:space="preserve">Programa Ibermúsicas</t>
  </si>
  <si>
    <t xml:space="preserve">https://www.ibermusicas.org/index.php/convocatorias/</t>
  </si>
  <si>
    <t xml:space="preserve">Chamada especial Ibermúsicas–CPLP «Viagens pela música»</t>
  </si>
  <si>
    <t xml:space="preserve">30.000,00 (valor total, moeda da fonte)</t>
  </si>
  <si>
    <t xml:space="preserve">Programa Ibermúsicas (com DGARTES, FUNARTE e CPLP)</t>
  </si>
  <si>
    <t xml:space="preserve">op-70137e0cdcc8</t>
  </si>
  <si>
    <t xml:space="preserve">Camargo Fellowship 2027–2028 — residência no Mediterrâneo — Brasil</t>
  </si>
  <si>
    <t xml:space="preserve">Camargo Fellowship 2027–2028 — residência no Mediterrâneo</t>
  </si>
  <si>
    <t xml:space="preserve">Fondation Camargo</t>
  </si>
  <si>
    <t xml:space="preserve">https://camargofoundation.org/en/camargo-fellowship-2026-2027</t>
  </si>
  <si>
    <t xml:space="preserve">3.500,00 (valor total, moeda da fonte)</t>
  </si>
  <si>
    <t xml:space="preserve">op-93d7951364af</t>
  </si>
  <si>
    <t xml:space="preserve">Prêmio Açorianos de Dança 2026 — Rio Grande do Sul / Porto Alegre</t>
  </si>
  <si>
    <t xml:space="preserve">Prêmio Açorianos de Dança 2026</t>
  </si>
  <si>
    <t xml:space="preserve">Prefeitura de Porto Alegre — Secretaria Municipal da Cultura / Centro Municipal de Dança</t>
  </si>
  <si>
    <t xml:space="preserve">https://prefeitura.poa.br/smc/noticias/abertas-inscricoes-para-o-premio-acorianos-de-danca-2026</t>
  </si>
  <si>
    <t xml:space="preserve">2026-11-29</t>
  </si>
  <si>
    <t xml:space="preserve">2026-03-30 a 2026-11-29</t>
  </si>
  <si>
    <t xml:space="preserve">op-44e3b2e87f68</t>
  </si>
  <si>
    <t xml:space="preserve">Edital FAPESC nº 51/2026 – Programa de Ciência e Tecnologia (carvão mineral e inovação) — Santa Catarina</t>
  </si>
  <si>
    <t xml:space="preserve">Edital FAPESC nº 51/2026 – Programa de Ciência e Tecnologia (carvão mineral e inovação)</t>
  </si>
  <si>
    <t xml:space="preserve">FAPESC</t>
  </si>
  <si>
    <t xml:space="preserve">https://fapesc.sc.gov.br/wp-content/uploads/2026/08/edital-carvao.pdf</t>
  </si>
  <si>
    <t xml:space="preserve">op-1fc146576453</t>
  </si>
  <si>
    <t xml:space="preserve">Chamada de Propostas FAPESP nº 42/2026 – Auxílio à Inovação Regular — São Paulo</t>
  </si>
  <si>
    <t xml:space="preserve">Chamada de Propostas FAPESP nº 42/2026 – Auxílio à Inovação Regular</t>
  </si>
  <si>
    <t xml:space="preserve">https://fapesp.br/18364</t>
  </si>
  <si>
    <t xml:space="preserve">op-6bde8eb82f6a</t>
  </si>
  <si>
    <t xml:space="preserve">Proteção de defensores de direitos humanos — Brasil</t>
  </si>
  <si>
    <t xml:space="preserve">Proteção de defensores de direitos humanos</t>
  </si>
  <si>
    <t xml:space="preserve">https://www.fundobrasil.org.br/</t>
  </si>
  <si>
    <t xml:space="preserve">Concurso Fotográfico de Direitos Humanos</t>
  </si>
  <si>
    <t xml:space="preserve">equipamentos e cursos</t>
  </si>
  <si>
    <t xml:space="preserve">op-b3a554dc5ab7</t>
  </si>
  <si>
    <t xml:space="preserve">Comunidades tradicionais da Amazônia — Brasil</t>
  </si>
  <si>
    <t xml:space="preserve">Comunidades tradicionais da Amazônia</t>
  </si>
  <si>
    <t xml:space="preserve">https://casa.org.br/</t>
  </si>
  <si>
    <t xml:space="preserve">Chamada Fundo Casa Socioambiental (mar/2026)</t>
  </si>
  <si>
    <t xml:space="preserve">até R$ 60 mil</t>
  </si>
  <si>
    <t xml:space="preserve">op-0c7e07aa8d59</t>
  </si>
  <si>
    <t xml:space="preserve">Prêmio LED 2025 — Brasil</t>
  </si>
  <si>
    <t xml:space="preserve">Prêmio LED 2025</t>
  </si>
  <si>
    <t xml:space="preserve">Globo (Movimento LED)</t>
  </si>
  <si>
    <t xml:space="preserve">https://somos.globo.com/</t>
  </si>
  <si>
    <t xml:space="preserve">2024-08-12</t>
  </si>
  <si>
    <t xml:space="preserve">Prêmio LED 2026</t>
  </si>
  <si>
    <t xml:space="preserve">2025-09-03</t>
  </si>
  <si>
    <t xml:space="preserve">R$ 200 mil por iniciativa</t>
  </si>
  <si>
    <t xml:space="preserve">op-0d967bab6abb</t>
  </si>
  <si>
    <t xml:space="preserve">Bolsas de pós-graduação — Brasil</t>
  </si>
  <si>
    <t xml:space="preserve">Bolsas de pós-graduação</t>
  </si>
  <si>
    <t xml:space="preserve">Fundação Maria Emília</t>
  </si>
  <si>
    <t xml:space="preserve">https://mariaemilia.org.br/</t>
  </si>
  <si>
    <t xml:space="preserve">2024-12-16</t>
  </si>
  <si>
    <t xml:space="preserve">30 bolsas integrais</t>
  </si>
  <si>
    <t xml:space="preserve">op-432b81cf46f8</t>
  </si>
  <si>
    <t xml:space="preserve">IA para sustentabilidade — Brasil</t>
  </si>
  <si>
    <t xml:space="preserve">IA para sustentabilidade</t>
  </si>
  <si>
    <t xml:space="preserve">https://climaesociedade.org/</t>
  </si>
  <si>
    <t xml:space="preserve">2025-04-22</t>
  </si>
  <si>
    <t xml:space="preserve">Adaptação climática em comunidades vulneráveis de 7 estados</t>
  </si>
  <si>
    <t xml:space="preserve">R$ 4 milhões</t>
  </si>
  <si>
    <t xml:space="preserve">op-14a98f4f34fa</t>
  </si>
  <si>
    <t xml:space="preserve">Edital de enfrentamento à violência sexual infantojuvenil — Brasil</t>
  </si>
  <si>
    <t xml:space="preserve">Edital de enfrentamento à violência sexual infantojuvenil</t>
  </si>
  <si>
    <t xml:space="preserve">Cáritas Brasileira</t>
  </si>
  <si>
    <t xml:space="preserve">https://caritas.org.br/</t>
  </si>
  <si>
    <t xml:space="preserve">2026-07-17</t>
  </si>
  <si>
    <t xml:space="preserve">até R$ 25 mil (até 21 organizações)</t>
  </si>
  <si>
    <t xml:space="preserve">{'observacao': 'VERIFICADO em 03/10/2026 (site da Cáritas e imprensa): Edital nº 02/2026 do Fundo de Apoio a Iniciativas Locais para o Enfrentamento da Violência Sexual contra Crianças e Adolescentes; não há edição anterior achada. Primeira edição conhecida.'}</t>
  </si>
  <si>
    <t xml:space="preserve">op-da409fb7c20f</t>
  </si>
  <si>
    <t xml:space="preserve">Jornada Fortalecidas (formação de OSCs de direitos das mulheres) — Brasil</t>
  </si>
  <si>
    <t xml:space="preserve">Jornada Fortalecidas (formação de OSCs de direitos das mulheres)</t>
  </si>
  <si>
    <t xml:space="preserve">https://www.institutolojasrenner.org.br/</t>
  </si>
  <si>
    <t xml:space="preserve">formação gratuita</t>
  </si>
  <si>
    <t xml:space="preserve">op-48d599939731</t>
  </si>
  <si>
    <t xml:space="preserve">Prêmio LED Globo 2027 — Brasil</t>
  </si>
  <si>
    <t xml:space="preserve">Prêmio LED Globo 2027</t>
  </si>
  <si>
    <t xml:space="preserve">https://somos.globo.com/google/amp/movimento-led/premio-led/noticia/inscricoes-abertas-para-o-premio-led-globo-2027.ghtml</t>
  </si>
  <si>
    <t xml:space="preserve">R$ 1,2 milhão (seis vencedores)</t>
  </si>
  <si>
    <t xml:space="preserve">op-266c2361304a</t>
  </si>
  <si>
    <t xml:space="preserve">Programa padrão de financiamento — Ásia, América Latina, Oriente Médio e Global — Internacional</t>
  </si>
  <si>
    <t xml:space="preserve">Programa padrão de financiamento — Ásia, América Latina, Oriente Médio e Global</t>
  </si>
  <si>
    <t xml:space="preserve">Karibu Foundation</t>
  </si>
  <si>
    <t xml:space="preserve">https://www.karibu.no/our-partners/apply-for-a-grant-asia-latinamerica-middleeast-global/</t>
  </si>
  <si>
    <t xml:space="preserve">2026-11-01</t>
  </si>
  <si>
    <t xml:space="preserve">US$ 5 mil a US$ 20 mil/ano</t>
  </si>
  <si>
    <t xml:space="preserve">{'observacao': 'VERIFICADO em 03/10/2026 (página oficial Karibu Foundation): programa de financiamento em transição em 2026 para modelo participativo permanente; sem calendário de edições datadas.'}</t>
  </si>
  <si>
    <t xml:space="preserve">op-ec56a16100f7</t>
  </si>
  <si>
    <t xml:space="preserve">SCDC/MinC - REABERTURA Edital nº 09/2023 Cultura Viva - Fomento a Pontões — Brasil</t>
  </si>
  <si>
    <t xml:space="preserve">SCDC/MinC - REABERTURA Edital nº 09/2023 Cultura Viva - Fomento a Pontões</t>
  </si>
  <si>
    <t xml:space="preserve">https://www.gov.br/cultura/pt-br/assuntos/editais/inscricoes-encerradas/edital-cultura-viva-2023-fomento-a-pontoes-de-cultura</t>
  </si>
  <si>
    <t xml:space="preserve">2023-11-23 a 2023-11-29</t>
  </si>
  <si>
    <t xml:space="preserve">op-e863d54e9e07</t>
  </si>
  <si>
    <t xml:space="preserve">REGIÃO CENTRO-OESTE: Agente Territorial de Cultura — Brasil</t>
  </si>
  <si>
    <t xml:space="preserve">REGIÃO CENTRO-OESTE: Agente Territorial de Cultura</t>
  </si>
  <si>
    <t xml:space="preserve">https://www.gov.br/cultura/pt-br/assuntos/editais/inscricoes-encerradas/edital-dos-agentes-territoriais-de-cultura-2024</t>
  </si>
  <si>
    <t xml:space="preserve">2024-06-10</t>
  </si>
  <si>
    <t xml:space="preserve">2024-05-08 a 2024-06-10</t>
  </si>
  <si>
    <t xml:space="preserve">op-ca7005d8d675</t>
  </si>
  <si>
    <t xml:space="preserve">Prêmio vivaleitura 2025 — Brasil</t>
  </si>
  <si>
    <t xml:space="preserve">Prêmio VIVALEITURA 2025</t>
  </si>
  <si>
    <t xml:space="preserve">Ministério da Cultura (livro e leitura)</t>
  </si>
  <si>
    <t xml:space="preserve">https://www.gov.br/cultura/pt-br/assuntos/editais/inscricoes-encerradas/edital-premio-vivaleitura</t>
  </si>
  <si>
    <t xml:space="preserve">2025-07-21</t>
  </si>
  <si>
    <t xml:space="preserve">2025-06-10 a 2025-07-21</t>
  </si>
  <si>
    <t xml:space="preserve">op-4ab334864bf2</t>
  </si>
  <si>
    <t xml:space="preserve">Edital de Premiação de Iniciativas de Boas Práticas nos CEUs das Artes — Brasil</t>
  </si>
  <si>
    <t xml:space="preserve">Edital de Premiação de Iniciativas de Boas Práticas nos CEUs das Artes</t>
  </si>
  <si>
    <t xml:space="preserve">Subsecretaria de Espaços e Equipamentos Culturais (SEEC/MinC)</t>
  </si>
  <si>
    <t xml:space="preserve">https://www.gov.br/cultura/pt-br/assuntos/editais/inscricoes-encerradas/edital-premio-boas-praticas-dos-ceus-das-artes</t>
  </si>
  <si>
    <t xml:space="preserve">2026-01-23</t>
  </si>
  <si>
    <t xml:space="preserve">2025-11-10 a 2026-01-23</t>
  </si>
  <si>
    <t xml:space="preserve">op-377db9a3ea30</t>
  </si>
  <si>
    <t xml:space="preserve">Secretaria de Formação Artística e Cultural, Livro e Leitura (SEFLI/MinC)</t>
  </si>
  <si>
    <t xml:space="preserve">https://www.gov.br/cultura/pt-br/assuntos/editais/inscricoes-encerradas/edital-escolas-livres-de-formacao-em-arte-e-cultura</t>
  </si>
  <si>
    <t xml:space="preserve">2026-07-05</t>
  </si>
  <si>
    <t xml:space="preserve">2026-05-04 a 2026-07-05</t>
  </si>
  <si>
    <t xml:space="preserve">op-babe10e01ace</t>
  </si>
  <si>
    <t xml:space="preserve">Chamamento Público para o Mercado das Indústrias Criativas do Sul - MICSUL 2026 — Brasil</t>
  </si>
  <si>
    <t xml:space="preserve">Chamamento Público para o Mercado das Indústrias Criativas do Sul - MICSUL 2026</t>
  </si>
  <si>
    <t xml:space="preserve">Economia Criativa / MinC</t>
  </si>
  <si>
    <t xml:space="preserve">2026-07-29 a 2026-08-12</t>
  </si>
  <si>
    <t xml:space="preserve">op-ff5bd83c2cec</t>
  </si>
  <si>
    <t xml:space="preserve">Edital de Diálogo Competitivo nº 002/2026 – contratação de organização de captação de recursos — Maranhão</t>
  </si>
  <si>
    <t xml:space="preserve">Edital de Diálogo Competitivo nº 002/2026 – contratação de organização de captação de recursos</t>
  </si>
  <si>
    <t xml:space="preserve">Prefeitura de Santa Luzia do Paruá (MA)</t>
  </si>
  <si>
    <t xml:space="preserve">https://www.santaluziadoparua.ma.gov.br/licitacaolista.php?id=731</t>
  </si>
  <si>
    <t xml:space="preserve">meta mínima de captação de R$ 5 milhões (contratação, não doação)</t>
  </si>
  <si>
    <t xml:space="preserve">op-5349f80f97ba</t>
  </si>
  <si>
    <t xml:space="preserve">Credenciamento de consultores e instrutores do Programa SOMA Sebrae — São Paulo</t>
  </si>
  <si>
    <t xml:space="preserve">Credenciamento de consultores e instrutores do Programa SOMA Sebrae</t>
  </si>
  <si>
    <t xml:space="preserve">Sebrae/SP</t>
  </si>
  <si>
    <t xml:space="preserve">https://contato.sebraesp.com.br/credenciamento/</t>
  </si>
  <si>
    <t xml:space="preserve">op-808db3d15649</t>
  </si>
  <si>
    <t xml:space="preserve">Edital contínuo Instituto Impactarte — Brasil</t>
  </si>
  <si>
    <t xml:space="preserve">Edital contínuo Instituto Impactarte</t>
  </si>
  <si>
    <t xml:space="preserve">https://impactarte.org.br/cadastro-proponente</t>
  </si>
  <si>
    <t xml:space="preserve">op-f55b1a8bd67b</t>
  </si>
  <si>
    <t xml:space="preserve">Edital de patrocínio Embratur (2026) — Brasil</t>
  </si>
  <si>
    <t xml:space="preserve">Edital de patrocínio Embratur (2026)</t>
  </si>
  <si>
    <t xml:space="preserve">Embratur</t>
  </si>
  <si>
    <t xml:space="preserve">https://patrocinio.embratur.com.br</t>
  </si>
  <si>
    <t xml:space="preserve">Seleção Pública de Patrocínios 2025</t>
  </si>
  <si>
    <t xml:space="preserve">2025-12-31</t>
  </si>
  <si>
    <t xml:space="preserve">até 60% do custo (100% se &lt; R$ 200 mil)</t>
  </si>
  <si>
    <t xml:space="preserve">https://patrocinio.embratur.com.br/</t>
  </si>
  <si>
    <t xml:space="preserve">op-d3c59a6d71d2</t>
  </si>
  <si>
    <t xml:space="preserve">Edital de Mobilidade Cultural — Paraná</t>
  </si>
  <si>
    <t xml:space="preserve">Edital de Mobilidade Cultural</t>
  </si>
  <si>
    <t xml:space="preserve">Secretaria de Estado da Cultura do Paraná</t>
  </si>
  <si>
    <t xml:space="preserve">https://www.cultura.pr.gov.br/Pagina/Edital-de-Mobilidade-Cultural</t>
  </si>
  <si>
    <t xml:space="preserve">até R$ 20 mil por projeto (R$ 500 mil)</t>
  </si>
  <si>
    <t xml:space="preserve">op-ae3d51f0c9ac</t>
  </si>
  <si>
    <t xml:space="preserve">Edital 01/2023 Viva Periferia – pessoa idosa — Brasil</t>
  </si>
  <si>
    <t xml:space="preserve">Edital 01/2023 Viva Periferia – pessoa idosa</t>
  </si>
  <si>
    <t xml:space="preserve">Secretaria Nacional dos Direitos da Pessoa Idosa (MDHC)</t>
  </si>
  <si>
    <t xml:space="preserve">https://www.gov.br/mdh/pt-br/navegue-por-temas/pessoa-idosa/Edital012023VivaPeriferia.pdf</t>
  </si>
  <si>
    <t xml:space="preserve">2023-11-24</t>
  </si>
  <si>
    <t xml:space="preserve">até R$ 300 mil (6 projetos)</t>
  </si>
  <si>
    <t xml:space="preserve">op-c3b1e9469558</t>
  </si>
  <si>
    <t xml:space="preserve">Edital nº 1/2023 – formação de mulheres em autonomia econômica e cuidado — Brasil</t>
  </si>
  <si>
    <t xml:space="preserve">Edital nº 1/2023 – formação de mulheres em autonomia econômica e cuidado</t>
  </si>
  <si>
    <t xml:space="preserve">Ministério das Mulheres</t>
  </si>
  <si>
    <t xml:space="preserve">https://www.gov.br/mulheres/pt-br/acesso-a-informacao/editais-1/edital-ndeg-1-2023-selecao-de-organizacoes-da-sociedade-civil-para-execucao-de-projetos-de-formacao-com-mulheres-em-autonomia-economica-e-cuidado/</t>
  </si>
  <si>
    <t xml:space="preserve">R$ 300 mil a R$ 2,5 milhões</t>
  </si>
  <si>
    <t xml:space="preserve">https://www.gov.br/mulheres/pt-br/acesso-a-informacao/editais-1/edital-ndeg-1-2023-selecao-de-organizacoes-da-sociedade-civil-para-execucao-de-projetos-de-formacao-com-mulheres-em-autonomia-economica-</t>
  </si>
  <si>
    <t xml:space="preserve">op-1a802f3ca907</t>
  </si>
  <si>
    <t xml:space="preserve">Edital nº 2/2023 – educação para prevenção às violências contra mulheres — Brasil</t>
  </si>
  <si>
    <t xml:space="preserve">Edital nº 2/2023 – educação para prevenção às violências contra mulheres</t>
  </si>
  <si>
    <t xml:space="preserve">https://www.gov.br/mulheres/pt-br/acesso-a-informacao/editais-1/edital-ndeg-2-2023-selecao-de-organizacoes-da-sociedade-civil-para-execucao-de-acoes-de-educacao-para-prevencao-as-violencias-contra-mulheres</t>
  </si>
  <si>
    <t xml:space="preserve">R$ 100 mil a R$ 400 mil</t>
  </si>
  <si>
    <t xml:space="preserve">https://www.gov.br/mulheres/pt-br/acesso-a-informacao/editais-1/edital-ndeg-2-2023-selecao-de-organizacoes-da-sociedade-civil-para-execucao-de-acoes-de-educacao-para-prevencao-as-violencias-contra-mul</t>
  </si>
  <si>
    <t xml:space="preserve">op-9045c9a6b576</t>
  </si>
  <si>
    <t xml:space="preserve">Edital 01/2023 – Índice de Transparência e Governança Pública — Brasil</t>
  </si>
  <si>
    <t xml:space="preserve">Edital 01/2023 – Índice de Transparência e Governança Pública</t>
  </si>
  <si>
    <t xml:space="preserve">Transparência Internacional Brasil</t>
  </si>
  <si>
    <t xml:space="preserve">Norte; Nordeste; Centro-Oeste</t>
  </si>
  <si>
    <t xml:space="preserve">https://comunidade.transparenciainternacional.org.br/edital-01-2023</t>
  </si>
  <si>
    <t xml:space="preserve">até R$ 120 mil (4 anos)</t>
  </si>
  <si>
    <t xml:space="preserve">op-6e95e4233463</t>
  </si>
  <si>
    <t xml:space="preserve">Criança Esperança 2023/2024 (prorrogação) — Internacional</t>
  </si>
  <si>
    <t xml:space="preserve">Criança Esperança 2023/2024 (prorrogação)</t>
  </si>
  <si>
    <t xml:space="preserve">Criança Esperança / UNESCO</t>
  </si>
  <si>
    <t xml:space="preserve">https://projetos.criancaesperanca.unesco.org</t>
  </si>
  <si>
    <t xml:space="preserve">op-70cc2d5391cc</t>
  </si>
  <si>
    <t xml:space="preserve">Edital socioambiental GRU Airport — São Paulo</t>
  </si>
  <si>
    <t xml:space="preserve">Edital socioambiental GRU Airport</t>
  </si>
  <si>
    <t xml:space="preserve">GRU Airport</t>
  </si>
  <si>
    <t xml:space="preserve">https://www.gru.com.br/pt/projetosocioambiental</t>
  </si>
  <si>
    <t xml:space="preserve">2023-12-08</t>
  </si>
  <si>
    <t xml:space="preserve">op-2f2e856a2474</t>
  </si>
  <si>
    <t xml:space="preserve">Programa Nutrir+ — Brasil</t>
  </si>
  <si>
    <t xml:space="preserve">Programa Nutrir+</t>
  </si>
  <si>
    <t xml:space="preserve">Citrosuco / AGO Social</t>
  </si>
  <si>
    <t xml:space="preserve">SP; MG</t>
  </si>
  <si>
    <t xml:space="preserve">https://conteudo.agosocial.com.br/programa-nutrir-citrosuco</t>
  </si>
  <si>
    <t xml:space="preserve">2024-01-31</t>
  </si>
  <si>
    <t xml:space="preserve">op-3273c023dab8</t>
  </si>
  <si>
    <t xml:space="preserve">Global Innovation Challenge (pessoas em situação de rua) — Brasil</t>
  </si>
  <si>
    <t xml:space="preserve">Global Innovation Challenge (pessoas em situação de rua)</t>
  </si>
  <si>
    <t xml:space="preserve">Citi Foundation</t>
  </si>
  <si>
    <t xml:space="preserve">https://citi.fluxx.io/apply/Challenge</t>
  </si>
  <si>
    <t xml:space="preserve">2024-02-13</t>
  </si>
  <si>
    <t xml:space="preserve">US$ 500 mil por organização</t>
  </si>
  <si>
    <t xml:space="preserve">op-700d0568d9a2</t>
  </si>
  <si>
    <t xml:space="preserve">Edital ACT de financiamento de projetos em controle do tabaco — Brasil</t>
  </si>
  <si>
    <t xml:space="preserve">Edital ACT de financiamento de projetos em controle do tabaco</t>
  </si>
  <si>
    <t xml:space="preserve">ACT Promoção da Saúde</t>
  </si>
  <si>
    <t xml:space="preserve">https://actbr.org.br/uploads/arquivos/Edital-Act-de-Financiamento-de-Projetos.pdf</t>
  </si>
  <si>
    <t xml:space="preserve">2024-02-18</t>
  </si>
  <si>
    <t xml:space="preserve">op-c2877c517acb</t>
  </si>
  <si>
    <t xml:space="preserve">Edital socioeconômico para mulheres negras — Brasil</t>
  </si>
  <si>
    <t xml:space="preserve">Edital socioeconômico para mulheres negras</t>
  </si>
  <si>
    <t xml:space="preserve">https://editalmulheresnegras.fbb.org.br/</t>
  </si>
  <si>
    <t xml:space="preserve">2024-02-19</t>
  </si>
  <si>
    <t xml:space="preserve">R$ 12 milhões</t>
  </si>
  <si>
    <t xml:space="preserve">op-90e9d507a625</t>
  </si>
  <si>
    <t xml:space="preserve">Seleção Pública Petrobras Socioambiental 2023 – 2ª fase — Brasil</t>
  </si>
  <si>
    <t xml:space="preserve">Seleção Pública Petrobras Socioambiental 2023 – 2ª fase</t>
  </si>
  <si>
    <t xml:space="preserve">MG; SP; RJ; ES; Pantanal</t>
  </si>
  <si>
    <t xml:space="preserve">https://investidor.bussolasocial.com.br/petrobras/editais/naoincentivados2023.2</t>
  </si>
  <si>
    <t xml:space="preserve">2024-02-29</t>
  </si>
  <si>
    <t xml:space="preserve">até R$ 166,7 milhões (não incentivados) e R$ 53 milhões (incentivados)</t>
  </si>
  <si>
    <t xml:space="preserve">op-b8b26bc9d871</t>
  </si>
  <si>
    <t xml:space="preserve">Floresta Viva – Corredores de Biodiversidade — Brasil</t>
  </si>
  <si>
    <t xml:space="preserve">Floresta Viva – Corredores de Biodiversidade</t>
  </si>
  <si>
    <t xml:space="preserve">Floresta Viva (BNDES) / FUNBIO</t>
  </si>
  <si>
    <t xml:space="preserve">Cerrado e Pantanal</t>
  </si>
  <si>
    <t xml:space="preserve">https://chamadas.funbio.org.br/floresta-viva-corredores-de-biodiversidade</t>
  </si>
  <si>
    <t xml:space="preserve">2024-03-18</t>
  </si>
  <si>
    <t xml:space="preserve">R$ 42 milhões (até 9 projetos)</t>
  </si>
  <si>
    <t xml:space="preserve">op-cbea007c2503</t>
  </si>
  <si>
    <t xml:space="preserve">Glocal Aceleradora – 11º edital — Brasil</t>
  </si>
  <si>
    <t xml:space="preserve">Glocal Aceleradora – 11º edital</t>
  </si>
  <si>
    <t xml:space="preserve">Glocal Aceleradora</t>
  </si>
  <si>
    <t xml:space="preserve">SP; PR</t>
  </si>
  <si>
    <t xml:space="preserve">https://aceleradora.glocal.org.br/</t>
  </si>
  <si>
    <t xml:space="preserve">2024-07-24</t>
  </si>
  <si>
    <t xml:space="preserve">Glocal Aceleradora – seleção de projetos (ciclo 2026)</t>
  </si>
  <si>
    <t xml:space="preserve">aceleração gratuita</t>
  </si>
  <si>
    <t xml:space="preserve">op-f04465215edb</t>
  </si>
  <si>
    <t xml:space="preserve">Nanet – combate a discurso de ódio e desinformação — Brasil</t>
  </si>
  <si>
    <t xml:space="preserve">Nanet – combate a discurso de ódio e desinformação</t>
  </si>
  <si>
    <t xml:space="preserve">Abong / Ação Educativa / Ibase</t>
  </si>
  <si>
    <t xml:space="preserve">11 estados</t>
  </si>
  <si>
    <t xml:space="preserve">https://abong.org.br/nanet-democratizando-a-tecnologia/</t>
  </si>
  <si>
    <t xml:space="preserve">R$ 20 mil (10 organizações)</t>
  </si>
  <si>
    <t xml:space="preserve">op-2e12f3fadcbc</t>
  </si>
  <si>
    <t xml:space="preserve">Edital nº 01/2024 – Plano de Desenvolvimento Sustentável dos Povos e Comunidades Tradicionais — Brasil</t>
  </si>
  <si>
    <t xml:space="preserve">Edital nº 01/2024 – Plano de Desenvolvimento Sustentável dos Povos e Comunidades Tradicionais</t>
  </si>
  <si>
    <t xml:space="preserve">Ministério do Meio Ambiente</t>
  </si>
  <si>
    <t xml:space="preserve">https://www.gov.br/mma/pt-br/acesso-a-informacao/acoes-e-programas/apoio-a-projetos/outros%20editais/editaldechamamentopblicon01-2024sei_1680301_edital_01_2024.pdf</t>
  </si>
  <si>
    <t xml:space="preserve">op-3c58d64d808f</t>
  </si>
  <si>
    <t xml:space="preserve">Programa BTG Soma Empreendedorismo — Brasil</t>
  </si>
  <si>
    <t xml:space="preserve">Programa BTG Soma Empreendedorismo</t>
  </si>
  <si>
    <t xml:space="preserve">BTG Pactual / AGO Social</t>
  </si>
  <si>
    <t xml:space="preserve">https://conteudo.agosocial.com.br/btg-soma-empreendedorismo</t>
  </si>
  <si>
    <t xml:space="preserve">2024-08-10</t>
  </si>
  <si>
    <t xml:space="preserve">op-5fbb0bd17d14</t>
  </si>
  <si>
    <t xml:space="preserve">Chamada Reconstruir RS — Rio Grande do Sul</t>
  </si>
  <si>
    <t xml:space="preserve">Chamada Reconstruir RS</t>
  </si>
  <si>
    <t xml:space="preserve">https://casa.org.br/chamadas/reconstruir-rs-apoio-a-resiliencia-climatica-e-reconstrucao-comunitaria/</t>
  </si>
  <si>
    <t xml:space="preserve">até R$ 40 mil (R$ 2,8 milhões)</t>
  </si>
  <si>
    <t xml:space="preserve">op-714ad812f3c0</t>
  </si>
  <si>
    <t xml:space="preserve">Chamada LBTQI+ América Latina — Brasil</t>
  </si>
  <si>
    <t xml:space="preserve">Chamada LBTQI+ América Latina</t>
  </si>
  <si>
    <t xml:space="preserve">Fundação Astraea</t>
  </si>
  <si>
    <t xml:space="preserve">América Latina</t>
  </si>
  <si>
    <t xml:space="preserve">https://astraeafoundation.org/</t>
  </si>
  <si>
    <t xml:space="preserve">2024-08-15</t>
  </si>
  <si>
    <t xml:space="preserve">US$ 10 mil/ano (25 organizações)</t>
  </si>
  <si>
    <t xml:space="preserve">op-f8bef567e8df</t>
  </si>
  <si>
    <t xml:space="preserve">InovaSUAS – Sudene — Brasil</t>
  </si>
  <si>
    <t xml:space="preserve">InovaSUAS – Sudene</t>
  </si>
  <si>
    <t xml:space="preserve">Sudene</t>
  </si>
  <si>
    <t xml:space="preserve">área da Sudene</t>
  </si>
  <si>
    <t xml:space="preserve">https://www.gov.br/sudene/pt-br/assuntos/inovasuas</t>
  </si>
  <si>
    <t xml:space="preserve">2024-09-02</t>
  </si>
  <si>
    <t xml:space="preserve">R$ 1 milhão</t>
  </si>
  <si>
    <t xml:space="preserve">op-e89facdcd4e6</t>
  </si>
  <si>
    <t xml:space="preserve">Glocal Aceleradora – 12º edital — Brasil</t>
  </si>
  <si>
    <t xml:space="preserve">Glocal Aceleradora – 12º edital</t>
  </si>
  <si>
    <t xml:space="preserve">https://aceleradora.glocal.org.br/inscricao/</t>
  </si>
  <si>
    <t xml:space="preserve">2025-02-05</t>
  </si>
  <si>
    <t xml:space="preserve">aceleração (24 vagas)</t>
  </si>
  <si>
    <t xml:space="preserve">op-49a93b05cb7d</t>
  </si>
  <si>
    <t xml:space="preserve">Edital Labora – trabalhadores informais — Brasil</t>
  </si>
  <si>
    <t xml:space="preserve">Edital Labora – trabalhadores informais</t>
  </si>
  <si>
    <t xml:space="preserve">Labora / Fundo Brasil de Direitos Humanos</t>
  </si>
  <si>
    <t xml:space="preserve">https://fundobrasil-institucional-prd.s3.sa-east-1.amazonaws.com/app/uploads/2024/12/Edital-Labora-PDF.pdf</t>
  </si>
  <si>
    <t xml:space="preserve">2025-02-07</t>
  </si>
  <si>
    <t xml:space="preserve">R$ 1,6 milhão (25 projetos)</t>
  </si>
  <si>
    <t xml:space="preserve">op-9ecb5650975b</t>
  </si>
  <si>
    <t xml:space="preserve">Chamamento público – enfrentamento às mudanças climáticas — Paraná / Curitiba</t>
  </si>
  <si>
    <t xml:space="preserve">Chamamento público – enfrentamento às mudanças climáticas</t>
  </si>
  <si>
    <t xml:space="preserve">Prefeitura de Curitiba</t>
  </si>
  <si>
    <t xml:space="preserve">https://www.curitiba.pr.gov.br/conteudo/chamamento-publico-2024/3445</t>
  </si>
  <si>
    <t xml:space="preserve">2025-03-20</t>
  </si>
  <si>
    <t xml:space="preserve">R$ 1 milhão (5 lotes de R$ 200 mil)</t>
  </si>
  <si>
    <t xml:space="preserve">op-03d20b3d41a7</t>
  </si>
  <si>
    <t xml:space="preserve">Chamada Elas 40+ — São Paulo</t>
  </si>
  <si>
    <t xml:space="preserve">Chamada Elas 40+</t>
  </si>
  <si>
    <t xml:space="preserve">Instituto Lojas Renner / Cruzando Histórias</t>
  </si>
  <si>
    <t xml:space="preserve">https://cruzandohistorias.org</t>
  </si>
  <si>
    <t xml:space="preserve">R$ 5 mil (8)</t>
  </si>
  <si>
    <t xml:space="preserve">op-b0eb8c8aebca</t>
  </si>
  <si>
    <t xml:space="preserve">Edital Itaú Viver Mais 2025 (7ª edição) — Brasil</t>
  </si>
  <si>
    <t xml:space="preserve">Edital Itaú Viver Mais 2025 (7ª edição)</t>
  </si>
  <si>
    <t xml:space="preserve">Itaú Viver Mais / Fundo de Direitos da Pessoa Idosa</t>
  </si>
  <si>
    <t xml:space="preserve">https://www.itauvivermais.com.br/pilares/editais/edital-ivm-2025/</t>
  </si>
  <si>
    <t xml:space="preserve">2025-06-12</t>
  </si>
  <si>
    <t xml:space="preserve">op-1cce53444957</t>
  </si>
  <si>
    <t xml:space="preserve">Seleção Caixa Cultural 2025 — Brasil</t>
  </si>
  <si>
    <t xml:space="preserve">Seleção Caixa Cultural 2025</t>
  </si>
  <si>
    <t xml:space="preserve">Caixa Econômica Federal</t>
  </si>
  <si>
    <t xml:space="preserve">8 capitais (DF, PR, CE, PE, RJ, BA, SP, PA)</t>
  </si>
  <si>
    <t xml:space="preserve">https://selecaocaixacultural.com.br</t>
  </si>
  <si>
    <t xml:space="preserve">R$ 120 milhões</t>
  </si>
  <si>
    <t xml:space="preserve">op-f9f557a647dc</t>
  </si>
  <si>
    <t xml:space="preserve">º Prêmio David Miranda Causas de Vida — Rio de Janeiro</t>
  </si>
  <si>
    <t xml:space="preserve">2º Prêmio David Miranda Causas de Vida</t>
  </si>
  <si>
    <t xml:space="preserve">Instituto David Miranda</t>
  </si>
  <si>
    <t xml:space="preserve">https://institutodavidmiranda.org</t>
  </si>
  <si>
    <t xml:space="preserve">2025-06-23</t>
  </si>
  <si>
    <t xml:space="preserve">R$ 20 mil a R$ 70 mil (12)</t>
  </si>
  <si>
    <t xml:space="preserve">op-e8d0d11786f4</t>
  </si>
  <si>
    <t xml:space="preserve">º Prêmio de Comunicação Fundação José Luiz Setúbal — Brasil</t>
  </si>
  <si>
    <t xml:space="preserve">5º Prêmio de Comunicação Fundação José Luiz Setúbal</t>
  </si>
  <si>
    <t xml:space="preserve">Fundação José Luiz Setúbal</t>
  </si>
  <si>
    <t xml:space="preserve">https://fundacaojles.org.br/premio-de-comunicacao-jose-luiz-setubal/</t>
  </si>
  <si>
    <t xml:space="preserve">2025-07-11</t>
  </si>
  <si>
    <t xml:space="preserve">R$ 97,2 mil no total</t>
  </si>
  <si>
    <t xml:space="preserve">op-5f2b01f0099c</t>
  </si>
  <si>
    <t xml:space="preserve">Edital de Chamamento Público nº 1/2025 – adaptação climática em periferias urbanas — Brasil</t>
  </si>
  <si>
    <t xml:space="preserve">Edital de Chamamento Público nº 1/2025 – adaptação climática em periferias urbanas</t>
  </si>
  <si>
    <t xml:space="preserve">Ministério das Cidades / Ministério do Meio Ambiente</t>
  </si>
  <si>
    <t xml:space="preserve">https://www.gov.br/cidades/pt-br/acesso-a-informacao/participacao-social/editais-de-chamamento-publico/edital-de-chamamento-publico-no-1-2025/</t>
  </si>
  <si>
    <t xml:space="preserve">R$ 25 milhões no total</t>
  </si>
  <si>
    <t xml:space="preserve">op-cd0ba78ae93f</t>
  </si>
  <si>
    <t xml:space="preserve">Edital Social Porto 2025 — Brasil</t>
  </si>
  <si>
    <t xml:space="preserve">Edital Social Porto 2025</t>
  </si>
  <si>
    <t xml:space="preserve">Grupo Porto</t>
  </si>
  <si>
    <t xml:space="preserve">BA; MG; PR; RJ; RS; SP</t>
  </si>
  <si>
    <t xml:space="preserve">https://investidor.bussolasocial.com.br/portoseguro/editais/porto2025crianças_adolescentes_pessoaidosa</t>
  </si>
  <si>
    <t xml:space="preserve">2025-07-30</t>
  </si>
  <si>
    <t xml:space="preserve">op-a904c270049e</t>
  </si>
  <si>
    <t xml:space="preserve">º Edital de Educação ENGIE — Brasil</t>
  </si>
  <si>
    <t xml:space="preserve">5º Edital de Educação ENGIE</t>
  </si>
  <si>
    <t xml:space="preserve">ENGIE Brasil e parceiras</t>
  </si>
  <si>
    <t xml:space="preserve">municípios específicos</t>
  </si>
  <si>
    <t xml:space="preserve">https://www.engie.com.br/editaleducacao</t>
  </si>
  <si>
    <t xml:space="preserve">R$ 10 mil (até 43 projetos)</t>
  </si>
  <si>
    <t xml:space="preserve">op-4a580edf4b84</t>
  </si>
  <si>
    <t xml:space="preserve">Programa Rouanet Nordeste — Brasil</t>
  </si>
  <si>
    <t xml:space="preserve">Programa Rouanet Nordeste</t>
  </si>
  <si>
    <t xml:space="preserve">https://salic.cultura.gov.br</t>
  </si>
  <si>
    <t xml:space="preserve">2025-09-05</t>
  </si>
  <si>
    <t xml:space="preserve">até R$ 1 milhão</t>
  </si>
  <si>
    <t xml:space="preserve">op-bdda6f400ec9</t>
  </si>
  <si>
    <t xml:space="preserve">IFood Chega Junto – 2ª edição — Brasil</t>
  </si>
  <si>
    <t xml:space="preserve">iFood Chega Junto – 2ª edição</t>
  </si>
  <si>
    <t xml:space="preserve">iFood</t>
  </si>
  <si>
    <t xml:space="preserve">https://entregador.ifood.com.br/programa-de-incentivo-ifood-chega-junto/</t>
  </si>
  <si>
    <t xml:space="preserve">2025-09-08</t>
  </si>
  <si>
    <t xml:space="preserve">até R$ 500 mil (OSC)</t>
  </si>
  <si>
    <t xml:space="preserve">op-a3f92fff1249</t>
  </si>
  <si>
    <t xml:space="preserve">Selo Organização Parceira ChildFund 2025 — Brasil</t>
  </si>
  <si>
    <t xml:space="preserve">Selo Organização Parceira ChildFund 2025</t>
  </si>
  <si>
    <t xml:space="preserve">13 estados</t>
  </si>
  <si>
    <t xml:space="preserve">https://childfundbrasil.org.br/dashboard/wp-content/uploads/2025/08/Edital-Selo-Organizacao-Parceira-do-ChildFund_2025.pdf</t>
  </si>
  <si>
    <t xml:space="preserve">2025-09-15</t>
  </si>
  <si>
    <t xml:space="preserve">R$ 24 mil cada (10)</t>
  </si>
  <si>
    <t xml:space="preserve">op-918fcb304d30</t>
  </si>
  <si>
    <t xml:space="preserve">Investimento sociocultural Mercado Livre (incentivados) — Brasil</t>
  </si>
  <si>
    <t xml:space="preserve">Investimento sociocultural Mercado Livre (incentivados)</t>
  </si>
  <si>
    <t xml:space="preserve">Mercado Livre</t>
  </si>
  <si>
    <t xml:space="preserve">SP; BA; SC; PE; RJ; DF</t>
  </si>
  <si>
    <t xml:space="preserve">https://sustentabilidademercadolivre.com/iniciativas/investimento-sociocultural</t>
  </si>
  <si>
    <t xml:space="preserve">R$ 60 milhões</t>
  </si>
  <si>
    <t xml:space="preserve">op-dde2f3507029</t>
  </si>
  <si>
    <t xml:space="preserve">Edital socioambiental Raízen São Paulo — São Paulo / São Paulo</t>
  </si>
  <si>
    <t xml:space="preserve">Edital socioambiental Raízen São Paulo</t>
  </si>
  <si>
    <t xml:space="preserve">Raízen</t>
  </si>
  <si>
    <t xml:space="preserve">https://www.raizen.com.br/sustentabilidade/social/performance-social</t>
  </si>
  <si>
    <t xml:space="preserve">2025-11-14</t>
  </si>
  <si>
    <t xml:space="preserve">até R$ 80 mil (R$ 400 mil)</t>
  </si>
  <si>
    <t xml:space="preserve">op-428c988f8ab5</t>
  </si>
  <si>
    <t xml:space="preserve">Edital de fortalecimento de redes de economia solidária — Brasil</t>
  </si>
  <si>
    <t xml:space="preserve">Edital de fortalecimento de redes de economia solidária</t>
  </si>
  <si>
    <t xml:space="preserve">Ministério do Trabalho e Emprego / SENAES</t>
  </si>
  <si>
    <t xml:space="preserve">https://www.gov.br/trabalho-e-emprego/pt-br/assuntos/economia-solidaria/editais-e-chamamentos-publicos</t>
  </si>
  <si>
    <t xml:space="preserve">2025-12-05</t>
  </si>
  <si>
    <t xml:space="preserve">até R$ 3 milhões por projeto (R$ 15 milhões)</t>
  </si>
  <si>
    <t xml:space="preserve">op-394704f3082e</t>
  </si>
  <si>
    <t xml:space="preserve">Prêmio Educação para Gentileza e Generosidade 2025 — Brasil</t>
  </si>
  <si>
    <t xml:space="preserve">Prêmio Educação para Gentileza e Generosidade 2025</t>
  </si>
  <si>
    <t xml:space="preserve">Plataforma EGG</t>
  </si>
  <si>
    <t xml:space="preserve">https://www.gentilezagenerosidade.org.br</t>
  </si>
  <si>
    <t xml:space="preserve">op-4dcbfd013f1c</t>
  </si>
  <si>
    <t xml:space="preserve">Edital EBANX de projetos incentivados — Paraná</t>
  </si>
  <si>
    <t xml:space="preserve">Edital EBANX de projetos incentivados</t>
  </si>
  <si>
    <t xml:space="preserve">EBANX</t>
  </si>
  <si>
    <t xml:space="preserve">https://www.ebanx.com/pt-br/edital/</t>
  </si>
  <si>
    <t xml:space="preserve">2025-12-07</t>
  </si>
  <si>
    <t xml:space="preserve">op-b473b4e9cbe9</t>
  </si>
  <si>
    <t xml:space="preserve">Edital 2026 Instituto BRZ – Dona Neném — Brasil</t>
  </si>
  <si>
    <t xml:space="preserve">Edital 2026 Instituto BRZ – Dona Neném</t>
  </si>
  <si>
    <t xml:space="preserve">Instituto BRZ – Dona Neném</t>
  </si>
  <si>
    <t xml:space="preserve">MG; SP; RJ</t>
  </si>
  <si>
    <t xml:space="preserve">https://www.institutodonanenembrz.com/edital-2026</t>
  </si>
  <si>
    <t xml:space="preserve">op-a05300f99409</t>
  </si>
  <si>
    <t xml:space="preserve">Edital Corredor 2025 – Fundo Hydro — Pará</t>
  </si>
  <si>
    <t xml:space="preserve">Edital Corredor 2025 – Fundo Hydro</t>
  </si>
  <si>
    <t xml:space="preserve">Fundo Hydro</t>
  </si>
  <si>
    <t xml:space="preserve">http://www.editalcorredor2025.com.br</t>
  </si>
  <si>
    <t xml:space="preserve">R$ 70 mil a R$ 100 mil (até 30)</t>
  </si>
  <si>
    <t xml:space="preserve">op-11c1cc82aed2</t>
  </si>
  <si>
    <t xml:space="preserve">Edital de microinvestimento – Zona Oeste do RJ e Cabreúva — Brasil</t>
  </si>
  <si>
    <t xml:space="preserve">Edital de microinvestimento – Zona Oeste do RJ e Cabreúva</t>
  </si>
  <si>
    <t xml:space="preserve">RJ; SP</t>
  </si>
  <si>
    <t xml:space="preserve">https://www.institutolojasrenner.org.br/edital-de-microinvestimento-rio-de-janeiro-e-sao-paulo/</t>
  </si>
  <si>
    <t xml:space="preserve">2026-01-17</t>
  </si>
  <si>
    <t xml:space="preserve">até R$ 10 mil</t>
  </si>
  <si>
    <t xml:space="preserve">op-1480efe54ef5</t>
  </si>
  <si>
    <t xml:space="preserve">Edital de projetos sociais Instituto de Ação Social 2026 — Brasil</t>
  </si>
  <si>
    <t xml:space="preserve">Edital de projetos sociais Instituto de Ação Social 2026</t>
  </si>
  <si>
    <t xml:space="preserve">Capemisa – Instituto de Ação Social</t>
  </si>
  <si>
    <t xml:space="preserve">https://investidor.bussolasocial.com.br/capemisa_social/editais/projetossociais_institutoacaosocial2026</t>
  </si>
  <si>
    <t xml:space="preserve">R$ 100 mil por projeto (até 10)</t>
  </si>
  <si>
    <t xml:space="preserve">op-030c8916218c</t>
  </si>
  <si>
    <t xml:space="preserve">Consultoria gratuita ESPM Social 2026 — São Paulo</t>
  </si>
  <si>
    <t xml:space="preserve">Consultoria gratuita ESPM Social 2026</t>
  </si>
  <si>
    <t xml:space="preserve">ESPM Social</t>
  </si>
  <si>
    <t xml:space="preserve">https://www.espmsocial.org</t>
  </si>
  <si>
    <t xml:space="preserve">2026-02-23</t>
  </si>
  <si>
    <t xml:space="preserve">consultoria gratuita</t>
  </si>
  <si>
    <t xml:space="preserve">op-f15231005d2c</t>
  </si>
  <si>
    <t xml:space="preserve">Chamada de avaliação de impactos ambientais (Programa Biodiversidade Litoral do Paraná) — Paraná</t>
  </si>
  <si>
    <t xml:space="preserve">Chamada de avaliação de impactos ambientais (Programa Biodiversidade Litoral do Paraná)</t>
  </si>
  <si>
    <t xml:space="preserve">FUNBIO</t>
  </si>
  <si>
    <t xml:space="preserve">https://chamadas.funbio.org.br/avaliacao-de-impactos</t>
  </si>
  <si>
    <t xml:space="preserve">até R$ 3,2 milhões (R$ 500 mil a R$ 1,6 milhão por projeto)</t>
  </si>
  <si>
    <t xml:space="preserve">op-da5d689baa26</t>
  </si>
  <si>
    <t xml:space="preserve">Chamada pública OIM – projetos comunitários na Amazônia — Brasil</t>
  </si>
  <si>
    <t xml:space="preserve">Chamada pública OIM – projetos comunitários na Amazônia</t>
  </si>
  <si>
    <t xml:space="preserve">Organização Internacional para as Migrações (OIM)</t>
  </si>
  <si>
    <t xml:space="preserve">Amazônia (6 estados)</t>
  </si>
  <si>
    <t xml:space="preserve">https://brazil.iom.int/pt-br/news/oim-lanca-chamada-publica-para-apoiar-projetos-comunitarios-na-amazonia</t>
  </si>
  <si>
    <t xml:space="preserve">US$ 10 mil</t>
  </si>
  <si>
    <t xml:space="preserve">op-3d7be058b742</t>
  </si>
  <si>
    <t xml:space="preserve">Prêmio Impacta Mais 2026 — Brasil</t>
  </si>
  <si>
    <t xml:space="preserve">Prêmio Impacta Mais 2026</t>
  </si>
  <si>
    <t xml:space="preserve">Companhia de Impacto / Certificadora Social</t>
  </si>
  <si>
    <t xml:space="preserve">https://impactamais.com/premio-impacta-mais-2026/</t>
  </si>
  <si>
    <t xml:space="preserve">2026-03-16</t>
  </si>
  <si>
    <t xml:space="preserve">op-230d0b8cac7c</t>
  </si>
  <si>
    <t xml:space="preserve">Chamada Comunicação Popular Fortalecendo Lutas — Brasil</t>
  </si>
  <si>
    <t xml:space="preserve">Chamada Comunicação Popular Fortalecendo Lutas</t>
  </si>
  <si>
    <t xml:space="preserve">Pacová</t>
  </si>
  <si>
    <t xml:space="preserve">https://pacova.org/2026/01/13/chamada-comunicacao-popular-fortalecendo-lutas/</t>
  </si>
  <si>
    <t xml:space="preserve">R$ 5 mil por organização</t>
  </si>
  <si>
    <t xml:space="preserve">{'observacao': 'VERIFICADO no site do Pacová (18 itens, API, 03/10/2026): a chamada é de 2026 e o site não mostra edição anterior; livro sem série.'}</t>
  </si>
  <si>
    <t xml:space="preserve">op-ab1233e8dfa1</t>
  </si>
  <si>
    <t xml:space="preserve">Chamada Feminismos Populares em Defesa do Bem Viver e dos Territórios — Brasil</t>
  </si>
  <si>
    <t xml:space="preserve">Chamada Feminismos Populares em Defesa do Bem Viver e dos Territórios</t>
  </si>
  <si>
    <t xml:space="preserve">https://pacova.org/2026/02/20/chamada-feminismos-populares-em-defesa-do-bem-viver-e-dos-territorios/</t>
  </si>
  <si>
    <t xml:space="preserve">R$ 1.500</t>
  </si>
  <si>
    <t xml:space="preserve">op-f509c52cc13a</t>
  </si>
  <si>
    <t xml:space="preserve">Prêmio FGV de Responsabilidade Social – 3ª edição — Brasil</t>
  </si>
  <si>
    <t xml:space="preserve">Prêmio FGV de Responsabilidade Social – 3ª edição</t>
  </si>
  <si>
    <t xml:space="preserve">FGV / Globo / Aegea</t>
  </si>
  <si>
    <t xml:space="preserve">https://premioresponsabilidadesocial.fgv.br/</t>
  </si>
  <si>
    <t xml:space="preserve">R$ 50 mil (1º lugar); R$ 20 mil (5 categorias)</t>
  </si>
  <si>
    <t xml:space="preserve">op-0a31797affb5</t>
  </si>
  <si>
    <t xml:space="preserve">Desafio de Acesso à Justiça – 8ª edição — Brasil</t>
  </si>
  <si>
    <t xml:space="preserve">Desafio de Acesso à Justiça – 8ª edição</t>
  </si>
  <si>
    <t xml:space="preserve">Instituto Mattos Filho</t>
  </si>
  <si>
    <t xml:space="preserve">https://institutomattosfilho.org/desafio-de-acesso-a-justica/</t>
  </si>
  <si>
    <t xml:space="preserve">até R$ 50 mil</t>
  </si>
  <si>
    <t xml:space="preserve">op-7fdb7594de89</t>
  </si>
  <si>
    <t xml:space="preserve">Laboratório de Projetos 2026 — Brasil</t>
  </si>
  <si>
    <t xml:space="preserve">Laboratório de Projetos 2026</t>
  </si>
  <si>
    <t xml:space="preserve">Instituto Cactus</t>
  </si>
  <si>
    <t xml:space="preserve">https://institutocactus.org.br/inscricoes-abertas-para-o-laboratorio-de-projetos-2026/</t>
  </si>
  <si>
    <t xml:space="preserve">R$ 70 mil (1 organização)</t>
  </si>
  <si>
    <t xml:space="preserve">op-067bb76f97c8</t>
  </si>
  <si>
    <t xml:space="preserve">IFood Chega Junto 2026 — Brasil</t>
  </si>
  <si>
    <t xml:space="preserve">iFood Chega Junto 2026</t>
  </si>
  <si>
    <t xml:space="preserve">https://institucional.ifood.com.br/entregadores/ifood-chega-junto/</t>
  </si>
  <si>
    <t xml:space="preserve">até R$ 600 mil por categoria (até R$ 10 milhões no total)</t>
  </si>
  <si>
    <t xml:space="preserve">op-8741c4d40e87</t>
  </si>
  <si>
    <t xml:space="preserve">Ambev VOA 2026 — Brasil</t>
  </si>
  <si>
    <t xml:space="preserve">Ambev VOA 2026</t>
  </si>
  <si>
    <t xml:space="preserve">Ambev</t>
  </si>
  <si>
    <t xml:space="preserve">https://conteudo.agosocial.com.br/ambev-voa</t>
  </si>
  <si>
    <t xml:space="preserve">capacitação</t>
  </si>
  <si>
    <t xml:space="preserve">op-836b9ea2f8a5</t>
  </si>
  <si>
    <t xml:space="preserve">º Edital conjunto Raízes e Labora — Brasil</t>
  </si>
  <si>
    <t xml:space="preserve">2º Edital conjunto Raízes e Labora</t>
  </si>
  <si>
    <t xml:space="preserve">https://www.fundobrasil.org.br/noticia/segundo-edital-conjunto-raizes-e-labora-destinam-r-225-milhoes-para-solucoes-climaticas-construidas-nos-territorios/</t>
  </si>
  <si>
    <t xml:space="preserve">R$ 2,25 milhões (40+ organizações)</t>
  </si>
  <si>
    <t xml:space="preserve">op-15fd111f0a6b</t>
  </si>
  <si>
    <t xml:space="preserve">Formação em Captação e Gestão para Organizações de Periferia — Brasil</t>
  </si>
  <si>
    <t xml:space="preserve">Formação em Captação e Gestão para Organizações de Periferia</t>
  </si>
  <si>
    <t xml:space="preserve">Fiocruz / SOCULTFio / Secretaria Nacional de Periferias</t>
  </si>
  <si>
    <t xml:space="preserve">https://socultfio.org.br/wp-content/uploads/2026/04/Chamamento-Formacao-em-Captacao-e-Gestao-para-Organizacoes-de-Periferia.pdf</t>
  </si>
  <si>
    <t xml:space="preserve">formação gratuita (160 h)</t>
  </si>
  <si>
    <t xml:space="preserve">op-7d0dc42fae06</t>
  </si>
  <si>
    <t xml:space="preserve">Edital inclusão socioprodutiva de mulheres — Brasil</t>
  </si>
  <si>
    <t xml:space="preserve">Edital inclusão socioprodutiva de mulheres</t>
  </si>
  <si>
    <t xml:space="preserve">https://www.institutolojasrenner.org.br/edital/</t>
  </si>
  <si>
    <t xml:space="preserve">até R$ 220 mil (5 organizações)</t>
  </si>
  <si>
    <t xml:space="preserve">{'observacao': 'VERIFICADO em 03/10/2026 (site do Instituto Lojas Renner): edital de inclusão socioprodutiva de mulheres com inscrições de 25/03 a 18/05/2026; a página de editais abertos trata como edital já encerrado e não lista edição anterior. Sem série achada.'}</t>
  </si>
  <si>
    <t xml:space="preserve">op-0a8be0b5e042</t>
  </si>
  <si>
    <t xml:space="preserve">Edital Instituto Porto – educação na Grande São Paulo — São Paulo / São Paulo</t>
  </si>
  <si>
    <t xml:space="preserve">Edital Instituto Porto – educação na Grande São Paulo</t>
  </si>
  <si>
    <t xml:space="preserve">Instituto Porto</t>
  </si>
  <si>
    <t xml:space="preserve">https://investidor.bussolasocial.com.br/portoseguro/editais/Edital%20Social_Porto%202026</t>
  </si>
  <si>
    <t xml:space="preserve">R$ 100 mil por organização (2)</t>
  </si>
  <si>
    <t xml:space="preserve">{'observacao': 'VERIFICADO em 03/10/2026 (imprensa especializada): Instituto Porto, Programa Regenera, edital de educação na Grande São Paulo aberto em outubro/2024 e repetido em linha com o Edital Social Porto 2025 (incentivo fiscal); datas oficiais da edição anterior não lidas.'}</t>
  </si>
  <si>
    <t xml:space="preserve">op-481e8a2ad6d9</t>
  </si>
  <si>
    <t xml:space="preserve">Consultoria gratuita para OSCs — Brasil</t>
  </si>
  <si>
    <t xml:space="preserve">Consultoria gratuita para OSCs</t>
  </si>
  <si>
    <t xml:space="preserve">http://www.fundacaosalvadorarena.org.br/</t>
  </si>
  <si>
    <t xml:space="preserve">op-7f873e99fac9</t>
  </si>
  <si>
    <t xml:space="preserve">Edital Agitando Pensamentos 2026 — Brasil</t>
  </si>
  <si>
    <t xml:space="preserve">Edital Agitando Pensamentos 2026</t>
  </si>
  <si>
    <t xml:space="preserve">Fundo SAAP / FASE</t>
  </si>
  <si>
    <t xml:space="preserve">https://fase.org.br/pt/acervo/documentos/edital-agitando-pensamentos-2026-roteiro/</t>
  </si>
  <si>
    <t xml:space="preserve">R$ 12 mil por projeto (R$ 180 mil no total)</t>
  </si>
  <si>
    <t xml:space="preserve">op-48d835cc5b0f</t>
  </si>
  <si>
    <t xml:space="preserve">Prêmio Zayed de Sustentabilidade – ciclo 2027 — Brasil</t>
  </si>
  <si>
    <t xml:space="preserve">Prêmio Zayed de Sustentabilidade – ciclo 2027</t>
  </si>
  <si>
    <t xml:space="preserve">Prêmio Zayed (Emirados Árabes Unidos)</t>
  </si>
  <si>
    <t xml:space="preserve">https://www.zayedsustainabilityprize.com</t>
  </si>
  <si>
    <t xml:space="preserve">US$ 7,2 milhões em prêmios</t>
  </si>
  <si>
    <t xml:space="preserve">op-d72e2abc70b7</t>
  </si>
  <si>
    <t xml:space="preserve">Edital Social Porto 2026 (projetos incentivados) — Brasil</t>
  </si>
  <si>
    <t xml:space="preserve">Edital Social Porto 2026 (projetos incentivados)</t>
  </si>
  <si>
    <t xml:space="preserve">seis estados (não confirmados)</t>
  </si>
  <si>
    <t xml:space="preserve">https://investidor.bussolasocial.com.br/portoseguro/editais/</t>
  </si>
  <si>
    <t xml:space="preserve">op-5ede34a7c3d7</t>
  </si>
  <si>
    <t xml:space="preserve">Edital Banrisul – premiação de 50 organizações do RS — Rio Grande do Sul</t>
  </si>
  <si>
    <t xml:space="preserve">Edital Banrisul – premiação de 50 organizações do RS</t>
  </si>
  <si>
    <t xml:space="preserve">https://banrisulcultural.com.br/</t>
  </si>
  <si>
    <t xml:space="preserve">R$ 50 mil cada</t>
  </si>
  <si>
    <t xml:space="preserve">{'observacao': 'VERIFICADO em 03/10/2026 (site Banrisul Cultural e imprensa): Merece! – Prêmio Banrisul Cultural de Impacto Social lançado em julho/2026, sem edição anterior achada. Primeira edição conhecida.'}</t>
  </si>
  <si>
    <t xml:space="preserve">op-50879e372d7b</t>
  </si>
  <si>
    <t xml:space="preserve">º Edital de Microprojetos – São Paulo — São Paulo / São Paulo</t>
  </si>
  <si>
    <t xml:space="preserve">6º Edital de Microprojetos – São Paulo</t>
  </si>
  <si>
    <t xml:space="preserve">Agência do Bem / Rede do Bem</t>
  </si>
  <si>
    <t xml:space="preserve">https://rededobem.org.br/editais/6-edital-de-microprojetos-sao-paulo/</t>
  </si>
  <si>
    <t xml:space="preserve">até R$ 3 mil por organização (2)</t>
  </si>
  <si>
    <t xml:space="preserve">op-69f2755a00a4</t>
  </si>
  <si>
    <t xml:space="preserve">Edital de Chamamento Público CONANDA/SNDCA nº 01/2026 — Brasil</t>
  </si>
  <si>
    <t xml:space="preserve">Edital de Chamamento Público CONANDA/SNDCA nº 01/2026</t>
  </si>
  <si>
    <t xml:space="preserve">Ministério dos Direitos Humanos e da Cidadania / CONANDA</t>
  </si>
  <si>
    <t xml:space="preserve">R$ 6 milhões; até R$ 1 milhão por projeto (6 projetos)</t>
  </si>
  <si>
    <t xml:space="preserve">op-c6653a5c19ca</t>
  </si>
  <si>
    <t xml:space="preserve">Edital MAPFRE 2026 (projetos incentivados) — Brasil</t>
  </si>
  <si>
    <t xml:space="preserve">Edital MAPFRE 2026 (projetos incentivados)</t>
  </si>
  <si>
    <t xml:space="preserve">MAPFRE Brasil</t>
  </si>
  <si>
    <t xml:space="preserve">https://mapfre.hubdoincentivo.com.br</t>
  </si>
  <si>
    <t xml:space="preserve">op-9ffb5134feb0</t>
  </si>
  <si>
    <t xml:space="preserve">BNDES Periferias Fortes – Norte e Maranhão — Brasil</t>
  </si>
  <si>
    <t xml:space="preserve">BNDES Periferias Fortes – Norte e Maranhão</t>
  </si>
  <si>
    <t xml:space="preserve">BNDES / Instituto Phi / Instituto Phomenta</t>
  </si>
  <si>
    <t xml:space="preserve">AC; AP; AM; MA; PA; RO; RR; TO</t>
  </si>
  <si>
    <t xml:space="preserve">https://periferiasfortes.phi.org.br/</t>
  </si>
  <si>
    <t xml:space="preserve">até R$ 100 mil (pequeno porte) ou R$ 300 mil (médio porte); R$ 17,5 milhões no total</t>
  </si>
  <si>
    <t xml:space="preserve">op-2e6186c74724</t>
  </si>
  <si>
    <t xml:space="preserve">Bolsa Funarte de Mobilidade Artística Internacional — Brasil</t>
  </si>
  <si>
    <t xml:space="preserve">Bolsa Funarte de Mobilidade Artística Internacional</t>
  </si>
  <si>
    <t xml:space="preserve">https://www.gov.br/funarte/pt-br/editais/2025/programa-funarte-brasil-conexoes-internacionais/bolsa-funarte-de-mobilidade-artistica-internacional</t>
  </si>
  <si>
    <t xml:space="preserve">R$ 2 milhões + suplementação de mais de R$ 1 milhão; 91 propostas selecionadas</t>
  </si>
  <si>
    <t xml:space="preserve">op-01b4114c841f</t>
  </si>
  <si>
    <t xml:space="preserve">Programa Ibercena - Confluências das Artes Cênicas Afro Ibero-americanas e da Diáspora — Brasil</t>
  </si>
  <si>
    <t xml:space="preserve">Programa Ibercena - Confluências das Artes Cênicas Afro Ibero-americanas e da Diáspora</t>
  </si>
  <si>
    <t xml:space="preserve">https://www.gov.br/funarte/pt-br/editais/2025/programa-ibercena-confluencias-das-artes-cenicas-afro-ibero-americanas-e-da-diaspora</t>
  </si>
  <si>
    <t xml:space="preserve">op-5d9a47874ee5</t>
  </si>
  <si>
    <t xml:space="preserve">Programa Ibercena 2024 — Brasil</t>
  </si>
  <si>
    <t xml:space="preserve">Programa Ibercena 2024</t>
  </si>
  <si>
    <t xml:space="preserve">https://www.gov.br/funarte/pt-br/editais/2024/programa-ibercena-2024</t>
  </si>
  <si>
    <t xml:space="preserve">2024-07-30</t>
  </si>
  <si>
    <t xml:space="preserve">op-481faf70032d</t>
  </si>
  <si>
    <t xml:space="preserve">Programa Retomada Cultural RS - Bolsa Funarte de Apoio a Ações Artísticas Continuadas 2024 — Rio Grande do Sul</t>
  </si>
  <si>
    <t xml:space="preserve">Programa Retomada Cultural RS - Bolsa Funarte de Apoio a Ações Artísticas Continuadas 2024</t>
  </si>
  <si>
    <t xml:space="preserve">https://www.gov.br/funarte/pt-br/editais/2024/programa-retomada-cultural-rs-bolsa-funarte-de-apoio-a-acoes-artisticas-continuadas-2024-1</t>
  </si>
  <si>
    <t xml:space="preserve">2024-07-22 a 2024-08-05</t>
  </si>
  <si>
    <t xml:space="preserve">R$ 4,5 milhões; 150 bolsas de R$ 30 mil</t>
  </si>
  <si>
    <t xml:space="preserve">op-1cb1957ab4c8</t>
  </si>
  <si>
    <t xml:space="preserve">Bolsa Funarte Brasil Conexões Internacionais 2024 — Brasil</t>
  </si>
  <si>
    <t xml:space="preserve">Bolsa Funarte Brasil Conexões Internacionais 2024</t>
  </si>
  <si>
    <t xml:space="preserve">https://www.gov.br/funarte/pt-br/editais/2024/bolsa-funarte-brasil-conexoes-internacionais-2024</t>
  </si>
  <si>
    <t xml:space="preserve">2024-07-02 a 2024-08-19</t>
  </si>
  <si>
    <t xml:space="preserve">R$ 600 mil; 40 bolsas de R$ 15 mil</t>
  </si>
  <si>
    <t xml:space="preserve">op-cd8ec9cdcfcc</t>
  </si>
  <si>
    <t xml:space="preserve">Bolsa Funarte Residência Artística na Enclo 2024 — Rio de Janeiro</t>
  </si>
  <si>
    <t xml:space="preserve">Bolsa Funarte Residência Artística na Enclo 2024</t>
  </si>
  <si>
    <t xml:space="preserve">https://www.gov.br/funarte/pt-br/editais/2024/bolsa-funarte-residencia-artistica-na-enclo</t>
  </si>
  <si>
    <t xml:space="preserve">2024-08-05 a 2024-08-30</t>
  </si>
  <si>
    <t xml:space="preserve">R$ 275.400,00; 30 bolsas</t>
  </si>
  <si>
    <t xml:space="preserve">op-67f5df708c45</t>
  </si>
  <si>
    <t xml:space="preserve">Processo Seletivo para Ingresso no Curso Técnico em Artes Circenses da ENCLO - Turma 2025-2026 / Bolsa Cultura… — Rio de Janeiro</t>
  </si>
  <si>
    <t xml:space="preserve">Processo Seletivo para Ingresso no Curso Técnico em Artes Circenses da ENCLO - Turma 2025-2026 / Bolsa Cultural</t>
  </si>
  <si>
    <t xml:space="preserve">https://www.gov.br/funarte/pt-br/editais/2024/processo-seletivo-para-ingresso-no-curso-tecnico-em-artes-circenses-da-escola-nacional-de-circo-luiz-olimecha-enclo-turma-2025-2026-bolsa-cultural</t>
  </si>
  <si>
    <t xml:space="preserve">2024-12-02</t>
  </si>
  <si>
    <t xml:space="preserve">2024-11-04 a 2024-12-02</t>
  </si>
  <si>
    <t xml:space="preserve">R$ 3,7 milhões; 54 bolsas culturais</t>
  </si>
  <si>
    <t xml:space="preserve">op-3aa3c41ab683</t>
  </si>
  <si>
    <t xml:space="preserve">Programa Funarte de Apoio a Ações Continuadas 2025 - Teatro — Brasil</t>
  </si>
  <si>
    <t xml:space="preserve">Programa Funarte de Apoio a Ações Continuadas 2025 - Teatro</t>
  </si>
  <si>
    <t xml:space="preserve">https://www.gov.br/funarte/pt-br/editais/2025/programa-funarte-de-apoio-a-acoes-continuadas-2025/programa-funarte-de-apoio-a-acoes-continuadas-2025-teatro</t>
  </si>
  <si>
    <t xml:space="preserve">2025-08-08</t>
  </si>
  <si>
    <t xml:space="preserve">2025-06-30 a 2025-08-08</t>
  </si>
  <si>
    <t xml:space="preserve">R$ 4,5 milhões; módulos de R$ 100 mil, R$ 300 mil e R$ 500 mil; mínimo de R$ 700 mil por região</t>
  </si>
  <si>
    <t xml:space="preserve">op-2e6c841a2edb</t>
  </si>
  <si>
    <t xml:space="preserve">Fundo Regenerativo PcD lança chamada aberta para projetos de inclusão em Belo Horizonte e Região Metropolitana — Minas Gerais / Belo Horizonte</t>
  </si>
  <si>
    <t xml:space="preserve">Fundo Regenerativo PcD lança chamada aberta para projetos de inclusão em Belo Horizonte e Região Metropolitana</t>
  </si>
  <si>
    <t xml:space="preserve">Associação Nossa Cidade</t>
  </si>
  <si>
    <t xml:space="preserve">https://nossacidade.net/pt/chapters/fundo-pcd</t>
  </si>
  <si>
    <t xml:space="preserve">2025-11-17</t>
  </si>
  <si>
    <t xml:space="preserve">até R$ 3.000</t>
  </si>
  <si>
    <t xml:space="preserve">op-d349ef0bdc8b</t>
  </si>
  <si>
    <t xml:space="preserve">Crias pelo Clima – chamada pública seleciona jovens para produção audiovisual sobre justiça climática — São Paulo</t>
  </si>
  <si>
    <t xml:space="preserve">Crias pelo Clima – chamada pública seleciona jovens para produção audiovisual sobre justiça climática</t>
  </si>
  <si>
    <t xml:space="preserve">Instituto Procomum, Instituto KondZilla e Instituto Querô</t>
  </si>
  <si>
    <t xml:space="preserve">https://criaspeloclima.procomum.org/</t>
  </si>
  <si>
    <t xml:space="preserve">2026-04-10 a 2026-04-30</t>
  </si>
  <si>
    <t xml:space="preserve">bolsa R$ 700 por participante; prêmio R$ 4.000 por grupo (6 grupos)</t>
  </si>
  <si>
    <t xml:space="preserve">op-980bb3fd6d1f</t>
  </si>
  <si>
    <t xml:space="preserve">Prêmio iCS-ANPEC de Economia &amp; Clima – Edição 2026 — Brasil</t>
  </si>
  <si>
    <t xml:space="preserve">Prêmio iCS-ANPEC de Economia &amp; Clima – Edição 2026</t>
  </si>
  <si>
    <t xml:space="preserve">Instituto Clima e Sociedade (iCS) e ANPEC</t>
  </si>
  <si>
    <t xml:space="preserve">https://hubdeeconomiaeclima.org.br/premio-ics-anpec-de-economia-e-clima/</t>
  </si>
  <si>
    <t xml:space="preserve">2026-07-13 a 2026-10-02</t>
  </si>
  <si>
    <t xml:space="preserve">R$ 20.000 (1º), R$ 10.000 (2º), R$ 5.000 (3º)</t>
  </si>
  <si>
    <t xml:space="preserve">op-05a7297e7b86</t>
  </si>
  <si>
    <t xml:space="preserve">Ibermúsicas - Apoio à Circulação de Profissionais da Música — Brasil</t>
  </si>
  <si>
    <t xml:space="preserve">Ibermúsicas - Apoio à Circulação de Profissionais da Música</t>
  </si>
  <si>
    <t xml:space="preserve">Programa Ibermúsicas (cooperação ibero-americana; no Brasil, ponto focal Funarte)</t>
  </si>
  <si>
    <t xml:space="preserve">https://www.ibermusicas.org/index.php/convocatorias-pt/</t>
  </si>
  <si>
    <t xml:space="preserve">op-f31a36c44cc9</t>
  </si>
  <si>
    <t xml:space="preserve">IX Concurso Internacional de Poetrix - AIP 2024 — Brasil</t>
  </si>
  <si>
    <t xml:space="preserve">IX Concurso Internacional de Poetrix - AIP 2024</t>
  </si>
  <si>
    <t xml:space="preserve">Academia Internacional Poetrix (AIP)</t>
  </si>
  <si>
    <t xml:space="preserve">https://www.academiapoetrix.org/2024/06/ix-concurso-internacional-de-poetrix.html</t>
  </si>
  <si>
    <t xml:space="preserve">2024-07-31</t>
  </si>
  <si>
    <t xml:space="preserve">certificados e obras literárias aos 5 finalistas; sem valor em dinheiro</t>
  </si>
  <si>
    <t xml:space="preserve">op-d2e4bee2701b</t>
  </si>
  <si>
    <t xml:space="preserve">FND Online - 3ª edição — Brasil</t>
  </si>
  <si>
    <t xml:space="preserve">FND Online - 3ª edição</t>
  </si>
  <si>
    <t xml:space="preserve">Festival Norte Dança (Porto, Portugal)</t>
  </si>
  <si>
    <t xml:space="preserve">https://festivalnortedanca.org/</t>
  </si>
  <si>
    <t xml:space="preserve">2025-05-31</t>
  </si>
  <si>
    <t xml:space="preserve">26º FND - International Dance Competition</t>
  </si>
  <si>
    <t xml:space="preserve">2025-11-22</t>
  </si>
  <si>
    <t xml:space="preserve">op-f6ea07cf6d3f</t>
  </si>
  <si>
    <t xml:space="preserve">Concurso de Fotografias Olhos de Ver 2026 - Vitrais do Rio de Janeiro — Rio de Janeiro / Rio de Janeiro</t>
  </si>
  <si>
    <t xml:space="preserve">Concurso de Fotografias Olhos de Ver 2026 - Vitrais do Rio de Janeiro</t>
  </si>
  <si>
    <t xml:space="preserve">Instituto Rio Patrimônio da Humanidade (IRPH) - Prefeitura do Rio de Janeiro</t>
  </si>
  <si>
    <t xml:space="preserve">https://irph.prefeitura.rio/concurso-de-fotografias-olhos-de-ver-2026/</t>
  </si>
  <si>
    <t xml:space="preserve">2026-06-19</t>
  </si>
  <si>
    <t xml:space="preserve">2026-04-27 a 2026-06-19</t>
  </si>
  <si>
    <t xml:space="preserve">sem prêmio em dinheiro (50 fotos divulgadas pelo IRPH); inscrição gratuita</t>
  </si>
  <si>
    <t xml:space="preserve">op-c638d756c6bc</t>
  </si>
  <si>
    <t xml:space="preserve">Edital Comunidades Tradicionais Lutando por Justiça Climática — Brasil</t>
  </si>
  <si>
    <t xml:space="preserve">Edital Comunidades Tradicionais Lutando por Justiça Climática</t>
  </si>
  <si>
    <t xml:space="preserve">https://www.fundobrasil.org.br/edital/edital-comunidades-tradicionais-lutando-por-justica-climatica/</t>
  </si>
  <si>
    <t xml:space="preserve">2023-11-27 a 2024-01-31</t>
  </si>
  <si>
    <t xml:space="preserve">até R$ 50.000,00 por proposta; total R$ 1.000.000,00</t>
  </si>
  <si>
    <t xml:space="preserve">op-6bb9c6f483f2</t>
  </si>
  <si>
    <t xml:space="preserve">Povos Indígenas Lutando por Justiça Climática — Brasil</t>
  </si>
  <si>
    <t xml:space="preserve">Povos Indígenas Lutando por Justiça Climática</t>
  </si>
  <si>
    <t xml:space="preserve">https://www.fundobrasil.org.br/edital/edital-povos-indigenas-lutando-por-justica-climatica/</t>
  </si>
  <si>
    <t xml:space="preserve">2024-05-07</t>
  </si>
  <si>
    <t xml:space="preserve">2024-03-13 a 2024-05-07</t>
  </si>
  <si>
    <t xml:space="preserve">Eixos 1 e 2 até R$ 50.000,00; Eixo 3 até R$ 100.000,00; total R$ 1.500.000,00</t>
  </si>
  <si>
    <t xml:space="preserve">op-f053150cafb5</t>
  </si>
  <si>
    <t xml:space="preserve">Incidência Popular em Segurança Pública — Brasil</t>
  </si>
  <si>
    <t xml:space="preserve">Incidência Popular em Segurança Pública</t>
  </si>
  <si>
    <t xml:space="preserve">https://www.fundobrasil.org.br/edital/incidencia-popular-e-seguranca-publica/</t>
  </si>
  <si>
    <t xml:space="preserve">2024-06-17</t>
  </si>
  <si>
    <t xml:space="preserve">2024-04-03 a 2024-06-17</t>
  </si>
  <si>
    <t xml:space="preserve">até R$ 80.000,00 por proposta (mínimo 10 apoios)</t>
  </si>
  <si>
    <t xml:space="preserve">op-3e36a30aaa79</t>
  </si>
  <si>
    <t xml:space="preserve">Porta de Saída 2024: Direitos e Cidadania das Pessoas Egressas do Sistema Prisional — Brasil</t>
  </si>
  <si>
    <t xml:space="preserve">Porta de Saída 2024: Direitos e Cidadania das Pessoas Egressas do Sistema Prisional</t>
  </si>
  <si>
    <t xml:space="preserve">https://www.fundobrasil.org.br/edital/porta-de-saida-2024-direitos-e-cidadania-das-pessoas-egressas-do-sistema-prisional/</t>
  </si>
  <si>
    <t xml:space="preserve">2024-06-24</t>
  </si>
  <si>
    <t xml:space="preserve">2024-05-02 a 2024-06-24</t>
  </si>
  <si>
    <t xml:space="preserve">Eixo 1 até R$ 50.000,00 (10); Eixo 2 até R$ 100.000,00 (8)</t>
  </si>
  <si>
    <t xml:space="preserve">op-ea07eb292d01</t>
  </si>
  <si>
    <t xml:space="preserve">Transição Justa e Trabalho Digno: Bem Viver para Trabalhadores dos Campos, das Águas e das Florestas — Brasil</t>
  </si>
  <si>
    <t xml:space="preserve">Transição Justa e Trabalho Digno: Bem Viver para Trabalhadores dos Campos, das Águas e das Florestas</t>
  </si>
  <si>
    <t xml:space="preserve">https://www.fundobrasil.org.br/edital/transicao-justa-e-trabalho-digno-bem-viver-para-trabalhadores-dos-campos-das-aguas-e-das-florestas/</t>
  </si>
  <si>
    <t xml:space="preserve">2024-07-04 a 2024-08-30</t>
  </si>
  <si>
    <t xml:space="preserve">Eixo 1 até R$ 50.000,00; Eixo 2 até R$ 100.000,00; total até R$ 1.050.000,00</t>
  </si>
  <si>
    <t xml:space="preserve">op-dbf4d8cbaf7d</t>
  </si>
  <si>
    <t xml:space="preserve">Raízes: Comunidades Tradicionais, Quilombolas e Povos Indígenas Lutando por Justiça Climática — Brasil</t>
  </si>
  <si>
    <t xml:space="preserve">Raízes: Comunidades Tradicionais, Quilombolas e Povos Indígenas Lutando por Justiça Climática</t>
  </si>
  <si>
    <t xml:space="preserve">https://www.fundobrasil.org.br/edital/raizes-comunidades-tradicionais-quilombolas-e-povos-indigenas-lutando-por-justica-climatica/</t>
  </si>
  <si>
    <t xml:space="preserve">2025-02-11</t>
  </si>
  <si>
    <t xml:space="preserve">2024-12-13 a 2025-02-11</t>
  </si>
  <si>
    <t xml:space="preserve">até R$ 50.000,00 por proposta; total R$ 1.250.000,00</t>
  </si>
  <si>
    <t xml:space="preserve">op-76e3c21e8461</t>
  </si>
  <si>
    <t xml:space="preserve">Fortalecendo Soluções de Povos Indígenas, Comunidades Tradicionais e Trabalhadores(as) rumo à Justiça Climátic… — Brasil</t>
  </si>
  <si>
    <t xml:space="preserve">Fortalecendo Soluções de Povos Indígenas, Comunidades Tradicionais e Trabalhadores(as) rumo à Justiça Climática e à Transição Justa</t>
  </si>
  <si>
    <t xml:space="preserve">https://www.fundobrasil.org.br/edital/fortalecendo-solucoes-de-povos-indigenas-comunidades-tradicionais-e-trabalhadores-as-rumo-a-justica-climatica-e-a-transicao-justa/</t>
  </si>
  <si>
    <t xml:space="preserve">2025-03-19 a 2025-04-25</t>
  </si>
  <si>
    <t xml:space="preserve">Raízes R$ 50.000,00; Labora Eixo 1 até R$ 50.000,00; Labora Eixo 2 até R$ 100.000,00 (mínimo 40 apoios)</t>
  </si>
  <si>
    <t xml:space="preserve">op-7b9431e7cb2c</t>
  </si>
  <si>
    <t xml:space="preserve">Segurança Integral de Defensoras/es de Direitos Humanos: Apoiando a Linha de Frente em Defesa da Democracia — Brasil</t>
  </si>
  <si>
    <t xml:space="preserve">Segurança Integral de Defensoras/es de Direitos Humanos: Apoiando a Linha de Frente em Defesa da Democracia</t>
  </si>
  <si>
    <t xml:space="preserve">https://www.fundobrasil.org.br/edital/seguranca-integral-de-defensoras-es-de-direitos-humanos-apoiando-a-linha-de-frente-em-defesa-da-democracia/</t>
  </si>
  <si>
    <t xml:space="preserve">2025-09-01</t>
  </si>
  <si>
    <t xml:space="preserve">2025-08-06 a 2025-09-01</t>
  </si>
  <si>
    <t xml:space="preserve">até R$ 60.000,00 por proposta; total R$ 1.260.000,00 (21 apoios)</t>
  </si>
  <si>
    <t xml:space="preserve">op-18abd4c4f657</t>
  </si>
  <si>
    <t xml:space="preserve">LGBTQIAPN+: Defendendo Direitos 2026 — Brasil</t>
  </si>
  <si>
    <t xml:space="preserve">LGBTQIAPN+: Defendendo Direitos 2026</t>
  </si>
  <si>
    <t xml:space="preserve">https://www.fundobrasil.org.br/edital/lgbtqia-defendendo-direitos-2026/</t>
  </si>
  <si>
    <t xml:space="preserve">2026-02-06</t>
  </si>
  <si>
    <t xml:space="preserve">2025-12-06 a 2026-02-06</t>
  </si>
  <si>
    <t xml:space="preserve">até R$ 50.000,00 por proposta; total R$ 1.000.000,00 (até 20 apoios)</t>
  </si>
  <si>
    <t xml:space="preserve">{'observacao': 'VERIFICADO em Fundo Brasil de Direitos Humanos (arquivo de editais do site, API WordPress, 03/10/2026): a(s) edição(ões) anterior(es) achada(s) é/são anterior(es) à janela de 3 anos (03/10/2023) — 2023-03-21: LGBTQIA+ Defendendo Direitos 2023. Sem edição datada dentro da janela.'}</t>
  </si>
  <si>
    <t xml:space="preserve">op-fe2ba162db4d</t>
  </si>
  <si>
    <t xml:space="preserve">Edital Direitos Humanos e Justiça Criminal 2026 — Enfrentamento ao Estado de Coisas Inconstitucional — Brasil</t>
  </si>
  <si>
    <t xml:space="preserve">Edital Direitos Humanos e Justiça Criminal 2026 — Enfrentamento ao Estado de Coisas Inconstitucional</t>
  </si>
  <si>
    <t xml:space="preserve">https://www.fundobrasil.org.br/edital/direitos-humanos-e-justica-criminal-2026-enfrentamento-ao-estado-de-coisas-inconstitucional/</t>
  </si>
  <si>
    <t xml:space="preserve">2026-05-11 a 2026-06-26</t>
  </si>
  <si>
    <t xml:space="preserve">Eixo 1 até R$ 150.000,00; Eixo 2 até R$ 75.000,00</t>
  </si>
  <si>
    <t xml:space="preserve">{'observacao': 'VERIFICADO em Fundo Brasil de Direitos Humanos (arquivo de editais do site, API WordPress, 03/10/2026): a(s) edição(ões) anterior(es) achada(s) é/são anterior(es) à janela de 3 anos (03/10/2023) — 2023-07-31: Direitos Humanos e Justiça Criminal — Combate à Tortura e Encarceramento em Massa (2023). Sem edição datada dentro da janela.'}</t>
  </si>
  <si>
    <t xml:space="preserve">op-63c98a1262a5</t>
  </si>
  <si>
    <t xml:space="preserve">º Edital da Água – segurança alimentar para grupos minorizados — Brasil</t>
  </si>
  <si>
    <t xml:space="preserve">6º Edital da Água – segurança alimentar para grupos minorizados</t>
  </si>
  <si>
    <t xml:space="preserve">Instituto Mosaic / Mosaic Fertilizantes</t>
  </si>
  <si>
    <t xml:space="preserve">BA; GO; MA; MT; MS; MG; PR; SC; SP; SE; RS; TO</t>
  </si>
  <si>
    <t xml:space="preserve">https://mosaicco.com.br/</t>
  </si>
  <si>
    <t xml:space="preserve">2024-05-17</t>
  </si>
  <si>
    <t xml:space="preserve">Edital da Água 2026 (8ª edição)</t>
  </si>
  <si>
    <t xml:space="preserve">até R$ 45.000 por projeto; até 10 organizações</t>
  </si>
  <si>
    <t xml:space="preserve">Mosaic Fertilizantes</t>
  </si>
  <si>
    <t xml:space="preserve">BA; GO; MA; MT; MG; PR; SC; SP; RS; TO</t>
  </si>
  <si>
    <t xml:space="preserve">op-ae7fc0847fed</t>
  </si>
  <si>
    <t xml:space="preserve">Zurich Seguros – edital de apoio a projetos sociais com incentivo fiscal 2025 — Brasil</t>
  </si>
  <si>
    <t xml:space="preserve">Zurich Seguros – edital de apoio a projetos sociais com incentivo fiscal 2025</t>
  </si>
  <si>
    <t xml:space="preserve">Zurich Seguros (apoio técnico IDIS)</t>
  </si>
  <si>
    <t xml:space="preserve">https://www.zurich.com.br</t>
  </si>
  <si>
    <t xml:space="preserve">2025-08-03</t>
  </si>
  <si>
    <t xml:space="preserve">op-64037e46bd09</t>
  </si>
  <si>
    <t xml:space="preserve">Amazônia Resiliente II – Fortalecimento de Organizações Locais e de Populações Tradicionais – Povos da Florest… — Brasil</t>
  </si>
  <si>
    <t xml:space="preserve">Amazônia Resiliente II – Fortalecimento de Organizações Locais e de Populações Tradicionais – Povos da Floresta</t>
  </si>
  <si>
    <t xml:space="preserve">Fundo Casa Socioambiental (apoio: Fondo Emerger, Fondo Socioambiental del Perú, Climate and Land Use Alliance, iCS)</t>
  </si>
  <si>
    <t xml:space="preserve">https://casa.org.br/chamadas/amazonia-resiliente-ii-fortalecimento-de-organizacoes-locais-e-de-populacoes-tradicionais-povos-da-floresta/</t>
  </si>
  <si>
    <t xml:space="preserve">2023-12-20 a 2024-01-31</t>
  </si>
  <si>
    <t xml:space="preserve">R$ 1.700.000,00 total; até R$ 50.000,00 por projeto (até 34)</t>
  </si>
  <si>
    <t xml:space="preserve">op-24c7db2f8dcd</t>
  </si>
  <si>
    <t xml:space="preserve">Resiliência Climática e Equidade de Gênero: Fortalecendo Comunidades para Promoção da Inclusão e Diversidade — Brasil</t>
  </si>
  <si>
    <t xml:space="preserve">Resiliência Climática e Equidade de Gênero: Fortalecendo Comunidades para Promoção da Inclusão e Diversidade</t>
  </si>
  <si>
    <t xml:space="preserve">Fundo Casa Socioambiental (apoio: Aliança GAGGA, Global Greengrants Fund)</t>
  </si>
  <si>
    <t xml:space="preserve">https://casa.org.br/chamadas/resiliencia-climatica-e-equidade-de-genero-fortalecendo-comunidades-para-promocao-da-inclusao-e-diversidade/</t>
  </si>
  <si>
    <t xml:space="preserve">2024-01-19 a 2024-02-19</t>
  </si>
  <si>
    <t xml:space="preserve">R$ 1.300.000,00 total; até R$ 50.000,00 por projeto (até 26)</t>
  </si>
  <si>
    <t xml:space="preserve">op-328bc43f1c31</t>
  </si>
  <si>
    <t xml:space="preserve">Comunicação Comunitária e Direitos Humanos – Fortalecimento de organizações, coletivos e redes de comunicação … — Internacional</t>
  </si>
  <si>
    <t xml:space="preserve">Comunicação Comunitária e Direitos Humanos – Fortalecimento de organizações, coletivos e redes de comunicação comunitária e popular</t>
  </si>
  <si>
    <t xml:space="preserve">Fundo Casa Socioambiental (apoio: Oak Foundation, MacKenzie Scott)</t>
  </si>
  <si>
    <t xml:space="preserve">AC,AM,AP,BA,MA,MT,PA,PI,RO,RR,TO</t>
  </si>
  <si>
    <t xml:space="preserve">https://casa.org.br/chamadas/comunicacao-comunitaria-e-direitos-humanos-fortalecimento-de-organizacoes-coletivos-e-redes-de-comunicacao-comunitaria-e-popular/</t>
  </si>
  <si>
    <t xml:space="preserve">2024-04-01</t>
  </si>
  <si>
    <t xml:space="preserve">2024-02-29 a 2024-04-01</t>
  </si>
  <si>
    <t xml:space="preserve">R$ 1.000.000,00 total; até R$ 50.000,00 por projeto (20)</t>
  </si>
  <si>
    <t xml:space="preserve">op-0986f42e462b</t>
  </si>
  <si>
    <t xml:space="preserve">Defensores ambientais: Vozes pela ação climática — Brasil</t>
  </si>
  <si>
    <t xml:space="preserve">Defensores ambientais: Vozes pela ação climática</t>
  </si>
  <si>
    <t xml:space="preserve">Fundo Casa Socioambiental (apoio: WWF-Brasil, Fundación Avina, Hivos, IEB)</t>
  </si>
  <si>
    <t xml:space="preserve">https://casa.org.br/chamadas/defensores-ambientais-vozes-pela-acao-climatica/</t>
  </si>
  <si>
    <t xml:space="preserve">2024-05-10</t>
  </si>
  <si>
    <t xml:space="preserve">2024-04-11 a 2024-05-10</t>
  </si>
  <si>
    <t xml:space="preserve">R$ 900.000,00 total; até R$ 50.000,00 por projeto (até 18)</t>
  </si>
  <si>
    <t xml:space="preserve">op-d8a423620811</t>
  </si>
  <si>
    <t xml:space="preserve">Fortalecendo juventudes no enfrentamento ao racismo ambiental — Brasil</t>
  </si>
  <si>
    <t xml:space="preserve">Fortalecendo juventudes no enfrentamento ao racismo ambiental</t>
  </si>
  <si>
    <t xml:space="preserve">Fundo Casa Socioambiental (apoio: MacKenzie Scott, Grupo São Joaquim)</t>
  </si>
  <si>
    <t xml:space="preserve">https://casa.org.br/chamadas/fortalecendo-juventudes-no-enfrentamento-ao-racismo-ambiental/</t>
  </si>
  <si>
    <t xml:space="preserve">2024-05-20</t>
  </si>
  <si>
    <t xml:space="preserve">2024-04-18 a 2024-05-20</t>
  </si>
  <si>
    <t xml:space="preserve">R$ 1.750.000,00 total; até R$ 50.000,00 por projeto (35)</t>
  </si>
  <si>
    <t xml:space="preserve">op-a962f43c12bd</t>
  </si>
  <si>
    <t xml:space="preserve">Transição energética justa e fortalecimento da pesca artesanal — Brasil</t>
  </si>
  <si>
    <t xml:space="preserve">Transição energética justa e fortalecimento da pesca artesanal</t>
  </si>
  <si>
    <t xml:space="preserve">AC,AL,AM,AP,BA,CE,MA,PA,PB,PE,PI,RN,RO,RR,SE,TO</t>
  </si>
  <si>
    <t xml:space="preserve">https://casa.org.br/chamadas/transicao-energetica-justa-e-fortalecimento-da-pesca-artesanal/</t>
  </si>
  <si>
    <t xml:space="preserve">2024-05-22</t>
  </si>
  <si>
    <t xml:space="preserve">2024-04-05 a 2024-05-22</t>
  </si>
  <si>
    <t xml:space="preserve">R$ 1.000.000,00 total; até R$ 50.000,00 por projeto (até 20)</t>
  </si>
  <si>
    <t xml:space="preserve">op-f4bfc3060983</t>
  </si>
  <si>
    <t xml:space="preserve">Transição energética justa: fortalecendo e aplicando salvaguardas sociais e ambientais — Brasil</t>
  </si>
  <si>
    <t xml:space="preserve">Transição energética justa: fortalecendo e aplicando salvaguardas sociais e ambientais</t>
  </si>
  <si>
    <t xml:space="preserve">Fundo Casa Socioambiental (apoio: Instituto Clima e Sociedade (iCS))</t>
  </si>
  <si>
    <t xml:space="preserve">AL,BA,CE,MA,PB,PE,PI,RN,SE</t>
  </si>
  <si>
    <t xml:space="preserve">https://casa.org.br/chamadas/transicao-energetica-justa-fortalecendo-e-aplicando-salvaguardas-sociais-e-ambientais/</t>
  </si>
  <si>
    <t xml:space="preserve">2024-09-16</t>
  </si>
  <si>
    <t xml:space="preserve">2024-08-02 a 2024-09-16</t>
  </si>
  <si>
    <t xml:space="preserve">R$ 1.050.000,00 total; até R$ 50.000,00 por projeto (até 21)</t>
  </si>
  <si>
    <t xml:space="preserve">op-c2f74cd53913</t>
  </si>
  <si>
    <t xml:space="preserve">Educação para o bem-viver: apoio às comunidades quilombolas por uma educação antirracista — Brasil</t>
  </si>
  <si>
    <t xml:space="preserve">Educação para o bem-viver: apoio às comunidades quilombolas por uma educação antirracista</t>
  </si>
  <si>
    <t xml:space="preserve">Fundo Casa Socioambiental (apoio: Imaginable Futures)</t>
  </si>
  <si>
    <t xml:space="preserve">https://casa.org.br/chamadas/educacao-para-o-bem-viver-apoio-as-comunidades-quilombolas-por-uma-educacao-antirracista/</t>
  </si>
  <si>
    <t xml:space="preserve">2025-03-25</t>
  </si>
  <si>
    <t xml:space="preserve">2025-02-20 a 2025-03-25</t>
  </si>
  <si>
    <t xml:space="preserve">op-99938dad1ffc</t>
  </si>
  <si>
    <t xml:space="preserve">Educação para o bem-viver – Apoio às comunidades indígenas pela equidade na educação — Brasil</t>
  </si>
  <si>
    <t xml:space="preserve">Educação para o bem-viver – Apoio às comunidades indígenas pela equidade na educação</t>
  </si>
  <si>
    <t xml:space="preserve">https://casa.org.br/chamadas/educacao-para-o-bem-viver-apoio-as-comunidades-indigenas-pela-equidade-na-educacao-2/</t>
  </si>
  <si>
    <t xml:space="preserve">2025-03-27</t>
  </si>
  <si>
    <t xml:space="preserve">2025-01-27 a 2025-03-27</t>
  </si>
  <si>
    <t xml:space="preserve">op-2fd0615cf0bd</t>
  </si>
  <si>
    <t xml:space="preserve">Amazônia Resiliente – Fortalecendo Soluções Comunitárias Frente às Mudanças Climáticas — Brasil</t>
  </si>
  <si>
    <t xml:space="preserve">Amazônia Resiliente – Fortalecendo Soluções Comunitárias Frente às Mudanças Climáticas</t>
  </si>
  <si>
    <t xml:space="preserve">Fundo Casa Socioambiental (apoio: Comic Relief)</t>
  </si>
  <si>
    <t xml:space="preserve">https://casa.org.br/chamadas/amazonia-resiliente-fortalecendo-solucoes-comunitarias-frente-as-mudancas-climaticas/</t>
  </si>
  <si>
    <t xml:space="preserve">2025-07-10</t>
  </si>
  <si>
    <t xml:space="preserve">2025-06-05 a 2025-07-10</t>
  </si>
  <si>
    <t xml:space="preserve">op-935c6a5d1f25</t>
  </si>
  <si>
    <t xml:space="preserve">Fortalecimento dos direitos territoriais frente a megaprojetos de energia — Internacional</t>
  </si>
  <si>
    <t xml:space="preserve">Fortalecimento dos direitos territoriais frente a megaprojetos de energia</t>
  </si>
  <si>
    <t xml:space="preserve">Fundo Casa Socioambiental (apoio: Charles Stewart Mott Foundation)</t>
  </si>
  <si>
    <t xml:space="preserve">https://casa.org.br/chamadas/fortalecimento-dos-direitos-territoriais-frente-a-megaprojetos-de-energia-2/</t>
  </si>
  <si>
    <t xml:space="preserve">2025-08-12</t>
  </si>
  <si>
    <t xml:space="preserve">2025-07-10 a 2025-08-12</t>
  </si>
  <si>
    <t xml:space="preserve">R$ 450.000,00 total; até R$ 50.000,00 por projeto (até 9)</t>
  </si>
  <si>
    <t xml:space="preserve">op-5b1d01b5da18</t>
  </si>
  <si>
    <t xml:space="preserve">Crédito Comunitário Sustentável (CCS) – Ampliando o acesso ao crédito rural para agricultores e agricultoras f… — Brasil</t>
  </si>
  <si>
    <t xml:space="preserve">Crédito Comunitário Sustentável (CCS) – Ampliando o acesso ao crédito rural para agricultores e agricultoras familiares por meio de organizações comunitárias</t>
  </si>
  <si>
    <t xml:space="preserve">Fundo Casa Socioambiental (apoio: Fundação Arymax, Porticus, MacKenzie Scott (Yield Giving))</t>
  </si>
  <si>
    <t xml:space="preserve">https://casa.org.br/chamadas/credito-comunitario-sustentavel-ccs-ampliando-o-acesso-ao-credito-rural-para-agricultores-e-agricultoras-familiares-por-meio-de-organizacoes-comunitarias/</t>
  </si>
  <si>
    <t xml:space="preserve">2026-03-02 a 2026-04-09</t>
  </si>
  <si>
    <t xml:space="preserve">R$ 3.000.000,00 total; até R$ 100.000,00 por projeto (até 30)</t>
  </si>
  <si>
    <t xml:space="preserve">{'observacao': 'VERIFICADO no arquivo de chamadas do Fundo Casa Socioambiental (API do site, 41 chamadas de 2023–2026, 03/10/2026): sem edição anterior; chamada inédita.'}</t>
  </si>
  <si>
    <t xml:space="preserve">op-6a0c59d8f822</t>
  </si>
  <si>
    <t xml:space="preserve">Territórios Vivos da Amazônia: apoio a soluções comunitárias — Brasil</t>
  </si>
  <si>
    <t xml:space="preserve">Territórios Vivos da Amazônia: apoio a soluções comunitárias</t>
  </si>
  <si>
    <t xml:space="preserve">Fundo Casa Socioambiental (apoio: Forests, People, Climate (FPC), Comic Relief)</t>
  </si>
  <si>
    <t xml:space="preserve">https://casa.org.br/chamadas/territorios-vivos-da-amazonia-apoio-a-solucoes-comunitarias/</t>
  </si>
  <si>
    <t xml:space="preserve">2026-06-16</t>
  </si>
  <si>
    <t xml:space="preserve">2026-05-12 a 2026-06-16</t>
  </si>
  <si>
    <t xml:space="preserve">R$ 3.600.000,00 total; até R$ 60.000,00 por projeto (até 60)</t>
  </si>
  <si>
    <t xml:space="preserve">{'observacao': "VERIFICADO no arquivo de chamadas do Fundo Casa Socioambiental (API do site, 41 chamadas de 2023–2026, 03/10/2026): sem edição anterior com o mesmo nome; 'Amazônia Viva' (2024, 2025) é linha vizinha na mesma região, não contada."}</t>
  </si>
  <si>
    <t xml:space="preserve">op-96c84ef66572</t>
  </si>
  <si>
    <t xml:space="preserve">Mulheres que Transformam o Futuro – Apoio a Soluções Comunitárias para a Resiliência Climática e a Justiça Soc… — Brasil</t>
  </si>
  <si>
    <t xml:space="preserve">Mulheres que Transformam o Futuro – Apoio a Soluções Comunitárias para a Resiliência Climática e a Justiça Socioambiental</t>
  </si>
  <si>
    <t xml:space="preserve">Fundo Casa Socioambiental (apoio: Fondation CHANEL, VEJA, MacKenzie Scott (Yield Giving))</t>
  </si>
  <si>
    <t xml:space="preserve">https://casa.org.br/chamadas/mulheres-que-transformam-o-futuro-apoio-a-solucoes-comunitarias-para-a-resiliencia-climatica-e-a-justica-socioambiental/</t>
  </si>
  <si>
    <t xml:space="preserve">2026-08-25</t>
  </si>
  <si>
    <t xml:space="preserve">2026-07-20 a 2026-08-25</t>
  </si>
  <si>
    <t xml:space="preserve">R$ 2.100.000,00 total; até R$ 60.000,00 por projeto (35 projetos)</t>
  </si>
  <si>
    <t xml:space="preserve">op-b2c4960d0d2c</t>
  </si>
  <si>
    <t xml:space="preserve">Seleção 2026 por carta-convite — Fundos de Meio Ambiente &amp; Mudanças Climáticas e de Equidade de Gênero — Brasil</t>
  </si>
  <si>
    <t xml:space="preserve">Seleção 2026 por carta-convite — Fundos de Meio Ambiente &amp; Mudanças Climáticas e de Equidade de Gênero</t>
  </si>
  <si>
    <t xml:space="preserve">BrazilFoundation</t>
  </si>
  <si>
    <t xml:space="preserve">https://brazilfoundation.org/brazilfoundation-anuncia-selecionadas-2026/</t>
  </si>
  <si>
    <t xml:space="preserve">até R$ 150 mil por organização em 12 meses, renovável por mais 12 meses</t>
  </si>
  <si>
    <t xml:space="preserve">{'observacao': "Paginas oficiais brazilfoundation.org/edital-2023-fundo-de-educacao/ e /edital-2023-fundo-do-meio-ambiente-mudancas-climaticas/ trazem 'O periodo de apresentacao das propostas e de 17/7/2023 a 18/8/2023' (anterior a janela, nao registrado). Busca na API WordPress do site (posts/pages 2024-2026) nao retornou edital aberto; em 18/07/2026 o site anuncia selecionadas 2026 (Meio Ambient</t>
  </si>
  <si>
    <t xml:space="preserve">op-ad6227cc34a0</t>
  </si>
  <si>
    <t xml:space="preserve">Edital 2023 — Fundo de Empreendedorismo Negro — Brasil</t>
  </si>
  <si>
    <t xml:space="preserve">Edital 2023 — Fundo de Empreendedorismo Negro</t>
  </si>
  <si>
    <t xml:space="preserve">https://brazilfoundation.org/edital-2023-fundo-de-empreendedorismo-negro/</t>
  </si>
  <si>
    <t xml:space="preserve">{'observacao': 'VERIFICADO no site da BrazilFoundation (1.045 publicações, API, 03/10/2026): este é o Edital 2023 (publicado em 21/12/2022, resultado em 07/06/2023), anterior à janela de 3 anos; não houve novo edital aberto do mesmo fundo em 2024–2025 — o ciclo de 2026 foi por carta-convite (anúncio de 18/07/2026). Livro sem série na janela.'}</t>
  </si>
  <si>
    <t xml:space="preserve">op-06d586236f9c</t>
  </si>
  <si>
    <t xml:space="preserve">Edital 2023 — Fundo de Equidade de Gênero — Brasil</t>
  </si>
  <si>
    <t xml:space="preserve">Edital 2023 — Fundo de Equidade de Gênero</t>
  </si>
  <si>
    <t xml:space="preserve">https://brazilfoundation.org/edital-2023-fundo-de-equidade-de-genero/</t>
  </si>
  <si>
    <t xml:space="preserve">2023-01-30</t>
  </si>
  <si>
    <t xml:space="preserve">2022-12-21 a 2023-01-30</t>
  </si>
  <si>
    <t xml:space="preserve">R$ 150.000,00 por projeto (12 meses), renovável por mais 12 meses</t>
  </si>
  <si>
    <t xml:space="preserve">op-960a607b22ce</t>
  </si>
  <si>
    <t xml:space="preserve">Edital Fundo de Educação (Edital 2023) — Brasil</t>
  </si>
  <si>
    <t xml:space="preserve">Edital Fundo de Educação (Edital 2023)</t>
  </si>
  <si>
    <t xml:space="preserve">https://brazilfoundation.org/edital-2023-fundo-de-educacao/</t>
  </si>
  <si>
    <t xml:space="preserve">2023-08-18</t>
  </si>
  <si>
    <t xml:space="preserve">2023-07-17 a 2023-08-18</t>
  </si>
  <si>
    <t xml:space="preserve">{'observacao': 'VERIFICADO no site da BrazilFoundation (1.045 publicações, API, 03/10/2026): este é o Edital 2023 (publicado em 14/07/2023, resultado em 20/12/2023), anterior à janela de 3 anos; não houve novo edital aberto do mesmo fundo em 2024–2025 — o ciclo de 2026 foi por carta-convite (anúncio de 18/07/2026). Livro sem série na janela.'}</t>
  </si>
  <si>
    <t xml:space="preserve">op-b0c740ac2e05</t>
  </si>
  <si>
    <t xml:space="preserve">Edital 2023 — Fundo de Meio Ambiente &amp; Mudanças Climáticas — Brasil</t>
  </si>
  <si>
    <t xml:space="preserve">Edital 2023 — Fundo de Meio Ambiente &amp; Mudanças Climáticas</t>
  </si>
  <si>
    <t xml:space="preserve">https://brazilfoundation.org/edital-2023-fundo-do-meio-ambiente-mudancas-climaticas/</t>
  </si>
  <si>
    <t xml:space="preserve">R$ 150.000,00 por ano (12 meses), renovável por mais 12 meses</t>
  </si>
  <si>
    <t xml:space="preserve">op-688f443a3f8d</t>
  </si>
  <si>
    <t xml:space="preserve">Senador Canedo — SEMASC abre Chamamento Público para seleção de projetos voltados à proteção de crianças e ado… — Goiás / Senador Canedo</t>
  </si>
  <si>
    <t xml:space="preserve">Senador Canedo — SEMASC abre Chamamento Público para seleção de projetos voltados à proteção de crianças e adolescentes</t>
  </si>
  <si>
    <t xml:space="preserve">https://senadorcanedo.go.gov.br/semasc-abre-chamamento-publico-para-selecao-de-projetos-voltados-a-protecao-de-criancas-e-adolescentes/</t>
  </si>
  <si>
    <t xml:space="preserve">{'observacao': 'VERIFICADO em 03/10/2026 (página oficial de Senador Canedo, jun/2026): SEMASC, Edital de Chamamento Público nº 006/2026 para OSCs de proteção a crianças e adolescentes; edição anterior não localizada.'}</t>
  </si>
  <si>
    <t xml:space="preserve">op-e6b529927afd</t>
  </si>
  <si>
    <t xml:space="preserve">Senador Canedo — Senador Canedo pode participar do Edital Fundos da Infância e da Adolescência 2025 — Goiás / Senador Canedo</t>
  </si>
  <si>
    <t xml:space="preserve">Senador Canedo — Senador Canedo pode participar do Edital Fundos da Infância e da Adolescência 2025</t>
  </si>
  <si>
    <t xml:space="preserve">https://senadorcanedo.go.gov.br/senador-canedo-pode-participar-do-edital-fundos-da-infancia-e-da-adolescencia-2025/</t>
  </si>
  <si>
    <t xml:space="preserve">op-ae46c4d3974e</t>
  </si>
  <si>
    <t xml:space="preserve">Senador Canedo — Prefeitura promove II Seminário Critérios para Inscrição no CMAS e Captação de Recursos — Goiás / Senador Canedo</t>
  </si>
  <si>
    <t xml:space="preserve">Senador Canedo — Prefeitura promove II Seminário Critérios para Inscrição no CMAS e Captação de Recursos</t>
  </si>
  <si>
    <t xml:space="preserve">https://senadorcanedo.go.gov.br/prefeitura-promove-ii-seminario-criterios-para-inscricao-no-cmas-e-captacao-de-recursos/</t>
  </si>
  <si>
    <t xml:space="preserve">op-b6dc0b208fd9</t>
  </si>
  <si>
    <t xml:space="preserve">Senador Canedo — Senador Canedo lança projeto Embaixador do Turismo — Goiás / Senador Canedo</t>
  </si>
  <si>
    <t xml:space="preserve">Senador Canedo — Senador Canedo lança projeto Embaixador do Turismo</t>
  </si>
  <si>
    <t xml:space="preserve">https://senadorcanedo.go.gov.br/senador-canedo-lanca-projeto-embaixador-do-turismo/</t>
  </si>
  <si>
    <t xml:space="preserve">op-8d7ba30a7f91</t>
  </si>
  <si>
    <t xml:space="preserve">Senador Canedo — Senador Canedo abre inscrições para o Projeto Guardiões Ambientais 2026 — Goiás / Senador Canedo</t>
  </si>
  <si>
    <t xml:space="preserve">Senador Canedo — Senador Canedo abre inscrições para o Projeto Guardiões Ambientais 2026</t>
  </si>
  <si>
    <t xml:space="preserve">https://senadorcanedo.go.gov.br/senador-canedo-abre-inscricoes-para-o-projeto-guardioes-ambientais-2026/</t>
  </si>
  <si>
    <t xml:space="preserve">op-54dd70a1537f</t>
  </si>
  <si>
    <t xml:space="preserve">Anápolis — Projeto financiado pela Lei Paulo Gustavo em Anápolis abre inscrições para curso imersivo de cinema — Goiás / Anápolis</t>
  </si>
  <si>
    <t xml:space="preserve">Anápolis — Projeto financiado pela Lei Paulo Gustavo em Anápolis abre inscrições para curso imersivo de cinema</t>
  </si>
  <si>
    <t xml:space="preserve">https://www.anapolis.go.gov.br/projeto-financiado-pela-lei-paulo-gustavo-em-anapolis-abre-inscricoes-para-curso-imersivo-de-cinema/</t>
  </si>
  <si>
    <t xml:space="preserve">2024-03-07</t>
  </si>
  <si>
    <t xml:space="preserve">op-c95971f484c4</t>
  </si>
  <si>
    <t xml:space="preserve">Anápolis — Prefeitura abre vagas para bolsas culturais em dança, teatro e música em Anápolis — Goiás / Anápolis</t>
  </si>
  <si>
    <t xml:space="preserve">Anápolis — Prefeitura abre vagas para bolsas culturais em dança, teatro e música em Anápolis</t>
  </si>
  <si>
    <t xml:space="preserve">https://www.anapolis.go.gov.br/prefeitura-abre-vagas-para-bolsas-culturais-em-danca-teatro-e-musica-em-anapolis/</t>
  </si>
  <si>
    <t xml:space="preserve">op-4148ff0ca076</t>
  </si>
  <si>
    <t xml:space="preserve">Anápolis — Universidade Aberta do Brasil abre inscrições para curso gratuito de pós-graduação em Educação Espe… — Goiás / Anápolis</t>
  </si>
  <si>
    <t xml:space="preserve">Anápolis — Universidade Aberta do Brasil abre inscrições para curso gratuito de pós-graduação em Educação Especial na Perspectiva Inclusiva</t>
  </si>
  <si>
    <t xml:space="preserve">https://www.anapolis.go.gov.br/universidade-aberta-do-brasil-abre-inscricoes-para-curso-gratuito-de-pos-graduacao-em-educacao-especial-na-perspectiva-inclusiva/</t>
  </si>
  <si>
    <t xml:space="preserve">op-a5336e9baccd</t>
  </si>
  <si>
    <t xml:space="preserve">Cidade ocidental — editais da pnab públicados — Goiás / Cidade Ocidental</t>
  </si>
  <si>
    <t xml:space="preserve">Cidade Ocidental — EDITAIS DA PNAB PÚBLICADOS</t>
  </si>
  <si>
    <t xml:space="preserve">https://cidadeocidental.go.gov.br/editais-da-pnab-publicados/</t>
  </si>
  <si>
    <t xml:space="preserve">op-2d42901fdcb7</t>
  </si>
  <si>
    <t xml:space="preserve">Goianésia — Editais e Publicações — Goiás / Goianésia</t>
  </si>
  <si>
    <t xml:space="preserve">Goianésia — Editais e Publicações</t>
  </si>
  <si>
    <t xml:space="preserve">Prefeitura de Goianésia</t>
  </si>
  <si>
    <t xml:space="preserve">https://goianesia.go.gov.br/editais-e-publicacoes/</t>
  </si>
  <si>
    <t xml:space="preserve">op-e537d3d4416d</t>
  </si>
  <si>
    <t xml:space="preserve">MINISTERIO PUBLICO DO ESTADO DO CEARA — Seleção e premiação de trabalhos jornalísticos que abordem o tema “Min… — Ceará</t>
  </si>
  <si>
    <t xml:space="preserve">MINISTERIO PUBLICO DO ESTADO DO CEARA — Seleção e premiação de trabalhos jornalísticos que abordem o tema “Ministério Público e Transformação Social: Justiça, D</t>
  </si>
  <si>
    <t xml:space="preserve">PNCP — MINISTERIO PUBLICO DO ESTADO DO CEARA</t>
  </si>
  <si>
    <t xml:space="preserve">https://pncp.gov.br/app/editais/06928790000156/2026/51</t>
  </si>
  <si>
    <t xml:space="preserve">op-33dcaef93795</t>
  </si>
  <si>
    <t xml:space="preserve">Aviso de Chamamento Público - Conselho Regional de Fisioterapia e Terapia Ocupacional da 4ª Região (CREFITO-4 … — Minas Gerais</t>
  </si>
  <si>
    <t xml:space="preserve">Aviso de Chamamento Público - Conselho Regional de Fisioterapia e Terapia Ocupacional da 4ª Região (CREFITO-4 MG) CONSELHO REGIONAL DE FISIOTERAPIA E TERAPIA OC</t>
  </si>
  <si>
    <t xml:space="preserve">https://capitaai.com.br/captacao/aviso-chamamento-publico-conselho-regional-fisioterapia-terapia-ocupac-2ursw0</t>
  </si>
  <si>
    <t xml:space="preserve">op-ea42a77f6575</t>
  </si>
  <si>
    <t xml:space="preserve">Credenciamento de entidades filantrópicas e/ou privadas, prestadoras de serviços de saúde, especializadas na r… — Santa Catarina</t>
  </si>
  <si>
    <t xml:space="preserve">CREDENCIAMENTO DE ENTIDADES FILANTRÓPICAS E/OU PRIVADAS, PRESTADORAS DE SERVIÇOS DE SAÚDE, ESPECIALIZADAS NA REALIZAÇÃO DE EXAMES COM FINALIDADE DIAGNÓSTICA EM </t>
  </si>
  <si>
    <t xml:space="preserve">op-f4f8ca252b1f</t>
  </si>
  <si>
    <t xml:space="preserve">Credenciamento de instituições privadas, com ou sem fins lucrativos, instituições de longa permanência para id… — São Paulo</t>
  </si>
  <si>
    <t xml:space="preserve">CREDENCIAMENTO DE INSTITUIÇÕES PRIVADAS, COM OU SEM FINS LUCRATIVOS, INSTITUIÇÕES DE LONGA PERMANÊNCIA PARA IDOSOS, INTERESSADAS EM PRESTAR SERVIÇOS DE FORMA CO</t>
  </si>
  <si>
    <t xml:space="preserve">op-14b69d1fee00</t>
  </si>
  <si>
    <t xml:space="preserve">Goianésia — Edital de Chamamento Público Credenciamento nº 002/2025 — Goiás / Goianésia</t>
  </si>
  <si>
    <t xml:space="preserve">Goianésia — Edital de Chamamento Público Credenciamento nº 002/2025</t>
  </si>
  <si>
    <t xml:space="preserve">https://goianesia.go.gov.br/wp-content/uploads/2023/11/Edital-002-2025.pdf</t>
  </si>
  <si>
    <t xml:space="preserve">op-a6b1aaa4b217</t>
  </si>
  <si>
    <t xml:space="preserve">Itaberaí — Chamamento Público para Audiência Pública – Lei Aldir Blanc II — Goiás</t>
  </si>
  <si>
    <t xml:space="preserve">Itaberaí — Chamamento Público para Audiência Pública – Lei Aldir Blanc II</t>
  </si>
  <si>
    <t xml:space="preserve">https://itaberai.go.gov.br/chamamento-publico-para-audiencia-publica-lei-aldir-blanc-ii/</t>
  </si>
  <si>
    <t xml:space="preserve">op-40c3e5916fe5</t>
  </si>
  <si>
    <t xml:space="preserve">Banco do Brasil S.A. — EDITAL DE CHAMAMENTO PÚBLICO — Chamamento Público de Instituições Públicas e Organizaçõ… — Brasil</t>
  </si>
  <si>
    <t xml:space="preserve">Banco do Brasil S.A. — EDITAL DE CHAMAMENTO PÚBLICO — Chamamento Público de Instituições Públicas e Organizações da Sociedade Civil Sem Fins Lucrativos, para doação de bens m</t>
  </si>
  <si>
    <t xml:space="preserve">Banco do Brasil S.A.</t>
  </si>
  <si>
    <t xml:space="preserve">https://www.in.gov.br/web/dou/-/edital-de-chamamento-publico-667341539</t>
  </si>
  <si>
    <t xml:space="preserve">Chamamento Público de Instituições Públicas e Organizações da Sociedade Civil Sem Fins Lucrativos, para doação de bens móveis inservíveis do Banco do Brasil, como mobiliários e equipamentos, para fins</t>
  </si>
  <si>
    <t xml:space="preserve">op-860eaa53d8a9</t>
  </si>
  <si>
    <t xml:space="preserve">Banco do Brasil S.A. — AVISO DE CHAMAMENTO PÚBLICO — Chamamento Público de Instituições Públicas e Organizaçõe… — Brasil</t>
  </si>
  <si>
    <t xml:space="preserve">Banco do Brasil S.A. — AVISO DE CHAMAMENTO PÚBLICO — Chamamento Público de Instituições Públicas e Organizações da Sociedade Civil Sem Fins Lucrativos, para doação de bens m</t>
  </si>
  <si>
    <t xml:space="preserve">https://www.in.gov.br/web/dou/-/aviso-de-chamamento-publico-625851399</t>
  </si>
  <si>
    <t xml:space="preserve">informado (Motor 03 — Diário Oficial da União — histórico de 3 anos, 2026-10-04)</t>
  </si>
  <si>
    <t xml:space="preserve">op-d35a24acf581</t>
  </si>
  <si>
    <t xml:space="preserve">Chamamento público nos termos da lei federal nº 13.019/2014 (mrosc) e do decreto federal nº 8.726/2016 (aplica… — Rondônia</t>
  </si>
  <si>
    <t xml:space="preserve">CHAMAMENTO PÚBLICO NOS TERMOS DA LEI FEDERAL Nº 13.019/2014 (MROSC) E DO DECRETO FEDERAL Nº 8.726/2016 (APLICADO SUBSIDIARIAMENTE CONFORME DECRETO FEDERAL Nº 11</t>
  </si>
  <si>
    <t xml:space="preserve">PNCP — MUNICIPIO DE JARU</t>
  </si>
  <si>
    <t xml:space="preserve">https://pncp.gov.br/app/editais/04279238000159/2026/196</t>
  </si>
  <si>
    <t xml:space="preserve">op-eef9ef081c9f</t>
  </si>
  <si>
    <t xml:space="preserve">Credenciamento de OFICINAS ARTÍSTICAS para a execução de oficinas culturais, educacionais e recreativas visand… — Santa Catarina</t>
  </si>
  <si>
    <t xml:space="preserve">Credenciamento de OFICINAS ARTÍSTICAS para a execução de oficinas culturais, educacionais e recreativas visando a reabilitação psicossocial dos usuários do Cent</t>
  </si>
  <si>
    <t xml:space="preserve">PNCP — FUNDO MUNICIPAL DE SAUDE DE CONCORDIA</t>
  </si>
  <si>
    <t xml:space="preserve">https://pncp.gov.br/app/editais/10455823000165/2023/10</t>
  </si>
  <si>
    <t xml:space="preserve">op-a481e6b1256e</t>
  </si>
  <si>
    <t xml:space="preserve">Chamamento público para contratação de OSC para execução de serviços de abordagem social e acolhimento institu… — São Paulo</t>
  </si>
  <si>
    <t xml:space="preserve">Chamamento público para contratação de OSC para execução de serviços de abordagem social e acolhimento institucional emergencial em períodos de baixa temperatur</t>
  </si>
  <si>
    <t xml:space="preserve">PNCP — MUNICIPIO DE ARUJA</t>
  </si>
  <si>
    <t xml:space="preserve">https://pncp.gov.br/app/editais/56901275000150/2026/105</t>
  </si>
  <si>
    <t xml:space="preserve">{'observacao': 'VERIFICADO em 03/10/2026 (PNCP e imprensa oficial de Arujá, DOM 02/04/2026): Chamamento nº 003/2026, abordagem social e acolhimento emergencial em períodos de baixa temperatura (sazonal); edição anterior do mesmo objeto não localizada.'}</t>
  </si>
  <si>
    <t xml:space="preserve">op-6677af4bcc01</t>
  </si>
  <si>
    <t xml:space="preserve">Chamamento público para credenciamento de produtores agrícolas inscritos como Microempreendedor Individual (ME… — São Paulo</t>
  </si>
  <si>
    <t xml:space="preserve">Chamamento público para credenciamento de produtores agrícolas inscritos como Microempreendedor Individual (MEI) ou Microempresas (ME) interessados na comercial</t>
  </si>
  <si>
    <t xml:space="preserve">PNCP — MUNICIPIO DE ILHABELA</t>
  </si>
  <si>
    <t xml:space="preserve">https://pncp.gov.br/app/editais/46482865000132/2026/79</t>
  </si>
  <si>
    <t xml:space="preserve">op-4205fa0e240b</t>
  </si>
  <si>
    <t xml:space="preserve">O objeto deste CHAMAMENTO PÚBLICO consiste em selecionar propostas de PATROCÍNIO, visando a seleção de exposit… — São Paulo</t>
  </si>
  <si>
    <t xml:space="preserve">O objeto deste CHAMAMENTO PÚBLICO consiste em selecionar propostas de PATROCÍNIO, visando a seleção de expositores/artesãos, food trucks e proposta de peça teat</t>
  </si>
  <si>
    <t xml:space="preserve">PNCP — MUNICIPIO DE INDAIATUBA</t>
  </si>
  <si>
    <t xml:space="preserve">https://pncp.gov.br/app/editais/44733608000109/2026/532</t>
  </si>
  <si>
    <t xml:space="preserve">op-5a1c8d04322e</t>
  </si>
  <si>
    <t xml:space="preserve">Seleção de projetos de capacitações, ações educativas, de formação e/ou qualificação na área cultural atraves … — Paraná</t>
  </si>
  <si>
    <t xml:space="preserve">SELEÇÃO DE PROJETOS DE CAPACITAÇÕES, AÇÕES EDUCATIVAS, DE FORMAÇÃO E/OU QUALIFICAÇÃO NA ÁREA CULTURAL ATRAVES COM RECURSOS DA POLÍTICA NACIONAL ALDIR BLANC DE F</t>
  </si>
  <si>
    <t xml:space="preserve">PNCP — MUNICIPIO DE LUIZIANA</t>
  </si>
  <si>
    <t xml:space="preserve">https://pncp.gov.br/app/editais/80888688000127/2024/23</t>
  </si>
  <si>
    <t xml:space="preserve">op-3dfc5c54a101</t>
  </si>
  <si>
    <t xml:space="preserve">Chamamento publico para seleção de projetos apresentados por organizações da sociedade civil para fins de cele… — Ceará</t>
  </si>
  <si>
    <t xml:space="preserve">CHAMAMENTO PUBLICO PARA SELEÇÃO DE PROJETOS APRESENTADOS POR ORGANIZAÇÕES DA SOCIEDADE CIVIL PARA FINS DE CELEBRAÇÃO DE PARCERIAS, VISANDO A REALIZAÇÃO DE REISA</t>
  </si>
  <si>
    <t xml:space="preserve">PNCP — MUNICIPIO DE CARIRE</t>
  </si>
  <si>
    <t xml:space="preserve">https://pncp.gov.br/app/editais/07598600000142/2025/4</t>
  </si>
  <si>
    <t xml:space="preserve">op-392671907eeb</t>
  </si>
  <si>
    <t xml:space="preserve">Chamamento público 002 2026 - seleção de organização da sociedade civil (osc) para a implantação, operacionali… — São Paulo</t>
  </si>
  <si>
    <t xml:space="preserve">CHAMAMENTO PÚBLICO 002 2026 - SELEÇÃO DE ORGANIZAÇÃO DA SOCIEDADE CIVIL (OSC) PARA A IMPLANTAÇÃO, OPERACIONALIZAÇÃO E GESTÃO DE UNIDADE DE ATENDIMENTO MÉDICO-VE</t>
  </si>
  <si>
    <t xml:space="preserve">PNCP — MUNICIPIO DE POTIM</t>
  </si>
  <si>
    <t xml:space="preserve">https://pncp.gov.br/app/editais/65042855000120/2026/22</t>
  </si>
  <si>
    <t xml:space="preserve">op-ea0603669f44</t>
  </si>
  <si>
    <t xml:space="preserve">Seleção de projetos culturais para firmar Termo de Execução Cultural com recursos do Saldo Remanescente da Pol… — São Paulo</t>
  </si>
  <si>
    <t xml:space="preserve">Seleção de projetos culturais para firmar Termo de Execução Cultural com recursos do Saldo Remanescente da Política Nacional Aldir Blanc de Fomento à Cultura (P</t>
  </si>
  <si>
    <t xml:space="preserve">PNCP — MUNICIPIO DE ITATINGA</t>
  </si>
  <si>
    <t xml:space="preserve">https://pncp.gov.br/app/editais/46634127000163/2025/1902</t>
  </si>
  <si>
    <t xml:space="preserve">op-8fe5db918ef3</t>
  </si>
  <si>
    <t xml:space="preserve">Seleção de 14 (quatorze) propostas de projetos culturais para receberem apoio financeiro na categoria audiovis… — Amazonas</t>
  </si>
  <si>
    <t xml:space="preserve">O OBJETO DESTE EDITAL É A SELEÇÃO DE 14 (QUATORZE) PROPOSTAS DE PROJETOS CULTURAIS PARA RECEBEREM APOIO FINANCEIRO NA CATEGORIA AUDIOVISUAL, COM RECURSOS DA POL</t>
  </si>
  <si>
    <t xml:space="preserve">PNCP — FUNDO MUNICIPAL DE CULTURA</t>
  </si>
  <si>
    <t xml:space="preserve">https://pncp.gov.br/app/editais/07074697000194/2026/1</t>
  </si>
  <si>
    <t xml:space="preserve">op-c9fe1fc17250</t>
  </si>
  <si>
    <t xml:space="preserve">A referente requisição se faz para abertura de edital de chamamento público , para contratação dos serviços, a… — Rio Grande do Sul</t>
  </si>
  <si>
    <t xml:space="preserve">A referente requisição se faz para abertura de edital de chamamento público , para contratação dos serviços,  anatomia patológica e citopatologia, cujos valores</t>
  </si>
  <si>
    <t xml:space="preserve">https://pncp.gov.br/app/editais/88775390000112/2023/99</t>
  </si>
  <si>
    <t xml:space="preserve">2023-03-15</t>
  </si>
  <si>
    <t xml:space="preserve">op-8903e513b311</t>
  </si>
  <si>
    <t xml:space="preserve">Credenciamento de associações e/ou cooperativas de catadores de materiais recicláveis para coleta e destinação… — Minas Gerais</t>
  </si>
  <si>
    <t xml:space="preserve">Credenciamento de associações e/ou cooperativas de catadores de materiais recicláveis para coleta e destinação de caixas arquivo contendo documentos produzidos </t>
  </si>
  <si>
    <t xml:space="preserve">PNCP — MUNICIPIO DE IPATINGA</t>
  </si>
  <si>
    <t xml:space="preserve">https://pncp.gov.br/app/editais/19876424000142/2024/169</t>
  </si>
  <si>
    <t xml:space="preserve">op-0d8330f05676</t>
  </si>
  <si>
    <t xml:space="preserve">Constitui-se em concurso para seleção de 14 (quatorze) projetos culturais nas categorias Formação e Produção, … — Santa Catarina</t>
  </si>
  <si>
    <t xml:space="preserve">Constitui-se em concurso para seleção de 14 (quatorze) projetos culturais nas categorias Formação e Produção, que contribuam para a produção, difusão, fomento, </t>
  </si>
  <si>
    <t xml:space="preserve">https://pncp.gov.br/app/editais/83009860000113/2025/230</t>
  </si>
  <si>
    <t xml:space="preserve">op-a7bc8f8f8e91</t>
  </si>
  <si>
    <t xml:space="preserve">Chamamento Público 007.2025 - Credenciamento de Serviços de Acolhimento Institucional de Alta Complexidade com… — Paraná</t>
  </si>
  <si>
    <t xml:space="preserve">Chamamento Público 007.2025 - Credenciamento de Serviços de Acolhimento Institucional de Alta Complexidade com vagas de abrigo para Adolescente, Adulto, Idoso G</t>
  </si>
  <si>
    <t xml:space="preserve">['Crianças e adolescentes', 'Pessoas idosas']</t>
  </si>
  <si>
    <t xml:space="preserve">https://pncp.gov.br/app/editais/76105634000170/2025/153</t>
  </si>
  <si>
    <t xml:space="preserve">op-c55761bc8ed3</t>
  </si>
  <si>
    <t xml:space="preserve">Seleção de propostas para a celebração de parceria com a secretaria municipal de saúde, por meio da formalizaç… — Ceará</t>
  </si>
  <si>
    <t xml:space="preserve">SELEÇÃO DE PROPOSTAS PARA A CELEBRAÇÃO DE PARCERIA COM A SECRETARIA MUNICIPAL DE SAÚDE, POR MEIO DA FORMALIZAÇÃO DE TERMO DE COLABORAÇÃO, PARA A CONSECUÇÃO DE F</t>
  </si>
  <si>
    <t xml:space="preserve">PNCP — MUNICIPIO DE SENADOR POMPEU</t>
  </si>
  <si>
    <t xml:space="preserve">https://pncp.gov.br/app/editais/07728421000182/2026/16</t>
  </si>
  <si>
    <t xml:space="preserve">op-982083863784</t>
  </si>
  <si>
    <t xml:space="preserve">Credenciamento de entidades sem fins lucrativos para assessoramento, organização, gerenciamento e prestação de… — Santa Catarina</t>
  </si>
  <si>
    <t xml:space="preserve">Credenciamento de ENTIDADES SEM FINS LUCRATIVOS PARA ASSESSORAMENTO, ORGANIZAÇÃO, GERENCIAMENTO E PRESTAÇÃO DE SERVIÇOS NA VENDA DE ESPAÇOS (STANDS), NA ÁREA DE</t>
  </si>
  <si>
    <t xml:space="preserve">PNCP — MUNICIPIO DE GALVAO</t>
  </si>
  <si>
    <t xml:space="preserve">https://pncp.gov.br/app/editais/83009902000116/2024/4</t>
  </si>
  <si>
    <t xml:space="preserve">op-a1dec4510939</t>
  </si>
  <si>
    <t xml:space="preserve">Credenciamento de entidades sem fins lucrativos, sediadas no município de Indaial, para a comercialização de a… — Santa Catarina</t>
  </si>
  <si>
    <t xml:space="preserve">Credenciamento de entidades sem fins lucrativos, sediadas no município de Indaial, para a 
comercialização de alimentação e bebidas na FIMI 2025, sendo o CREDEN</t>
  </si>
  <si>
    <t xml:space="preserve">PNCP — MUNICIPIO DE INDAIAL</t>
  </si>
  <si>
    <t xml:space="preserve">https://pncp.gov.br/app/editais/83102798000100/2025/36</t>
  </si>
  <si>
    <t xml:space="preserve">op-26db35b4c1a0</t>
  </si>
  <si>
    <t xml:space="preserve">Seleção de propostas de planos de trabalho de Organizações da Sociedade Civil (OSC) para a celebração de Termo… — Santa Catarina</t>
  </si>
  <si>
    <t xml:space="preserve">Seleção de propostas de planos de trabalho de Organizações da Sociedade Civil (OSC) para a celebração de Termo de Colaboração por meio de parceria em regime de </t>
  </si>
  <si>
    <t xml:space="preserve">PNCP — FUNDO MUNICIPAL DE ASSISTENCIA SOCIAL DE CHAPECO</t>
  </si>
  <si>
    <t xml:space="preserve">https://pncp.gov.br/app/editais/01357325000199/2025/3</t>
  </si>
  <si>
    <t xml:space="preserve">op-c4a5cb77b79a</t>
  </si>
  <si>
    <t xml:space="preserve">Seleção de projetos que promovam o acesso da população aos bens e aos serviços culturais nos territórios e com… — Alagoas</t>
  </si>
  <si>
    <t xml:space="preserve">1.1 Este Edital tem por objeto a seleção de projetos que promovam o acesso da população aos bens e aos serviços culturais nos territórios e comunidades onde atu</t>
  </si>
  <si>
    <t xml:space="preserve">PNCP — MUNICIPIO DE RIO LARGO</t>
  </si>
  <si>
    <t xml:space="preserve">https://pncp.gov.br/app/editais/12200168000120/2024/249</t>
  </si>
  <si>
    <t xml:space="preserve">op-866feab90840</t>
  </si>
  <si>
    <t xml:space="preserve">Credenciamento de projetos culturais - PNAB — Rio Grande do Sul</t>
  </si>
  <si>
    <t xml:space="preserve">Credenciamento de projetos culturais - PNAB</t>
  </si>
  <si>
    <t xml:space="preserve">PNCP — MUNICIPIO DE GRAVATAI</t>
  </si>
  <si>
    <t xml:space="preserve">https://pncp.gov.br/app/editais/87890992000158/2026/309</t>
  </si>
  <si>
    <t xml:space="preserve">op-9ca841890794</t>
  </si>
  <si>
    <t xml:space="preserve">CHAMAMENTO PÚBLICO para seleção de empresa do ramo da Construção Civil visando a elaboração de projetos e exec… — Bahia</t>
  </si>
  <si>
    <t xml:space="preserve">CHAMAMENTO PÚBLICO para seleção de empresa do ramo da Construção Civil visando a elaboração de projetos e execução dos empreendimentos habitacionais de interess</t>
  </si>
  <si>
    <t xml:space="preserve">https://pncp.gov.br/app/editais/13715891000104/2026/94</t>
  </si>
  <si>
    <t xml:space="preserve">op-8c27f7e71be8</t>
  </si>
  <si>
    <t xml:space="preserve">Chamamento público de entidades privadas, sem fins lucrativos, interessadas em se qualificarem como organizaçã… — Ceará</t>
  </si>
  <si>
    <t xml:space="preserve">CHAMAMENTO PÚBLICO DE ENTIDADES PRIVADAS, SEM FINS LUCRATIVOS,  INTERESSADAS EM SE QUALIFICAREM COMO ORGANIZAÇÃO SOCIAL, NA ÁREA DE SAÚDE, NO ÂMBITO DO MUNICÍPI</t>
  </si>
  <si>
    <t xml:space="preserve">PNCP — MUNICIPIO DE NOVA RUSSAS</t>
  </si>
  <si>
    <t xml:space="preserve">https://pncp.gov.br/app/editais/07993439000101/2025/16</t>
  </si>
  <si>
    <t xml:space="preserve">op-feeddf147533</t>
  </si>
  <si>
    <t xml:space="preserve">Chamamento público para a oferta de cotas de patrocínio para a realização do "xx campeonato municipal adulto d… — Santa Catarina</t>
  </si>
  <si>
    <t xml:space="preserve">CHAMAMENTO PÚBLICO PARA A OFERTA DE COTAS DE PATROCÍNIO PARA A REALIZAÇÃO DO "XX CAMPEONATO MUNICIPAL ADULTO DE VOLEIBOL 2026".</t>
  </si>
  <si>
    <t xml:space="preserve">PNCP — FUNDACAO MUNICIPAL DE ESPORTES</t>
  </si>
  <si>
    <t xml:space="preserve">https://pncp.gov.br/app/editais/72254576000196/2026/18</t>
  </si>
  <si>
    <t xml:space="preserve">op-ee4c21b7b323</t>
  </si>
  <si>
    <t xml:space="preserve">Edital para credenciamento de artistas e grupos culturais locais, por meio de fomento direto à execução de açõ… — Bahia</t>
  </si>
  <si>
    <t xml:space="preserve">EDITAL PARA CREDENCIAMENTO DE ARTISTAS E GRUPOS CULTURAIS LOCAIS, POR MEIO DE FOMENTO DIRETO À EXECUÇÃO DE AÇÕES. PARA REPASSE DE RECURSOS NÃO REEMBOLSÁVEIS PRO</t>
  </si>
  <si>
    <t xml:space="preserve">https://pncp.gov.br/app/editais/13846902000195/2024/104</t>
  </si>
  <si>
    <t xml:space="preserve">op-d152990d6928</t>
  </si>
  <si>
    <t xml:space="preserve">Chamamento público, em conformidade com a lei 13.019/14, objetivando a celebração de termo de colaboraçâo de f… — Rio Grande do Sul</t>
  </si>
  <si>
    <t xml:space="preserve">CHAMAMENTO PÚBLICO, EM CONFORMIDADE COM A LEI 13.019/14, OBJETIVANDO A CELEBRAÇÃO DE TERMO DE COLABORAÇÂO DE FOMENTO À ATIVIDADES ESPORTIVAS DE FUTEBOL DE CAMPO</t>
  </si>
  <si>
    <t xml:space="preserve">https://pncp.gov.br/app/editais/87613626000151/2024/117</t>
  </si>
  <si>
    <t xml:space="preserve">op-60ba5439e8a1</t>
  </si>
  <si>
    <t xml:space="preserve">O presente credenciamento tem o objetivo de permitir que todo interessado que preencha os requisitos previstos… — Bahia</t>
  </si>
  <si>
    <t xml:space="preserve">O presente credenciamento tem o objetivo de permitir que todo interessado que preencha os requisitos previstos neste Edital possa prestar à administração os de </t>
  </si>
  <si>
    <t xml:space="preserve">PNCP — MUNICIPIO DE LAJEDINHO</t>
  </si>
  <si>
    <t xml:space="preserve">https://pncp.gov.br/app/editais/13810544000160/2024/49</t>
  </si>
  <si>
    <t xml:space="preserve">op-9c978f3a2024</t>
  </si>
  <si>
    <t xml:space="preserve">Edital de chamamento para concurso de premiação conforme o programa Transforme seu Imposto em Esperança, com d… — Rondônia</t>
  </si>
  <si>
    <t xml:space="preserve">Edital de chamamento para concurso de premiação conforme o programa Transforme seu Imposto em Esperança, com distribuição gratuita de prêmios àqueles que destin</t>
  </si>
  <si>
    <t xml:space="preserve">https://pncp.gov.br/app/editais/04092706000181/2026/184</t>
  </si>
  <si>
    <t xml:space="preserve">op-d969b2daaa79</t>
  </si>
  <si>
    <t xml:space="preserve">Edital de chamamento para concurso de premiação de destinação de imposto de renda ao fundo municipal da crianç… — Rondônia</t>
  </si>
  <si>
    <t xml:space="preserve">EDITAL DE CHAMAMENTO PARA CONCURSO DE PREMIAÇÃO DE DESTINAÇÃO DE IMPOSTO DE RENDA AO FUNDO MUNICIPAL DA CRIANÇA E
ADOLESCENTE E AO FUNDO MUNICIPAL DE APOIO À PO</t>
  </si>
  <si>
    <t xml:space="preserve">https://pncp.gov.br/app/editais/04092706000181/2025/195</t>
  </si>
  <si>
    <t xml:space="preserve">op-48d1c784210f</t>
  </si>
  <si>
    <t xml:space="preserve">Realização de Chamamento Público com a finalidade de contratar as entidades privadas com ou sem fins lucrativo… — Piauí</t>
  </si>
  <si>
    <t xml:space="preserve">Realização de Chamamento Público com a finalidade de contratar as entidades privadas com ou sem fins lucrativos para prestação de serviços Ambulatorial de Consu</t>
  </si>
  <si>
    <t xml:space="preserve">PNCP — FUNDACAO MUNICIPAL DE SAUDE</t>
  </si>
  <si>
    <t xml:space="preserve">https://pncp.gov.br/app/editais/05522917000170/2026/140</t>
  </si>
  <si>
    <t xml:space="preserve">op-4e6e818ce93b</t>
  </si>
  <si>
    <t xml:space="preserve">Seleção de fomentos culturais para receberem apoio financeiro na categoria descrita, com o objetivo de incenti… — Maranhão</t>
  </si>
  <si>
    <t xml:space="preserve">O objeto deste Edital é a seleção de fomentos culturais para receberem apoio financeiro na categoria descrita, com o objetivo de incentivar as diversas formas d</t>
  </si>
  <si>
    <t xml:space="preserve">PNCP — MUNICIPIO DE GOVERNADOR LUIZ ROCHA</t>
  </si>
  <si>
    <t xml:space="preserve">https://pncp.gov.br/app/editais/01578554000133/2026/11</t>
  </si>
  <si>
    <t xml:space="preserve">op-526b637170dc</t>
  </si>
  <si>
    <t xml:space="preserve">Edital de chamamento público de seleção e premiação de trajetória cultural com recursos da lei complementar 19… — Santa Catarina</t>
  </si>
  <si>
    <t xml:space="preserve">EDITAL  DE  CHAMAMENTO PÚBLICO DE SELEÇÃO E PREMIAÇÃO DE TRAJETÓRIA CULTURAL COM RECURSOS DA LEI COMPLEMENTAR 195/2022 (LEI PAULO GUSTAVO)</t>
  </si>
  <si>
    <t xml:space="preserve">PNCP — MUNICIPIO DE AGUAS DE CHAPECO</t>
  </si>
  <si>
    <t xml:space="preserve">https://pncp.gov.br/app/editais/82804212000196/2024/278</t>
  </si>
  <si>
    <t xml:space="preserve">op-24b507d89461</t>
  </si>
  <si>
    <t xml:space="preserve">Chamamento publico para credenciamento de instituicoes privadas com ou sem fins lucrativos especializada na pr… — Minas Gerais</t>
  </si>
  <si>
    <t xml:space="preserve">CHAMAMENTO PUBLICO PARA CREDENCIAMENTO DE INSTITUICOES PRIVADAS  COM OU SEM FINS LUCRATIVOS  ESPECIALIZADA NA PRESTACAO DE SERVICO DE ACOLHIMENTO DE LONGA PERMA</t>
  </si>
  <si>
    <t xml:space="preserve">PNCP — MUNICIPIO DE MONTES CLAROS</t>
  </si>
  <si>
    <t xml:space="preserve">https://pncp.gov.br/app/editais/22678874000135/2024/589</t>
  </si>
  <si>
    <t xml:space="preserve">op-ca0152ed5e9a</t>
  </si>
  <si>
    <t xml:space="preserve">CREDENCIAMENTO, com o objetivo de formalização de Parceria, através de Termo de Fomento, com Organizações da S… — Paraná</t>
  </si>
  <si>
    <t xml:space="preserve">CREDENCIAMENTO, com o objetivo de formalização de Parceria, através de Termo de Fomento, com 
Organizações da Sociedade Civil (OSC) para execução de atividades </t>
  </si>
  <si>
    <t xml:space="preserve">PNCP — MUNICIPIO DE DOIS VIZINHOS</t>
  </si>
  <si>
    <t xml:space="preserve">https://pncp.gov.br/app/editais/76205640000108/2025/157</t>
  </si>
  <si>
    <t xml:space="preserve">op-f7ad90bec501</t>
  </si>
  <si>
    <t xml:space="preserve">Chamamento Público Cultural nº 11/2024 - Edital de Fomento à Produção Artística e Cultural. Chamamento público… — Rio Grande do Sul</t>
  </si>
  <si>
    <t xml:space="preserve">Chamamento Público Cultural nº 11/2024 - Edital de Fomento à Produção Artística e Cultural. Chamamento público para seleção de projetos culturais inéditos, por </t>
  </si>
  <si>
    <t xml:space="preserve">https://pncp.gov.br/app/editais/88254875000160/2024/957</t>
  </si>
  <si>
    <t xml:space="preserve">op-ba473a4ea9fb</t>
  </si>
  <si>
    <t xml:space="preserve">A seleção de profissionais da área da cultura sendo eles Microempreendedores Individuais - MEI com conheciment… — Rio Grande do Sul</t>
  </si>
  <si>
    <t xml:space="preserve">A seleção de profissionais da área da cultura sendo eles  Microempreendedores Individuais - MEI com conhecimento técnico na área cultural ou artística, para exe</t>
  </si>
  <si>
    <t xml:space="preserve">https://pncp.gov.br/app/editais/87612537000190/2026/156</t>
  </si>
  <si>
    <t xml:space="preserve">op-2980ba68f449</t>
  </si>
  <si>
    <t xml:space="preserve">Credenciamento de Escolas de Educação Infantil e Organizações da Sociedade Civil (OSCs), com o propósito de at… — Rio Grande do Sul</t>
  </si>
  <si>
    <t xml:space="preserve">Credenciamento de Escolas de Educação Infantil e Organizações da Sociedade Civil (OSCs), com o propósito de atender à demanda de vagas da educação infantil soli</t>
  </si>
  <si>
    <t xml:space="preserve">https://pncp.gov.br/app/editais/87612537000190/2026/82</t>
  </si>
  <si>
    <t xml:space="preserve">op-7ee449ff1705</t>
  </si>
  <si>
    <t xml:space="preserve">Chamamento Público para a seleção de empresas do ramo da Construção Civil com qualificação técnica e capacidad… — Santa Catarina</t>
  </si>
  <si>
    <t xml:space="preserve">Chamamento Público para a seleção de empresas do ramo da Construção Civil com qualificação técnica e capacidade operacional para apresentação de proposta para d</t>
  </si>
  <si>
    <t xml:space="preserve">https://pncp.gov.br/app/editais/83102574000106/2024/404</t>
  </si>
  <si>
    <t xml:space="preserve">op-caad1bb266fa</t>
  </si>
  <si>
    <t xml:space="preserve">Credenciamento de avaliadores/pareceristas de projetos culturais pnab/parintins (ref. credenciamento nº 1/2024… — Amazonas</t>
  </si>
  <si>
    <t xml:space="preserve">CREDENCIAMENTO DE AVALIADORES/PARECERISTAS DE PROJETOS CULTURAIS PNAB/PARINTINS (REF. Credenciamento nº 1/2024 - Secretaria Municipal de Cultura de Parintins)</t>
  </si>
  <si>
    <t xml:space="preserve">PNCP — MUNICIPIO DE PARINTINS</t>
  </si>
  <si>
    <t xml:space="preserve">https://pncp.gov.br/app/editais/04329736000169/2024/81</t>
  </si>
  <si>
    <t xml:space="preserve">op-1bb9a36c3031</t>
  </si>
  <si>
    <t xml:space="preserve">CHAMAMENTO PÚBLICO, objetivando a celebração de TERMO DE COLABORAÇÃO com Organização da Sociedade Civil (OSC),… — Rio Grande do Sul</t>
  </si>
  <si>
    <t xml:space="preserve">CHAMAMENTO PÚBLICO, objetivando a celebração de TERMO DE COLABORAÇÃO com Organização da Sociedade Civil (OSC), mediante apoio financeiro do Município, para a ex</t>
  </si>
  <si>
    <t xml:space="preserve">https://pncp.gov.br/app/editais/87613626000151/2026/373</t>
  </si>
  <si>
    <t xml:space="preserve">CHAMAMENTO PÚBLICO para celebração de TERMO</t>
  </si>
  <si>
    <t xml:space="preserve">op-8aacffe3bdeb</t>
  </si>
  <si>
    <t xml:space="preserve">Credenciamento no CHAMAMENTO PÚBLICO Nº. 002/2025, referente ao Credenciamento de Entidades sem fins lucrativo… — Paraná / Colombo</t>
  </si>
  <si>
    <t xml:space="preserve">Credenciamento no CHAMAMENTO PÚBLICO Nº. 002/2025, referente ao Credenciamento de Entidades sem fins lucrativos do Município de Colombo, para doação de bens móv</t>
  </si>
  <si>
    <t xml:space="preserve">Colombo</t>
  </si>
  <si>
    <t xml:space="preserve">https://pncp.gov.br/app/editais/76105634000170/2026/50</t>
  </si>
  <si>
    <t xml:space="preserve">op-fec06db58fe5</t>
  </si>
  <si>
    <t xml:space="preserve">Contratação dos serviços em saúde da credenciada INSTITUTO SANTÉ - HOSPITAL SÃO LUIZ - CNPJ nº 08.776.971/0002… — Santa Catarina</t>
  </si>
  <si>
    <t xml:space="preserve">Contratação dos serviços em saúde da credenciada INSTITUTO SANTÉ - HOSPITAL SÃO LUIZ - CNPJ nº 08.776.971/0002-10, oriundo do Edital nº 03/2025 - Chamada Públic</t>
  </si>
  <si>
    <t xml:space="preserve">PNCP — CONSORCIO INTERMUNICIPAL DE SAUDE DO NORDESTE DE SANTA CATARINA</t>
  </si>
  <si>
    <t xml:space="preserve">https://pncp.gov.br/app/editais/03222337000131/2026/39</t>
  </si>
  <si>
    <t xml:space="preserve">op-c66329ce6386</t>
  </si>
  <si>
    <t xml:space="preserve">Chamamento Público 008/2024. Seleção de Projetos destinados ao Apoio para produção cultural nas diversas áreas… — Paraná</t>
  </si>
  <si>
    <t xml:space="preserve">Chamamento Público 008/2024. Seleção de Projetos destinados ao Apoio para produção cultural nas diversas áreas de atuação, conforme previsão contida na Lei Comp</t>
  </si>
  <si>
    <t xml:space="preserve">https://pncp.gov.br/app/editais/76105634000170/2025/126</t>
  </si>
  <si>
    <t xml:space="preserve">op-a2e6e295f286</t>
  </si>
  <si>
    <t xml:space="preserve">Credenciamento de interessados em integrar o banco de avaliadores e pareceristas para, preenchidos os requisit… — Ceará</t>
  </si>
  <si>
    <t xml:space="preserve">CREDENCIAMENTO DE INTERESSADOS EM INTEGRAR O BANCO DE AVALIADORES E PARECERISTAS PARA, PREENCHIDOS OS REQUISITOS NECESSÁRIOS E SENDO CONVOCADOS, PRESTAR SERVIÇO</t>
  </si>
  <si>
    <t xml:space="preserve">PNCP — MUNICIPIO DE SOLONOPOLE</t>
  </si>
  <si>
    <t xml:space="preserve">https://pncp.gov.br/app/editais/07733256000157/2025/100</t>
  </si>
  <si>
    <t xml:space="preserve">op-8827a1bc30e6</t>
  </si>
  <si>
    <t xml:space="preserve">Chamamento Público visando à seleção de pessoas jurídicas de direito privado, incluindo empresas e entidades s… — São Paulo</t>
  </si>
  <si>
    <t xml:space="preserve">Chamamento Público visando à seleção de pessoas jurídicas de direito privado, incluindo empresas e entidades sem fins lucrativos, interessadas em participar e a</t>
  </si>
  <si>
    <t xml:space="preserve">https://pncp.gov.br/app/editais/44733608000109/2026/740</t>
  </si>
  <si>
    <t xml:space="preserve">op-d1c79c12c9a8</t>
  </si>
  <si>
    <t xml:space="preserve">Chamamento público de seleção de empresa do ramo da construção civil para elaboração de projeto e construção d… — Ceará</t>
  </si>
  <si>
    <t xml:space="preserve">CHAMAMENTO PÚBLICO DE SELEÇÃO DE EMPRESA DO RAMO DA CONSTRUÇÃO CIVIL PARA ELABORAÇÃO DE PROJETO E CONSTRUÇÃO DE 50 (CINQUENTA) UNIDADES HABITACIONAIS DO PROGRAM</t>
  </si>
  <si>
    <t xml:space="preserve">PNCP — MUNICIPIO DE MONSENHOR TABOSA</t>
  </si>
  <si>
    <t xml:space="preserve">https://pncp.gov.br/app/editais/07693989000105/2026/33</t>
  </si>
  <si>
    <t xml:space="preserve">op-29d23028b21c</t>
  </si>
  <si>
    <t xml:space="preserve">Chamamento público visando a formalização de parceria com organização da sociedade civil para através de termo… — Paraná</t>
  </si>
  <si>
    <t xml:space="preserve">CHAMAMENTO PÚBLICO VISANDO A FORMALIZAÇÃO DE PARCERIA COM ORGANIZAÇÃO DA SOCIEDADE CIVIL PARA ATRAVÉS DE TERMO DE FOMENTO PARA PROJETOS E PROGRAMAS DE APRENDIZA</t>
  </si>
  <si>
    <t xml:space="preserve">PNCP — MUNICIPIO DE CAMPO MOURAO</t>
  </si>
  <si>
    <t xml:space="preserve">https://pncp.gov.br/app/editais/75904524000106/2025/323</t>
  </si>
  <si>
    <t xml:space="preserve">op-e667c2a249b1</t>
  </si>
  <si>
    <t xml:space="preserve">Chamamento Público para habilitação de associações, cooperativas e/ou empresas/indústrias, visando ao recebime… — São Paulo</t>
  </si>
  <si>
    <t xml:space="preserve">Chamamento Público para habilitação de associações, cooperativas e/ou empresas/indústrias, visando ao recebimento de documentos (resíduos recicláveis e reutiliz</t>
  </si>
  <si>
    <t xml:space="preserve">PNCP — MUNICIPIO DE ARARAS</t>
  </si>
  <si>
    <t xml:space="preserve">https://pncp.gov.br/app/editais/44215846000114/2025/387</t>
  </si>
  <si>
    <t xml:space="preserve">op-3f3c0f76b158</t>
  </si>
  <si>
    <t xml:space="preserve">Chamamento público na modalidade de chancela para seleção de proposta visando à celebração de parceria com o M… — Santa Catarina / Guaramirim</t>
  </si>
  <si>
    <t xml:space="preserve">Chamamento público na modalidade de chancela para seleção de proposta visando à celebração de parceria com o Município de Guaramirim, por intermédio do Fundo da</t>
  </si>
  <si>
    <t xml:space="preserve">PNCP — FUNDO MUNICIPAL DOS DIREITOS DA CRIANCA E DO ADOLESCENTE DE GUARAMIRIM</t>
  </si>
  <si>
    <t xml:space="preserve">Guaramirim</t>
  </si>
  <si>
    <t xml:space="preserve">https://pncp.gov.br/app/editais/18123264000106/2026/1</t>
  </si>
  <si>
    <t xml:space="preserve">op-551d468de395</t>
  </si>
  <si>
    <t xml:space="preserve">Convocação pública para credenciamento destinada à qualificação de pessoas jurídicas de direito privado, sem f… — Rio de Janeiro</t>
  </si>
  <si>
    <t xml:space="preserve">CONVOCAÇÃO PÚBLICA PARA CREDENCIAMENTO DESTINADA À QUALIFICAÇÃO DE PESSOAS JURÍDICAS DE DIREITO PRIVADO, SEM FINS LUCRATIVOS, CUJAS ATIVIDADES SEJAM DIRIGIDAS À</t>
  </si>
  <si>
    <t xml:space="preserve">PNCP — FUNDO MUNICIPAL DE SAUDE DE PINHEIRAL</t>
  </si>
  <si>
    <t xml:space="preserve">https://pncp.gov.br/app/editais/01648573000199/2026/3</t>
  </si>
  <si>
    <t xml:space="preserve">op-035f45e0e45e</t>
  </si>
  <si>
    <t xml:space="preserve">Seleção de proposta para celebração de Termo de Colaboração com Organização de Sociedade Civil (OSC), para ser… — Rio Grande do Sul</t>
  </si>
  <si>
    <t xml:space="preserve">Seleção de proposta para celebração de Termo de Colaboração com Organização de Sociedade Civil (OSC), para serviço de intérpretes de libras para atendimento às </t>
  </si>
  <si>
    <t xml:space="preserve">https://pncp.gov.br/app/editais/88566872000162/2026/454</t>
  </si>
  <si>
    <t xml:space="preserve">op-3a4c307cc76c</t>
  </si>
  <si>
    <t xml:space="preserve">Chamamento público para celebração de contrato de gestão, tendo por objeto o gerenciamento, a operacionalizaçã… — São Paulo</t>
  </si>
  <si>
    <t xml:space="preserve">CHAMAMENTO PÚBLICO para celebração de CONTRATO DE GESTÃO, TENDO POR OBJETO O GERENCIAMENTO, A OPERACIONALIZAÇÃO E A EXECUÇÃO DE AÇÕES E SERVIÇOS DE SAÚDE NO ÂMB</t>
  </si>
  <si>
    <t xml:space="preserve">PNCP — MUNICIPIO DE NOVO HORIZONTE</t>
  </si>
  <si>
    <t xml:space="preserve">https://pncp.gov.br/app/editais/45152139000199/2026/49</t>
  </si>
  <si>
    <t xml:space="preserve">op-907886240d2c</t>
  </si>
  <si>
    <t xml:space="preserve">Contratação objetivando a recepção e seleção de instituições/ Organizações da Sociedade Civil - OSC's visando … — Santa Catarina</t>
  </si>
  <si>
    <t xml:space="preserve">Contratação objetivando a recepção e seleção de instituições/ Organizações da Sociedade Civil - OSC's visando o CREDENCIAMENTO e futura celebração de TERMO DE C</t>
  </si>
  <si>
    <t xml:space="preserve">PNCP — MUNICIPIO DE TIJUCAS</t>
  </si>
  <si>
    <t xml:space="preserve">https://pncp.gov.br/app/editais/82577636000165/2024/3</t>
  </si>
  <si>
    <t xml:space="preserve">op-0008f53abf3d</t>
  </si>
  <si>
    <t xml:space="preserve">Credenciamento de pessoa(s) jurídica(s) sem fins lucrativos interessada(s) em executar serviços de atendimento… — Paraná</t>
  </si>
  <si>
    <t xml:space="preserve">CREDENCIAMENTO DE PESSOA(S) JURÍDICA(S) SEM FINS LUCRATIVOS INTERESSADA(S) EM EXECUTAR SERVIÇOS DE ATENDIMENTO EDUCACIONAL A PESSOAS COM DEFICIÊNCIA (PREFERENCI</t>
  </si>
  <si>
    <t xml:space="preserve">PNCP — MUNICIPIO DE KALORE</t>
  </si>
  <si>
    <t xml:space="preserve">['OSC e associações', 'Pessoas com deficiência']</t>
  </si>
  <si>
    <t xml:space="preserve">https://pncp.gov.br/app/editais/75771238000110/2024/24</t>
  </si>
  <si>
    <t xml:space="preserve">op-fcb192aede47</t>
  </si>
  <si>
    <t xml:space="preserve">Credenciamento de instituições reconhecidas como Organizações da Sociedade Civil (OSC) junto à Secretaria Muni… — Rio Grande do Norte</t>
  </si>
  <si>
    <t xml:space="preserve">credenciamento de instituições reconhecidas como Organizações da Sociedade Civil (OSC) junto à Secretaria Municipal de Saúde para possíveis e futuras parcerias </t>
  </si>
  <si>
    <t xml:space="preserve">PNCP — MUNICIPIO DE NISIA FLORESTA</t>
  </si>
  <si>
    <t xml:space="preserve">https://pncp.gov.br/app/editais/08167306000149/2024/58</t>
  </si>
  <si>
    <t xml:space="preserve">op-68cce58a1e4a</t>
  </si>
  <si>
    <t xml:space="preserve">Credenciamento das entidades hospitalares filantrópicas ou privadas sem fins lucrativos, interessados em parti… — Paraná</t>
  </si>
  <si>
    <t xml:space="preserve">Credenciamento das entidades hospitalares filantrópicas ou privadas sem fins lucrativos, interessados em participar de forma complementar do Sistema Único de Sa</t>
  </si>
  <si>
    <t xml:space="preserve">PNCP — MUNICIPIO DE GUAIRA</t>
  </si>
  <si>
    <t xml:space="preserve">https://pncp.gov.br/app/editais/77857183000190/2024/257</t>
  </si>
  <si>
    <t xml:space="preserve">op-c89def25fe28</t>
  </si>
  <si>
    <t xml:space="preserve">CHAMAMENTO PUBLICO para fins de CREDENCIAMENTO de estabelecimentos de saude prestadores de servicos de diagnos… — Paraná</t>
  </si>
  <si>
    <t xml:space="preserve">CHAMAMENTO PUBLICO  para fins de CREDENCIAMENTO de estabelecimentos de saude prestadores de servicos de diagnostico objetivando a formalizacao de Contrato para </t>
  </si>
  <si>
    <t xml:space="preserve">PNCP — MUNICIPIO DE UBIRATA</t>
  </si>
  <si>
    <t xml:space="preserve">https://pncp.gov.br/app/editais/76950096000110/2024/136</t>
  </si>
  <si>
    <t xml:space="preserve">op-9175bf6cd2fe</t>
  </si>
  <si>
    <t xml:space="preserve">O objeto deste Chamamento Publico e selecionar Organizacao de Sociedade Civil sem fins lucrativos sem fins luc… — Paraná</t>
  </si>
  <si>
    <t xml:space="preserve">O objeto deste Chamamento Publico e selecionar Organizacao de Sociedade Civil  sem fins lucrativos  sem fins lucrativos destinados ao atendimento a Pessoas Idos</t>
  </si>
  <si>
    <t xml:space="preserve">PNCP — MUNICIPIO DE MARIOPOLIS</t>
  </si>
  <si>
    <t xml:space="preserve">https://pncp.gov.br/app/editais/76995323000124/2024/85</t>
  </si>
  <si>
    <t xml:space="preserve">op-27ecf032e3fb</t>
  </si>
  <si>
    <t xml:space="preserve">Credenciamento de Organizações da Sociedade Civil - OSCs, sem fins lucrativos, destinados a realização de 03 (… — Rio Grande do Sul</t>
  </si>
  <si>
    <t xml:space="preserve">Credenciamento de Organizações da Sociedade Civil - OSCs, sem fins lucrativos, destinados a realização de 03 (três) de projetos de ações/eventos natalinos ao ar</t>
  </si>
  <si>
    <t xml:space="preserve">https://pncp.gov.br/app/editais/87612537000190/2024/211</t>
  </si>
  <si>
    <t xml:space="preserve">op-52480507a630</t>
  </si>
  <si>
    <t xml:space="preserve">Credenciamento de organizações da sociedade civil, com sede em Farroupilha/RS, interessadas em formalizar parc… — Rio Grande do Sul</t>
  </si>
  <si>
    <t xml:space="preserve">Credenciamento de organizações da sociedade civil, com sede em Farroupilha/RS, interessadas em formalizar parceria com a Administração Pública, através de celeb</t>
  </si>
  <si>
    <t xml:space="preserve">PNCP — MUNICIPIO DE FARROUPILHA</t>
  </si>
  <si>
    <t xml:space="preserve">https://pncp.gov.br/app/editais/89848949000150/2025/176</t>
  </si>
  <si>
    <t xml:space="preserve">op-b216f0386220</t>
  </si>
  <si>
    <t xml:space="preserve">Chamamento publico de empresa especializada para captacao de recursos financeiros, por meio de patrocinio por … — Bahia</t>
  </si>
  <si>
    <t xml:space="preserve">CHAMAMENTO PUBLICO DE EMPRESA ESPECIALIZADA PARA CAPTACAO DE RECURSOS FINANCEIROS, POR MEIO DE PATROCINIO POR COTA E FORNECIMENTO EXCLUSIVO DE BEBIDAS E EXPLORA</t>
  </si>
  <si>
    <t xml:space="preserve">PNCP — MUNICIPIO DE IRAQUARA</t>
  </si>
  <si>
    <t xml:space="preserve">https://pncp.gov.br/app/editais/13922596000129/2025/64</t>
  </si>
  <si>
    <t xml:space="preserve">op-e2b52ed2c79a</t>
  </si>
  <si>
    <t xml:space="preserve">Credenciamento de Associação, Cooperativa e Empresas que atuam no segmento de segregação e destinação final am… — Minas Gerais</t>
  </si>
  <si>
    <t xml:space="preserve">Credenciamento de Associação, Cooperativa e Empresas que atuam no segmento de segregação e destinação final ambientalmente adequada para os resíduos recicláveis</t>
  </si>
  <si>
    <t xml:space="preserve">PNCP — MUNICIPIO DE JAPARAIBA</t>
  </si>
  <si>
    <t xml:space="preserve">https://pncp.gov.br/app/editais/18306654000103/2026/130</t>
  </si>
  <si>
    <t xml:space="preserve">op-7e13d4f192b2</t>
  </si>
  <si>
    <t xml:space="preserve">Credenciamento de instituições privadas, com ou sem fins lucrativos, prestadoras de serviços de saúde, interes… — Paraíba</t>
  </si>
  <si>
    <t xml:space="preserve">Credenciamento de instituições privadas, com ou sem fins lucrativos, prestadoras de serviços de saúde, 
interessadas em participar, de forma complementar, do s</t>
  </si>
  <si>
    <t xml:space="preserve">PNCP — GUARABIRA FUNDO MUNICIPAL DE SAUDE</t>
  </si>
  <si>
    <t xml:space="preserve">https://pncp.gov.br/app/editais/13844779000173/2025/8</t>
  </si>
  <si>
    <t xml:space="preserve">op-6bfc33a46449</t>
  </si>
  <si>
    <t xml:space="preserve">O presente chamamento público tem por objeto a captação de recursos financeiros, por meio de patrocínio de emp… — Paraná</t>
  </si>
  <si>
    <t xml:space="preserve">O presente chamamento público tem por objeto a captação de recursos financeiros, por meio de patrocínio de empresas públicas e/ou privadas, para a realização da</t>
  </si>
  <si>
    <t xml:space="preserve">PNCP — MUNICIPIO DE ALMIRANTE TAMANDARE</t>
  </si>
  <si>
    <t xml:space="preserve">https://pncp.gov.br/app/editais/76105659000174/2026/134</t>
  </si>
  <si>
    <t xml:space="preserve">op-05cfcfdc6f4e</t>
  </si>
  <si>
    <t xml:space="preserve">Município de PALMEIRA DOS ÍNDIOS — por intermédio da Secretaria Municipal de Cultura, torna público que realiz… — Alagoas</t>
  </si>
  <si>
    <t xml:space="preserve">O MUNICÍPIO DE PALMEIRA DOS ÍNDIOS, por intermédio da Secretaria Municipal de Cultura, torna público que realizará a Chamada Pública nº 04/2026, para abertura d</t>
  </si>
  <si>
    <t xml:space="preserve">PNCP — MUNICIPIO DE PALMEIRA DOS INDIOS</t>
  </si>
  <si>
    <t xml:space="preserve">https://pncp.gov.br/app/editais/12356879000198/2026/48</t>
  </si>
  <si>
    <t xml:space="preserve">op-a716eb581c2f</t>
  </si>
  <si>
    <t xml:space="preserve">A seleção e o fomento de 01 (um) projeto cultural coletivo de dança, voltado à criação, circulação e apresenta… — Bahia</t>
  </si>
  <si>
    <t xml:space="preserve">A seleção e o fomento de 01 (um) projeto cultural coletivo de dança, voltado à criação, circulação e apresentação de espetáculo(s) de dança de rua, a serem real</t>
  </si>
  <si>
    <t xml:space="preserve">PNCP — MUNICIPIO DE DIAS D'AVILA</t>
  </si>
  <si>
    <t xml:space="preserve">https://pncp.gov.br/app/editais/13394044000195/2026/22</t>
  </si>
  <si>
    <t xml:space="preserve">op-a26238790165</t>
  </si>
  <si>
    <t xml:space="preserve">Chamamento público destinado a instituições sem fins lucrativos, com atividades voltadas ao acolhimento e cuid… — Rondônia</t>
  </si>
  <si>
    <t xml:space="preserve">CHAMAMENTO PÚBLICO DESTINADO A INSTITUIÇÕES SEM FINS LUCRATIVOS, COM ATIVIDADES VOLTADAS AO ACOLHIMENTO E CUIDADOS DE ANIMAIS VITIMAS DE MAUS TRATOS, QUE ALMEJA</t>
  </si>
  <si>
    <t xml:space="preserve">PNCP — MUNICIPIO DE CACOAL</t>
  </si>
  <si>
    <t xml:space="preserve">https://pncp.gov.br/app/editais/04092714000128/2025/184</t>
  </si>
  <si>
    <t xml:space="preserve">op-1f5fd22e1be3</t>
  </si>
  <si>
    <t xml:space="preserve">Seleção de organizações da sociedade civil (osc) interessadas em celebrar termo de fomento que tenha por objet… — Ceará</t>
  </si>
  <si>
    <t xml:space="preserve">SELEÇÃO DE ORGANIZAÇÕES DA SOCIEDADE CIVIL (OSC) INTERESSADAS EM CELEBRAR TERMO DE FOMENTO QUE TENHA POR OBJETO A EXECUÇÃO DE AÇÕES VOLTADAS À PROMOÇÃO, PROTEÇÃ</t>
  </si>
  <si>
    <t xml:space="preserve">https://pncp.gov.br/app/editais/07728421000182/2026/59</t>
  </si>
  <si>
    <t xml:space="preserve">op-51045d4f2d7f</t>
  </si>
  <si>
    <t xml:space="preserve">Seleção de Organizações da Sociedade Civil - OSC, sem fins lucrativos, para celebrar Termo de Colaboração, vol… — Rio Grande do Sul</t>
  </si>
  <si>
    <t xml:space="preserve">Seleção de Organizações da Sociedade Civil - OSC, sem fins lucrativos, para celebrar Termo de Colaboração, voltadas ao atendimento de pessoas idosas, com idade </t>
  </si>
  <si>
    <t xml:space="preserve">https://pncp.gov.br/app/editais/87612537000190/2024/208</t>
  </si>
  <si>
    <t xml:space="preserve">op-2135314f7dd1</t>
  </si>
  <si>
    <t xml:space="preserve">Contratação artística, segundo edital de chamamento público nº 001/25 - Processo Administrativo 16155/25 de 30… — São Paulo</t>
  </si>
  <si>
    <t xml:space="preserve">Contratação artística, segundo edital de chamamento público nº 001/25 - Processo Administrativo 16155/25 de 30/07/2025 - Grupos 2 - Música Sertanejo Universitár</t>
  </si>
  <si>
    <t xml:space="preserve">PNCP — MUNICIPIO DE SAO CARLOS</t>
  </si>
  <si>
    <t xml:space="preserve">https://pncp.gov.br/app/editais/45358249000101/2025/1589</t>
  </si>
  <si>
    <t xml:space="preserve">op-db37b2e55025</t>
  </si>
  <si>
    <t xml:space="preserve">Chamamento público , através do Edital da PNAB( Politica Nacional Aldir Blanc- Lei nº 14.399/2022). — Rio Grande do Sul</t>
  </si>
  <si>
    <t xml:space="preserve">chamamento público , através do Edital da PNAB( Politica Nacional Aldir Blanc- Lei nº 14.399/2022).</t>
  </si>
  <si>
    <t xml:space="preserve">PNCP — MUNICIPIO DE DOIS IRMAOS</t>
  </si>
  <si>
    <t xml:space="preserve">https://pncp.gov.br/app/editais/88254891000153/2025/102</t>
  </si>
  <si>
    <t xml:space="preserve">op-56a9f398fabf</t>
  </si>
  <si>
    <t xml:space="preserve">Chamamento público, em caráter emergencial, de entidades de direito privado, sem fins lucrativos, para se qual… — Ceará</t>
  </si>
  <si>
    <t xml:space="preserve">CHAMAMENTO PÚBLICO, EM CARÁTER EMERGENCIAL, DE ENTIDADES DE DIREITO PRIVADO, SEM FINS LUCRATIVOS, PARA SE QUALIFICAREM COMO ORGANIZAÇÃO SOCIAL (OS), NA ÁREA DE </t>
  </si>
  <si>
    <t xml:space="preserve">PNCP — MUNICIPIO DE ACOPIARA</t>
  </si>
  <si>
    <t xml:space="preserve">https://pncp.gov.br/app/editais/07847379000119/2024/118</t>
  </si>
  <si>
    <t xml:space="preserve">op-9d12e047b0fd</t>
  </si>
  <si>
    <t xml:space="preserve">Credenciamento de entidades filantrópicas sem fins lucrativos cadastradas no Sistema de Cadastro Nacional de E… — Rio de Janeiro</t>
  </si>
  <si>
    <t xml:space="preserve">Credenciamento de entidades filantrópicas sem fins lucrativos cadastradas no Sistema de Cadastro Nacional de Estabelecimentos de Saúde (CNES), e de pessoa (s) j</t>
  </si>
  <si>
    <t xml:space="preserve">PNCP — MUNICIPIO DE VALENCA</t>
  </si>
  <si>
    <t xml:space="preserve">https://pncp.gov.br/app/editais/29076130000190/2025/115</t>
  </si>
  <si>
    <t xml:space="preserve">op-b6df4f85e518</t>
  </si>
  <si>
    <t xml:space="preserve">Chamamento público para seleção de organizações da sociedade civil (oscs) para credenciamento de serviços de a… — São Paulo</t>
  </si>
  <si>
    <t xml:space="preserve">CHAMAMENTO PÚBLICO PARA SELEÇÃO DE ORGANIZAÇÕES DA SOCIEDADE CIVIL (OSCS) PARA CREDENCIAMENTO DE SERVIÇOS DE ATENÇÃO RESIDENCIAL DE CARÁTER TRANSITÓRIO, CARACTE</t>
  </si>
  <si>
    <t xml:space="preserve">PNCP — MUNICIPIO DE BAURU</t>
  </si>
  <si>
    <t xml:space="preserve">https://pncp.gov.br/app/editais/46137410000180/2023/18</t>
  </si>
  <si>
    <t xml:space="preserve">op-574232db9dbe</t>
  </si>
  <si>
    <t xml:space="preserve">Chamamento público para seleção de organizações da sociedade civil para execução de projetos inovadores e/ou c… — Santa Catarina</t>
  </si>
  <si>
    <t xml:space="preserve">CHAMAMENTO PÚBLICO PARA SELEÇÃO DE ORGANIZAÇÕES DA SOCIEDADE CIVIL PARA EXECUÇÃO DE PROJETOS INOVADORES E/OU COMPLEMENTARES À POLÍTICA DE ASSISTÊNCIA SOCIAL E Q</t>
  </si>
  <si>
    <t xml:space="preserve">PNCP — FUNDO MUNICIPAL DE ASSISTENCIA SOCIAL DE GUARAMIRIM</t>
  </si>
  <si>
    <t xml:space="preserve">https://pncp.gov.br/app/editais/13884310000168/2023/11</t>
  </si>
  <si>
    <t xml:space="preserve">op-e011d49b8baa</t>
  </si>
  <si>
    <t xml:space="preserve">Chamamento público por credenciamento para premiação de agente cultural, atividades ou ações de cultura do mun… — Minas Gerais</t>
  </si>
  <si>
    <t xml:space="preserve">CHAMAMENTO PÚBLICO POR CREDENCIAMENTO PARA PREMIAÇÃO DE AGENTE CULTURAL, ATIVIDADES OU AÇÕES DE CULTURA DO MUNICÍPIO DE CONFINS, NOS TERMOS DOS RECURSOS DA POLÍ</t>
  </si>
  <si>
    <t xml:space="preserve">https://pncp.gov.br/app/editais/01006232000110/2024/69</t>
  </si>
  <si>
    <t xml:space="preserve">op-756facdd1eb6</t>
  </si>
  <si>
    <t xml:space="preserve">Edital de fomento para apoio a projetos com recursos da lei complementar nº 195/2022 (lei paulo gustavo) – inc… — Bahia</t>
  </si>
  <si>
    <t xml:space="preserve">EDITAL DE FOMENTO PARA APOIO A PROJETOS COM RECURSOS DA LEI COMPLEMENTAR Nº 195/2022 (LEI PAULO GUSTAVO) – INCISOS I, II E III DO ART. 6º. AUDIOVISUAL, PRODUÇÃO</t>
  </si>
  <si>
    <t xml:space="preserve">PNCP — MUNICIPIO DE GUARATINGA</t>
  </si>
  <si>
    <t xml:space="preserve">https://pncp.gov.br/app/editais/13634985000159/2024/5</t>
  </si>
  <si>
    <t xml:space="preserve">op-0a52868754b6</t>
  </si>
  <si>
    <t xml:space="preserve">CREDENCIAMENTO de entidades ou organizações sem fins lucrativos para prestação dos serviços de coleta, transpo… — Paraná</t>
  </si>
  <si>
    <t xml:space="preserve">CREDENCIAMENTO de entidades ou organizações sem fins lucrativos para prestação dos serviços de coleta, transporte e destinação final adequada do lixo eletrônico</t>
  </si>
  <si>
    <t xml:space="preserve">PNCP — SERVICO AUTONOMO MUNICIPAL DE AGUA E ESGOTO</t>
  </si>
  <si>
    <t xml:space="preserve">https://pncp.gov.br/app/editais/78079639000100/2026/46</t>
  </si>
  <si>
    <t xml:space="preserve">op-43341946717b</t>
  </si>
  <si>
    <t xml:space="preserve">Chamamento Público para CREDENCIAMENTO de entidades de utilidade pública sem fins lucrativos, para entabulação… — Ceará / São Benedito</t>
  </si>
  <si>
    <t xml:space="preserve">Chamamento Público para CREDENCIAMENTO de entidades de utilidade pública sem fins lucrativos, para entabulação de parceria com o Município de São Benedito/CE, n</t>
  </si>
  <si>
    <t xml:space="preserve">PNCP — MUNICIPIO DE SAO BENEDITO</t>
  </si>
  <si>
    <t xml:space="preserve">São Benedito</t>
  </si>
  <si>
    <t xml:space="preserve">https://pncp.gov.br/app/editais/07778129000174/2024/14</t>
  </si>
  <si>
    <t xml:space="preserve">op-75654dba6a62</t>
  </si>
  <si>
    <t xml:space="preserve">Chamamento Público tem por objeto a seleção de propostas/plano de trabalho das organizações da sociedade civil… — Paraná</t>
  </si>
  <si>
    <t xml:space="preserve">Chamamento Público tem por objeto a seleção de propostas/plano de trabalho das organizações da sociedade civil interessadas na celebração de Termo de Colaboraçã</t>
  </si>
  <si>
    <t xml:space="preserve">PNCP — MUNICIPIO DE NOVA ESPERANCA</t>
  </si>
  <si>
    <t xml:space="preserve">https://pncp.gov.br/app/editais/75730994000109/2024/281</t>
  </si>
  <si>
    <t xml:space="preserve">op-04107cba0592</t>
  </si>
  <si>
    <t xml:space="preserve">Selecao de projetos culturais com recursos da politica nacional aldir blanc de fomento a cultura pnab lei n 14… — Paraná</t>
  </si>
  <si>
    <t xml:space="preserve">SELECAO DE PROJETOS CULTURAIS COM RECURSOS DA POLITICA NACIONAL ALDIR BLANC DE FOMENTO A CULTURA   PNAB  LEI N  14.399 2022    FOMENTO A CULTURA DE IPORA.</t>
  </si>
  <si>
    <t xml:space="preserve">PNCP — MUNICIPIO DE IPORA</t>
  </si>
  <si>
    <t xml:space="preserve">https://pncp.gov.br/app/editais/75738484000170/2025/72</t>
  </si>
  <si>
    <t xml:space="preserve">op-70d51e3139df</t>
  </si>
  <si>
    <t xml:space="preserve">Chamamento Publico de Pessoas Juridicas Interessadas em se credenciar para fornecimento de servicos de projeto… — Rio Grande do Sul</t>
  </si>
  <si>
    <t xml:space="preserve">Chamamento Publico de Pessoas Juridicas Interessadas em se credenciar para fornecimento de servicos de projeto  implantacao  operacao  manutencao e gestao de in</t>
  </si>
  <si>
    <t xml:space="preserve">PNCP — MUNICIPIO DE SAO JOSE DO NORTE</t>
  </si>
  <si>
    <t xml:space="preserve">https://pncp.gov.br/app/editais/88568902000170/2026/153</t>
  </si>
  <si>
    <t xml:space="preserve">op-131348d5c183</t>
  </si>
  <si>
    <t xml:space="preserve">Chamamento público para seleção de patrocínio para apresentação de peça teatral, ônibus laboratório, atividade… — São Paulo</t>
  </si>
  <si>
    <t xml:space="preserve">Chamamento público para seleção de patrocínio para apresentação de peça teatral, ônibus laboratório, atividades ambientais e subsidiar materiais recicláveis par</t>
  </si>
  <si>
    <t xml:space="preserve">https://pncp.gov.br/app/editais/44733608000109/2025/465</t>
  </si>
  <si>
    <t xml:space="preserve">op-2a1f0ca92cb2</t>
  </si>
  <si>
    <t xml:space="preserve">O presente Chamamento Público reger-se-á pela legislação aplicável à espécie, especialmente pela Lei nº 11.977… — Rio de Janeiro</t>
  </si>
  <si>
    <t xml:space="preserve">O presente Chamamento Público reger-se-á pela legislação aplicável à espécie, especialmente pela Lei nº 11.977, de 07 de julho de 2009, que instituiu o Programa</t>
  </si>
  <si>
    <t xml:space="preserve">https://pncp.gov.br/app/editais/39485396000140/2026/33</t>
  </si>
  <si>
    <t xml:space="preserve">op-701f5862b9ed</t>
  </si>
  <si>
    <t xml:space="preserve">Credenciamento via chamamento público, destinada à convocação de entidades sem fins lucrativos destinadas à as… — Paraná</t>
  </si>
  <si>
    <t xml:space="preserve">CREDENCIAMENTO VIA CHAMAMENTO PÚBLICO, DESTINADA À CONVOCAÇÃO DE ENTIDADES SEM FINS LUCRATIVOS DESTINADAS À ASSISTÊNCIA SOCIAL E À EDUCAÇÃO PARA A REALIZAÇÃO, E</t>
  </si>
  <si>
    <t xml:space="preserve">PNCP — MUNICIPIO DE FLORAI</t>
  </si>
  <si>
    <t xml:space="preserve">https://pncp.gov.br/app/editais/75731000000160/2026/51</t>
  </si>
  <si>
    <t xml:space="preserve">op-d642e7f2a384</t>
  </si>
  <si>
    <t xml:space="preserve">Chamamento Publico n° 01/2024 com as organizações da Sociedade Civil para a execução do Carnaval 2024 de Alvor… — Rio Grande do Sul</t>
  </si>
  <si>
    <t xml:space="preserve">Chamamento Publico  n° 01/2024 com as organizações da Sociedade Civil para a execução do Carnaval 2024 de Alvorada/RS.</t>
  </si>
  <si>
    <t xml:space="preserve">https://pncp.gov.br/app/editais/88000906000157/2024/59</t>
  </si>
  <si>
    <t xml:space="preserve">op-03fe13307916</t>
  </si>
  <si>
    <t xml:space="preserve">Contratação do proponente MARIA SALETE CORREIA , para apresentação do Atos Henrique e Banda, selecionado e cla… — São Paulo</t>
  </si>
  <si>
    <t xml:space="preserve">Contratação do proponente MARIA SALETE CORREIA , para apresentação do Atos Henrique e Banda, selecionado e classificado no Edital do Chamamento Público 01/2025,</t>
  </si>
  <si>
    <t xml:space="preserve">https://pncp.gov.br/app/editais/45358249000101/2026/259</t>
  </si>
  <si>
    <t xml:space="preserve">op-6db75d125c5c</t>
  </si>
  <si>
    <t xml:space="preserve">Edital de chamamento público, em conformidade com a lei federal nº 14.399/2022, para a seleção de projetos cul… — Rio Grande do Sul</t>
  </si>
  <si>
    <t xml:space="preserve">EDITAL DE CHAMAMENTO PÚBLICO, EM CONFORMIDADE COM A LEI FEDERAL Nº 14.399/2022, PARA A SELEÇÃO DE PROJETOS CULTURAIS PARA FIRMAR TERMO DE EXECUÇÃO CULTURAL, NAS</t>
  </si>
  <si>
    <t xml:space="preserve">https://pncp.gov.br/app/editais/87849923000109/2026/294</t>
  </si>
  <si>
    <t xml:space="preserve">op-de6cb7b4716d</t>
  </si>
  <si>
    <t xml:space="preserve">Credenciamento de entidades públicas, filantrópicas e/ou sem fins lucrativos e entidades privadas, prestadoras… — Rio de Janeiro</t>
  </si>
  <si>
    <t xml:space="preserve">Credenciamento de entidades públicas, filantrópicas e/ou sem fins lucrativos e entidades privadas, prestadoras de serviço profissionais na área da saúde, em ate</t>
  </si>
  <si>
    <t xml:space="preserve">PNCP — MUNICIPIO DE BARRA MANSA</t>
  </si>
  <si>
    <t xml:space="preserve">https://pncp.gov.br/app/editais/28695658000184/2023/49</t>
  </si>
  <si>
    <t xml:space="preserve">op-479194ffb6f4</t>
  </si>
  <si>
    <t xml:space="preserve">Edital de seleção de projetos culturais para firmar termo de execução cultural com recursos da política nacion… — Rio de Janeiro</t>
  </si>
  <si>
    <t xml:space="preserve">EDITAL DE SELEÇÃO DE PROJETOS CULTURAIS PARA FIRMAR TERMO DE EXECUÇÃO CULTURAL COM RECURSOS DA POLÍTICA NACIONAL ALDIR BLANC DE FOMENTO À CULTURA – PNAB (LEI Nº</t>
  </si>
  <si>
    <t xml:space="preserve">PNCP — MUNICIPIO DE PINHEIRAL</t>
  </si>
  <si>
    <t xml:space="preserve">https://pncp.gov.br/app/editais/01612981000190/2025/154</t>
  </si>
  <si>
    <t xml:space="preserve">captacao-098</t>
  </si>
  <si>
    <t xml:space="preserve">FEAS-GO - cofinanciamento da assistência social — Goiás</t>
  </si>
  <si>
    <t xml:space="preserve">FEAS-GO - cofinanciamento da assistência social</t>
  </si>
  <si>
    <t xml:space="preserve">captacao-099</t>
  </si>
  <si>
    <t xml:space="preserve">FMAS Goiânia - parceria socioassistencial — Goiás / Goiânia</t>
  </si>
  <si>
    <t xml:space="preserve">FMAS Goiânia - parceria socioassistencial</t>
  </si>
  <si>
    <t xml:space="preserve">captacao-192</t>
  </si>
  <si>
    <t xml:space="preserve">Justiça Federal em Goiás - prestações pecuniárias — Goiás</t>
  </si>
  <si>
    <t xml:space="preserve">Justiça Federal em Goiás - prestações pecuniárias</t>
  </si>
  <si>
    <t xml:space="preserve">captacao-190</t>
  </si>
  <si>
    <t xml:space="preserve">TJGO - penas pecuniárias 1ª Vara de Execução Penal de Goiânia — Goiás / Goiânia</t>
  </si>
  <si>
    <t xml:space="preserve">captacao-191</t>
  </si>
  <si>
    <t xml:space="preserve">TJGO - penas pecuniárias em comarcas do interior — Goiás</t>
  </si>
  <si>
    <t xml:space="preserve">TJGO - penas pecuniárias em comarcas do interior</t>
  </si>
  <si>
    <t xml:space="preserve">captacao-115</t>
  </si>
  <si>
    <t xml:space="preserve">FMDCA Goiânia - projeto aprovado pelo CMDCA — Goiás / Goiânia</t>
  </si>
  <si>
    <t xml:space="preserve">FMDCA Goiânia - projeto aprovado pelo CMDCA</t>
  </si>
  <si>
    <t xml:space="preserve">captacao-120</t>
  </si>
  <si>
    <t xml:space="preserve">Projeto de convivência de crianças e adolescentes — Goiás</t>
  </si>
  <si>
    <t xml:space="preserve">Projeto de convivência de crianças e adolescentes</t>
  </si>
  <si>
    <t xml:space="preserve">captacao-055</t>
  </si>
  <si>
    <t xml:space="preserve">Projeto de esporte para crianças e adolescentes — Goiás</t>
  </si>
  <si>
    <t xml:space="preserve">Projeto de esporte para crianças e adolescentes</t>
  </si>
  <si>
    <t xml:space="preserve">captacao-080</t>
  </si>
  <si>
    <t xml:space="preserve">Projeto de mediação de leitura para crianças — Goiás</t>
  </si>
  <si>
    <t xml:space="preserve">Projeto de mediação de leitura para crianças</t>
  </si>
  <si>
    <t xml:space="preserve">captacao-133</t>
  </si>
  <si>
    <t xml:space="preserve">Projeto intergeracional criança-idoso — Goiás</t>
  </si>
  <si>
    <t xml:space="preserve">Projeto intergeracional criança-idoso</t>
  </si>
  <si>
    <t xml:space="preserve">captacao-126</t>
  </si>
  <si>
    <t xml:space="preserve">Fundo Estadual dos Direitos da Pessoa Idosa Goiás — Goiás</t>
  </si>
  <si>
    <t xml:space="preserve">Conselho Estadual do Idoso de Goiás</t>
  </si>
  <si>
    <t xml:space="preserve">captacao-038</t>
  </si>
  <si>
    <t xml:space="preserve">Editais FICA Goiás - artes visuais/exposição — Goiás</t>
  </si>
  <si>
    <t xml:space="preserve">FICA — Festival Internacional de Cinema e Vídeo Ambiental (Secult-GO)</t>
  </si>
  <si>
    <t xml:space="preserve">https://goias.gov.br/cultura/lancados-editais-para-selecao-de-artistas-goianos-participarem-do-fica-2025/</t>
  </si>
  <si>
    <t xml:space="preserve">{'observacao': 'Série oficial identificada na API do site goias.gov.br (publicações 2023–2025): FICA. Categoria específica pode ter edital próprio; conferir no Diário Oficial.'}</t>
  </si>
  <si>
    <t xml:space="preserve">captacao-112</t>
  </si>
  <si>
    <t xml:space="preserve">Projeto de apoio a mulheres em vulnerabilidade — Goiás</t>
  </si>
  <si>
    <t xml:space="preserve">Projeto de apoio a mulheres em vulnerabilidade</t>
  </si>
  <si>
    <t xml:space="preserve">captacao-109</t>
  </si>
  <si>
    <t xml:space="preserve">Projeto de inclusão produtiva de famílias — Goiás</t>
  </si>
  <si>
    <t xml:space="preserve">Projeto de inclusão produtiva de famílias</t>
  </si>
  <si>
    <t xml:space="preserve">captacao-111</t>
  </si>
  <si>
    <t xml:space="preserve">Projeto de segurança alimentar comunitária — Goiás</t>
  </si>
  <si>
    <t xml:space="preserve">Projeto de segurança alimentar comunitária</t>
  </si>
  <si>
    <t xml:space="preserve">captacao-097</t>
  </si>
  <si>
    <t xml:space="preserve">Protege Goiás - financiamento indireto de programas sociais — Goiás</t>
  </si>
  <si>
    <t xml:space="preserve">Protege Goiás - financiamento indireto de programas sociais</t>
  </si>
  <si>
    <t xml:space="preserve">curadoria-009</t>
  </si>
  <si>
    <t xml:space="preserve">SECULT Goiás — chamamentos públicos da Lei 13.019/2014 — Goiás</t>
  </si>
  <si>
    <t xml:space="preserve">SECULT Goiás — chamamentos públicos da Lei 13.019/2014</t>
  </si>
  <si>
    <t xml:space="preserve">Secretaria de Estado da Cultura de Goiás — SECULT</t>
  </si>
  <si>
    <t xml:space="preserve">captacao-096</t>
  </si>
  <si>
    <t xml:space="preserve">SEDS Goiás - Água, energia e esgoto para entidades — Goiás</t>
  </si>
  <si>
    <t xml:space="preserve">SEDS Goiás - Água, energia e esgoto para entidades</t>
  </si>
  <si>
    <t xml:space="preserve">captacao-177</t>
  </si>
  <si>
    <t xml:space="preserve">SEMAD Goiás - banco de projetos de autocomposição ambiental — Goiás</t>
  </si>
  <si>
    <t xml:space="preserve">SEMAD Goiás - banco de projetos de autocomposição ambiental</t>
  </si>
  <si>
    <t xml:space="preserve">Semad-GO</t>
  </si>
  <si>
    <t xml:space="preserve">https://goias.gov.br/meioambiente/</t>
  </si>
  <si>
    <t xml:space="preserve">captacao-146</t>
  </si>
  <si>
    <t xml:space="preserve">SES-GO - chamamento para gestão/serviços de unidade de saúde — Goiás</t>
  </si>
  <si>
    <t xml:space="preserve">SES-GO - chamamento para gestão/serviços de unidade de saúde</t>
  </si>
  <si>
    <t xml:space="preserve">Secretaria de Estado da Saúde (SES-GO)</t>
  </si>
  <si>
    <t xml:space="preserve">https://goias.gov.br/saude/</t>
  </si>
  <si>
    <t xml:space="preserve">captacao-148</t>
  </si>
  <si>
    <t xml:space="preserve">SES-GO - termo de fomento em saúde — Goiás</t>
  </si>
  <si>
    <t xml:space="preserve">SES-GO - termo de fomento em saúde</t>
  </si>
  <si>
    <t xml:space="preserve">captacao-104</t>
  </si>
  <si>
    <t xml:space="preserve">Termo de Fomento estadual para entidade social — Goiás</t>
  </si>
  <si>
    <t xml:space="preserve">Termo de Fomento estadual para entidade social</t>
  </si>
  <si>
    <t xml:space="preserve">captacao-014</t>
  </si>
  <si>
    <t xml:space="preserve">Lei Municipal nº 7.957/2000 — Goiás / Goiânia</t>
  </si>
  <si>
    <t xml:space="preserve">Lei Municipal nº 7.957/2000</t>
  </si>
  <si>
    <t xml:space="preserve">2024-06-14</t>
  </si>
  <si>
    <t xml:space="preserve">https://www.goiania.go.gov.br/agora/inscricao-em-edital-para-lei-municipal-de-incentivo-a-cultura-termina-nesta-sexta-14-6</t>
  </si>
  <si>
    <t xml:space="preserve">{'observacao': 'Lei Municipal de Incentivo à Cultura (Lei 7.957/2000): edição 2024 comprovada; 2023 e 2025 não localizadas.'}</t>
  </si>
  <si>
    <t xml:space="preserve">espalhado-crcgo-org-br</t>
  </si>
  <si>
    <t xml:space="preserve">PNCP — CONSELHO REGIONAL DE CONTABILIDADE DO ESTADO DE GOIAS — oportunidades (espalhado de edital validado) — Goiás</t>
  </si>
  <si>
    <t xml:space="preserve">PNCP — CONSELHO REGIONAL DE CONTABILIDADE DO ESTADO DE GOIAS — oportunidades (espalhado de edital validado)</t>
  </si>
  <si>
    <t xml:space="preserve">https://crcgo.org.br/</t>
  </si>
  <si>
    <t xml:space="preserve">espalhado-acessoainformacao-cavalcante-go-gov-br</t>
  </si>
  <si>
    <t xml:space="preserve">PNCP — FUNDO MUNICIPAL DE CULTURA - CAVALCANTE — oportunidades (espalhado de edital validado) — Goiás</t>
  </si>
  <si>
    <t xml:space="preserve">PNCP — FUNDO MUNICIPAL DE CULTURA - CAVALCANTE — oportunidades (espalhado de edital validado)</t>
  </si>
  <si>
    <t xml:space="preserve">PNCP — FUNDO MUNICIPAL DE CULTURA - CAVALCANTE</t>
  </si>
  <si>
    <t xml:space="preserve">https://acessoainformacao.cavalcante.go.gov.br/</t>
  </si>
  <si>
    <t xml:space="preserve">espalhado-senadorcanedo-go-gov-br</t>
  </si>
  <si>
    <t xml:space="preserve">PNCP — FUNDO MUNICIPAL DE EDUCACAO E CULTURA - FMEC — oportunidades (espalhado de edital validado) — Goiás</t>
  </si>
  <si>
    <t xml:space="preserve">PNCP — FUNDO MUNICIPAL DE EDUCACAO E CULTURA - FMEC — oportunidades (espalhado de edital validado)</t>
  </si>
  <si>
    <t xml:space="preserve">https://senadorcanedo.go.gov.br/</t>
  </si>
  <si>
    <t xml:space="preserve">captacao-070</t>
  </si>
  <si>
    <t xml:space="preserve">Parceria com SME Goiânia para contraturno/educação integral — Goiás / Goiânia</t>
  </si>
  <si>
    <t xml:space="preserve">Parceria com SME Goiânia para contraturno/educação integral</t>
  </si>
  <si>
    <t xml:space="preserve">https://www.goiania.go.gov.br/educacao/</t>
  </si>
  <si>
    <t xml:space="preserve">captacao-087</t>
  </si>
  <si>
    <t xml:space="preserve">Projeto de combate à evasão escolar — Goiás</t>
  </si>
  <si>
    <t xml:space="preserve">Projeto de combate à evasão escolar</t>
  </si>
  <si>
    <t xml:space="preserve">captacao-123</t>
  </si>
  <si>
    <t xml:space="preserve">Projeto de cultura para adolescentes — Goiás</t>
  </si>
  <si>
    <t xml:space="preserve">Projeto de cultura para adolescentes</t>
  </si>
  <si>
    <t xml:space="preserve">captacao-082</t>
  </si>
  <si>
    <t xml:space="preserve">Projeto de empreendedorismo juvenil — Goiás</t>
  </si>
  <si>
    <t xml:space="preserve">Projeto de empreendedorismo juvenil</t>
  </si>
  <si>
    <t xml:space="preserve">captacao-124</t>
  </si>
  <si>
    <t xml:space="preserve">Projeto de esporte para adolescentes — Goiás</t>
  </si>
  <si>
    <t xml:space="preserve">Projeto de esporte para adolescentes</t>
  </si>
  <si>
    <t xml:space="preserve">captacao-089</t>
  </si>
  <si>
    <t xml:space="preserve">Projeto de formação para famílias e parentalidade — Goiás</t>
  </si>
  <si>
    <t xml:space="preserve">Projeto de formação para famílias e parentalidade</t>
  </si>
  <si>
    <t xml:space="preserve">captacao-138</t>
  </si>
  <si>
    <t xml:space="preserve">Projeto de prevenção ao trabalho infantil — Goiás</t>
  </si>
  <si>
    <t xml:space="preserve">Projeto de prevenção ao trabalho infantil</t>
  </si>
  <si>
    <t xml:space="preserve">captacao-122</t>
  </si>
  <si>
    <t xml:space="preserve">Projeto de protagonismo juvenil — Goiás</t>
  </si>
  <si>
    <t xml:space="preserve">Projeto de protagonismo juvenil</t>
  </si>
  <si>
    <t xml:space="preserve">captacao-121</t>
  </si>
  <si>
    <t xml:space="preserve">Projeto de proteção contra violações de direitos — Goiás</t>
  </si>
  <si>
    <t xml:space="preserve">Projeto de proteção contra violações de direitos</t>
  </si>
  <si>
    <t xml:space="preserve">captacao-101</t>
  </si>
  <si>
    <t xml:space="preserve">SEMASDH Goiânia - República para jovens — Goiás / Goiânia</t>
  </si>
  <si>
    <t xml:space="preserve">SEMASDH Goiânia - República para jovens</t>
  </si>
  <si>
    <t xml:space="preserve">SEMASDH Goiânia / Fundo Municipal de Assistência Social (CMAS)</t>
  </si>
  <si>
    <t xml:space="preserve">captacao-100</t>
  </si>
  <si>
    <t xml:space="preserve">SEMASDH Goiânia - acolhimento institucional — Goiás / Goiânia</t>
  </si>
  <si>
    <t xml:space="preserve">SEMASDH Goiânia - acolhimento institucional</t>
  </si>
  <si>
    <t xml:space="preserve">captacao-102</t>
  </si>
  <si>
    <t xml:space="preserve">SEMASDH Goiânia - serviço de acolhimento para adolescentes — Goiás / Goiânia</t>
  </si>
  <si>
    <t xml:space="preserve">SEMASDH Goiânia - serviço de acolhimento para adolescentes</t>
  </si>
  <si>
    <t xml:space="preserve">captacao-149</t>
  </si>
  <si>
    <t xml:space="preserve">SMS Goiânia - parceria com entidade de saúde — Goiás / Goiânia</t>
  </si>
  <si>
    <t xml:space="preserve">https://saude.goiania.go.gov.br/</t>
  </si>
  <si>
    <t xml:space="preserve">captacao-212</t>
  </si>
  <si>
    <t xml:space="preserve">TCM-GO - regularidade municipal e controle — Goiás</t>
  </si>
  <si>
    <t xml:space="preserve">TCM-GO - regularidade municipal e controle</t>
  </si>
  <si>
    <t xml:space="preserve">Tribunal de Contas dos Municípios de Goiás</t>
  </si>
  <si>
    <t xml:space="preserve">https://www.tcm.go.gov.br/</t>
  </si>
  <si>
    <t xml:space="preserve">captacao-103</t>
  </si>
  <si>
    <t xml:space="preserve">Termo de Fomento municipal para entidade social — Goiás / Goiânia</t>
  </si>
  <si>
    <t xml:space="preserve">Termo de Fomento municipal para entidade social</t>
  </si>
  <si>
    <t xml:space="preserve">curadoria-003</t>
  </si>
  <si>
    <t xml:space="preserve">Movimento Bem Maior — Edital Futuro Bem Maior — Brasil</t>
  </si>
  <si>
    <t xml:space="preserve">Movimento Bem Maior — Edital Futuro Bem Maior</t>
  </si>
  <si>
    <t xml:space="preserve">Movimento Bem Maior</t>
  </si>
  <si>
    <t xml:space="preserve">https://editais.movimentobemmaior.org.br/2026/</t>
  </si>
  <si>
    <t xml:space="preserve">6º Edital Futuro Bem Maior</t>
  </si>
  <si>
    <t xml:space="preserve">até R$ 100 mil (33 selecionadas)</t>
  </si>
  <si>
    <t xml:space="preserve">Movimento Bem Maior / Instituto Phomenta / Instituto Phi</t>
  </si>
  <si>
    <t xml:space="preserve">captacao-147</t>
  </si>
  <si>
    <t xml:space="preserve">SES-GO - atuação em rede com OSC celebrante — Goiás</t>
  </si>
  <si>
    <t xml:space="preserve">SES-GO - atuação em rede com OSC celebrante</t>
  </si>
  <si>
    <t xml:space="preserve">captacao-025</t>
  </si>
  <si>
    <t xml:space="preserve">PNAB Goiás - Artes Visuais — Goiás</t>
  </si>
  <si>
    <t xml:space="preserve">PNAB Goiás - Artes Visuais</t>
  </si>
  <si>
    <t xml:space="preserve">captacao-017</t>
  </si>
  <si>
    <t xml:space="preserve">PNAB Goiás - Artesanato — Goiás</t>
  </si>
  <si>
    <t xml:space="preserve">PNAB Goiás - Artesanato</t>
  </si>
  <si>
    <t xml:space="preserve">captacao-016</t>
  </si>
  <si>
    <t xml:space="preserve">PNAB Goiás - Circo — Goiás</t>
  </si>
  <si>
    <t xml:space="preserve">PNAB Goiás - Circo</t>
  </si>
  <si>
    <t xml:space="preserve">captacao-028</t>
  </si>
  <si>
    <t xml:space="preserve">PNAB Goiás - Cultura no Social — Goiás</t>
  </si>
  <si>
    <t xml:space="preserve">PNAB Goiás - Cultura no Social</t>
  </si>
  <si>
    <t xml:space="preserve">captacao-021</t>
  </si>
  <si>
    <t xml:space="preserve">PNAB Goiás - Goiás pelo Mundo Afora — Goiás</t>
  </si>
  <si>
    <t xml:space="preserve">PNAB Goiás - Goiás pelo Mundo Afora</t>
  </si>
  <si>
    <t xml:space="preserve">captacao-023</t>
  </si>
  <si>
    <t xml:space="preserve">PNAB Goiás - Literatura — Goiás</t>
  </si>
  <si>
    <t xml:space="preserve">PNAB Goiás - Literatura</t>
  </si>
  <si>
    <t xml:space="preserve">captacao-019</t>
  </si>
  <si>
    <t xml:space="preserve">PNAB Goiás - Manutenção Continuada de Espaços de Cultura — Goiás</t>
  </si>
  <si>
    <t xml:space="preserve">PNAB Goiás - Manutenção Continuada de Espaços de Cultura</t>
  </si>
  <si>
    <t xml:space="preserve">captacao-026</t>
  </si>
  <si>
    <t xml:space="preserve">PNAB Goiás - Manutenção Continuada de Grupos/Companhias — Goiás</t>
  </si>
  <si>
    <t xml:space="preserve">PNAB Goiás - Manutenção Continuada de Grupos/Companhias</t>
  </si>
  <si>
    <t xml:space="preserve">captacao-030</t>
  </si>
  <si>
    <t xml:space="preserve">PNAB Goiás - Pontões de Cultura — Goiás</t>
  </si>
  <si>
    <t xml:space="preserve">PNAB Goiás - Pontões de Cultura</t>
  </si>
  <si>
    <t xml:space="preserve">captacao-015</t>
  </si>
  <si>
    <t xml:space="preserve">PNAB Goiás - Teatro — Goiás</t>
  </si>
  <si>
    <t xml:space="preserve">PNAB Goiás - Teatro</t>
  </si>
  <si>
    <t xml:space="preserve">captacao-007</t>
  </si>
  <si>
    <t xml:space="preserve">PNAB Goiânia - Arte e Mídias Interativas — Goiás / Goiânia</t>
  </si>
  <si>
    <t xml:space="preserve">PNAB Goiânia - Arte e Mídias Interativas</t>
  </si>
  <si>
    <t xml:space="preserve">captacao-002</t>
  </si>
  <si>
    <t xml:space="preserve">PNAB Goiânia - Artes Visuais — Goiás / Goiânia</t>
  </si>
  <si>
    <t xml:space="preserve">PNAB Goiânia - Artes Visuais</t>
  </si>
  <si>
    <t xml:space="preserve">captacao-009</t>
  </si>
  <si>
    <t xml:space="preserve">PNAB Goiânia - Ações Formativas — Goiás / Goiânia</t>
  </si>
  <si>
    <t xml:space="preserve">PNAB Goiânia - Ações Formativas</t>
  </si>
  <si>
    <t xml:space="preserve">captacao-013</t>
  </si>
  <si>
    <t xml:space="preserve">PNAB Goiânia - Bolsas Cultura Viva para Mestras e Mestres — Goiás / Goiânia</t>
  </si>
  <si>
    <t xml:space="preserve">PNAB Goiânia - Bolsas Cultura Viva para Mestras e Mestres</t>
  </si>
  <si>
    <t xml:space="preserve">captacao-005</t>
  </si>
  <si>
    <t xml:space="preserve">PNAB Goiânia - Circo — Goiás / Goiânia</t>
  </si>
  <si>
    <t xml:space="preserve">PNAB Goiânia - Circo</t>
  </si>
  <si>
    <t xml:space="preserve">captacao-008</t>
  </si>
  <si>
    <t xml:space="preserve">PNAB Goiânia - Literatura e Mídias Impressas — Goiás / Goiânia</t>
  </si>
  <si>
    <t xml:space="preserve">PNAB Goiânia - Literatura e Mídias Impressas</t>
  </si>
  <si>
    <t xml:space="preserve">captacao-011</t>
  </si>
  <si>
    <t xml:space="preserve">PNAB Goiânia - Obras e Reformas de Espaços Culturais — Goiás / Goiânia</t>
  </si>
  <si>
    <t xml:space="preserve">PNAB Goiânia - Obras e Reformas de Espaços Culturais</t>
  </si>
  <si>
    <t xml:space="preserve">captacao-010</t>
  </si>
  <si>
    <t xml:space="preserve">PNAB Goiânia - Patrimônio Cultural Material e Imaterial — Goiás / Goiânia</t>
  </si>
  <si>
    <t xml:space="preserve">PNAB Goiânia - Patrimônio Cultural Material e Imaterial</t>
  </si>
  <si>
    <t xml:space="preserve">captacao-003</t>
  </si>
  <si>
    <t xml:space="preserve">PNAB Goiânia - Teatro — Goiás / Goiânia</t>
  </si>
  <si>
    <t xml:space="preserve">PNAB Goiânia - Teatro</t>
  </si>
  <si>
    <t xml:space="preserve">nova-2109bafc97e3</t>
  </si>
  <si>
    <t xml:space="preserve">Entidades Assistenciais — Brasil</t>
  </si>
  <si>
    <t xml:space="preserve">Entidades Assistenciais</t>
  </si>
  <si>
    <t xml:space="preserve">https://www.prt18.mpt.mp.br/servicos/entidades-assistenciais</t>
  </si>
  <si>
    <t xml:space="preserve">captacao-176</t>
  </si>
  <si>
    <t xml:space="preserve">BNDES Corais - meio ambiente — Brasil</t>
  </si>
  <si>
    <t xml:space="preserve">{'observacao': "Aberturas de ciclos anteriores nao constam na pagina atual; 4º ciclo nao localizado. Patrocinios: pagina oficial lista 'ciclos indicativos' de 2026 (fluxo continuo, nao selecao com inscricao datada) e Selecao Publica 01/2025 (Longa-metragem) e Edital de Cinema 2026 sem datas lidas; nao registrados. | não verificado: Datas de abertura dos ciclos 1 a 3 e 5 do Periferias (paginas dos </t>
  </si>
  <si>
    <t xml:space="preserve">captacao-220</t>
  </si>
  <si>
    <t xml:space="preserve">BNDES Fundo Socioambiental — Brasil</t>
  </si>
  <si>
    <t xml:space="preserve">BNDES Fundo Socioambiental</t>
  </si>
  <si>
    <t xml:space="preserve">https://www.bndes.gov.br/wps/portal/site/home/onde-atuamos/desenvolvimento-social-e-urbano/bndes-fundo-social</t>
  </si>
  <si>
    <t xml:space="preserve">captacao-174</t>
  </si>
  <si>
    <t xml:space="preserve">BNDES Fundo Socioambiental - chamada permanente — Brasil</t>
  </si>
  <si>
    <t xml:space="preserve">BNDES Fundo Socioambiental - chamada permanente</t>
  </si>
  <si>
    <t xml:space="preserve">captacao-175</t>
  </si>
  <si>
    <t xml:space="preserve">BNDES Periferias - geração de emprego e renda — Brasil</t>
  </si>
  <si>
    <t xml:space="preserve">BNDES Periferias - geração de emprego e renda</t>
  </si>
  <si>
    <t xml:space="preserve">https://www.bndes.gov.br/periferias</t>
  </si>
  <si>
    <t xml:space="preserve">{'observacao': "Aberturas de ciclos anteriores nao constam na pagina atual; 4º ciclo nao localizado. Patrocinios: pagina oficial lista 'ciclos indicativos' de 2026 (fluxo continuo, nao selecao com inscricao datada) e Selecao Publica 01/2025 (Longa-metragem) e Edital de Cinema 2026 sem datas lidas; nao registrados."}</t>
  </si>
  <si>
    <t xml:space="preserve">captacao-195</t>
  </si>
  <si>
    <t xml:space="preserve">CNJ/CNMP - bens e valores de ações coletivas — Brasil</t>
  </si>
  <si>
    <t xml:space="preserve">CNJ/CNMP - bens e valores de ações coletivas</t>
  </si>
  <si>
    <t xml:space="preserve">nova-5683dde2381a</t>
  </si>
  <si>
    <t xml:space="preserve">Quatro iniciativas vencem premiação do CNJ em gestão de pessoas do Judiciário — Brasil</t>
  </si>
  <si>
    <t xml:space="preserve">Quatro iniciativas vencem premiação do CNJ em gestão de pessoas do Judiciário</t>
  </si>
  <si>
    <t xml:space="preserve">https://www.cnj.jus.br/quatro-iniciativas-vencem-premiacao-do-cnj-em-gestao-de-pessoas-do-judiciario</t>
  </si>
  <si>
    <t xml:space="preserve">nova-11c258992c72</t>
  </si>
  <si>
    <t xml:space="preserve">Webinar gratuito vai orientar OSCs sobre prestação de contas e gestão financeira — Brasil</t>
  </si>
  <si>
    <t xml:space="preserve">Webinar gratuito vai orientar OSCs sobre prestação de contas e gestão financeira</t>
  </si>
  <si>
    <t xml:space="preserve">https://captadores.org.br/noticias/webinar-gratuito-vai-orientar-oscs-sobre-prestacao-de-contas-e-gestao-financeira</t>
  </si>
  <si>
    <t xml:space="preserve">nova-f757416e3e40</t>
  </si>
  <si>
    <t xml:space="preserve">Edital de chamamento de ex-empregados celetistas da extinta Fundação de Promoção Social — Goiás</t>
  </si>
  <si>
    <t xml:space="preserve">Edital de chamamento de ex-empregados celetistas da extinta Fundação de Promoção Social</t>
  </si>
  <si>
    <t xml:space="preserve">https://goias.gov.br/social/edital-de-chamamento-de-ex-empregados-celetistas-da-extinta-fundacao-de-promocao-social</t>
  </si>
  <si>
    <t xml:space="preserve">nova-c214cd2736fe</t>
  </si>
  <si>
    <t xml:space="preserve">Fundação Itaú cria canal de transmissão com o público interessado em arte e educação Pelo WhatsApp, é possível… — Brasil</t>
  </si>
  <si>
    <t xml:space="preserve">Fundação Itaú cria canal de transmissão com o público interessado em arte e educação Pelo WhatsApp, é possível ficar por</t>
  </si>
  <si>
    <t xml:space="preserve">https://www.fundacaoitau.org.br/noticias/cultura/fundacao-itau-cria-canal-de-transmissao-com-o-publico-interessado-em-arte-e-educacao</t>
  </si>
  <si>
    <t xml:space="preserve">captacao-224</t>
  </si>
  <si>
    <t xml:space="preserve">Fundação Telefônica Vivo — Brasil</t>
  </si>
  <si>
    <t xml:space="preserve">Fundação Telefônica Vivo</t>
  </si>
  <si>
    <t xml:space="preserve">https://fundacaotelefonicavivo.org.br/</t>
  </si>
  <si>
    <t xml:space="preserve">{'observacao': "Pagina oficial /recursos-incentivados/ (resumo WebFetch) indica proposta via plataforma hubdoincentivo e o texto 'Mais informacoes quando as inscricoes forem abertas'; sem datas de edicao. Home sem edital com datas. Busca interna ?s=edital bloqueada por robots.txt. Navegador Chrome falhou (extensao) e bloqueou JS com query string. | não verificado: https://fundacaotelefonicavivo.hu</t>
  </si>
  <si>
    <t xml:space="preserve">curadoria-005</t>
  </si>
  <si>
    <t xml:space="preserve">Fundação Tide Setubal — Edital Territórios Clínicos — São Paulo</t>
  </si>
  <si>
    <t xml:space="preserve">Fundação Tide Setubal — Edital Territórios Clínicos</t>
  </si>
  <si>
    <t xml:space="preserve">https://fundacaotidesetubal.org.br/editais/</t>
  </si>
  <si>
    <t xml:space="preserve">{'observacao': 'VERIFICADO em 03/10/2026 (busca web e site da Fundação Tide Setubal): Territórios Clínicos 2026 sem edição equivalente anterior achada. Primeira edição conhecida.'}</t>
  </si>
  <si>
    <t xml:space="preserve">captacao-228</t>
  </si>
  <si>
    <t xml:space="preserve">Instituto Localiza — Brasil</t>
  </si>
  <si>
    <t xml:space="preserve">Instituto Localiza</t>
  </si>
  <si>
    <t xml:space="preserve">https://institutolocaliza.com.br/</t>
  </si>
  <si>
    <t xml:space="preserve">{'observacao': 'institutolocaliza.org/vem-com-a-gente diz apenas: selecao ocorre por cartas-convite e editais publicos periodicos; sem datas. institutolocaliza.com.br nao resolveu (robots/DNS). Nenhuma edicao registrada. | não verificado: https://www.institutolocaliza.org/siteinst-localiza-ssr/projetos-apoiados; Instagram/LinkedIn do Instituto Localiza (anuncios de editais 2023-2026); institutoloc</t>
  </si>
  <si>
    <t xml:space="preserve">captacao-226</t>
  </si>
  <si>
    <t xml:space="preserve">Instituto Natura — Brasil</t>
  </si>
  <si>
    <t xml:space="preserve">Instituto Natura</t>
  </si>
  <si>
    <t xml:space="preserve">https://www.institutonatura.org/</t>
  </si>
  <si>
    <t xml:space="preserve">{'observacao': 'Home e /parcerias/ do institutonatura.org (consultados 03/10/2026) não listam editais/chamadas para OSC; /editais retorna 404. Parcerias é só lista de parceiros. | não verificado: Redes sociais/LinkedIn do Instituto Natura; Seções de notícias do site por chamadas pontuais (ex.: Educação, Direitos das Mulheres); Plataformas de terceiros (ex.: parceiros executores) que operem seleçõe</t>
  </si>
  <si>
    <t xml:space="preserve">nova-8a1dc698eac9</t>
  </si>
  <si>
    <t xml:space="preserve">Instituto de Engenharia contrata profissional de Captação de Recursos — Brasil</t>
  </si>
  <si>
    <t xml:space="preserve">Instituto de Engenharia contrata profissional de Captação de Recursos</t>
  </si>
  <si>
    <t xml:space="preserve">https://captadores.org.br/vagas/instituto-de-engenharia-contrata-profissional-de-captacao-de-recursos</t>
  </si>
  <si>
    <t xml:space="preserve">nova-18c08c2fdcfa</t>
  </si>
  <si>
    <t xml:space="preserve">Resíduos sólidos: edital para seleção de projetos que receberão apoio na implantação — Goiás</t>
  </si>
  <si>
    <t xml:space="preserve">Resíduos sólidos: edital para seleção de projetos que receberão apoio na implantação</t>
  </si>
  <si>
    <t xml:space="preserve">https://goias.gov.br/meioambiente/residuos-solidos-edital-para-selecao-de-projetos-que-receberao-apoio-na-implantacao</t>
  </si>
  <si>
    <t xml:space="preserve">captacao-130</t>
  </si>
  <si>
    <t xml:space="preserve">Projeto de convivência para idosos — Brasil</t>
  </si>
  <si>
    <t xml:space="preserve">Projeto de convivência para idosos</t>
  </si>
  <si>
    <t xml:space="preserve">captacao-131</t>
  </si>
  <si>
    <t xml:space="preserve">Projeto de inclusão digital da pessoa idosa — Brasil</t>
  </si>
  <si>
    <t xml:space="preserve">Projeto de inclusão digital da pessoa idosa</t>
  </si>
  <si>
    <t xml:space="preserve">captacao-244</t>
  </si>
  <si>
    <t xml:space="preserve">BID – Laboratório de Inovação — Internacional</t>
  </si>
  <si>
    <t xml:space="preserve">BID – Laboratório de Inovação</t>
  </si>
  <si>
    <t xml:space="preserve">BID</t>
  </si>
  <si>
    <t xml:space="preserve">https://www.iadb.org/pt-br</t>
  </si>
  <si>
    <t xml:space="preserve">Financiar inovação em estágio inicial na América Latina e Caribe via fundos de VC, equity e dívida</t>
  </si>
  <si>
    <t xml:space="preserve">Fundos de VC: US$2–10 mi; equity seed US$200–500 mil; Série A/B US$1–3 mi</t>
  </si>
  <si>
    <t xml:space="preserve">BID Lab / BID</t>
  </si>
  <si>
    <t xml:space="preserve">América Latina e Caribe</t>
  </si>
  <si>
    <t xml:space="preserve">Internacional (banco multilateral)</t>
  </si>
  <si>
    <t xml:space="preserve">Gestores de fundos ou startups de alto impacto; população pobre e vulnerável</t>
  </si>
  <si>
    <t xml:space="preserve">Formulários de aplicação por produto; guidelines</t>
  </si>
  <si>
    <t xml:space="preserve">Investimento em fundos e empresas; dívida para startups tech</t>
  </si>
  <si>
    <t xml:space="preserve">Inovação e inclusão social e financeira</t>
  </si>
  <si>
    <t xml:space="preserve">{'observacao': "BID – Laboratório de Inovação: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</si>
  <si>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captacao-243</t>
  </si>
  <si>
    <t xml:space="preserve">Banco Mundial – Social Development Grants — Internacional</t>
  </si>
  <si>
    <t xml:space="preserve">Banco Mundial – Social Development Grants</t>
  </si>
  <si>
    <t xml:space="preserve">Banco Mundial</t>
  </si>
  <si>
    <t xml:space="preserve">https://www.worldbank.org/pt/country/brazil</t>
  </si>
  <si>
    <t xml:space="preserve">Brasil (página-país)</t>
  </si>
  <si>
    <t xml:space="preserve">{'observacao': "Banco Mundial – Social Development Grants: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</t>
  </si>
  <si>
    <t xml:space="preserve">captacao-255</t>
  </si>
  <si>
    <t xml:space="preserve">Climate Justice Resilience Fund — Internacional</t>
  </si>
  <si>
    <t xml:space="preserve">Climate Justice Resilience Fund</t>
  </si>
  <si>
    <t xml:space="preserve">https://www.cjrfund.org/</t>
  </si>
  <si>
    <t xml:space="preserve">https://cjrfund.org/</t>
  </si>
  <si>
    <t xml:space="preserve">Valor, Anexos</t>
  </si>
  <si>
    <t xml:space="preserve">Estratégia 2026–30: impactos climáticos, alternativas positivas, reformulação do ecossistema de financiamento</t>
  </si>
  <si>
    <t xml:space="preserve">Resultados da chamada 2024 divulgados em 26/11/2024 (leitura anterior)</t>
  </si>
  <si>
    <t xml:space="preserve">Comunidades na linha de frente do clima; mulheres, jovens e povos indígenas</t>
  </si>
  <si>
    <t xml:space="preserve">Internacional, filantropia</t>
  </si>
  <si>
    <t xml:space="preserve">Trabalho de justiça climática liderado por comunidades</t>
  </si>
  <si>
    <t xml:space="preserve">Grants por três áreas de mudança</t>
  </si>
  <si>
    <t xml:space="preserve">Justiça climática</t>
  </si>
  <si>
    <t xml:space="preserve">{'observacao': 'edição datada só parcialmente'}</t>
  </si>
  <si>
    <t xml:space="preserve">captacao-259</t>
  </si>
  <si>
    <t xml:space="preserve">Echoing Green — Internacional</t>
  </si>
  <si>
    <t xml:space="preserve">Echoing Green</t>
  </si>
  <si>
    <t xml:space="preserve">https://echoinggreen.org/</t>
  </si>
  <si>
    <t xml:space="preserve">Resultado, Valor, Destinação</t>
  </si>
  <si>
    <t xml:space="preserve">Fellowship para líderes de iniciativas em estágio inicial, desenho de soluções com as comunidades</t>
  </si>
  <si>
    <t xml:space="preserve">Fellowship 2026: inscrições encerradas na leitura; data não exibida</t>
  </si>
  <si>
    <t xml:space="preserve">Líderes de todo o mundo</t>
  </si>
  <si>
    <t xml:space="preserve">Empreendimento em estágio inicial; especialista no desafio; baixar worksheet, critérios e orientação de vídeo</t>
  </si>
  <si>
    <t xml:space="preserve">Offline application worksheet; sample Q&amp;A; selection criteria; video guidance</t>
  </si>
  <si>
    <t xml:space="preserve">Justiça social e desigualdade sistêmica</t>
  </si>
  <si>
    <t xml:space="preserve">{'observacao': "Echoing Green: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</si>
  <si>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captacao-256</t>
  </si>
  <si>
    <t xml:space="preserve">GEF Small Grants — Internacional</t>
  </si>
  <si>
    <t xml:space="preserve">GEF Small Grants</t>
  </si>
  <si>
    <t xml:space="preserve">GEF Small Grants Programme</t>
  </si>
  <si>
    <t xml:space="preserve">https://sgp.undp.org/</t>
  </si>
  <si>
    <t xml:space="preserve">https://fundoecos.org.br/edital/edital-50o-4o-2026-paisagens-prioritarias/</t>
  </si>
  <si>
    <t xml:space="preserve">Apoiar OSCs e organizações de base comunitária do Cerrado e da Caatinga em práticas socioeconômicas sustentáveis com benefício ambiental (45º edital); no SGP global, financiar projetos comunitários nas áreas de trabalho do GEF</t>
  </si>
  <si>
    <t xml:space="preserve">45º edital (2/2025): publicado 17/09/2025, envio até 10/11/2025 18h. 50º edital (4/2026): publicado 21/09/2026, envio até 11/11/2026 18h (paisagens Alto Poti PI, Sul do Maranhão MA, Oeste da Bahia BA). Edital 51º (Kaiowá e Guarani) até 11/11/2026; 52º (induzido, com senha) até 08/10/2026</t>
  </si>
  <si>
    <t xml:space="preserve">45º: o cronograma do PDF previa divulgação em 28/01/2026 e a página do edital informa 'até 25/03/2026'; lista de selecionados publicada em março/2026. 50º: resultado até fevereiro/2027</t>
  </si>
  <si>
    <t xml:space="preserve">45º: US$ 940 mil (≈ R$ 5 mi) no total; Pequenos Projetos até R$ 150 mil e Projetos de Consolidação até R$ 250 mil; 50º: R$ 5,04 mi (GEF). Regra geral SGP: máx. US$ 75 mil por grant, tipicamente US$ 25–50 mil</t>
  </si>
  <si>
    <t xml:space="preserve">Fundo Global para o Meio Ambiente (GEF) com o PNUD; executor no Brasil: ISPN (Fundo Ecos)</t>
  </si>
  <si>
    <t xml:space="preserve">Municípios dos biomas Cerrado e Caatinga (categorização IBGE 2024); o 50º é restrito a três paisagens prioritárias</t>
  </si>
  <si>
    <t xml:space="preserve">Internacional (GEF/PNUD) executado no Brasil por ONG</t>
  </si>
  <si>
    <t xml:space="preserve">ONG (associação sem fins lucrativos, sindicato ou cooperativa) constituída há pelo menos 2 anos; beneficiar agricultores familiares, povos e comunidades tradicionais ou indígenas; execução até 18 meses; temática do edital; ata, estatuto, ata de diretoria, CNPJ regular, CPF e RG dos representantes. N</t>
  </si>
  <si>
    <t xml:space="preserve">Edital completo (PDF); A1 Plano de Trabalho; A2 Indicadores; A3 Orçamento e memória de cálculo; A4 Cronograma; roteiro offline; metodologia de seleção</t>
  </si>
  <si>
    <t xml:space="preserve">Projetos comunitários de até 18 meses; itens financiáveis e não financiáveis no item 7 do edital; contrapartida/compromisso comunitário no item 7.1; repasse em pelo menos 3 parcelas</t>
  </si>
  <si>
    <t xml:space="preserve">Meio ambiente, uso sustentável, agroecologia, gestão territorial, comunicação e cultura ligadas à conservação</t>
  </si>
  <si>
    <t xml:space="preserve">{'observacao': 'execução brasileira do GEF SGP pelo ISPN; 2 anos datados'}</t>
  </si>
  <si>
    <t xml:space="preserve">captacao-250</t>
  </si>
  <si>
    <t xml:space="preserve">Gates Foundation — Internacional</t>
  </si>
  <si>
    <t xml:space="preserve">Gates Foundation</t>
  </si>
  <si>
    <t xml:space="preserve">https://www.gatesfoundation.org/</t>
  </si>
  <si>
    <t xml:space="preserve">Fundação que combate pobreza, doença e desigualdade; concede grants a parceiros identificados pela equipe</t>
  </si>
  <si>
    <t xml:space="preserve">Atuação em mais de 130 países; maioria dos grants para organizações isentas dos EUA (501(c)(3)) e outras identificadas pela equipe</t>
  </si>
  <si>
    <t xml:space="preserve">Organização identificada pela equipe ou que responda a RFP/Grand Challenge; maioria dos grants vai a 501(c)(3) e isentas</t>
  </si>
  <si>
    <t xml:space="preserve">Salvar a vida de mães e bebês, ampliar oportunidade econômica, acabar com doenças infecciosas; programas como desenvolvimento agrícola, infraestrutura pública digital e malária</t>
  </si>
  <si>
    <t xml:space="preserve">{'observacao': "Gates Foundation: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</si>
  <si>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captacao-252</t>
  </si>
  <si>
    <t xml:space="preserve">Meta Community Grants — Internacional</t>
  </si>
  <si>
    <t xml:space="preserve">Meta Community Grants</t>
  </si>
  <si>
    <t xml:space="preserve">https://www.facebook.com/community/</t>
  </si>
  <si>
    <t xml:space="preserve">Órgão / financiador</t>
  </si>
  <si>
    <t xml:space="preserve">{'observacao': "Meta Community Grants: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</si>
  <si>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captacao-253</t>
  </si>
  <si>
    <t xml:space="preserve">Microsoft Philanthropies — Internacional</t>
  </si>
  <si>
    <t xml:space="preserve">Microsoft Philanthropies</t>
  </si>
  <si>
    <t xml:space="preserve">https://www.microsoft.com/pt-br/corporate-responsibility/philanthropies</t>
  </si>
  <si>
    <t xml:space="preserve">Subsídios e soluções com desconto em tecnologia para organizações sem fins lucrativos qualificadas</t>
  </si>
  <si>
    <t xml:space="preserve">Microsoft</t>
  </si>
  <si>
    <t xml:space="preserve">Organização com status legal reconhecido em seu país, equivalente ao 501(c)(3)</t>
  </si>
  <si>
    <t xml:space="preserve">ONG com status legal equivalente a 501(c)(3); bibliotecas e museus públicos; termos de uso adicionais</t>
  </si>
  <si>
    <t xml:space="preserve">Uso de tecnologia na missão</t>
  </si>
  <si>
    <t xml:space="preserve">Qualquer área elegível do terceiro setor</t>
  </si>
  <si>
    <t xml:space="preserve">{'observacao': "Microsoft Philanthropies: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</si>
  <si>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captacao-248</t>
  </si>
  <si>
    <t xml:space="preserve">Open Society Foundations — Internacional</t>
  </si>
  <si>
    <t xml:space="preserve">Open Society Foundations</t>
  </si>
  <si>
    <t xml:space="preserve">https://www.opensocietyfoundations.org/</t>
  </si>
  <si>
    <t xml:space="preserve">Resultado, Valor, Requisitos, Anexos, Destinação, Área de atuação</t>
  </si>
  <si>
    <t xml:space="preserve">Página de grants e fellowships com filtros por região e tipo; item listado: Open Society Fellowship (intelectuais públicos de sete cidades)</t>
  </si>
  <si>
    <t xml:space="preserve">Open Society Fellowship: prazo 'Passed' (encerrado) na leitura de 03/10/2026; sem data legível</t>
  </si>
  <si>
    <t xml:space="preserve">Filtros: África, América Latina e Caribe, Oriente Médio e Norte da África, Estados Unidos</t>
  </si>
  <si>
    <t xml:space="preserve">{'observacao': "Open Society Foundations: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</si>
  <si>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captacao-242</t>
  </si>
  <si>
    <t xml:space="preserve">PNUD – Small Grants Programme — Internacional</t>
  </si>
  <si>
    <t xml:space="preserve">PNUD – Small Grants Programme</t>
  </si>
  <si>
    <t xml:space="preserve">PNUD Brasil</t>
  </si>
  <si>
    <t xml:space="preserve">https://www.undp.org/pt/brazil</t>
  </si>
  <si>
    <t xml:space="preserve">{'observacao': 'mesmo programa de captacao-256'}</t>
  </si>
  <si>
    <t xml:space="preserve">captacao-257</t>
  </si>
  <si>
    <t xml:space="preserve">Rockefeller Foundation — Internacional</t>
  </si>
  <si>
    <t xml:space="preserve">Rockefeller Foundation</t>
  </si>
  <si>
    <t xml:space="preserve">https://www.rockefellerfoundation.org/</t>
  </si>
  <si>
    <t xml:space="preserve">Valor, Território, Destinação</t>
  </si>
  <si>
    <t xml:space="preserve">Grants, contratos e outras ferramentas para resolver problemas na raiz com inovação</t>
  </si>
  <si>
    <t xml:space="preserve">Convite da fundação; não há inscrição</t>
  </si>
  <si>
    <t xml:space="preserve">'Big bets' da fundação, entre elas Universal Energy Abundance; frentes: tecnologia de fronteira, modelos comunitários, dados e finanças inovadoras</t>
  </si>
  <si>
    <t xml:space="preserve">{'observacao': "Rockefeller Foundation: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</si>
  <si>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captacao-258</t>
  </si>
  <si>
    <t xml:space="preserve">Skoll Foundation — Internacional</t>
  </si>
  <si>
    <t xml:space="preserve">Skoll Foundation</t>
  </si>
  <si>
    <t xml:space="preserve">https://skoll.org/</t>
  </si>
  <si>
    <t xml:space="preserve">Resultado, Valor, Território, Anexos, Destinação</t>
  </si>
  <si>
    <t xml:space="preserve">Skoll Awards for Social Innovation: investimento em número limitado de organizações alinhadas à missão</t>
  </si>
  <si>
    <t xml:space="preserve">Alinhamento à missão e aos critérios do SASI; não concede grants a indivíduos; sem financiamento fora do programa de prêmios</t>
  </si>
  <si>
    <t xml:space="preserve">Inovação social (Skoll Award for Social Innovation)</t>
  </si>
  <si>
    <t xml:space="preserve">{'observacao': "Skoll Foundation: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</si>
  <si>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captacao-240</t>
  </si>
  <si>
    <t xml:space="preserve">UNESCO – Fundo Internacional para Diversidade Cultural — Internacional</t>
  </si>
  <si>
    <t xml:space="preserve">UNESCO – Fundo Internacional para Diversidade Cultural</t>
  </si>
  <si>
    <t xml:space="preserve">UNESCO — Fundo Internacional para a Diversidade Cultural</t>
  </si>
  <si>
    <t xml:space="preserve">https://www.unesco.org/creativity/pt/ifcd</t>
  </si>
  <si>
    <t xml:space="preserve">2026-03-23</t>
  </si>
  <si>
    <t xml:space="preserve">https://www.unesco.org/creativity/en/ifcd</t>
  </si>
  <si>
    <t xml:space="preserve">Financiar projetos que fortaleçam setores culturais e criativos e políticas culturais em países em desenvolvimento Partes da Convenção de 2005</t>
  </si>
  <si>
    <t xml:space="preserve">2024 (15ª chamada): lançada em 15/04/2024, prazo 14/06/2024 12h Paris. 2025 (16ª): 19/03 a 21/05/2025. 2026 (17ª): 23/03 a 06/05/2026</t>
  </si>
  <si>
    <t xml:space="preserve">Decisão pelo Comitê Intergovernamental da Convenção, em janeiro (2027: 12–15/01/2027 para a chamada 2026)</t>
  </si>
  <si>
    <t xml:space="preserve">até US$ 100.000 por projeto</t>
  </si>
  <si>
    <t xml:space="preserve">UNESCO — Fundo Internacional para a Diversidade Cultural (contribuições voluntárias dos Estados Partes)</t>
  </si>
  <si>
    <t xml:space="preserve">Países em desenvolvimento Partes da Convenção de 2005; Brasil elegível</t>
  </si>
  <si>
    <t xml:space="preserve">Internacional (multilateral)</t>
  </si>
  <si>
    <t xml:space="preserve">ONG ou entidade sem fins lucrativos de Parte elegível, com projeto de natureza cultural e pré-seleção nacional (Comissão Nacional da UNESCO); detalhes nas diretrizes da chamada</t>
  </si>
  <si>
    <t xml:space="preserve">Formulário de candidatura e diretrizes operacionais publicados com cada chamada</t>
  </si>
  <si>
    <t xml:space="preserve">Projetos de setores criativos, políticas culturais e cooperação; sem custeio de dívidas</t>
  </si>
  <si>
    <t xml:space="preserve">Cultura e economia criativa</t>
  </si>
  <si>
    <t xml:space="preserve">{'observacao': 'ouro: 3 anos consecutivos'}</t>
  </si>
  <si>
    <t xml:space="preserve">captacao-241</t>
  </si>
  <si>
    <t xml:space="preserve">UNICEF – Programas de parceria com OSC — Internacional</t>
  </si>
  <si>
    <t xml:space="preserve">UNICEF – Programas de parceria com OSC</t>
  </si>
  <si>
    <t xml:space="preserve">UNICEF Brasil</t>
  </si>
  <si>
    <t xml:space="preserve">https://www.unicef.org/brazil/</t>
  </si>
  <si>
    <t xml:space="preserve">Página de oportunidades para fornecedores e parceiros; exemplo vigente LRPS-2026-9206432 (aulas de português a funcionários) — não aderente à A.M.C.</t>
  </si>
  <si>
    <t xml:space="preserve">Convite vigente: propostas até 21/10/2026 18h (Brasília)</t>
  </si>
  <si>
    <t xml:space="preserve">Internacional (agência ONU)</t>
  </si>
  <si>
    <t xml:space="preserve">Pessoa jurídica; edital não aplicável a MEI</t>
  </si>
  <si>
    <t xml:space="preserve">Contratação de bens e serviços (LTA)</t>
  </si>
  <si>
    <t xml:space="preserve">{'observacao': "UNICEF – Programas de parceria com OSC: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</si>
  <si>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captacao-245</t>
  </si>
  <si>
    <t xml:space="preserve">USAID – Grants Globais — Internacional</t>
  </si>
  <si>
    <t xml:space="preserve">USAID – Grants Globais</t>
  </si>
  <si>
    <t xml:space="preserve">USAID</t>
  </si>
  <si>
    <t xml:space="preserve">https://www.usaid.gov/</t>
  </si>
  <si>
    <t xml:space="preserve">Governo dos EUA</t>
  </si>
  <si>
    <t xml:space="preserve">{'observacao': "USAID – Grants Globais: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</si>
  <si>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captacao-246</t>
  </si>
  <si>
    <t xml:space="preserve">União Europeia – Erasmus+ — Internacional</t>
  </si>
  <si>
    <t xml:space="preserve">União Europeia – Erasmus+</t>
  </si>
  <si>
    <t xml:space="preserve">União Europeia — Erasmus+</t>
  </si>
  <si>
    <t xml:space="preserve">https://erasmus-plus.ec.europa.eu/</t>
  </si>
  <si>
    <t xml:space="preserve">Programa da UE para educação, formação, juventude e esporte; organizações de países terceiros não associados podem participar de ações selecionadas</t>
  </si>
  <si>
    <t xml:space="preserve">Capacity building juventude: até €300 mil (regiões 1–3) e €450 mil (região 9), taxa de 80%</t>
  </si>
  <si>
    <t xml:space="preserve">Comissão Europeia</t>
  </si>
  <si>
    <t xml:space="preserve">Capacity building em juventude: só Regiões 1 (Bálcãs Ocidentais), 2 (Vizinhança Leste), 3 (Mediterrâneo Sul) e 9 (África Subsaariana). Youth exchanges: países vizinhos da UE, regiões 1 a 4. O Brasil não está listado</t>
  </si>
  <si>
    <t xml:space="preserve">Consórcio de pelo menos 4 candidatos, com entidade da UE; contribuição máx. €300 mil (regiões 1–3) ou €450 mil (região 9), financiamento de 80%</t>
  </si>
  <si>
    <t xml:space="preserve">Programme Guide e How to apply</t>
  </si>
  <si>
    <t xml:space="preserve">Projetos de mobilidade e cooperação</t>
  </si>
  <si>
    <t xml:space="preserve">Educação, juventude, esporte</t>
  </si>
  <si>
    <t xml:space="preserve">{'observacao': 'Erasmus+: programa com chamadas anuais publicadas no Guia do Programa, com várias ações; Brasil participa só em ações abertas a países parceiros. Sem edital único: abrir livros por ação (ex.: KA2 parcerias de cooperação, Capacity Building). Nenhuma edição registrada.'}</t>
  </si>
  <si>
    <t xml:space="preserve">captacao-247</t>
  </si>
  <si>
    <t xml:space="preserve">União Europeia – EuropeAid — Internacional</t>
  </si>
  <si>
    <t xml:space="preserve">União Europeia – EuropeAid</t>
  </si>
  <si>
    <t xml:space="preserve">União Europeia — International Partnerships</t>
  </si>
  <si>
    <t xml:space="preserve">https://international-partnerships.ec.europa.eu/</t>
  </si>
  <si>
    <t xml:space="preserve">Grants por chamadas competitivas a organizações de desenvolvimento, alinhadas às políticas da UE</t>
  </si>
  <si>
    <t xml:space="preserve">DG International Partnerships (UE)</t>
  </si>
  <si>
    <t xml:space="preserve">Países parceiros</t>
  </si>
  <si>
    <t xml:space="preserve">Organização sem fins lucrativos ou empresa do campo do desenvolvimento; seleção competitiva</t>
  </si>
  <si>
    <t xml:space="preserve">Guidelines (seção própria)</t>
  </si>
  <si>
    <t xml:space="preserve">Projetos de desenvolvimento</t>
  </si>
  <si>
    <t xml:space="preserve">{'observacao': "União Europeia – EuropeAid: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</si>
  <si>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nova-add1f4c8737f</t>
  </si>
  <si>
    <t xml:space="preserve">Lei Rouanet — Brasil</t>
  </si>
  <si>
    <t xml:space="preserve">https://www.gov.br/cultura/pt-br/acesso-a-informacao/perguntas-frequentes/lei-rouanet</t>
  </si>
  <si>
    <t xml:space="preserve">2026-02-01</t>
  </si>
  <si>
    <t xml:space="preserve">{'observacao': "Só 2026 tem prova oficial literal (publicação no DOU em 30/01/2026, segundo a página). Páginas gov.br de legislação e a página Lei Rouanet retornaram 'Conteúdo Restrito'; URLs tentadas para IN 1/2023 e IN 2/2019 deram 404; in.gov.br bloqueado por robots.txt/desconexão. A norma diz 'de cada ano', mas isso não prova a janela de 2023-2025."}</t>
  </si>
  <si>
    <t xml:space="preserve">captacao-042</t>
  </si>
  <si>
    <t xml:space="preserve">Lei de Incentivo ao Esporte - Excelência Esportiva — Brasil</t>
  </si>
  <si>
    <t xml:space="preserve">Lei de Incentivo ao Esporte - Excelência Esportiva</t>
  </si>
  <si>
    <t xml:space="preserve">captacao-040</t>
  </si>
  <si>
    <t xml:space="preserve">Lei de Incentivo ao Esporte - Formação Esportiva — Brasil</t>
  </si>
  <si>
    <t xml:space="preserve">Lei de Incentivo ao Esporte - Formação Esportiva</t>
  </si>
  <si>
    <t xml:space="preserve">captacao-043</t>
  </si>
  <si>
    <t xml:space="preserve">Lei de Incentivo ao Esporte - projeto paradesportivo — Brasil</t>
  </si>
  <si>
    <t xml:space="preserve">Lei de Incentivo ao Esporte - projeto paradesportivo</t>
  </si>
  <si>
    <t xml:space="preserve">captacao-194</t>
  </si>
  <si>
    <t xml:space="preserve">MPF - cadastro de entidades para bens e valores de autocomposição coletiva — Brasil</t>
  </si>
  <si>
    <t xml:space="preserve">MPF - cadastro de entidades para bens e valores de autocomposição coletiva</t>
  </si>
  <si>
    <t xml:space="preserve">nova-444a3497f792</t>
  </si>
  <si>
    <t xml:space="preserve">Convênios e parcerias — Goiás</t>
  </si>
  <si>
    <t xml:space="preserve">Convênios e parcerias</t>
  </si>
  <si>
    <t xml:space="preserve">https://goias.gov.br/esporte/solicitacao-de-transporte</t>
  </si>
  <si>
    <t xml:space="preserve">nova-ff7c62ae5fc0</t>
  </si>
  <si>
    <t xml:space="preserve">Eventos e Prêmios — Goiás</t>
  </si>
  <si>
    <t xml:space="preserve">Eventos e Prêmios</t>
  </si>
  <si>
    <t xml:space="preserve">https://www.gov.br/governodigital/pt-br/capacitacao/eventos-e-premios</t>
  </si>
  <si>
    <t xml:space="preserve">captacao-254</t>
  </si>
  <si>
    <t xml:space="preserve">Global Fund for Women — Internacional</t>
  </si>
  <si>
    <t xml:space="preserve">Global Fund for Women</t>
  </si>
  <si>
    <t xml:space="preserve">https://www.globalfundforwomen.org/</t>
  </si>
  <si>
    <t xml:space="preserve">Financiamento de organizações feministas de base</t>
  </si>
  <si>
    <t xml:space="preserve">180 países</t>
  </si>
  <si>
    <t xml:space="preserve">Convite da fundação</t>
  </si>
  <si>
    <t xml:space="preserve">Financiamento flexível a grupos de base</t>
  </si>
  <si>
    <t xml:space="preserve">Igualdade de gênero</t>
  </si>
  <si>
    <t xml:space="preserve">{'observacao': "Global Fund for Women: livro de ENTIDADE financiadora (sem edital/programa específico) — a 'mesma oportunidade' só existe quando houver chamada nominal. A página inicial oficial não traz chamadas datadas; nenhuma edição registrada (nada inventado). Próximo passo: identificar a chamada/programa concreto aberto a OSC brasileira e abrir livro próprio por programa."}</t>
  </si>
  <si>
    <t xml:space="preserve">nova-594deb282940</t>
  </si>
  <si>
    <t xml:space="preserve">Ouvidoria da Secretaria de Saúde — Goiás</t>
  </si>
  <si>
    <t xml:space="preserve">Ouvidoria da Secretaria de Saúde</t>
  </si>
  <si>
    <t xml:space="preserve">Emenda municipal para saúde preventiva</t>
  </si>
  <si>
    <t xml:space="preserve">https://saude.goiania.go.gov.br/sobre-a-secretaria/ouvidoria-da-secretaria-de-saude</t>
  </si>
  <si>
    <t xml:space="preserve">nova-891a126663a4</t>
  </si>
  <si>
    <t xml:space="preserve">Prefeitura de Cachoeira Alta — Edital nº 001/2026 — Goiás / Cachoeira Alta</t>
  </si>
  <si>
    <t xml:space="preserve">Prefeitura de Cachoeira Alta — Edital nº 001/2026</t>
  </si>
  <si>
    <t xml:space="preserve">Cachoeira Alta</t>
  </si>
  <si>
    <t xml:space="preserve">nova-af7ecadb7d7e</t>
  </si>
  <si>
    <t xml:space="preserve">Prefeitura de Corumbá de Goiás — AVISO DE CHAMAMENTO PÚBLICO Nº 3/2026 — Goiás / Corumbá de Goiás</t>
  </si>
  <si>
    <t xml:space="preserve">Corumbá de Goiás</t>
  </si>
  <si>
    <t xml:space="preserve">captacao-207</t>
  </si>
  <si>
    <t xml:space="preserve">Acordo de cooperação sem transferência financeira — Brasil</t>
  </si>
  <si>
    <t xml:space="preserve">Acordo de cooperação sem transferência financeira</t>
  </si>
  <si>
    <t xml:space="preserve">nova-b9a705760266</t>
  </si>
  <si>
    <t xml:space="preserve">Apoio a projetos incentivados — Brasil</t>
  </si>
  <si>
    <t xml:space="preserve">Apoio a projetos incentivados</t>
  </si>
  <si>
    <t xml:space="preserve">SALIC — Lei Rouanet (Ministério da Cultura)</t>
  </si>
  <si>
    <t xml:space="preserve">https://www.gov.br/cultura/pt-br/assuntos/lei-rouanet</t>
  </si>
  <si>
    <t xml:space="preserve">nova-ec91a1ad1014</t>
  </si>
  <si>
    <t xml:space="preserve">Capacitações sobre gênero — Goiás</t>
  </si>
  <si>
    <t xml:space="preserve">Capacitações sobre gênero</t>
  </si>
  <si>
    <t xml:space="preserve">https://goias.gov.br/social/capacitacoes-sobre-genero</t>
  </si>
  <si>
    <t xml:space="preserve">nova-ba7c01a8eba2</t>
  </si>
  <si>
    <t xml:space="preserve">Certificado de Vacinação — Goiás</t>
  </si>
  <si>
    <t xml:space="preserve">Certificado de Vacinação</t>
  </si>
  <si>
    <t xml:space="preserve">https://goias.gov.br/educacao/estudantes-goianos-deverao-apresentar-certificado-de-vacinacao-regularizado-para-fazer-matricula</t>
  </si>
  <si>
    <t xml:space="preserve">nova-be07093c1520</t>
  </si>
  <si>
    <t xml:space="preserve">Chamada para propostas — Internacional</t>
  </si>
  <si>
    <t xml:space="preserve">Chamada para propostas</t>
  </si>
  <si>
    <t xml:space="preserve">https://www.iadb.org/pt-br/como-podemos-trabalhar-juntos/chamada-para-propostas</t>
  </si>
  <si>
    <t xml:space="preserve">nova-2f8cf7dfa88a</t>
  </si>
  <si>
    <t xml:space="preserve">Chamamento Público 2026 — Goiás</t>
  </si>
  <si>
    <t xml:space="preserve">Chamamento Público 2026</t>
  </si>
  <si>
    <t xml:space="preserve">https://goias.gov.br/cultura/chamamentos-publicos-2026-lei-13-019-14</t>
  </si>
  <si>
    <t xml:space="preserve">nova-c599c44cc264</t>
  </si>
  <si>
    <t xml:space="preserve">Copa Quilombola premia campeões da 5ª edição em fase final realizada em Caldas Novas — Goiás / Caldas Novas</t>
  </si>
  <si>
    <t xml:space="preserve">Copa Quilombola premia campeões da 5ª edição em fase final realizada em Caldas Novas</t>
  </si>
  <si>
    <t xml:space="preserve">Caldas Novas</t>
  </si>
  <si>
    <t xml:space="preserve">https://goias.gov.br/esporte/copa-quilombola-premia-campeoes-da-5a-edicao-em-fase-final-realizada-em-caldas-novas</t>
  </si>
  <si>
    <t xml:space="preserve">2025-06-26</t>
  </si>
  <si>
    <t xml:space="preserve">https://goias.gov.br/esporte/governo-de-goias-prorroga-inscricoes-para-a-4a-edicao-da-copa-quilombola/</t>
  </si>
  <si>
    <t xml:space="preserve">{'observacao': 'Apenas 2025 comprovado (4ª edição).'}</t>
  </si>
  <si>
    <t xml:space="preserve">nova-a127f3e99328</t>
  </si>
  <si>
    <t xml:space="preserve">Cursos Leis de Incentivo — Brasil</t>
  </si>
  <si>
    <t xml:space="preserve">Cursos Leis de Incentivo</t>
  </si>
  <si>
    <t xml:space="preserve">https://www.fundacaovale.org/materiais/cursos</t>
  </si>
  <si>
    <t xml:space="preserve">captacao-199</t>
  </si>
  <si>
    <t xml:space="preserve">Defensoria Pública - parcerias de educação em direitos — Brasil</t>
  </si>
  <si>
    <t xml:space="preserve">Defensoria Pública - parcerias de educação em direitos</t>
  </si>
  <si>
    <t xml:space="preserve">nova-09e7716ec5d5</t>
  </si>
  <si>
    <t xml:space="preserve">Edital de nº 126/ifal, de 18 de setembro de 2026 — Brasil</t>
  </si>
  <si>
    <t xml:space="preserve">EDITAL DE Nº 126/IFAL, DE 18 DE SETEMBRO DE 2026</t>
  </si>
  <si>
    <t xml:space="preserve">https://www.in.gov.br/web/dou/-/edital-de-n-126/ifal-de-18-de-setembro-de-2026-733048195</t>
  </si>
  <si>
    <t xml:space="preserve">nova-47d6fafae93e</t>
  </si>
  <si>
    <t xml:space="preserve">Extrato de termo de fomento — Brasil</t>
  </si>
  <si>
    <t xml:space="preserve">EXTRATO DE TERMO DE FOMENTO</t>
  </si>
  <si>
    <t xml:space="preserve">https://www.in.gov.br/web/dou/-/extrato-de-termo-de-fomento-732458180</t>
  </si>
  <si>
    <t xml:space="preserve">nova-b25c1ad80aa9</t>
  </si>
  <si>
    <t xml:space="preserve">Editais de Chamamento Público — Brasil</t>
  </si>
  <si>
    <t xml:space="preserve">Editais de Chamamento Público</t>
  </si>
  <si>
    <t xml:space="preserve">nova-44786ad1bb03</t>
  </si>
  <si>
    <t xml:space="preserve">Edital Natal do Bem — Goiás</t>
  </si>
  <si>
    <t xml:space="preserve">Edital Natal do Bem</t>
  </si>
  <si>
    <t xml:space="preserve">https://goias.gov.br/cultura/pnab/edital-2026-pnab</t>
  </si>
  <si>
    <t xml:space="preserve">https://goias.gov.br/cultura/secult-divulga-edital-para-artistas-participarem-no-natal-do-bem-2025/</t>
  </si>
  <si>
    <t xml:space="preserve">nova-39a0f56e7cc5</t>
  </si>
  <si>
    <t xml:space="preserve">Edital de Chamamento CPA — Goiás</t>
  </si>
  <si>
    <t xml:space="preserve">Edital de Chamamento CPA</t>
  </si>
  <si>
    <t xml:space="preserve">https://goias.gov.br/social/edital-de-chamamento-cpa</t>
  </si>
  <si>
    <t xml:space="preserve">nova-f961d7e2a680</t>
  </si>
  <si>
    <t xml:space="preserve">Estão abertas as inscrições para reunião sobre trabalho decente nas plataformas digitais — Brasil</t>
  </si>
  <si>
    <t xml:space="preserve">Estão abertas as inscrições para reunião sobre trabalho decente nas plataformas digitais</t>
  </si>
  <si>
    <t xml:space="preserve">https://www.cnj.jus.br/abertas-inscricoes-para-reuniao-sobre-decente-nas-plataformas-digitais</t>
  </si>
  <si>
    <t xml:space="preserve">captacao-171</t>
  </si>
  <si>
    <t xml:space="preserve">FNMA - catadores e reciclagem — Brasil</t>
  </si>
  <si>
    <t xml:space="preserve">FNMA - catadores e reciclagem</t>
  </si>
  <si>
    <t xml:space="preserve">{'observacao': 'Página oficial de editais FNMA hoje lista só o Edital 1/2026. A página MMA 3.5 Editais de Chamamento Público lista, para 2025, editais (Periferias Verdes Resilientes, UCs na Amazônia Legal, Incêndios Florestais Amazônia/Pantanal, Práticas Produtivas em UCs Caatinga/Pampa/Pantanal, Combate à Desertificação na Caatinga, Resíduos Sólidos MG, Conselho Deliberativo FNMA etc.), mas sem d</t>
  </si>
  <si>
    <t xml:space="preserve">captacao-172</t>
  </si>
  <si>
    <t xml:space="preserve">FNMA - educação ambiental — Brasil</t>
  </si>
  <si>
    <t xml:space="preserve">FNMA - educação ambiental</t>
  </si>
  <si>
    <t xml:space="preserve">captacao-170</t>
  </si>
  <si>
    <t xml:space="preserve">FNMA - redução de vulnerabilidade climática — Brasil</t>
  </si>
  <si>
    <t xml:space="preserve">FNMA - redução de vulnerabilidade climática</t>
  </si>
  <si>
    <t xml:space="preserve">captacao-173</t>
  </si>
  <si>
    <t xml:space="preserve">Fundo Clima - projetos socioambientais — Brasil</t>
  </si>
  <si>
    <t xml:space="preserve">Fundo Clima - projetos socioambientais</t>
  </si>
  <si>
    <t xml:space="preserve">nova-2a700cb1173c</t>
  </si>
  <si>
    <t xml:space="preserve">LUPPA abre inscrições para selecionar dez cidades e fortalecer políticas públicas alimentares — Brasil</t>
  </si>
  <si>
    <t xml:space="preserve">LUPPA abre inscrições para selecionar dez cidades e fortalecer políticas públicas alimentares</t>
  </si>
  <si>
    <t xml:space="preserve">https://observatorio3setor.org.br/luppa-abre-inscricoes-para-selecionar-dez-cidades-e-fortalecer-politicas-publicas-alimentares</t>
  </si>
  <si>
    <t xml:space="preserve">captacao-091</t>
  </si>
  <si>
    <t xml:space="preserve">MDS - Segurança alimentar e nutricional — Brasil</t>
  </si>
  <si>
    <t xml:space="preserve">MDS - Segurança alimentar e nutricional</t>
  </si>
  <si>
    <t xml:space="preserve">nova-2bea695cea29</t>
  </si>
  <si>
    <t xml:space="preserve">Obter o Certificado de Registro e Licenciamento de Veículo (CRLV-e) — Goiás</t>
  </si>
  <si>
    <t xml:space="preserve">Obter o Certificado de Registro e Licenciamento de Veículo (CRLV-e)</t>
  </si>
  <si>
    <t xml:space="preserve">Oportunidade Estaduais Governamentais de Goiás</t>
  </si>
  <si>
    <t xml:space="preserve">https://www.go.gov.br/servicos/servico/obter-o-certificado-de-registro-e-licenciamento-de-veiculo-crlv-e</t>
  </si>
  <si>
    <t xml:space="preserve">nova-86356f0706b2</t>
  </si>
  <si>
    <t xml:space="preserve">Prefeitura capacita profissionais para fortalecer vigilância, diagnóstico e tratamento da sífilis em Goiânia — Goiás / Goiânia</t>
  </si>
  <si>
    <t xml:space="preserve">Prefeitura capacita profissionais para fortalecer vigilância, diagnóstico e tratamento da sífilis em Goiânia</t>
  </si>
  <si>
    <t xml:space="preserve">https://www.goiania.go.gov.br/agora/prefeitura-capacita-profissionais-para-fortalecer-vigilancia-diagnostico-e-tratamento-da-sifilis-em-goiania</t>
  </si>
  <si>
    <t xml:space="preserve">nova-ffcc8fc957ef</t>
  </si>
  <si>
    <t xml:space="preserve">Prefeitura de Goiânia oferece 987 vagas de emprego e abre 45 oportunidades para Jovem Aprendiz — Goiás / Goiânia</t>
  </si>
  <si>
    <t xml:space="preserve">Prefeitura de Goiânia oferece 987 vagas de emprego e abre 45 oportunidades para Jovem Aprendiz</t>
  </si>
  <si>
    <t xml:space="preserve">Prefeituras das 50 maiores cidades de Goiás — portais de editais</t>
  </si>
  <si>
    <t xml:space="preserve">https://www.goiania.go.gov.br/agora/prefeitura-de-goiania-oferece-987-vagas-de-emprego-e-abre-45-oportunidades-para-jovem-aprendiz</t>
  </si>
  <si>
    <t xml:space="preserve">nova-798c91115fc0</t>
  </si>
  <si>
    <t xml:space="preserve">Premiações — Brasil</t>
  </si>
  <si>
    <t xml:space="preserve">Premiações</t>
  </si>
  <si>
    <t xml:space="preserve">https://www.portoitapoa.com/premiacoes</t>
  </si>
  <si>
    <t xml:space="preserve">nova-c5e7add5f638</t>
  </si>
  <si>
    <t xml:space="preserve">Processo de Seleção de Gestor Escolar — Goiás</t>
  </si>
  <si>
    <t xml:space="preserve">Processo de Seleção de Gestor Escolar</t>
  </si>
  <si>
    <t xml:space="preserve">https://goias.gov.br/educacao?page_id=27121</t>
  </si>
  <si>
    <t xml:space="preserve">nova-04c48eb30dcc</t>
  </si>
  <si>
    <t xml:space="preserve">Programa Locus seleciona dez iniciativas para programa de fortalecimento ao jornalismo local Evento no Rio de … — Brasil</t>
  </si>
  <si>
    <t xml:space="preserve">Programa Locus seleciona dez iniciativas para programa de fortalecimento ao jornalismo local Evento no Rio de Janeiro in</t>
  </si>
  <si>
    <t xml:space="preserve">https://www.fundacaoitau.org.br/noticias/cultura/programa-locus-seleciona-dez-iniciativas-para-programa-de-fortalecimento-ao-jornalismo-local</t>
  </si>
  <si>
    <t xml:space="preserve">captacao-180</t>
  </si>
  <si>
    <t xml:space="preserve">Projeto de coleta seletiva inclusiva — Brasil</t>
  </si>
  <si>
    <t xml:space="preserve">Projeto de coleta seletiva inclusiva</t>
  </si>
  <si>
    <t xml:space="preserve">MMA / Fundo Nacional do Meio Ambiente / BNDES</t>
  </si>
  <si>
    <t xml:space="preserve">https://www.gov.br/mma/pt-br</t>
  </si>
  <si>
    <t xml:space="preserve">captacao-182</t>
  </si>
  <si>
    <t xml:space="preserve">Projeto de compostagem comunitária — Brasil</t>
  </si>
  <si>
    <t xml:space="preserve">Projeto de compostagem comunitária</t>
  </si>
  <si>
    <t xml:space="preserve">captacao-189</t>
  </si>
  <si>
    <t xml:space="preserve">Projeto de economia circular com mulheres e jovens — Brasil</t>
  </si>
  <si>
    <t xml:space="preserve">Projeto de economia circular com mulheres e jovens</t>
  </si>
  <si>
    <t xml:space="preserve">['Crianças e adolescentes', 'Mulheres']</t>
  </si>
  <si>
    <t xml:space="preserve">captacao-181</t>
  </si>
  <si>
    <t xml:space="preserve">Projeto de horta comunitária urbana — Brasil</t>
  </si>
  <si>
    <t xml:space="preserve">Projeto de horta comunitária urbana</t>
  </si>
  <si>
    <t xml:space="preserve">captacao-052</t>
  </si>
  <si>
    <t xml:space="preserve">Projeto de inclusão pelo paradesporto — Brasil</t>
  </si>
  <si>
    <t xml:space="preserve">Projeto de inclusão pelo paradesporto</t>
  </si>
  <si>
    <t xml:space="preserve">captacao-184</t>
  </si>
  <si>
    <t xml:space="preserve">Projeto de recuperação de nascente urbana — Brasil</t>
  </si>
  <si>
    <t xml:space="preserve">Projeto de recuperação de nascente urbana</t>
  </si>
  <si>
    <t xml:space="preserve">nova-3919592882f0</t>
  </si>
  <si>
    <t xml:space="preserve">Redion abre seleção para projetos sociais e culturais com captação via leis de incentivo — Brasil</t>
  </si>
  <si>
    <t xml:space="preserve">Redion abre seleção para projetos sociais e culturais com captação via leis de incentivo</t>
  </si>
  <si>
    <t xml:space="preserve">https://observatorio3setor.org.br/redion-abre-selecao-para-projetos-sociais-e-culturais-com-captacao-via-leis-de-incentivo</t>
  </si>
  <si>
    <t xml:space="preserve">nova-9aa4434035e8</t>
  </si>
  <si>
    <t xml:space="preserve">Saúde Prefeitura capacita profissionais para fortalecer vigilância, diagnóstico e... — Goiás / Goiânia</t>
  </si>
  <si>
    <t xml:space="preserve">Saúde 
                                 Prefeitura capacita profissionais para fortalecer vigilância, diagnóstico e...</t>
  </si>
  <si>
    <t xml:space="preserve">https://www.goiania.go.gov.br/prefeitura-capacita-profissionais-para-fortalecer-vigilancia-diagnostico-e-tratamento-da-sifilis-em-goiania</t>
  </si>
  <si>
    <t xml:space="preserve">nova-addc4ab2739c</t>
  </si>
  <si>
    <t xml:space="preserve">Secretaria de Fomento e Incentivo à Cultura — Brasil</t>
  </si>
  <si>
    <t xml:space="preserve">https://www.gov.br/cultura/pt-br/composicao/secretaria-de-economia-criativa-e-fomento-cultural</t>
  </si>
  <si>
    <t xml:space="preserve">nova-72a979f568dc</t>
  </si>
  <si>
    <t xml:space="preserve">Solicitar Certificado do Encceja — Goiás</t>
  </si>
  <si>
    <t xml:space="preserve">Solicitar Certificado do Encceja</t>
  </si>
  <si>
    <t xml:space="preserve">https://www.go.gov.br/servicos/servico/solicitar-2-via-de-certificado-do-exame-nacional-do-ensino-medio-enem-e-exame-nacional-para-certificacao-de-competencias-de-jovens-e-adultos-encceja</t>
  </si>
  <si>
    <t xml:space="preserve">captacao-211</t>
  </si>
  <si>
    <t xml:space="preserve">TCE-GO - exigências de certidão para captação — Brasil</t>
  </si>
  <si>
    <t xml:space="preserve">TCE-GO - exigências de certidão para captação</t>
  </si>
  <si>
    <t xml:space="preserve">nova-86a89ba66dfd</t>
  </si>
  <si>
    <t xml:space="preserve">Termos de Fomento — Goiás</t>
  </si>
  <si>
    <t xml:space="preserve">Termos de Fomento</t>
  </si>
  <si>
    <t xml:space="preserve">https://goias.gov.br/cultura/termos-de-fomento</t>
  </si>
  <si>
    <t xml:space="preserve">captacao-066</t>
  </si>
  <si>
    <t xml:space="preserve">Transferegov - termo de colaboração para educação comunitária — Brasil</t>
  </si>
  <si>
    <t xml:space="preserve">Transferegov - termo de colaboração para educação comunitária</t>
  </si>
  <si>
    <t xml:space="preserve">captacao-065</t>
  </si>
  <si>
    <t xml:space="preserve">Transferegov - termo de fomento para projeto educacional — Brasil</t>
  </si>
  <si>
    <t xml:space="preserve">Transferegov - termo de fomento para projeto educacional</t>
  </si>
  <si>
    <t xml:space="preserve">captacao-210</t>
  </si>
  <si>
    <t xml:space="preserve">Tribunal de Contas - capacitação e controle para OSC — Brasil</t>
  </si>
  <si>
    <t xml:space="preserve">Tribunal de Contas - capacitação e controle para OSC</t>
  </si>
  <si>
    <t xml:space="preserve">nova-0f8d7734fc17</t>
  </si>
  <si>
    <t xml:space="preserve">UEG abre inscrições para 390 vagas em mestrado e doutorado — Goiás</t>
  </si>
  <si>
    <t xml:space="preserve">UEG abre inscrições para 390 vagas em mestrado e doutorado</t>
  </si>
  <si>
    <t xml:space="preserve">https://goias.gov.br/ueg-abre-inscricoes-para-390-vagas-em-mestrado-e-doutorado</t>
  </si>
  <si>
    <t xml:space="preserve">captacao-213</t>
  </si>
  <si>
    <t xml:space="preserve">Universidade pública - projeto de extensão com OSC — Brasil</t>
  </si>
  <si>
    <t xml:space="preserve">Universidade pública - projeto de extensão com OSC</t>
  </si>
  <si>
    <t xml:space="preserve">captacao-214</t>
  </si>
  <si>
    <t xml:space="preserve">Órgão público - chamamento para execução de política pública — Brasil</t>
  </si>
  <si>
    <t xml:space="preserve">Órgão público - chamamento para execução de política pública</t>
  </si>
  <si>
    <t xml:space="preserve">nova-2b357be3c852</t>
  </si>
  <si>
    <t xml:space="preserve">Bússola Investimento Social — Brasil</t>
  </si>
  <si>
    <t xml:space="preserve">Bússola Investimento Social</t>
  </si>
  <si>
    <t xml:space="preserve">https://www.bussolasocial.com.br/investidores-sociais</t>
  </si>
  <si>
    <t xml:space="preserve">nova-12fac90504c2</t>
  </si>
  <si>
    <t xml:space="preserve">CNPJ das propostas aprovadas no Edital 1 — Brasil</t>
  </si>
  <si>
    <t xml:space="preserve">CNPJ das propostas aprovadas no Edital 1</t>
  </si>
  <si>
    <t xml:space="preserve">https://unaids.org.br/2026/04/unaids-divulga-lista-final-de-ongs-com-projetos-aprovados-no-edital-para-acoes-de-mobilizacao-social</t>
  </si>
  <si>
    <t xml:space="preserve">captacao-179</t>
  </si>
  <si>
    <t xml:space="preserve">Compensação ambiental e projetos de educação ambiental — Goiás</t>
  </si>
  <si>
    <t xml:space="preserve">Compensação ambiental e projetos de educação ambiental</t>
  </si>
  <si>
    <t xml:space="preserve">Compensação ambiental — Semad/IBAMA</t>
  </si>
  <si>
    <t xml:space="preserve">captacao-137</t>
  </si>
  <si>
    <t xml:space="preserve">Conselho da Mulher - projetos de autonomia e proteção — Brasil</t>
  </si>
  <si>
    <t xml:space="preserve">Conselho da Mulher - projetos de autonomia e proteção</t>
  </si>
  <si>
    <t xml:space="preserve">captacao-135</t>
  </si>
  <si>
    <t xml:space="preserve">Conselho da Pessoa com Deficiência - projetos de acessibilidade — Brasil</t>
  </si>
  <si>
    <t xml:space="preserve">Conselho da Pessoa com Deficiência - projetos de acessibilidade</t>
  </si>
  <si>
    <t xml:space="preserve">captacao-136</t>
  </si>
  <si>
    <t xml:space="preserve">Conselho de Igualdade Racial - projetos de promoção da igualdade — Brasil</t>
  </si>
  <si>
    <t xml:space="preserve">Conselho de Igualdade Racial - projetos de promoção da igualdade</t>
  </si>
  <si>
    <t xml:space="preserve">nova-4796008ed022</t>
  </si>
  <si>
    <t xml:space="preserve">Dia de Doar vai acontecer em 2 de dezembro e mobilizar milhares de OSCs e doadores no Brasil — Brasil</t>
  </si>
  <si>
    <t xml:space="preserve">Dia de Doar vai acontecer em 2 de dezembro e mobilizar milhares de OSCs e doadores no Brasil</t>
  </si>
  <si>
    <t xml:space="preserve">https://captadores.org.br/abcr/dia-de-doar-vai-acontecer-em-2-de-dezembro-e-mobilizar-milhares-de-oscs-e-doadores-no-brasil</t>
  </si>
  <si>
    <t xml:space="preserve">nova-5667e0801cf2</t>
  </si>
  <si>
    <t xml:space="preserve">Editais de Microprojetos — São Paulo</t>
  </si>
  <si>
    <t xml:space="preserve">Editais de Microprojetos</t>
  </si>
  <si>
    <t xml:space="preserve">https://rededobem.org.br/editais-de-microprojetos</t>
  </si>
  <si>
    <t xml:space="preserve">nova-1410620ef92b</t>
  </si>
  <si>
    <t xml:space="preserve">Edital do Programa de Apoio a Projetos Locais — Brasil</t>
  </si>
  <si>
    <t xml:space="preserve">Edital do Programa de Apoio a Projetos Locais</t>
  </si>
  <si>
    <t xml:space="preserve">Busca de empresas para FIA, Idoso, Lei de Incentivo ao Esporte, Pronas, Pronon e Goyazes</t>
  </si>
  <si>
    <t xml:space="preserve">https://www.alcoa.com/brasil/pt/resources/Instituto_Alcoa/Programa_de_Apoio/2026/edital-2026-site.pdf</t>
  </si>
  <si>
    <t xml:space="preserve">nova-aa428dd4ec58</t>
  </si>
  <si>
    <t xml:space="preserve">Edital nº 001/2026 - Chamamento público para registro de candidatura de Profissionais interessados em integrar… — Brasil</t>
  </si>
  <si>
    <t xml:space="preserve">Edital nº 001/2026 - Chamamento público para  registro de candidatura de Profissionais interessados em integrar as Comis</t>
  </si>
  <si>
    <t xml:space="preserve">https://crcgo.org.br/wp-content/uploads/2026/03/SEI_1252073_Edital-1.pdf</t>
  </si>
  <si>
    <t xml:space="preserve">nova-ccaa100a25a4</t>
  </si>
  <si>
    <t xml:space="preserve">Engajamento, agentes de mudança e governança climática — Brasil</t>
  </si>
  <si>
    <t xml:space="preserve">Engajamento, agentes de mudança e governança climática</t>
  </si>
  <si>
    <t xml:space="preserve">https://climaesociedade.org/eixo/engajamento-agentes-de-mudanca-e-governanca-climatica</t>
  </si>
  <si>
    <t xml:space="preserve">captacao-060</t>
  </si>
  <si>
    <t xml:space="preserve">Escolinha de natação/paradesporto adaptado — Brasil</t>
  </si>
  <si>
    <t xml:space="preserve">Escolinha de natação/paradesporto adaptado</t>
  </si>
  <si>
    <t xml:space="preserve">captacao-062</t>
  </si>
  <si>
    <t xml:space="preserve">Festival esportivo intergeracional — Brasil</t>
  </si>
  <si>
    <t xml:space="preserve">Festival esportivo intergeracional</t>
  </si>
  <si>
    <t xml:space="preserve">nova-970c6fff1d37</t>
  </si>
  <si>
    <t xml:space="preserve">Financiamento de projetos sociais (1) — Brasil</t>
  </si>
  <si>
    <t xml:space="preserve">Financiamento de projetos sociais
 (1)</t>
  </si>
  <si>
    <t xml:space="preserve">https://institutosocialcrescervida.blogspot.com/search/label/Financiamento%20de%20projetos%20sociais</t>
  </si>
  <si>
    <t xml:space="preserve">curadoria-002</t>
  </si>
  <si>
    <t xml:space="preserve">Funbio — Programa Biodiversidade Litoral do Paraná — Paraná</t>
  </si>
  <si>
    <t xml:space="preserve">Funbio — Programa Biodiversidade Litoral do Paraná</t>
  </si>
  <si>
    <t xml:space="preserve">Fundo Brasileiro para a Biodiversidade — Funbio</t>
  </si>
  <si>
    <t xml:space="preserve">https://chamadas.funbio.org.br/planodemanejo-rppn</t>
  </si>
  <si>
    <t xml:space="preserve">Chamada 07/2026 – Implementação de Planos de Manejo de RPPNs (Programa Biodiversidade Litoral do Paraná)</t>
  </si>
  <si>
    <t xml:space="preserve">R$ 1 milhão (até R$ 100 mil por RPPN)</t>
  </si>
  <si>
    <t xml:space="preserve">nova-97d256e37b8b</t>
  </si>
  <si>
    <t xml:space="preserve">Leis de Incentivo — Brasil</t>
  </si>
  <si>
    <t xml:space="preserve">Leis de Incentivo</t>
  </si>
  <si>
    <t xml:space="preserve">https://fundacaosicredi.org.br/leis-de-incentivo</t>
  </si>
  <si>
    <t xml:space="preserve">captacao-092</t>
  </si>
  <si>
    <t xml:space="preserve">MDS - Programa Cisternas / tecnologias sociais de água — Brasil</t>
  </si>
  <si>
    <t xml:space="preserve">MDS - Programa Cisternas / tecnologias sociais de água</t>
  </si>
  <si>
    <t xml:space="preserve">captacao-093</t>
  </si>
  <si>
    <t xml:space="preserve">MDS - Sistemas alimentares circulares — Brasil</t>
  </si>
  <si>
    <t xml:space="preserve">MDS - Sistemas alimentares circulares</t>
  </si>
  <si>
    <t xml:space="preserve">captacao-059</t>
  </si>
  <si>
    <t xml:space="preserve">Núcleo de corrida/caminhada comunitária — Brasil</t>
  </si>
  <si>
    <t xml:space="preserve">Núcleo de corrida/caminhada comunitária</t>
  </si>
  <si>
    <t xml:space="preserve">captacao-058</t>
  </si>
  <si>
    <t xml:space="preserve">Núcleo de futebol de base comunitário — Brasil</t>
  </si>
  <si>
    <t xml:space="preserve">Núcleo de futebol de base comunitário</t>
  </si>
  <si>
    <t xml:space="preserve">nova-a258b361bb1d</t>
  </si>
  <si>
    <t xml:space="preserve">Patrocínios — Brasil</t>
  </si>
  <si>
    <t xml:space="preserve">Patrocínios</t>
  </si>
  <si>
    <t xml:space="preserve">https://www.bndes.gov.br/wps/portal/site/home/patrocinios</t>
  </si>
  <si>
    <t xml:space="preserve">captacao-094</t>
  </si>
  <si>
    <t xml:space="preserve">Plano Nacional de Cuidados - participação/arranjos com OSC — Brasil</t>
  </si>
  <si>
    <t xml:space="preserve">Plano Nacional de Cuidados - participação/arranjos com OSC</t>
  </si>
  <si>
    <t xml:space="preserve">captacao-071</t>
  </si>
  <si>
    <t xml:space="preserve">Programa Escola em Tempo Integral - articulação com OSC — Goiás</t>
  </si>
  <si>
    <t xml:space="preserve">Programa Escola em Tempo Integral - articulação com OSC</t>
  </si>
  <si>
    <t xml:space="preserve">captacao-073</t>
  </si>
  <si>
    <t xml:space="preserve">Projeto de alfabetização comunitária de jovens — Brasil</t>
  </si>
  <si>
    <t xml:space="preserve">Projeto de alfabetização comunitária de jovens</t>
  </si>
  <si>
    <t xml:space="preserve">captacao-183</t>
  </si>
  <si>
    <t xml:space="preserve">Projeto de arborização e educação ambiental — Brasil</t>
  </si>
  <si>
    <t xml:space="preserve">Projeto de arborização e educação ambiental</t>
  </si>
  <si>
    <t xml:space="preserve">captacao-079</t>
  </si>
  <si>
    <t xml:space="preserve">Projeto de clubes de leitura — Goiás</t>
  </si>
  <si>
    <t xml:space="preserve">Projeto de clubes de leitura</t>
  </si>
  <si>
    <t xml:space="preserve">['Atletas e entidades esportivas']</t>
  </si>
  <si>
    <t xml:space="preserve">captacao-108</t>
  </si>
  <si>
    <t xml:space="preserve">Projeto de convivência e fortalecimento de vínculos — Brasil</t>
  </si>
  <si>
    <t xml:space="preserve">Projeto de convivência e fortalecimento de vínculos</t>
  </si>
  <si>
    <t xml:space="preserve">captacao-132</t>
  </si>
  <si>
    <t xml:space="preserve">Projeto de cuidadores e apoio familiar — Brasil</t>
  </si>
  <si>
    <t xml:space="preserve">Projeto de cuidadores e apoio familiar</t>
  </si>
  <si>
    <t xml:space="preserve">captacao-156</t>
  </si>
  <si>
    <t xml:space="preserve">Projeto de formação de cuidadores — Brasil</t>
  </si>
  <si>
    <t xml:space="preserve">Projeto de formação de cuidadores</t>
  </si>
  <si>
    <t xml:space="preserve">captacao-088</t>
  </si>
  <si>
    <t xml:space="preserve">Projeto de inclusão de estudantes com deficiência — Brasil</t>
  </si>
  <si>
    <t xml:space="preserve">Projeto de inclusão de estudantes com deficiência</t>
  </si>
  <si>
    <t xml:space="preserve">captacao-076</t>
  </si>
  <si>
    <t xml:space="preserve">Projeto de laboratório maker social — Brasil</t>
  </si>
  <si>
    <t xml:space="preserve">Projeto de laboratório maker social</t>
  </si>
  <si>
    <t xml:space="preserve">captacao-185</t>
  </si>
  <si>
    <t xml:space="preserve">Projeto de resíduos eletrônicos — Brasil</t>
  </si>
  <si>
    <t xml:space="preserve">Projeto de resíduos eletrônicos</t>
  </si>
  <si>
    <t xml:space="preserve">captacao-083</t>
  </si>
  <si>
    <t xml:space="preserve">Projeto de robótica educacional comunitária — Brasil</t>
  </si>
  <si>
    <t xml:space="preserve">Projeto de robótica educacional comunitária</t>
  </si>
  <si>
    <t xml:space="preserve">captacao-164</t>
  </si>
  <si>
    <t xml:space="preserve">Projeto de saúde para população em vulnerabilidade — Brasil</t>
  </si>
  <si>
    <t xml:space="preserve">Projeto de saúde para população em vulnerabilidade</t>
  </si>
  <si>
    <t xml:space="preserve">captacao-161</t>
  </si>
  <si>
    <t xml:space="preserve">Projeto de vacinação/campanhas educativas de apoio — Brasil</t>
  </si>
  <si>
    <t xml:space="preserve">Projeto de vacinação/campanhas educativas de apoio</t>
  </si>
  <si>
    <t xml:space="preserve">nova-46b7d3b0450a</t>
  </si>
  <si>
    <t xml:space="preserve">Terceirizados — Goiás</t>
  </si>
  <si>
    <t xml:space="preserve">Terceirizados</t>
  </si>
  <si>
    <t xml:space="preserve">Fundos estaduais de Goiás com conselho — FIA, Idoso, FUNJUVE, Meio Ambiente</t>
  </si>
  <si>
    <t xml:space="preserve">https://transparencia.go.gov.br/terceirizados</t>
  </si>
  <si>
    <t xml:space="preserve">nova-057e8512d452</t>
  </si>
  <si>
    <t xml:space="preserve">Termo de Fomento nº 01/2026 — Goiás</t>
  </si>
  <si>
    <t xml:space="preserve">Termo de Fomento nº 01/2026</t>
  </si>
  <si>
    <t xml:space="preserve">https://goias.gov.br/cultura/wp-content/uploads/sites/25/2026/06/SEI_90351764_Termo_de_Fomento_1.pdf</t>
  </si>
  <si>
    <t xml:space="preserve">nova-a222d86b8806</t>
  </si>
  <si>
    <t xml:space="preserve">PNAB 2026: Retificado cronograma dos editais nº 12, 13 e 14/2026 — Goiás</t>
  </si>
  <si>
    <t xml:space="preserve">PNAB 2026: Retificado cronograma dos editais nº 12, 13 e 14/2026</t>
  </si>
  <si>
    <t xml:space="preserve">https://goias.gov.br/cultura/pnab-2026-retificado-cronograma-dos-editais-no-12-13-e-14-2026</t>
  </si>
  <si>
    <t xml:space="preserve">nova-1a27550fee75</t>
  </si>
  <si>
    <t xml:space="preserve">Pnab 2026: Publicada errata e retificação de cronograma dos Editais nº 4 e nº 6 — Goiás</t>
  </si>
  <si>
    <t xml:space="preserve">Pnab 2026: Publicada errata e retificação de cronograma dos Editais nº 4 e nº 6</t>
  </si>
  <si>
    <t xml:space="preserve">https://goias.gov.br/cultura/pnab-2026-publicada-errata-e-retificacao-de-cronograma-dos-editais-no-4-e-no-6</t>
  </si>
  <si>
    <t xml:space="preserve">nova-8497f1d13f73</t>
  </si>
  <si>
    <t xml:space="preserve">Pnab 2026: Divulgado resultado final de habilitados e não habilitados do edital de Pontos de Cultura — Goiás</t>
  </si>
  <si>
    <t xml:space="preserve">Pnab 2026: Divulgado resultado final de habilitados e não habilitados do edital de Pontos de Cultura</t>
  </si>
  <si>
    <t xml:space="preserve">https://goias.gov.br/cultura/pnab-2026-divulgado-resultado-final-de-habilitados-e-nao-habilitados-do-edital-de-pontos-de-cultura</t>
  </si>
  <si>
    <t xml:space="preserve">nova-79d299d76214</t>
  </si>
  <si>
    <t xml:space="preserve">Credenciamento de pessoas jurídicas para a prestação de serviços artísticos nas áreas de música, audiovisual… … — São Paulo</t>
  </si>
  <si>
    <t xml:space="preserve">CREDENCIAMENTO DE PESSOAS JURÍDICAS PARA A PRESTAÇÃO DE SERVIÇOS ARTÍSTICOS NAS ÁREAS DE MÚSICA, AUDIOVISUAL… — MUNICIPIO DA ESTÂNCIA TURÍSTICA DE OLÍMPIA</t>
  </si>
  <si>
    <t xml:space="preserve">Prefeitura da Estância Turística de Olímpia — Secretaria de Cultura e Defesa do Folclore</t>
  </si>
  <si>
    <t xml:space="preserve">https://pncp.gov.br/app/editais/46596151000155/2026/124</t>
  </si>
  <si>
    <t xml:space="preserve">{'inicio': '2026-02-19', 'fim': '2027-02-19'}</t>
  </si>
  <si>
    <t xml:space="preserve">nova-f7cd15005985</t>
  </si>
  <si>
    <t xml:space="preserve">Aviso de credenciamento nº 003/2026 objeto: credenciamento de artístas locais, pessoa física, para eventual… —… — Bahia</t>
  </si>
  <si>
    <t xml:space="preserve">AVISO DE CREDENCIAMENTO Nº 003/2026 Objeto: CREDENCIAMENTO DE ARTÍSTAS LOCAIS, PESSOA FÍSICA, PARA EVENTUAL… — MUNICIPIO DE LAPAO</t>
  </si>
  <si>
    <t xml:space="preserve">MUNICIPIO DE LAPAO</t>
  </si>
  <si>
    <t xml:space="preserve">https://pncp.gov.br/app/editais/13891528000140/2026/17</t>
  </si>
  <si>
    <t xml:space="preserve">{'inicio': '2026-01-23', 'fim': '2026-12-31'}</t>
  </si>
  <si>
    <t xml:space="preserve">nova-6fdcfd6ddef9</t>
  </si>
  <si>
    <t xml:space="preserve">Chamamento público para o credenciamento de pessoas físicas ou jurídicas, prestadoras de atividades… — municip… — Bahia</t>
  </si>
  <si>
    <t xml:space="preserve">CHAMAMENTO PÚBLICO PARA O CREDENCIAMENTO DE PESSOAS FÍSICAS OU JURÍDICAS, PRESTADORAS DE ATIVIDADES… — MUNICIPIO DE BOQUIRA</t>
  </si>
  <si>
    <t xml:space="preserve">MUNICIPIO DE BOQUIRA</t>
  </si>
  <si>
    <t xml:space="preserve">https://pncp.gov.br/app/editais/13780770000146/2026/31</t>
  </si>
  <si>
    <t xml:space="preserve">op-06a86eb5e82c</t>
  </si>
  <si>
    <t xml:space="preserve">MUNICIPIO DE PIRAPETINGA — Seleção e concessão de fomento à execução de ações culturais por meio de projetos, … — Minas Gerais</t>
  </si>
  <si>
    <t xml:space="preserve">MUNICIPIO DE PIRAPETINGA — Seleção e concessão de fomento à execução de ações culturais por meio de projetos, com recursos da Política Nacional Aldir Blanc de Fomento à Cultura (Le</t>
  </si>
  <si>
    <t xml:space="preserve">MUNICIPIO DE PIRAPETINGA</t>
  </si>
  <si>
    <t xml:space="preserve">https://pncp.gov.br/app/editais/18092825000149/2026/65</t>
  </si>
  <si>
    <t xml:space="preserve">Seleção e concessão de fomento à execução de ações culturais por meio de projetos, com recursos da Política Nacional Aldir Blanc de Fomento à Cultura (Lei Federal nº 14.3</t>
  </si>
  <si>
    <t xml:space="preserve">op-344691106809</t>
  </si>
  <si>
    <t xml:space="preserve">MUNICIPIO DE ITACOATIARA — [LICITANET] - Seleção de Projetos Culturais para Concessão de Apoio Financeiro e Ce… — Amazonas</t>
  </si>
  <si>
    <t xml:space="preserve">MUNICIPIO DE ITACOATIARA — [LICITANET] - Seleção de Projetos Culturais para Concessão de Apoio Financeiro e Celebração de Termo de Execução Cultural, com a Finalidade de Fomentar,</t>
  </si>
  <si>
    <t xml:space="preserve">MUNICIPIO DE ITACOATIARA</t>
  </si>
  <si>
    <t xml:space="preserve">https://pncp.gov.br/app/editais/04241980000175/2026/67</t>
  </si>
  <si>
    <t xml:space="preserve">[LICITANET] - Seleção de Projetos Culturais para Concessão de Apoio Financeiro e Celebração de Termo de Execução Cultural, com a Finalidade de Fomentar, Fortalecer e Valo</t>
  </si>
  <si>
    <t xml:space="preserve">op-50aade18ffb7</t>
  </si>
  <si>
    <t xml:space="preserve">Seleção de pessoas físicas para concessão de prêmios culturais — Mato Grosso do Sul</t>
  </si>
  <si>
    <t xml:space="preserve">seleção de pessoas físicas para concessão de prêmios culturais</t>
  </si>
  <si>
    <t xml:space="preserve">MUNICIPIO DE AQUIDAUANA</t>
  </si>
  <si>
    <t xml:space="preserve">https://pncp.gov.br/app/editais/03452299000103/2026/82</t>
  </si>
  <si>
    <t xml:space="preserve">op-740a6a2c40d0</t>
  </si>
  <si>
    <t xml:space="preserve">Seleção de até 20 (vinte) artesãos(ãs), pessoas físicas, jurídicas (MEI) — Mato Grosso do Sul</t>
  </si>
  <si>
    <t xml:space="preserve">Seleção de até 20 (vinte) artesãos(ãs), pessoas físicas, jurídicas (MEI)</t>
  </si>
  <si>
    <t xml:space="preserve">https://pncp.gov.br/app/editais/03452299000103/2026/84</t>
  </si>
  <si>
    <t xml:space="preserve">op-1a82b07f7eee</t>
  </si>
  <si>
    <t xml:space="preserve">Chamamento Público para o credenciamento de pessoas — Bahia</t>
  </si>
  <si>
    <t xml:space="preserve">Chamamento Público para o credenciamento de pessoas</t>
  </si>
  <si>
    <t xml:space="preserve">https://pncp.gov.br/app/editais/13674817000197/2026/72</t>
  </si>
  <si>
    <t xml:space="preserve">op-caf912e88f9f</t>
  </si>
  <si>
    <t xml:space="preserve">Credenciamento de interessados (pessoa física ou jurídica) — Pernambuco</t>
  </si>
  <si>
    <t xml:space="preserve">CREDENCIAMENTO DE INTERESSADOS (PESSOA FÍSICA OU JURÍDICA)</t>
  </si>
  <si>
    <t xml:space="preserve">https://pncp.gov.br/app/editais/10260222000105/2026/1</t>
  </si>
  <si>
    <t xml:space="preserve">op-ae6efb40214d</t>
  </si>
  <si>
    <t xml:space="preserve">Credenciamento de pessoas físicas ou jurídicas — Minas Gerais</t>
  </si>
  <si>
    <t xml:space="preserve">Credenciamento de pessoas físicas ou jurídicas</t>
  </si>
  <si>
    <t xml:space="preserve">MUNICIPIO DE CARMO DO PARANAIBA</t>
  </si>
  <si>
    <t xml:space="preserve">https://pncp.gov.br/app/editais/18602029000109/2026/45</t>
  </si>
  <si>
    <t xml:space="preserve">op-db586d8fa45e</t>
  </si>
  <si>
    <t xml:space="preserve">Credenciamento de pessoas física ou jurídica — Minas Gerais</t>
  </si>
  <si>
    <t xml:space="preserve">CREDENCIAMENTO DE PESSOAS FÍSICA OU JURÍDICA</t>
  </si>
  <si>
    <t xml:space="preserve">https://pncp.gov.br/app/editais/01612505000170/2025/76</t>
  </si>
  <si>
    <t xml:space="preserve">op-6282eb18d582</t>
  </si>
  <si>
    <t xml:space="preserve">Credenciamento de pessoas jurídicas residentes — Espírito Santo</t>
  </si>
  <si>
    <t xml:space="preserve">Credenciamento de pessoas jurídicas residentes</t>
  </si>
  <si>
    <t xml:space="preserve">MUNICIPIO DE VIANA</t>
  </si>
  <si>
    <t xml:space="preserve">https://pncp.gov.br/app/editais/27165547000101/2026/42</t>
  </si>
  <si>
    <t xml:space="preserve">op-f952af1a9c3c</t>
  </si>
  <si>
    <t xml:space="preserve">Chamamento público para concessão de bolsas Cultura Viva — Rio Grande do Sul</t>
  </si>
  <si>
    <t xml:space="preserve">Chamamento público para concessão de bolsas Cultura Viva</t>
  </si>
  <si>
    <t xml:space="preserve">https://pncp.gov.br/app/editais/87890992000158/2026/910</t>
  </si>
  <si>
    <t xml:space="preserve">op-a9e24db6726f</t>
  </si>
  <si>
    <t xml:space="preserve">Credenciamento de pessoas jurídicas capacitadas — Minas Gerais</t>
  </si>
  <si>
    <t xml:space="preserve">Credenciamento de pessoas jurídicas capacitadas</t>
  </si>
  <si>
    <t xml:space="preserve">MUNICIPIO DE NEPOMUCENO</t>
  </si>
  <si>
    <t xml:space="preserve">https://pncp.gov.br/app/editais/18244350000169/2026/73</t>
  </si>
  <si>
    <t xml:space="preserve">op-daaa20f2597e</t>
  </si>
  <si>
    <t xml:space="preserve">Credenciamento de pessoas jurídicas — Paraná</t>
  </si>
  <si>
    <t xml:space="preserve">Credenciamento de pessoas jurídicas</t>
  </si>
  <si>
    <t xml:space="preserve">https://pncp.gov.br/app/editais/95422986000102/2026/240</t>
  </si>
  <si>
    <t xml:space="preserve">op-aa4f4ef5c543</t>
  </si>
  <si>
    <t xml:space="preserve">Chamamento Público Nº 005/2026 para Seleção de Projetos — Goiás / Alvorada do Norte</t>
  </si>
  <si>
    <t xml:space="preserve">Chamamento Público Nº 005/2026 para Seleção de Projetos</t>
  </si>
  <si>
    <t xml:space="preserve">op-bf9345654c5a</t>
  </si>
  <si>
    <t xml:space="preserve">Concessão de patrocínio institucional pelo Município — Rio Grande do Sul</t>
  </si>
  <si>
    <t xml:space="preserve">Concessão de patrocínio institucional pelo Município</t>
  </si>
  <si>
    <t xml:space="preserve">MUNICIPIO DE FAGUNDES VARELA</t>
  </si>
  <si>
    <t xml:space="preserve">https://pncp.gov.br/app/editais/91566893000192/2026/506</t>
  </si>
  <si>
    <t xml:space="preserve">op-05b8ed916950</t>
  </si>
  <si>
    <t xml:space="preserve">PNAB Goiânia 2024 - Edital 11 - Obras e Reformas de Espaços Culturais — Goiás / Goiânia</t>
  </si>
  <si>
    <t xml:space="preserve">PNAB Goiânia 2024 - Edital 11 - Obras e Reformas de Espaços Culturais</t>
  </si>
  <si>
    <t xml:space="preserve">op-9f21ef7fcec1</t>
  </si>
  <si>
    <t xml:space="preserve">Credenciamento de empresas culturais (Lei Rouanet) – FMC Bombinhas — Santa Catarina</t>
  </si>
  <si>
    <t xml:space="preserve">Credenciamento de empresas culturais (Lei Rouanet) – FMC Bombinhas</t>
  </si>
  <si>
    <t xml:space="preserve">Fundação Municipal de Cultura de Bombinhas (SC)</t>
  </si>
  <si>
    <t xml:space="preserve">https://mapacultural.cim-amfri.sc.gov.br/oportunidade/178/</t>
  </si>
  <si>
    <t xml:space="preserve">2026-11-27</t>
  </si>
  <si>
    <t xml:space="preserve">nome (48 h atrás)</t>
  </si>
  <si>
    <t xml:space="preserve">página</t>
  </si>
  <si>
    <t xml:space="preserve">site oficial (48 h atrás)</t>
  </si>
  <si>
    <t xml:space="preserve">selo (48 h atrás)</t>
  </si>
  <si>
    <t xml:space="preserve">citado por outro livro?</t>
  </si>
  <si>
    <t xml:space="preserve">ATUALIZAR — restaurar ou confirmar exclusão</t>
  </si>
  <si>
    <t xml:space="preserve">livro sumiu</t>
  </si>
  <si>
    <t xml:space="preserve">op-658ed6de4b10</t>
  </si>
  <si>
    <t xml:space="preserve">Chamamento Público para firmar Termo de Colaboração com Organização da Sociedade Civil, sem fins lucrativos, q… — Paraná</t>
  </si>
  <si>
    <t xml:space="preserve">Município de Guaíra - Paraná, por intermédio da Secretaria Municipal de Educação Fundo Municipal de Educação, inscrito no CNPJ n° 30.882.299/0001-16, e o Fundo</t>
  </si>
  <si>
    <t xml:space="preserve">https://www.guaira.pr.gov.br/chamamentos/todos/121</t>
  </si>
  <si>
    <t xml:space="preserve">não</t>
  </si>
  <si>
    <t xml:space="preserve">op-d83dfd834db5</t>
  </si>
  <si>
    <t xml:space="preserve">https://www.portofeliz.sp.gov.br/cultura</t>
  </si>
  <si>
    <t xml:space="preserve">op-3bca4ad026cd</t>
  </si>
  <si>
    <t xml:space="preserve">Seleção de propostas para a celebração de parceria entre o Município de Indaiatuba, por intermédio da Secretar… — São Paulo / Indaiatuba</t>
  </si>
  <si>
    <t xml:space="preserve">Município de Indaiatuba</t>
  </si>
  <si>
    <t xml:space="preserve">https://www.indaiatuba.sp.gov.br/administracao/licitacoes/editais-publicados/4557/</t>
  </si>
  <si>
    <t xml:space="preserve">op-2f0496c82136</t>
  </si>
  <si>
    <t xml:space="preserve">https://pncp.gov.br/pncp-api/v1/orgaos/88814181000130/compras/2026/450/arquivos/1</t>
  </si>
  <si>
    <t xml:space="preserve">op-5455533f0f7d</t>
  </si>
  <si>
    <t xml:space="preserve">Seleção de Organização da Sociedade Civil – OSC para execução, em regime de colaboração com o Município, de se… — Ceará</t>
  </si>
  <si>
    <t xml:space="preserve">https://www.iguatu.ce.gov.br/licitacoes</t>
  </si>
  <si>
    <t xml:space="preserve">op-3f19120aff36</t>
  </si>
  <si>
    <t xml:space="preserve">Edital ContraFluxo 2026: Filme para ONGs de Curitiba — Paraná / Curitiba</t>
  </si>
  <si>
    <t xml:space="preserve">op-3e961d92ec0c</t>
  </si>
  <si>
    <t xml:space="preserve">Editais - FAPEG — Goiás — Goiás — Goiás — Goiás</t>
  </si>
  <si>
    <t xml:space="preserve">sim</t>
  </si>
  <si>
    <t xml:space="preserve">op-1706e8127a61</t>
  </si>
  <si>
    <t xml:space="preserve">EDITAL DE CHAMAMENTO PÚBLICO 001.2024 - Ref. Prospecção do mercado imobiliário — Bahia</t>
  </si>
  <si>
    <t xml:space="preserve">https://pncp.gov.br/app/editais/13715891000104/2024/68</t>
  </si>
  <si>
    <t xml:space="preserve">op-a6c117793248</t>
  </si>
  <si>
    <t xml:space="preserve">EDITAL DE CHAMAMENTO PÚBLICO 004.2024 - Ref. Prospecção do mercado imobiliário — Bahia</t>
  </si>
  <si>
    <t xml:space="preserve">https://pncp.gov.br/app/editais/13715891000104/2024/65</t>
  </si>
  <si>
    <t xml:space="preserve">op-984f084adc49</t>
  </si>
  <si>
    <t xml:space="preserve">EDITAL DE CHAMAMENTO PÚBLICO 003.2024 - Ref. Prospecção do mercado imobiliário — Bahia</t>
  </si>
  <si>
    <t xml:space="preserve">https://pncp.gov.br/app/editais/13715891000104/2024/66</t>
  </si>
  <si>
    <t xml:space="preserve">op-aeafc14ce849</t>
  </si>
  <si>
    <t xml:space="preserve">EDITAL DE CHAMAMENTO PÚBLICO 002.2024 - Ref. Prospecção do mercado imobiliário — Bahia</t>
  </si>
  <si>
    <t xml:space="preserve">op-a7589b4c3e4b</t>
  </si>
  <si>
    <t xml:space="preserve">op-f46b67b238ab</t>
  </si>
  <si>
    <t xml:space="preserve">op-dd74a81f1dfa</t>
  </si>
  <si>
    <t xml:space="preserve">op-3301eedcc19d</t>
  </si>
  <si>
    <t xml:space="preserve">op-897487b63b64</t>
  </si>
  <si>
    <t xml:space="preserve">espalhado-www-detran-rj-gov-br</t>
  </si>
  <si>
    <t xml:space="preserve">PNCP — ESTADO DO RIO DE JANEIRO — oportunidades (espalhado de edital validado) — Rio de Janeiro / Rio de Janeiro</t>
  </si>
  <si>
    <t xml:space="preserve">https://www.detran.rj.gov.br/</t>
  </si>
  <si>
    <t xml:space="preserve">espalhado-www-bentogoncalves-rs-gov-br</t>
  </si>
  <si>
    <t xml:space="preserve">PNCP — MUNICIPIO DE BENTO GONCALVES — oportunidades (espalhado de edital validado) — Rio Grande do Sul</t>
  </si>
  <si>
    <t xml:space="preserve">https://www.bentogoncalves.rs.gov.br/</t>
  </si>
  <si>
    <t xml:space="preserve">espalhado-transparencia-cacoal-ro-gov-br</t>
  </si>
  <si>
    <t xml:space="preserve">PNCP — MUNICIPIO DE CACOAL — oportunidades (espalhado de edital validado) — Rondônia</t>
  </si>
  <si>
    <t xml:space="preserve">https://transparencia.cacoal.ro.gov.br/</t>
  </si>
  <si>
    <t xml:space="preserve">espalhado-carazinho-atende-net</t>
  </si>
  <si>
    <t xml:space="preserve">PNCP — MUNICIPIO DE CARAZINHO — oportunidades (espalhado de edital validado) — Rio Grande do Sul</t>
  </si>
  <si>
    <t xml:space="preserve">https://carazinho.atende.net/</t>
  </si>
  <si>
    <t xml:space="preserve">espalhado-carire-ce-gov-br</t>
  </si>
  <si>
    <t xml:space="preserve">PNCP — MUNICIPIO DE CARIRE — oportunidades (espalhado de edital validado) — Ceará</t>
  </si>
  <si>
    <t xml:space="preserve">https://carire.ce.gov.br/</t>
  </si>
  <si>
    <t xml:space="preserve">espalhado-www-ipora-pr-gov-br</t>
  </si>
  <si>
    <t xml:space="preserve">PNCP — MUNICIPIO DE IPORA — oportunidades (espalhado de edital validado) — Paraná</t>
  </si>
  <si>
    <t xml:space="preserve">https://www.ipora.pr.gov.br/</t>
  </si>
  <si>
    <t xml:space="preserve">espalhado-www-itabaianinha-se-gov-br</t>
  </si>
  <si>
    <t xml:space="preserve">PNCP — MUNICIPIO DE ITABAIANINHA — oportunidades (espalhado de edital validado) — Sergipe</t>
  </si>
  <si>
    <t xml:space="preserve">PNCP — MUNICIPIO DE ITABAIANINHA</t>
  </si>
  <si>
    <t xml:space="preserve">https://www.itabaianinha.se.gov.br/</t>
  </si>
  <si>
    <t xml:space="preserve">espalhado-sistema-mirassoldoeste-mt-gov-br</t>
  </si>
  <si>
    <t xml:space="preserve">PNCP — MUNICIPIO DE MIRASSOL D'OESTE — oportunidades (espalhado de edital validado) — Mato Grosso</t>
  </si>
  <si>
    <t xml:space="preserve">https://sistema.mirassoldoeste.mt.gov.br/</t>
  </si>
  <si>
    <t xml:space="preserve">espalhado-transparencia-nobres-mt-gov-br</t>
  </si>
  <si>
    <t xml:space="preserve">PNCP — MUNICIPIO DE NOBRES — oportunidades (espalhado de edital validado) — Mato Grosso</t>
  </si>
  <si>
    <t xml:space="preserve">PNCP — MUNICIPIO DE NOBRES</t>
  </si>
  <si>
    <t xml:space="preserve">https://transparencia.nobres.mt.gov.br/</t>
  </si>
  <si>
    <t xml:space="preserve">espalhado-www-novohamburgo-rs-gov-br</t>
  </si>
  <si>
    <t xml:space="preserve">PNCP — MUNICIPIO DE NOVO HAMBURGO — oportunidades (espalhado de edital validado) — Rio Grande do Sul</t>
  </si>
  <si>
    <t xml:space="preserve">https://www.novohamburgo.rs.gov.br/</t>
  </si>
  <si>
    <t xml:space="preserve">espalhado-transparencia-agilicloud-com-br</t>
  </si>
  <si>
    <t xml:space="preserve">PNCP — MUNICIPIO DE PARANATINGA — oportunidades (espalhado de edital validado) — Mato Grosso</t>
  </si>
  <si>
    <t xml:space="preserve">PNCP — MUNICIPIO DE PARANATINGA</t>
  </si>
  <si>
    <t xml:space="preserve">https://transparencia.agilicloud.com.br/</t>
  </si>
  <si>
    <t xml:space="preserve">espalhado-www-ribeiraodasneves-mg-gov-br</t>
  </si>
  <si>
    <t xml:space="preserve">PNCP — MUNICIPIO DE RIBEIRAO DAS NEVES — oportunidades (espalhado de edital validado) — Minas Gerais</t>
  </si>
  <si>
    <t xml:space="preserve">https://www.ribeiraodasneves.mg.gov.br/</t>
  </si>
  <si>
    <t xml:space="preserve">espalhado-www-rosariodosul-rs-gov-br</t>
  </si>
  <si>
    <t xml:space="preserve">PNCP — MUNICIPIO DE ROSARIO DO SUL — oportunidades (espalhado de edital validado) — Rio Grande do Sul</t>
  </si>
  <si>
    <t xml:space="preserve">https://www.rosariodosul.rs.gov.br/</t>
  </si>
  <si>
    <t xml:space="preserve">espalhado-www-riopreto-sp-gov-br</t>
  </si>
  <si>
    <t xml:space="preserve">PNCP — MUNICIPIO DE SAO JOSE DO RIO PRETO — oportunidades (espalhado de edital validado) — São Paulo</t>
  </si>
  <si>
    <t xml:space="preserve">https://www.riopreto.sp.gov.br/</t>
  </si>
  <si>
    <t xml:space="preserve">espalhado-www-senadorpompeu-ce-gov-br</t>
  </si>
  <si>
    <t xml:space="preserve">PNCP — MUNICIPIO DE SENADOR POMPEU — oportunidades (espalhado de edital validado) — Ceará</t>
  </si>
  <si>
    <t xml:space="preserve">https://www.senadorpompeu.ce.gov.br/</t>
  </si>
  <si>
    <t xml:space="preserve">espalhado-www-vilarica-mt-gov-br</t>
  </si>
  <si>
    <t xml:space="preserve">PNCP — MUNICIPIO DE VILA RICA — oportunidades (espalhado de edital validado) — Mato Grosso</t>
  </si>
  <si>
    <t xml:space="preserve">PNCP — MUNICIPIO DE VILA RICA</t>
  </si>
  <si>
    <t xml:space="preserve">https://www.vilarica.mt.gov.br/</t>
  </si>
  <si>
    <t xml:space="preserve">espalhado-www-arapongas-pr-gov-br</t>
  </si>
  <si>
    <t xml:space="preserve">Querido Diário — diários oficiais municipais — oportunidades (espalhado de edital validado) — Paraná</t>
  </si>
  <si>
    <t xml:space="preserve">Querido Diário — diários oficiais municipais</t>
  </si>
  <si>
    <t xml:space="preserve">https://www.arapongas.pr.gov.br/</t>
  </si>
  <si>
    <t xml:space="preserve">espalhado-www-santaluziadoparua-ma-gov-br</t>
  </si>
  <si>
    <t xml:space="preserve">ABCR — Associação Brasileira de Captadores — oportunidades (espalhado de edital validado) — Maranhão</t>
  </si>
  <si>
    <t xml:space="preserve">https://www.santaluziadoparua.ma.gov.br/</t>
  </si>
  <si>
    <t xml:space="preserve">critérios do livro perdidos</t>
  </si>
  <si>
    <t xml:space="preserve">—</t>
  </si>
  <si>
    <t xml:space="preserve">site oficial perdido</t>
  </si>
  <si>
    <t xml:space="preserve">Selo do livro por região (fórmulas sobre a aba Livros)</t>
  </si>
  <si>
    <t xml:space="preserve">região</t>
  </si>
  <si>
    <t xml:space="preserve">sem selo</t>
  </si>
  <si>
    <t xml:space="preserve">total</t>
  </si>
  <si>
    <t xml:space="preserve">todos</t>
  </si>
  <si>
    <t xml:space="preserve">Fonte: catálogo da Biblioteca (main, 04/10/2026), antes da aplicação do leitor documental de Goiás. 'outros estados' = total − GO − BR − INT.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</si>
</sst>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2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71" min="3" style="0" width="14"/>
  </cols>
  <sheetData>
    <row r="1" customFormat="false" ht="91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  <c r="AK1" s="3" t="s">
        <v>44</v>
      </c>
      <c r="AL1" s="3" t="s">
        <v>45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3" t="s">
        <v>61</v>
      </c>
      <c r="BC1" s="3" t="s">
        <v>62</v>
      </c>
      <c r="BD1" s="3" t="s">
        <v>63</v>
      </c>
      <c r="BE1" s="3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</row>
    <row r="2" customFormat="false" ht="15" hidden="false" customHeight="false" outlineLevel="0" collapsed="false">
      <c r="A2" s="5" t="s">
        <v>79</v>
      </c>
      <c r="B2" s="5" t="s">
        <v>80</v>
      </c>
      <c r="C2" s="5" t="s">
        <v>81</v>
      </c>
      <c r="D2" s="5"/>
      <c r="E2" s="5" t="s">
        <v>82</v>
      </c>
      <c r="F2" s="5" t="s">
        <v>82</v>
      </c>
      <c r="G2" s="5" t="s">
        <v>83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6" t="s">
        <v>84</v>
      </c>
      <c r="BG2" s="6" t="s">
        <v>85</v>
      </c>
      <c r="BH2" s="6" t="s">
        <v>86</v>
      </c>
      <c r="BI2" s="6" t="s">
        <v>87</v>
      </c>
      <c r="BJ2" s="6" t="s">
        <v>88</v>
      </c>
      <c r="BK2" s="6" t="s">
        <v>89</v>
      </c>
      <c r="BL2" s="6" t="s">
        <v>90</v>
      </c>
      <c r="BM2" s="6" t="s">
        <v>91</v>
      </c>
      <c r="BN2" s="6" t="s">
        <v>92</v>
      </c>
      <c r="BO2" s="6" t="s">
        <v>93</v>
      </c>
      <c r="BP2" s="6" t="s">
        <v>94</v>
      </c>
      <c r="BQ2" s="6" t="s">
        <v>95</v>
      </c>
      <c r="BR2" s="6"/>
      <c r="BS2" s="6" t="s">
        <v>96</v>
      </c>
    </row>
    <row r="3" customFormat="false" ht="15" hidden="false" customHeight="false" outlineLevel="0" collapsed="false">
      <c r="A3" s="7" t="s">
        <v>97</v>
      </c>
      <c r="B3" s="7" t="s">
        <v>98</v>
      </c>
      <c r="C3" s="7" t="s">
        <v>99</v>
      </c>
      <c r="D3" s="7" t="s">
        <v>100</v>
      </c>
      <c r="E3" s="7" t="s">
        <v>101</v>
      </c>
      <c r="F3" s="7" t="s">
        <v>101</v>
      </c>
      <c r="G3" s="7"/>
      <c r="H3" s="7" t="s">
        <v>102</v>
      </c>
      <c r="I3" s="7" t="s">
        <v>103</v>
      </c>
      <c r="J3" s="7" t="s">
        <v>104</v>
      </c>
      <c r="K3" s="7" t="s">
        <v>105</v>
      </c>
      <c r="L3" s="7" t="s">
        <v>106</v>
      </c>
      <c r="M3" s="7" t="s">
        <v>107</v>
      </c>
      <c r="N3" s="7" t="s">
        <v>108</v>
      </c>
      <c r="O3" s="7" t="s">
        <v>108</v>
      </c>
      <c r="P3" s="7" t="s">
        <v>84</v>
      </c>
      <c r="Q3" s="7"/>
      <c r="R3" s="7" t="s">
        <v>109</v>
      </c>
      <c r="S3" s="7" t="s">
        <v>110</v>
      </c>
      <c r="T3" s="7" t="n">
        <v>0.543</v>
      </c>
      <c r="U3" s="7" t="n">
        <v>4</v>
      </c>
      <c r="V3" s="7" t="s">
        <v>111</v>
      </c>
      <c r="W3" s="7"/>
      <c r="X3" s="7"/>
      <c r="Y3" s="7" t="s">
        <v>108</v>
      </c>
      <c r="Z3" s="7"/>
      <c r="AA3" s="7"/>
      <c r="AB3" s="7"/>
      <c r="AC3" s="7" t="n">
        <v>10</v>
      </c>
      <c r="AD3" s="7" t="s">
        <v>112</v>
      </c>
      <c r="AE3" s="7" t="s">
        <v>113</v>
      </c>
      <c r="AF3" s="7" t="s">
        <v>114</v>
      </c>
      <c r="AG3" s="7" t="s">
        <v>115</v>
      </c>
      <c r="AH3" s="7" t="s">
        <v>116</v>
      </c>
      <c r="AI3" s="7" t="s">
        <v>113</v>
      </c>
      <c r="AJ3" s="7" t="s">
        <v>117</v>
      </c>
      <c r="AK3" s="7"/>
      <c r="AL3" s="7"/>
      <c r="AM3" s="7" t="s">
        <v>113</v>
      </c>
      <c r="AN3" s="7" t="s">
        <v>118</v>
      </c>
      <c r="AO3" s="7" t="s">
        <v>119</v>
      </c>
      <c r="AP3" s="7" t="s">
        <v>120</v>
      </c>
      <c r="AQ3" s="7" t="s">
        <v>113</v>
      </c>
      <c r="AR3" s="7" t="s">
        <v>121</v>
      </c>
      <c r="AS3" s="7" t="s">
        <v>113</v>
      </c>
      <c r="AT3" s="7" t="s">
        <v>122</v>
      </c>
      <c r="AU3" s="7"/>
      <c r="AV3" s="7"/>
      <c r="AW3" s="7" t="s">
        <v>119</v>
      </c>
      <c r="AX3" s="7" t="s">
        <v>123</v>
      </c>
      <c r="AY3" s="7" t="s">
        <v>113</v>
      </c>
      <c r="AZ3" s="7" t="s">
        <v>124</v>
      </c>
      <c r="BA3" s="7" t="s">
        <v>115</v>
      </c>
      <c r="BB3" s="7" t="s">
        <v>116</v>
      </c>
      <c r="BC3" s="7" t="s">
        <v>125</v>
      </c>
      <c r="BD3" s="7" t="s">
        <v>126</v>
      </c>
      <c r="BE3" s="7" t="s">
        <v>127</v>
      </c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</row>
    <row r="4" customFormat="false" ht="15" hidden="false" customHeight="false" outlineLevel="0" collapsed="false">
      <c r="A4" s="7" t="s">
        <v>128</v>
      </c>
      <c r="B4" s="7" t="s">
        <v>129</v>
      </c>
      <c r="C4" s="7" t="s">
        <v>130</v>
      </c>
      <c r="D4" s="7" t="s">
        <v>131</v>
      </c>
      <c r="E4" s="7" t="s">
        <v>101</v>
      </c>
      <c r="F4" s="7" t="s">
        <v>101</v>
      </c>
      <c r="G4" s="7"/>
      <c r="H4" s="7" t="s">
        <v>102</v>
      </c>
      <c r="I4" s="7" t="s">
        <v>132</v>
      </c>
      <c r="J4" s="7" t="s">
        <v>104</v>
      </c>
      <c r="K4" s="7" t="s">
        <v>105</v>
      </c>
      <c r="L4" s="7" t="s">
        <v>106</v>
      </c>
      <c r="M4" s="7" t="s">
        <v>133</v>
      </c>
      <c r="N4" s="7" t="s">
        <v>134</v>
      </c>
      <c r="O4" s="7"/>
      <c r="P4" s="7" t="s">
        <v>135</v>
      </c>
      <c r="Q4" s="7"/>
      <c r="R4" s="7" t="s">
        <v>135</v>
      </c>
      <c r="S4" s="7" t="s">
        <v>136</v>
      </c>
      <c r="T4" s="7" t="n">
        <v>0.528</v>
      </c>
      <c r="U4" s="7" t="n">
        <v>4</v>
      </c>
      <c r="V4" s="7" t="s">
        <v>137</v>
      </c>
      <c r="W4" s="7" t="s">
        <v>138</v>
      </c>
      <c r="X4" s="7" t="s">
        <v>139</v>
      </c>
      <c r="Y4" s="7" t="s">
        <v>134</v>
      </c>
      <c r="Z4" s="7" t="s">
        <v>140</v>
      </c>
      <c r="AA4" s="7"/>
      <c r="AB4" s="7"/>
      <c r="AC4" s="7" t="n">
        <v>12</v>
      </c>
      <c r="AD4" s="7"/>
      <c r="AE4" s="7" t="s">
        <v>141</v>
      </c>
      <c r="AF4" s="7" t="s">
        <v>142</v>
      </c>
      <c r="AG4" s="7" t="s">
        <v>141</v>
      </c>
      <c r="AH4" s="7" t="s">
        <v>143</v>
      </c>
      <c r="AI4" s="7" t="s">
        <v>144</v>
      </c>
      <c r="AJ4" s="7" t="s">
        <v>145</v>
      </c>
      <c r="AK4" s="7" t="s">
        <v>115</v>
      </c>
      <c r="AL4" s="7" t="s">
        <v>116</v>
      </c>
      <c r="AM4" s="7" t="s">
        <v>141</v>
      </c>
      <c r="AN4" s="7" t="s">
        <v>146</v>
      </c>
      <c r="AO4" s="7" t="s">
        <v>141</v>
      </c>
      <c r="AP4" s="7" t="s">
        <v>131</v>
      </c>
      <c r="AQ4" s="7" t="s">
        <v>141</v>
      </c>
      <c r="AR4" s="7" t="s">
        <v>121</v>
      </c>
      <c r="AS4" s="7" t="s">
        <v>141</v>
      </c>
      <c r="AT4" s="7" t="s">
        <v>147</v>
      </c>
      <c r="AU4" s="7" t="s">
        <v>141</v>
      </c>
      <c r="AV4" s="7" t="s">
        <v>148</v>
      </c>
      <c r="AW4" s="7" t="s">
        <v>149</v>
      </c>
      <c r="AX4" s="7" t="s">
        <v>150</v>
      </c>
      <c r="AY4" s="7" t="s">
        <v>141</v>
      </c>
      <c r="AZ4" s="7" t="s">
        <v>124</v>
      </c>
      <c r="BA4" s="7" t="s">
        <v>115</v>
      </c>
      <c r="BB4" s="7" t="s">
        <v>116</v>
      </c>
      <c r="BC4" s="7" t="s">
        <v>151</v>
      </c>
      <c r="BD4" s="7" t="s">
        <v>152</v>
      </c>
      <c r="BE4" s="7" t="s">
        <v>127</v>
      </c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</row>
    <row r="5" customFormat="false" ht="15" hidden="false" customHeight="false" outlineLevel="0" collapsed="false">
      <c r="A5" s="7" t="s">
        <v>153</v>
      </c>
      <c r="B5" s="7" t="s">
        <v>154</v>
      </c>
      <c r="C5" s="7" t="s">
        <v>155</v>
      </c>
      <c r="D5" s="7"/>
      <c r="E5" s="7" t="s">
        <v>101</v>
      </c>
      <c r="F5" s="7" t="s">
        <v>156</v>
      </c>
      <c r="G5" s="7"/>
      <c r="H5" s="7" t="s">
        <v>157</v>
      </c>
      <c r="I5" s="7" t="s">
        <v>158</v>
      </c>
      <c r="J5" s="7" t="s">
        <v>159</v>
      </c>
      <c r="K5" s="7" t="s">
        <v>105</v>
      </c>
      <c r="L5" s="7" t="s">
        <v>106</v>
      </c>
      <c r="M5" s="7"/>
      <c r="N5" s="7" t="s">
        <v>160</v>
      </c>
      <c r="O5" s="7"/>
      <c r="P5" s="7" t="s">
        <v>84</v>
      </c>
      <c r="Q5" s="7"/>
      <c r="R5" s="7" t="s">
        <v>135</v>
      </c>
      <c r="S5" s="7" t="s">
        <v>136</v>
      </c>
      <c r="T5" s="7" t="n">
        <v>0.179</v>
      </c>
      <c r="U5" s="7" t="n">
        <v>4</v>
      </c>
      <c r="V5" s="7" t="s">
        <v>161</v>
      </c>
      <c r="W5" s="7" t="s">
        <v>162</v>
      </c>
      <c r="X5" s="7" t="s">
        <v>163</v>
      </c>
      <c r="Y5" s="7" t="s">
        <v>164</v>
      </c>
      <c r="Z5" s="7"/>
      <c r="AA5" s="7"/>
      <c r="AB5" s="7"/>
      <c r="AC5" s="7" t="n">
        <v>11</v>
      </c>
      <c r="AD5" s="7" t="s">
        <v>165</v>
      </c>
      <c r="AE5" s="7" t="s">
        <v>166</v>
      </c>
      <c r="AF5" s="7" t="s">
        <v>167</v>
      </c>
      <c r="AG5" s="7" t="s">
        <v>166</v>
      </c>
      <c r="AH5" s="7" t="s">
        <v>168</v>
      </c>
      <c r="AI5" s="7" t="s">
        <v>166</v>
      </c>
      <c r="AJ5" s="7" t="s">
        <v>169</v>
      </c>
      <c r="AK5" s="7"/>
      <c r="AL5" s="7"/>
      <c r="AM5" s="7" t="s">
        <v>166</v>
      </c>
      <c r="AN5" s="7" t="s">
        <v>170</v>
      </c>
      <c r="AO5" s="7" t="s">
        <v>166</v>
      </c>
      <c r="AP5" s="7" t="s">
        <v>171</v>
      </c>
      <c r="AQ5" s="7" t="s">
        <v>166</v>
      </c>
      <c r="AR5" s="7" t="s">
        <v>172</v>
      </c>
      <c r="AS5" s="7" t="s">
        <v>166</v>
      </c>
      <c r="AT5" s="7" t="s">
        <v>173</v>
      </c>
      <c r="AU5" s="7" t="s">
        <v>166</v>
      </c>
      <c r="AV5" s="7" t="s">
        <v>174</v>
      </c>
      <c r="AW5" s="7" t="s">
        <v>166</v>
      </c>
      <c r="AX5" s="7" t="s">
        <v>175</v>
      </c>
      <c r="AY5" s="7" t="s">
        <v>166</v>
      </c>
      <c r="AZ5" s="7" t="s">
        <v>176</v>
      </c>
      <c r="BA5" s="7" t="s">
        <v>166</v>
      </c>
      <c r="BB5" s="7" t="s">
        <v>177</v>
      </c>
      <c r="BC5" s="7" t="s">
        <v>178</v>
      </c>
      <c r="BD5" s="7" t="s">
        <v>179</v>
      </c>
      <c r="BE5" s="7" t="s">
        <v>127</v>
      </c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</row>
    <row r="6" customFormat="false" ht="15" hidden="false" customHeight="false" outlineLevel="0" collapsed="false">
      <c r="A6" s="7" t="s">
        <v>180</v>
      </c>
      <c r="B6" s="7" t="s">
        <v>181</v>
      </c>
      <c r="C6" s="7" t="s">
        <v>182</v>
      </c>
      <c r="D6" s="7" t="s">
        <v>183</v>
      </c>
      <c r="E6" s="7" t="s">
        <v>101</v>
      </c>
      <c r="F6" s="7" t="s">
        <v>101</v>
      </c>
      <c r="G6" s="7"/>
      <c r="H6" s="7" t="s">
        <v>102</v>
      </c>
      <c r="I6" s="7" t="s">
        <v>132</v>
      </c>
      <c r="J6" s="7" t="s">
        <v>104</v>
      </c>
      <c r="K6" s="7" t="s">
        <v>105</v>
      </c>
      <c r="L6" s="7" t="s">
        <v>106</v>
      </c>
      <c r="M6" s="7" t="s">
        <v>184</v>
      </c>
      <c r="N6" s="7" t="s">
        <v>185</v>
      </c>
      <c r="O6" s="7"/>
      <c r="P6" s="7" t="s">
        <v>84</v>
      </c>
      <c r="Q6" s="7"/>
      <c r="R6" s="7" t="s">
        <v>135</v>
      </c>
      <c r="S6" s="7" t="s">
        <v>136</v>
      </c>
      <c r="T6" s="7" t="n">
        <v>0.803</v>
      </c>
      <c r="U6" s="7" t="n">
        <v>4</v>
      </c>
      <c r="V6" s="7" t="s">
        <v>111</v>
      </c>
      <c r="W6" s="7" t="s">
        <v>186</v>
      </c>
      <c r="X6" s="7" t="s">
        <v>187</v>
      </c>
      <c r="Y6" s="7" t="s">
        <v>185</v>
      </c>
      <c r="Z6" s="7" t="s">
        <v>188</v>
      </c>
      <c r="AA6" s="7"/>
      <c r="AB6" s="7"/>
      <c r="AC6" s="7" t="n">
        <v>12</v>
      </c>
      <c r="AD6" s="7"/>
      <c r="AE6" s="7" t="s">
        <v>189</v>
      </c>
      <c r="AF6" s="7" t="s">
        <v>190</v>
      </c>
      <c r="AG6" s="7" t="s">
        <v>189</v>
      </c>
      <c r="AH6" s="7" t="s">
        <v>191</v>
      </c>
      <c r="AI6" s="7" t="s">
        <v>192</v>
      </c>
      <c r="AJ6" s="7" t="s">
        <v>193</v>
      </c>
      <c r="AK6" s="7" t="s">
        <v>115</v>
      </c>
      <c r="AL6" s="7" t="s">
        <v>116</v>
      </c>
      <c r="AM6" s="7" t="s">
        <v>189</v>
      </c>
      <c r="AN6" s="7" t="s">
        <v>194</v>
      </c>
      <c r="AO6" s="7" t="s">
        <v>189</v>
      </c>
      <c r="AP6" s="7" t="s">
        <v>195</v>
      </c>
      <c r="AQ6" s="7" t="s">
        <v>192</v>
      </c>
      <c r="AR6" s="7" t="s">
        <v>196</v>
      </c>
      <c r="AS6" s="7" t="s">
        <v>192</v>
      </c>
      <c r="AT6" s="7" t="s">
        <v>197</v>
      </c>
      <c r="AU6" s="7" t="s">
        <v>192</v>
      </c>
      <c r="AV6" s="7" t="s">
        <v>198</v>
      </c>
      <c r="AW6" s="7" t="s">
        <v>189</v>
      </c>
      <c r="AX6" s="7" t="s">
        <v>199</v>
      </c>
      <c r="AY6" s="7" t="s">
        <v>192</v>
      </c>
      <c r="AZ6" s="7" t="s">
        <v>200</v>
      </c>
      <c r="BA6" s="7" t="s">
        <v>192</v>
      </c>
      <c r="BB6" s="7" t="s">
        <v>201</v>
      </c>
      <c r="BC6" s="7" t="s">
        <v>151</v>
      </c>
      <c r="BD6" s="7" t="s">
        <v>202</v>
      </c>
      <c r="BE6" s="7" t="s">
        <v>127</v>
      </c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</row>
    <row r="7" customFormat="false" ht="15" hidden="false" customHeight="false" outlineLevel="0" collapsed="false">
      <c r="A7" s="7" t="s">
        <v>203</v>
      </c>
      <c r="B7" s="7" t="s">
        <v>204</v>
      </c>
      <c r="C7" s="7" t="s">
        <v>205</v>
      </c>
      <c r="D7" s="7" t="s">
        <v>206</v>
      </c>
      <c r="E7" s="7" t="s">
        <v>82</v>
      </c>
      <c r="F7" s="7" t="s">
        <v>82</v>
      </c>
      <c r="G7" s="7" t="s">
        <v>83</v>
      </c>
      <c r="H7" s="7" t="s">
        <v>207</v>
      </c>
      <c r="I7" s="7" t="s">
        <v>208</v>
      </c>
      <c r="J7" s="7" t="s">
        <v>104</v>
      </c>
      <c r="K7" s="7" t="s">
        <v>105</v>
      </c>
      <c r="L7" s="7" t="s">
        <v>106</v>
      </c>
      <c r="M7" s="7" t="s">
        <v>209</v>
      </c>
      <c r="N7" s="7" t="s">
        <v>210</v>
      </c>
      <c r="O7" s="7" t="s">
        <v>211</v>
      </c>
      <c r="P7" s="7" t="s">
        <v>135</v>
      </c>
      <c r="Q7" s="7"/>
      <c r="R7" s="7" t="s">
        <v>109</v>
      </c>
      <c r="S7" s="7" t="s">
        <v>110</v>
      </c>
      <c r="T7" s="7" t="n">
        <v>0.324</v>
      </c>
      <c r="U7" s="7" t="n">
        <v>3</v>
      </c>
      <c r="V7" s="7" t="s">
        <v>90</v>
      </c>
      <c r="W7" s="7"/>
      <c r="X7" s="7"/>
      <c r="Y7" s="7" t="s">
        <v>210</v>
      </c>
      <c r="Z7" s="7"/>
      <c r="AA7" s="7"/>
      <c r="AB7" s="7"/>
      <c r="AC7" s="7" t="n">
        <v>6</v>
      </c>
      <c r="AD7" s="7" t="s">
        <v>212</v>
      </c>
      <c r="AE7" s="7" t="s">
        <v>213</v>
      </c>
      <c r="AF7" s="7" t="s">
        <v>214</v>
      </c>
      <c r="AG7" s="7"/>
      <c r="AH7" s="7"/>
      <c r="AI7" s="7"/>
      <c r="AJ7" s="7"/>
      <c r="AK7" s="7"/>
      <c r="AL7" s="7"/>
      <c r="AM7" s="7"/>
      <c r="AN7" s="7"/>
      <c r="AO7" s="7" t="s">
        <v>213</v>
      </c>
      <c r="AP7" s="7" t="s">
        <v>215</v>
      </c>
      <c r="AQ7" s="7" t="s">
        <v>213</v>
      </c>
      <c r="AR7" s="7" t="s">
        <v>82</v>
      </c>
      <c r="AS7" s="7" t="s">
        <v>213</v>
      </c>
      <c r="AT7" s="7" t="s">
        <v>216</v>
      </c>
      <c r="AU7" s="7"/>
      <c r="AV7" s="7"/>
      <c r="AW7" s="7"/>
      <c r="AX7" s="7"/>
      <c r="AY7" s="7" t="s">
        <v>213</v>
      </c>
      <c r="AZ7" s="7" t="s">
        <v>217</v>
      </c>
      <c r="BA7" s="7" t="s">
        <v>213</v>
      </c>
      <c r="BB7" s="7" t="s">
        <v>218</v>
      </c>
      <c r="BC7" s="7" t="s">
        <v>219</v>
      </c>
      <c r="BD7" s="7" t="s">
        <v>220</v>
      </c>
      <c r="BE7" s="7" t="s">
        <v>127</v>
      </c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</row>
    <row r="8" customFormat="false" ht="15" hidden="false" customHeight="false" outlineLevel="0" collapsed="false">
      <c r="A8" s="7" t="s">
        <v>221</v>
      </c>
      <c r="B8" s="7" t="s">
        <v>222</v>
      </c>
      <c r="C8" s="7" t="s">
        <v>223</v>
      </c>
      <c r="D8" s="7" t="s">
        <v>100</v>
      </c>
      <c r="E8" s="7" t="s">
        <v>101</v>
      </c>
      <c r="F8" s="7" t="s">
        <v>101</v>
      </c>
      <c r="G8" s="7"/>
      <c r="H8" s="7" t="s">
        <v>102</v>
      </c>
      <c r="I8" s="7" t="s">
        <v>132</v>
      </c>
      <c r="J8" s="7" t="s">
        <v>104</v>
      </c>
      <c r="K8" s="7" t="s">
        <v>105</v>
      </c>
      <c r="L8" s="7" t="s">
        <v>106</v>
      </c>
      <c r="M8" s="7"/>
      <c r="N8" s="7" t="s">
        <v>224</v>
      </c>
      <c r="O8" s="7"/>
      <c r="P8" s="7" t="s">
        <v>135</v>
      </c>
      <c r="Q8" s="7"/>
      <c r="R8" s="7"/>
      <c r="S8" s="7"/>
      <c r="T8" s="7" t="n">
        <v>0.454</v>
      </c>
      <c r="U8" s="7" t="n">
        <v>3</v>
      </c>
      <c r="V8" s="7" t="s">
        <v>90</v>
      </c>
      <c r="W8" s="7"/>
      <c r="X8" s="7"/>
      <c r="Y8" s="7" t="s">
        <v>224</v>
      </c>
      <c r="Z8" s="7"/>
      <c r="AA8" s="7"/>
      <c r="AB8" s="7"/>
      <c r="AC8" s="7"/>
      <c r="AD8" s="7"/>
      <c r="AE8" s="7" t="s">
        <v>213</v>
      </c>
      <c r="AF8" s="7" t="s">
        <v>225</v>
      </c>
      <c r="AG8" s="7" t="s">
        <v>213</v>
      </c>
      <c r="AH8" s="7" t="s">
        <v>226</v>
      </c>
      <c r="AI8" s="7"/>
      <c r="AJ8" s="7"/>
      <c r="AK8" s="7"/>
      <c r="AL8" s="7"/>
      <c r="AM8" s="7" t="s">
        <v>213</v>
      </c>
      <c r="AN8" s="7" t="s">
        <v>227</v>
      </c>
      <c r="AO8" s="7" t="s">
        <v>213</v>
      </c>
      <c r="AP8" s="7" t="s">
        <v>228</v>
      </c>
      <c r="AQ8" s="7" t="s">
        <v>213</v>
      </c>
      <c r="AR8" s="7" t="s">
        <v>121</v>
      </c>
      <c r="AS8" s="7" t="s">
        <v>213</v>
      </c>
      <c r="AT8" s="7" t="s">
        <v>147</v>
      </c>
      <c r="AU8" s="7"/>
      <c r="AV8" s="7"/>
      <c r="AW8" s="7"/>
      <c r="AX8" s="7"/>
      <c r="AY8" s="7" t="s">
        <v>213</v>
      </c>
      <c r="AZ8" s="7" t="s">
        <v>229</v>
      </c>
      <c r="BA8" s="7" t="s">
        <v>213</v>
      </c>
      <c r="BB8" s="7" t="s">
        <v>230</v>
      </c>
      <c r="BC8" s="7"/>
      <c r="BD8" s="7"/>
      <c r="BE8" s="7" t="s">
        <v>127</v>
      </c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</row>
    <row r="9" customFormat="false" ht="15" hidden="false" customHeight="false" outlineLevel="0" collapsed="false">
      <c r="A9" s="7" t="s">
        <v>231</v>
      </c>
      <c r="B9" s="7" t="s">
        <v>232</v>
      </c>
      <c r="C9" s="7" t="s">
        <v>233</v>
      </c>
      <c r="D9" s="7"/>
      <c r="E9" s="7" t="s">
        <v>101</v>
      </c>
      <c r="F9" s="7" t="s">
        <v>101</v>
      </c>
      <c r="G9" s="7"/>
      <c r="H9" s="7" t="s">
        <v>102</v>
      </c>
      <c r="I9" s="7" t="s">
        <v>234</v>
      </c>
      <c r="J9" s="7" t="s">
        <v>104</v>
      </c>
      <c r="K9" s="7" t="s">
        <v>105</v>
      </c>
      <c r="L9" s="7" t="s">
        <v>235</v>
      </c>
      <c r="M9" s="7" t="s">
        <v>236</v>
      </c>
      <c r="N9" s="7" t="s">
        <v>237</v>
      </c>
      <c r="O9" s="7" t="s">
        <v>237</v>
      </c>
      <c r="P9" s="7" t="s">
        <v>135</v>
      </c>
      <c r="Q9" s="7"/>
      <c r="R9" s="7" t="s">
        <v>84</v>
      </c>
      <c r="S9" s="7" t="s">
        <v>238</v>
      </c>
      <c r="T9" s="7" t="n">
        <v>0.803</v>
      </c>
      <c r="U9" s="7" t="n">
        <v>3</v>
      </c>
      <c r="V9" s="7" t="s">
        <v>90</v>
      </c>
      <c r="W9" s="7"/>
      <c r="X9" s="7" t="s">
        <v>239</v>
      </c>
      <c r="Y9" s="7" t="s">
        <v>240</v>
      </c>
      <c r="Z9" s="7" t="s">
        <v>241</v>
      </c>
      <c r="AA9" s="7"/>
      <c r="AB9" s="7"/>
      <c r="AC9" s="7" t="n">
        <v>12</v>
      </c>
      <c r="AD9" s="7"/>
      <c r="AE9" s="7" t="s">
        <v>242</v>
      </c>
      <c r="AF9" s="7" t="s">
        <v>243</v>
      </c>
      <c r="AG9" s="7" t="s">
        <v>242</v>
      </c>
      <c r="AH9" s="7" t="s">
        <v>244</v>
      </c>
      <c r="AI9" s="7" t="s">
        <v>242</v>
      </c>
      <c r="AJ9" s="7" t="s">
        <v>245</v>
      </c>
      <c r="AK9" s="7" t="s">
        <v>242</v>
      </c>
      <c r="AL9" s="7" t="s">
        <v>246</v>
      </c>
      <c r="AM9" s="7" t="s">
        <v>242</v>
      </c>
      <c r="AN9" s="7" t="s">
        <v>247</v>
      </c>
      <c r="AO9" s="7" t="s">
        <v>248</v>
      </c>
      <c r="AP9" s="7" t="s">
        <v>249</v>
      </c>
      <c r="AQ9" s="7" t="s">
        <v>113</v>
      </c>
      <c r="AR9" s="7" t="s">
        <v>121</v>
      </c>
      <c r="AS9" s="7" t="s">
        <v>113</v>
      </c>
      <c r="AT9" s="7" t="s">
        <v>250</v>
      </c>
      <c r="AU9" s="7" t="s">
        <v>242</v>
      </c>
      <c r="AV9" s="7" t="s">
        <v>251</v>
      </c>
      <c r="AW9" s="7" t="s">
        <v>113</v>
      </c>
      <c r="AX9" s="7" t="s">
        <v>252</v>
      </c>
      <c r="AY9" s="7" t="s">
        <v>248</v>
      </c>
      <c r="AZ9" s="7" t="s">
        <v>253</v>
      </c>
      <c r="BA9" s="7" t="s">
        <v>242</v>
      </c>
      <c r="BB9" s="7" t="s">
        <v>254</v>
      </c>
      <c r="BC9" s="7" t="s">
        <v>151</v>
      </c>
      <c r="BD9" s="7"/>
      <c r="BE9" s="7" t="s">
        <v>127</v>
      </c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</row>
    <row r="10" customFormat="false" ht="15" hidden="false" customHeight="false" outlineLevel="0" collapsed="false">
      <c r="A10" s="7" t="s">
        <v>255</v>
      </c>
      <c r="B10" s="7" t="s">
        <v>256</v>
      </c>
      <c r="C10" s="7" t="s">
        <v>257</v>
      </c>
      <c r="D10" s="7" t="s">
        <v>258</v>
      </c>
      <c r="E10" s="7" t="s">
        <v>82</v>
      </c>
      <c r="F10" s="7" t="s">
        <v>82</v>
      </c>
      <c r="G10" s="7"/>
      <c r="H10" s="7"/>
      <c r="I10" s="7" t="s">
        <v>234</v>
      </c>
      <c r="J10" s="7" t="s">
        <v>104</v>
      </c>
      <c r="K10" s="7" t="s">
        <v>105</v>
      </c>
      <c r="L10" s="7" t="s">
        <v>259</v>
      </c>
      <c r="M10" s="7" t="s">
        <v>260</v>
      </c>
      <c r="N10" s="7" t="s">
        <v>261</v>
      </c>
      <c r="O10" s="7" t="s">
        <v>262</v>
      </c>
      <c r="P10" s="7" t="s">
        <v>84</v>
      </c>
      <c r="Q10" s="7"/>
      <c r="R10" s="7" t="s">
        <v>84</v>
      </c>
      <c r="S10" s="7" t="s">
        <v>238</v>
      </c>
      <c r="T10" s="7" t="n">
        <v>0.564</v>
      </c>
      <c r="U10" s="7" t="n">
        <v>3</v>
      </c>
      <c r="V10" s="7" t="s">
        <v>90</v>
      </c>
      <c r="W10" s="7" t="s">
        <v>186</v>
      </c>
      <c r="X10" s="7" t="s">
        <v>263</v>
      </c>
      <c r="Y10" s="7" t="s">
        <v>261</v>
      </c>
      <c r="Z10" s="7" t="s">
        <v>264</v>
      </c>
      <c r="AA10" s="7"/>
      <c r="AB10" s="7"/>
      <c r="AC10" s="7" t="n">
        <v>12</v>
      </c>
      <c r="AD10" s="7"/>
      <c r="AE10" s="7" t="s">
        <v>265</v>
      </c>
      <c r="AF10" s="7" t="s">
        <v>266</v>
      </c>
      <c r="AG10" s="7" t="s">
        <v>248</v>
      </c>
      <c r="AH10" s="7" t="s">
        <v>267</v>
      </c>
      <c r="AI10" s="7" t="s">
        <v>248</v>
      </c>
      <c r="AJ10" s="7" t="s">
        <v>268</v>
      </c>
      <c r="AK10" s="7" t="s">
        <v>248</v>
      </c>
      <c r="AL10" s="7" t="s">
        <v>269</v>
      </c>
      <c r="AM10" s="7" t="s">
        <v>248</v>
      </c>
      <c r="AN10" s="7" t="s">
        <v>270</v>
      </c>
      <c r="AO10" s="7" t="s">
        <v>248</v>
      </c>
      <c r="AP10" s="7" t="s">
        <v>271</v>
      </c>
      <c r="AQ10" s="7" t="s">
        <v>248</v>
      </c>
      <c r="AR10" s="7" t="s">
        <v>82</v>
      </c>
      <c r="AS10" s="7" t="s">
        <v>265</v>
      </c>
      <c r="AT10" s="7" t="s">
        <v>122</v>
      </c>
      <c r="AU10" s="7" t="s">
        <v>248</v>
      </c>
      <c r="AV10" s="7" t="s">
        <v>272</v>
      </c>
      <c r="AW10" s="7" t="s">
        <v>265</v>
      </c>
      <c r="AX10" s="7" t="s">
        <v>273</v>
      </c>
      <c r="AY10" s="7" t="s">
        <v>248</v>
      </c>
      <c r="AZ10" s="7" t="s">
        <v>274</v>
      </c>
      <c r="BA10" s="7" t="s">
        <v>265</v>
      </c>
      <c r="BB10" s="7" t="s">
        <v>275</v>
      </c>
      <c r="BC10" s="7" t="s">
        <v>151</v>
      </c>
      <c r="BD10" s="7"/>
      <c r="BE10" s="7" t="s">
        <v>127</v>
      </c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</row>
    <row r="11" customFormat="false" ht="15" hidden="false" customHeight="false" outlineLevel="0" collapsed="false">
      <c r="A11" s="7" t="s">
        <v>276</v>
      </c>
      <c r="B11" s="7" t="s">
        <v>277</v>
      </c>
      <c r="C11" s="7" t="s">
        <v>278</v>
      </c>
      <c r="D11" s="7" t="s">
        <v>279</v>
      </c>
      <c r="E11" s="7" t="s">
        <v>101</v>
      </c>
      <c r="F11" s="7" t="s">
        <v>101</v>
      </c>
      <c r="G11" s="7"/>
      <c r="H11" s="7" t="s">
        <v>102</v>
      </c>
      <c r="I11" s="7" t="s">
        <v>208</v>
      </c>
      <c r="J11" s="7" t="s">
        <v>104</v>
      </c>
      <c r="K11" s="7" t="s">
        <v>105</v>
      </c>
      <c r="L11" s="7" t="s">
        <v>106</v>
      </c>
      <c r="M11" s="7" t="s">
        <v>280</v>
      </c>
      <c r="N11" s="7" t="s">
        <v>281</v>
      </c>
      <c r="O11" s="7"/>
      <c r="P11" s="7" t="s">
        <v>135</v>
      </c>
      <c r="Q11" s="7"/>
      <c r="R11" s="7" t="s">
        <v>135</v>
      </c>
      <c r="S11" s="7" t="s">
        <v>136</v>
      </c>
      <c r="T11" s="7" t="n">
        <v>0.588</v>
      </c>
      <c r="U11" s="7" t="n">
        <v>3</v>
      </c>
      <c r="V11" s="7" t="s">
        <v>90</v>
      </c>
      <c r="W11" s="7" t="s">
        <v>282</v>
      </c>
      <c r="X11" s="7" t="s">
        <v>283</v>
      </c>
      <c r="Y11" s="7" t="s">
        <v>284</v>
      </c>
      <c r="Z11" s="7" t="s">
        <v>285</v>
      </c>
      <c r="AA11" s="7"/>
      <c r="AB11" s="7"/>
      <c r="AC11" s="7" t="n">
        <v>12</v>
      </c>
      <c r="AD11" s="7"/>
      <c r="AE11" s="7" t="s">
        <v>286</v>
      </c>
      <c r="AF11" s="7" t="s">
        <v>287</v>
      </c>
      <c r="AG11" s="7" t="s">
        <v>288</v>
      </c>
      <c r="AH11" s="7" t="s">
        <v>289</v>
      </c>
      <c r="AI11" s="7" t="s">
        <v>288</v>
      </c>
      <c r="AJ11" s="7" t="s">
        <v>290</v>
      </c>
      <c r="AK11" s="7" t="s">
        <v>115</v>
      </c>
      <c r="AL11" s="7" t="s">
        <v>291</v>
      </c>
      <c r="AM11" s="7" t="s">
        <v>288</v>
      </c>
      <c r="AN11" s="7" t="s">
        <v>292</v>
      </c>
      <c r="AO11" s="7" t="s">
        <v>286</v>
      </c>
      <c r="AP11" s="7" t="s">
        <v>279</v>
      </c>
      <c r="AQ11" s="7" t="s">
        <v>286</v>
      </c>
      <c r="AR11" s="7" t="s">
        <v>121</v>
      </c>
      <c r="AS11" s="7" t="s">
        <v>286</v>
      </c>
      <c r="AT11" s="7" t="s">
        <v>147</v>
      </c>
      <c r="AU11" s="7" t="s">
        <v>288</v>
      </c>
      <c r="AV11" s="7" t="s">
        <v>293</v>
      </c>
      <c r="AW11" s="7" t="s">
        <v>286</v>
      </c>
      <c r="AX11" s="7" t="s">
        <v>294</v>
      </c>
      <c r="AY11" s="7" t="s">
        <v>286</v>
      </c>
      <c r="AZ11" s="7" t="s">
        <v>295</v>
      </c>
      <c r="BA11" s="7" t="s">
        <v>286</v>
      </c>
      <c r="BB11" s="7" t="s">
        <v>218</v>
      </c>
      <c r="BC11" s="7" t="s">
        <v>151</v>
      </c>
      <c r="BD11" s="7" t="s">
        <v>296</v>
      </c>
      <c r="BE11" s="7" t="s">
        <v>127</v>
      </c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</row>
    <row r="12" customFormat="false" ht="15" hidden="false" customHeight="false" outlineLevel="0" collapsed="false">
      <c r="A12" s="7" t="s">
        <v>297</v>
      </c>
      <c r="B12" s="7" t="s">
        <v>298</v>
      </c>
      <c r="C12" s="7" t="s">
        <v>299</v>
      </c>
      <c r="D12" s="7"/>
      <c r="E12" s="7" t="s">
        <v>101</v>
      </c>
      <c r="F12" s="7" t="s">
        <v>101</v>
      </c>
      <c r="G12" s="7"/>
      <c r="H12" s="7" t="s">
        <v>102</v>
      </c>
      <c r="I12" s="7" t="s">
        <v>300</v>
      </c>
      <c r="J12" s="7" t="s">
        <v>104</v>
      </c>
      <c r="K12" s="7" t="s">
        <v>105</v>
      </c>
      <c r="L12" s="7" t="s">
        <v>106</v>
      </c>
      <c r="M12" s="7" t="s">
        <v>301</v>
      </c>
      <c r="N12" s="7" t="s">
        <v>302</v>
      </c>
      <c r="O12" s="7"/>
      <c r="P12" s="7" t="s">
        <v>84</v>
      </c>
      <c r="Q12" s="7"/>
      <c r="R12" s="7" t="s">
        <v>135</v>
      </c>
      <c r="S12" s="7" t="s">
        <v>136</v>
      </c>
      <c r="T12" s="7" t="n">
        <v>0.414</v>
      </c>
      <c r="U12" s="7" t="n">
        <v>3</v>
      </c>
      <c r="V12" s="7" t="s">
        <v>111</v>
      </c>
      <c r="W12" s="7" t="s">
        <v>303</v>
      </c>
      <c r="X12" s="7" t="s">
        <v>304</v>
      </c>
      <c r="Y12" s="7" t="s">
        <v>302</v>
      </c>
      <c r="Z12" s="7" t="s">
        <v>305</v>
      </c>
      <c r="AA12" s="7"/>
      <c r="AB12" s="7"/>
      <c r="AC12" s="7" t="n">
        <v>12</v>
      </c>
      <c r="AD12" s="7"/>
      <c r="AE12" s="7" t="s">
        <v>141</v>
      </c>
      <c r="AF12" s="7" t="s">
        <v>306</v>
      </c>
      <c r="AG12" s="7" t="s">
        <v>307</v>
      </c>
      <c r="AH12" s="7" t="s">
        <v>308</v>
      </c>
      <c r="AI12" s="7" t="s">
        <v>141</v>
      </c>
      <c r="AJ12" s="7" t="s">
        <v>309</v>
      </c>
      <c r="AK12" s="7" t="s">
        <v>144</v>
      </c>
      <c r="AL12" s="7" t="s">
        <v>310</v>
      </c>
      <c r="AM12" s="7" t="s">
        <v>141</v>
      </c>
      <c r="AN12" s="7" t="s">
        <v>311</v>
      </c>
      <c r="AO12" s="7" t="s">
        <v>141</v>
      </c>
      <c r="AP12" s="7" t="s">
        <v>312</v>
      </c>
      <c r="AQ12" s="7" t="s">
        <v>141</v>
      </c>
      <c r="AR12" s="7" t="s">
        <v>313</v>
      </c>
      <c r="AS12" s="7" t="s">
        <v>141</v>
      </c>
      <c r="AT12" s="7" t="s">
        <v>250</v>
      </c>
      <c r="AU12" s="7" t="s">
        <v>141</v>
      </c>
      <c r="AV12" s="7" t="s">
        <v>314</v>
      </c>
      <c r="AW12" s="7" t="s">
        <v>141</v>
      </c>
      <c r="AX12" s="7" t="s">
        <v>273</v>
      </c>
      <c r="AY12" s="7" t="s">
        <v>141</v>
      </c>
      <c r="AZ12" s="7" t="s">
        <v>295</v>
      </c>
      <c r="BA12" s="7" t="s">
        <v>144</v>
      </c>
      <c r="BB12" s="7" t="s">
        <v>315</v>
      </c>
      <c r="BC12" s="7" t="s">
        <v>151</v>
      </c>
      <c r="BD12" s="7" t="s">
        <v>126</v>
      </c>
      <c r="BE12" s="7" t="s">
        <v>127</v>
      </c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</row>
    <row r="13" customFormat="false" ht="15" hidden="false" customHeight="false" outlineLevel="0" collapsed="false">
      <c r="A13" s="7" t="s">
        <v>316</v>
      </c>
      <c r="B13" s="7" t="s">
        <v>317</v>
      </c>
      <c r="C13" s="7" t="s">
        <v>318</v>
      </c>
      <c r="D13" s="7" t="s">
        <v>100</v>
      </c>
      <c r="E13" s="7" t="s">
        <v>101</v>
      </c>
      <c r="F13" s="7" t="s">
        <v>101</v>
      </c>
      <c r="G13" s="7"/>
      <c r="H13" s="7" t="s">
        <v>102</v>
      </c>
      <c r="I13" s="7" t="s">
        <v>158</v>
      </c>
      <c r="J13" s="7" t="s">
        <v>104</v>
      </c>
      <c r="K13" s="7" t="s">
        <v>105</v>
      </c>
      <c r="L13" s="7" t="s">
        <v>106</v>
      </c>
      <c r="M13" s="7"/>
      <c r="N13" s="7" t="s">
        <v>319</v>
      </c>
      <c r="O13" s="7"/>
      <c r="P13" s="7" t="s">
        <v>135</v>
      </c>
      <c r="Q13" s="7"/>
      <c r="R13" s="7" t="s">
        <v>135</v>
      </c>
      <c r="S13" s="7" t="s">
        <v>136</v>
      </c>
      <c r="T13" s="7" t="n">
        <v>0.731</v>
      </c>
      <c r="U13" s="7" t="n">
        <v>2</v>
      </c>
      <c r="V13" s="7" t="s">
        <v>90</v>
      </c>
      <c r="W13" s="7"/>
      <c r="X13" s="7"/>
      <c r="Y13" s="7" t="s">
        <v>319</v>
      </c>
      <c r="Z13" s="7"/>
      <c r="AA13" s="7"/>
      <c r="AB13" s="7"/>
      <c r="AC13" s="7" t="n">
        <v>9</v>
      </c>
      <c r="AD13" s="7" t="s">
        <v>320</v>
      </c>
      <c r="AE13" s="7" t="s">
        <v>213</v>
      </c>
      <c r="AF13" s="7" t="s">
        <v>321</v>
      </c>
      <c r="AG13" s="7" t="s">
        <v>213</v>
      </c>
      <c r="AH13" s="7" t="s">
        <v>322</v>
      </c>
      <c r="AI13" s="7"/>
      <c r="AJ13" s="7"/>
      <c r="AK13" s="7"/>
      <c r="AL13" s="7"/>
      <c r="AM13" s="7" t="s">
        <v>213</v>
      </c>
      <c r="AN13" s="7" t="s">
        <v>323</v>
      </c>
      <c r="AO13" s="7" t="s">
        <v>213</v>
      </c>
      <c r="AP13" s="7" t="s">
        <v>324</v>
      </c>
      <c r="AQ13" s="7" t="s">
        <v>213</v>
      </c>
      <c r="AR13" s="7" t="s">
        <v>313</v>
      </c>
      <c r="AS13" s="7" t="s">
        <v>213</v>
      </c>
      <c r="AT13" s="7" t="s">
        <v>250</v>
      </c>
      <c r="AU13" s="7" t="s">
        <v>213</v>
      </c>
      <c r="AV13" s="7" t="s">
        <v>325</v>
      </c>
      <c r="AW13" s="7" t="s">
        <v>213</v>
      </c>
      <c r="AX13" s="7" t="s">
        <v>326</v>
      </c>
      <c r="AY13" s="7" t="s">
        <v>213</v>
      </c>
      <c r="AZ13" s="7" t="s">
        <v>124</v>
      </c>
      <c r="BA13" s="7"/>
      <c r="BB13" s="7"/>
      <c r="BC13" s="7"/>
      <c r="BD13" s="7"/>
      <c r="BE13" s="7" t="s">
        <v>127</v>
      </c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</row>
    <row r="14" customFormat="false" ht="15" hidden="false" customHeight="false" outlineLevel="0" collapsed="false">
      <c r="A14" s="7" t="s">
        <v>327</v>
      </c>
      <c r="B14" s="7" t="s">
        <v>328</v>
      </c>
      <c r="C14" s="7" t="s">
        <v>329</v>
      </c>
      <c r="D14" s="7"/>
      <c r="E14" s="7" t="s">
        <v>101</v>
      </c>
      <c r="F14" s="7" t="s">
        <v>156</v>
      </c>
      <c r="G14" s="7"/>
      <c r="H14" s="7" t="s">
        <v>157</v>
      </c>
      <c r="I14" s="7" t="s">
        <v>132</v>
      </c>
      <c r="J14" s="7" t="s">
        <v>159</v>
      </c>
      <c r="K14" s="7" t="s">
        <v>105</v>
      </c>
      <c r="L14" s="7" t="s">
        <v>106</v>
      </c>
      <c r="M14" s="7"/>
      <c r="N14" s="7" t="s">
        <v>330</v>
      </c>
      <c r="O14" s="7"/>
      <c r="P14" s="7" t="s">
        <v>135</v>
      </c>
      <c r="Q14" s="7"/>
      <c r="R14" s="7" t="s">
        <v>135</v>
      </c>
      <c r="S14" s="7" t="s">
        <v>136</v>
      </c>
      <c r="T14" s="7" t="n">
        <v>0.652</v>
      </c>
      <c r="U14" s="7" t="n">
        <v>2</v>
      </c>
      <c r="V14" s="7" t="s">
        <v>90</v>
      </c>
      <c r="W14" s="7" t="s">
        <v>331</v>
      </c>
      <c r="X14" s="7" t="s">
        <v>332</v>
      </c>
      <c r="Y14" s="7" t="s">
        <v>333</v>
      </c>
      <c r="Z14" s="7" t="s">
        <v>334</v>
      </c>
      <c r="AA14" s="7"/>
      <c r="AB14" s="7"/>
      <c r="AC14" s="7" t="n">
        <v>11</v>
      </c>
      <c r="AD14" s="7" t="s">
        <v>335</v>
      </c>
      <c r="AE14" s="7" t="s">
        <v>166</v>
      </c>
      <c r="AF14" s="7" t="s">
        <v>336</v>
      </c>
      <c r="AG14" s="7" t="s">
        <v>166</v>
      </c>
      <c r="AH14" s="7" t="s">
        <v>337</v>
      </c>
      <c r="AI14" s="7"/>
      <c r="AJ14" s="7"/>
      <c r="AK14" s="7" t="s">
        <v>115</v>
      </c>
      <c r="AL14" s="7" t="s">
        <v>338</v>
      </c>
      <c r="AM14" s="7" t="s">
        <v>339</v>
      </c>
      <c r="AN14" s="7" t="s">
        <v>340</v>
      </c>
      <c r="AO14" s="7" t="s">
        <v>166</v>
      </c>
      <c r="AP14" s="7" t="s">
        <v>341</v>
      </c>
      <c r="AQ14" s="7" t="s">
        <v>166</v>
      </c>
      <c r="AR14" s="7" t="s">
        <v>342</v>
      </c>
      <c r="AS14" s="7" t="s">
        <v>166</v>
      </c>
      <c r="AT14" s="7" t="s">
        <v>343</v>
      </c>
      <c r="AU14" s="7" t="s">
        <v>166</v>
      </c>
      <c r="AV14" s="7" t="s">
        <v>344</v>
      </c>
      <c r="AW14" s="7" t="s">
        <v>166</v>
      </c>
      <c r="AX14" s="7" t="s">
        <v>345</v>
      </c>
      <c r="AY14" s="7" t="s">
        <v>166</v>
      </c>
      <c r="AZ14" s="7" t="s">
        <v>346</v>
      </c>
      <c r="BA14" s="7" t="s">
        <v>166</v>
      </c>
      <c r="BB14" s="7" t="s">
        <v>347</v>
      </c>
      <c r="BC14" s="7" t="s">
        <v>178</v>
      </c>
      <c r="BD14" s="7" t="s">
        <v>348</v>
      </c>
      <c r="BE14" s="7" t="s">
        <v>127</v>
      </c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</row>
    <row r="15" customFormat="false" ht="15" hidden="false" customHeight="false" outlineLevel="0" collapsed="false">
      <c r="A15" s="7" t="s">
        <v>349</v>
      </c>
      <c r="B15" s="7" t="s">
        <v>350</v>
      </c>
      <c r="C15" s="7" t="s">
        <v>351</v>
      </c>
      <c r="D15" s="7" t="s">
        <v>352</v>
      </c>
      <c r="E15" s="7" t="s">
        <v>101</v>
      </c>
      <c r="F15" s="7" t="s">
        <v>82</v>
      </c>
      <c r="G15" s="7"/>
      <c r="H15" s="7" t="s">
        <v>102</v>
      </c>
      <c r="I15" s="7" t="s">
        <v>158</v>
      </c>
      <c r="J15" s="7" t="s">
        <v>104</v>
      </c>
      <c r="K15" s="7" t="s">
        <v>105</v>
      </c>
      <c r="L15" s="7" t="s">
        <v>353</v>
      </c>
      <c r="M15" s="7" t="s">
        <v>354</v>
      </c>
      <c r="N15" s="7" t="s">
        <v>355</v>
      </c>
      <c r="O15" s="7" t="s">
        <v>355</v>
      </c>
      <c r="P15" s="7" t="s">
        <v>135</v>
      </c>
      <c r="Q15" s="7"/>
      <c r="R15" s="7" t="s">
        <v>109</v>
      </c>
      <c r="S15" s="7" t="s">
        <v>110</v>
      </c>
      <c r="T15" s="7" t="n">
        <v>0.591</v>
      </c>
      <c r="U15" s="7" t="n">
        <v>2</v>
      </c>
      <c r="V15" s="7" t="s">
        <v>90</v>
      </c>
      <c r="W15" s="7" t="s">
        <v>356</v>
      </c>
      <c r="X15" s="7" t="s">
        <v>357</v>
      </c>
      <c r="Y15" s="7" t="s">
        <v>355</v>
      </c>
      <c r="Z15" s="7" t="s">
        <v>358</v>
      </c>
      <c r="AA15" s="7"/>
      <c r="AB15" s="7"/>
      <c r="AC15" s="7" t="n">
        <v>10</v>
      </c>
      <c r="AD15" s="7" t="s">
        <v>359</v>
      </c>
      <c r="AE15" s="7" t="s">
        <v>360</v>
      </c>
      <c r="AF15" s="7" t="s">
        <v>361</v>
      </c>
      <c r="AG15" s="7" t="s">
        <v>362</v>
      </c>
      <c r="AH15" s="7" t="s">
        <v>363</v>
      </c>
      <c r="AI15" s="7"/>
      <c r="AJ15" s="7"/>
      <c r="AK15" s="7"/>
      <c r="AL15" s="7"/>
      <c r="AM15" s="7" t="s">
        <v>362</v>
      </c>
      <c r="AN15" s="7" t="s">
        <v>364</v>
      </c>
      <c r="AO15" s="7" t="s">
        <v>360</v>
      </c>
      <c r="AP15" s="7" t="s">
        <v>352</v>
      </c>
      <c r="AQ15" s="7" t="s">
        <v>360</v>
      </c>
      <c r="AR15" s="7" t="s">
        <v>82</v>
      </c>
      <c r="AS15" s="7" t="s">
        <v>360</v>
      </c>
      <c r="AT15" s="7" t="s">
        <v>122</v>
      </c>
      <c r="AU15" s="7" t="s">
        <v>365</v>
      </c>
      <c r="AV15" s="7" t="s">
        <v>366</v>
      </c>
      <c r="AW15" s="7" t="s">
        <v>365</v>
      </c>
      <c r="AX15" s="7" t="s">
        <v>367</v>
      </c>
      <c r="AY15" s="7" t="s">
        <v>362</v>
      </c>
      <c r="AZ15" s="7" t="s">
        <v>368</v>
      </c>
      <c r="BA15" s="7" t="s">
        <v>360</v>
      </c>
      <c r="BB15" s="7" t="s">
        <v>369</v>
      </c>
      <c r="BC15" s="7" t="s">
        <v>151</v>
      </c>
      <c r="BD15" s="7" t="s">
        <v>370</v>
      </c>
      <c r="BE15" s="7" t="s">
        <v>127</v>
      </c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</row>
    <row r="16" customFormat="false" ht="15" hidden="false" customHeight="false" outlineLevel="0" collapsed="false">
      <c r="A16" s="7" t="s">
        <v>371</v>
      </c>
      <c r="B16" s="7" t="s">
        <v>372</v>
      </c>
      <c r="C16" s="7" t="s">
        <v>373</v>
      </c>
      <c r="D16" s="7"/>
      <c r="E16" s="7" t="s">
        <v>101</v>
      </c>
      <c r="F16" s="7" t="s">
        <v>101</v>
      </c>
      <c r="G16" s="7"/>
      <c r="H16" s="7" t="s">
        <v>102</v>
      </c>
      <c r="I16" s="7" t="s">
        <v>374</v>
      </c>
      <c r="J16" s="7" t="s">
        <v>104</v>
      </c>
      <c r="K16" s="7" t="s">
        <v>105</v>
      </c>
      <c r="L16" s="7" t="s">
        <v>106</v>
      </c>
      <c r="M16" s="7"/>
      <c r="N16" s="7" t="s">
        <v>375</v>
      </c>
      <c r="O16" s="7"/>
      <c r="P16" s="7" t="s">
        <v>135</v>
      </c>
      <c r="Q16" s="7"/>
      <c r="R16" s="7" t="s">
        <v>135</v>
      </c>
      <c r="S16" s="7" t="s">
        <v>136</v>
      </c>
      <c r="T16" s="7" t="n">
        <v>0.656</v>
      </c>
      <c r="U16" s="7" t="n">
        <v>2</v>
      </c>
      <c r="V16" s="7" t="s">
        <v>90</v>
      </c>
      <c r="W16" s="7"/>
      <c r="X16" s="7"/>
      <c r="Y16" s="7"/>
      <c r="Z16" s="7"/>
      <c r="AA16" s="7"/>
      <c r="AB16" s="7"/>
      <c r="AC16" s="7" t="n">
        <v>6</v>
      </c>
      <c r="AD16" s="7" t="s">
        <v>376</v>
      </c>
      <c r="AE16" s="7" t="s">
        <v>213</v>
      </c>
      <c r="AF16" s="7" t="s">
        <v>377</v>
      </c>
      <c r="AG16" s="7" t="s">
        <v>213</v>
      </c>
      <c r="AH16" s="7" t="s">
        <v>378</v>
      </c>
      <c r="AI16" s="7" t="s">
        <v>213</v>
      </c>
      <c r="AJ16" s="7" t="s">
        <v>138</v>
      </c>
      <c r="AK16" s="7"/>
      <c r="AL16" s="7"/>
      <c r="AM16" s="7"/>
      <c r="AN16" s="7"/>
      <c r="AO16" s="7" t="s">
        <v>213</v>
      </c>
      <c r="AP16" s="7" t="s">
        <v>379</v>
      </c>
      <c r="AQ16" s="7"/>
      <c r="AR16" s="7"/>
      <c r="AS16" s="7" t="s">
        <v>213</v>
      </c>
      <c r="AT16" s="7" t="s">
        <v>250</v>
      </c>
      <c r="AU16" s="7"/>
      <c r="AV16" s="7"/>
      <c r="AW16" s="7"/>
      <c r="AX16" s="7"/>
      <c r="AY16" s="7"/>
      <c r="AZ16" s="7"/>
      <c r="BA16" s="7" t="s">
        <v>213</v>
      </c>
      <c r="BB16" s="7" t="s">
        <v>380</v>
      </c>
      <c r="BC16" s="7"/>
      <c r="BD16" s="7"/>
      <c r="BE16" s="7" t="s">
        <v>127</v>
      </c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</row>
    <row r="17" customFormat="false" ht="15" hidden="false" customHeight="false" outlineLevel="0" collapsed="false">
      <c r="A17" s="7" t="s">
        <v>381</v>
      </c>
      <c r="B17" s="7" t="s">
        <v>382</v>
      </c>
      <c r="C17" s="7" t="s">
        <v>383</v>
      </c>
      <c r="D17" s="7"/>
      <c r="E17" s="7" t="s">
        <v>101</v>
      </c>
      <c r="F17" s="7" t="s">
        <v>101</v>
      </c>
      <c r="G17" s="7"/>
      <c r="H17" s="7" t="s">
        <v>102</v>
      </c>
      <c r="I17" s="7" t="s">
        <v>158</v>
      </c>
      <c r="J17" s="7" t="s">
        <v>104</v>
      </c>
      <c r="K17" s="7" t="s">
        <v>105</v>
      </c>
      <c r="L17" s="7" t="s">
        <v>106</v>
      </c>
      <c r="M17" s="7" t="s">
        <v>384</v>
      </c>
      <c r="N17" s="7" t="s">
        <v>385</v>
      </c>
      <c r="O17" s="7"/>
      <c r="P17" s="7" t="s">
        <v>109</v>
      </c>
      <c r="Q17" s="7"/>
      <c r="R17" s="7" t="s">
        <v>135</v>
      </c>
      <c r="S17" s="7" t="s">
        <v>136</v>
      </c>
      <c r="T17" s="7" t="n">
        <v>0.706</v>
      </c>
      <c r="U17" s="7" t="n">
        <v>2</v>
      </c>
      <c r="V17" s="7" t="s">
        <v>90</v>
      </c>
      <c r="W17" s="7" t="s">
        <v>386</v>
      </c>
      <c r="X17" s="7" t="s">
        <v>163</v>
      </c>
      <c r="Y17" s="7" t="s">
        <v>385</v>
      </c>
      <c r="Z17" s="7" t="s">
        <v>387</v>
      </c>
      <c r="AA17" s="7"/>
      <c r="AB17" s="7"/>
      <c r="AC17" s="7" t="n">
        <v>0</v>
      </c>
      <c r="AD17" s="7" t="s">
        <v>388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 t="s">
        <v>151</v>
      </c>
      <c r="BD17" s="7"/>
      <c r="BE17" s="7" t="s">
        <v>127</v>
      </c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</row>
    <row r="18" customFormat="false" ht="15" hidden="false" customHeight="false" outlineLevel="0" collapsed="false">
      <c r="A18" s="7" t="s">
        <v>389</v>
      </c>
      <c r="B18" s="7" t="s">
        <v>390</v>
      </c>
      <c r="C18" s="7" t="s">
        <v>391</v>
      </c>
      <c r="D18" s="7" t="s">
        <v>392</v>
      </c>
      <c r="E18" s="7" t="s">
        <v>101</v>
      </c>
      <c r="F18" s="7" t="s">
        <v>101</v>
      </c>
      <c r="G18" s="7"/>
      <c r="H18" s="7" t="s">
        <v>102</v>
      </c>
      <c r="I18" s="7" t="s">
        <v>208</v>
      </c>
      <c r="J18" s="7" t="s">
        <v>104</v>
      </c>
      <c r="K18" s="7" t="s">
        <v>105</v>
      </c>
      <c r="L18" s="7" t="s">
        <v>106</v>
      </c>
      <c r="M18" s="7"/>
      <c r="N18" s="7" t="s">
        <v>393</v>
      </c>
      <c r="O18" s="7"/>
      <c r="P18" s="7" t="s">
        <v>135</v>
      </c>
      <c r="Q18" s="7"/>
      <c r="R18" s="7" t="s">
        <v>135</v>
      </c>
      <c r="S18" s="7" t="s">
        <v>136</v>
      </c>
      <c r="T18" s="7" t="n">
        <v>0.333</v>
      </c>
      <c r="U18" s="7" t="n">
        <v>2</v>
      </c>
      <c r="V18" s="7" t="s">
        <v>90</v>
      </c>
      <c r="W18" s="7"/>
      <c r="X18" s="7"/>
      <c r="Y18" s="7"/>
      <c r="Z18" s="7"/>
      <c r="AA18" s="7"/>
      <c r="AB18" s="7"/>
      <c r="AC18" s="7" t="n">
        <v>10</v>
      </c>
      <c r="AD18" s="7" t="s">
        <v>359</v>
      </c>
      <c r="AE18" s="7" t="s">
        <v>213</v>
      </c>
      <c r="AF18" s="7" t="s">
        <v>394</v>
      </c>
      <c r="AG18" s="7" t="s">
        <v>213</v>
      </c>
      <c r="AH18" s="7" t="s">
        <v>395</v>
      </c>
      <c r="AI18" s="7"/>
      <c r="AJ18" s="7"/>
      <c r="AK18" s="7"/>
      <c r="AL18" s="7"/>
      <c r="AM18" s="7" t="s">
        <v>213</v>
      </c>
      <c r="AN18" s="7" t="s">
        <v>396</v>
      </c>
      <c r="AO18" s="7" t="s">
        <v>213</v>
      </c>
      <c r="AP18" s="7" t="s">
        <v>397</v>
      </c>
      <c r="AQ18" s="7" t="s">
        <v>213</v>
      </c>
      <c r="AR18" s="7" t="s">
        <v>398</v>
      </c>
      <c r="AS18" s="7" t="s">
        <v>213</v>
      </c>
      <c r="AT18" s="7" t="s">
        <v>250</v>
      </c>
      <c r="AU18" s="7" t="s">
        <v>213</v>
      </c>
      <c r="AV18" s="7" t="s">
        <v>399</v>
      </c>
      <c r="AW18" s="7" t="s">
        <v>213</v>
      </c>
      <c r="AX18" s="7" t="s">
        <v>326</v>
      </c>
      <c r="AY18" s="7" t="s">
        <v>213</v>
      </c>
      <c r="AZ18" s="7" t="s">
        <v>124</v>
      </c>
      <c r="BA18" s="7" t="s">
        <v>213</v>
      </c>
      <c r="BB18" s="7" t="s">
        <v>380</v>
      </c>
      <c r="BC18" s="7"/>
      <c r="BD18" s="7"/>
      <c r="BE18" s="7" t="s">
        <v>127</v>
      </c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</row>
    <row r="19" customFormat="false" ht="15" hidden="false" customHeight="false" outlineLevel="0" collapsed="false">
      <c r="A19" s="7" t="s">
        <v>400</v>
      </c>
      <c r="B19" s="7" t="s">
        <v>401</v>
      </c>
      <c r="C19" s="7" t="s">
        <v>402</v>
      </c>
      <c r="D19" s="7"/>
      <c r="E19" s="7" t="s">
        <v>101</v>
      </c>
      <c r="F19" s="7" t="s">
        <v>101</v>
      </c>
      <c r="G19" s="7"/>
      <c r="H19" s="7" t="s">
        <v>102</v>
      </c>
      <c r="I19" s="7" t="s">
        <v>158</v>
      </c>
      <c r="J19" s="7" t="s">
        <v>104</v>
      </c>
      <c r="K19" s="7" t="s">
        <v>105</v>
      </c>
      <c r="L19" s="7" t="s">
        <v>106</v>
      </c>
      <c r="M19" s="7" t="s">
        <v>403</v>
      </c>
      <c r="N19" s="7" t="s">
        <v>404</v>
      </c>
      <c r="O19" s="7"/>
      <c r="P19" s="7" t="s">
        <v>135</v>
      </c>
      <c r="Q19" s="7"/>
      <c r="R19" s="7" t="s">
        <v>135</v>
      </c>
      <c r="S19" s="7" t="s">
        <v>136</v>
      </c>
      <c r="T19" s="7" t="n">
        <v>0.563</v>
      </c>
      <c r="U19" s="7" t="n">
        <v>2</v>
      </c>
      <c r="V19" s="7" t="s">
        <v>90</v>
      </c>
      <c r="W19" s="7"/>
      <c r="X19" s="7"/>
      <c r="Y19" s="7" t="s">
        <v>404</v>
      </c>
      <c r="Z19" s="7"/>
      <c r="AA19" s="7"/>
      <c r="AB19" s="7"/>
      <c r="AC19" s="7" t="n">
        <v>9</v>
      </c>
      <c r="AD19" s="7" t="s">
        <v>405</v>
      </c>
      <c r="AE19" s="7" t="s">
        <v>406</v>
      </c>
      <c r="AF19" s="7" t="s">
        <v>407</v>
      </c>
      <c r="AG19" s="7"/>
      <c r="AH19" s="7"/>
      <c r="AI19" s="7"/>
      <c r="AJ19" s="7"/>
      <c r="AK19" s="7"/>
      <c r="AL19" s="7"/>
      <c r="AM19" s="7" t="s">
        <v>406</v>
      </c>
      <c r="AN19" s="7" t="s">
        <v>408</v>
      </c>
      <c r="AO19" s="7" t="s">
        <v>406</v>
      </c>
      <c r="AP19" s="7" t="s">
        <v>409</v>
      </c>
      <c r="AQ19" s="7" t="s">
        <v>406</v>
      </c>
      <c r="AR19" s="7" t="s">
        <v>410</v>
      </c>
      <c r="AS19" s="7" t="s">
        <v>406</v>
      </c>
      <c r="AT19" s="7" t="s">
        <v>216</v>
      </c>
      <c r="AU19" s="7" t="s">
        <v>406</v>
      </c>
      <c r="AV19" s="7" t="s">
        <v>411</v>
      </c>
      <c r="AW19" s="7" t="s">
        <v>406</v>
      </c>
      <c r="AX19" s="7" t="s">
        <v>412</v>
      </c>
      <c r="AY19" s="7" t="s">
        <v>406</v>
      </c>
      <c r="AZ19" s="7" t="s">
        <v>295</v>
      </c>
      <c r="BA19" s="7" t="s">
        <v>406</v>
      </c>
      <c r="BB19" s="7" t="s">
        <v>369</v>
      </c>
      <c r="BC19" s="7" t="s">
        <v>413</v>
      </c>
      <c r="BD19" s="7"/>
      <c r="BE19" s="7" t="s">
        <v>127</v>
      </c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</row>
    <row r="20" customFormat="false" ht="15" hidden="false" customHeight="false" outlineLevel="0" collapsed="false">
      <c r="A20" s="7" t="s">
        <v>414</v>
      </c>
      <c r="B20" s="7" t="s">
        <v>415</v>
      </c>
      <c r="C20" s="7" t="s">
        <v>416</v>
      </c>
      <c r="D20" s="7" t="s">
        <v>417</v>
      </c>
      <c r="E20" s="7" t="s">
        <v>101</v>
      </c>
      <c r="F20" s="7" t="s">
        <v>82</v>
      </c>
      <c r="G20" s="7" t="s">
        <v>418</v>
      </c>
      <c r="H20" s="7" t="s">
        <v>102</v>
      </c>
      <c r="I20" s="7" t="s">
        <v>158</v>
      </c>
      <c r="J20" s="7" t="s">
        <v>104</v>
      </c>
      <c r="K20" s="7" t="s">
        <v>105</v>
      </c>
      <c r="L20" s="7" t="s">
        <v>106</v>
      </c>
      <c r="M20" s="7" t="s">
        <v>419</v>
      </c>
      <c r="N20" s="7" t="s">
        <v>420</v>
      </c>
      <c r="O20" s="7" t="s">
        <v>420</v>
      </c>
      <c r="P20" s="7" t="s">
        <v>135</v>
      </c>
      <c r="Q20" s="7"/>
      <c r="R20" s="7" t="s">
        <v>109</v>
      </c>
      <c r="S20" s="7" t="s">
        <v>110</v>
      </c>
      <c r="T20" s="7" t="n">
        <v>0.318</v>
      </c>
      <c r="U20" s="7" t="n">
        <v>2</v>
      </c>
      <c r="V20" s="7" t="s">
        <v>90</v>
      </c>
      <c r="W20" s="7"/>
      <c r="X20" s="7"/>
      <c r="Y20" s="7" t="s">
        <v>420</v>
      </c>
      <c r="Z20" s="7"/>
      <c r="AA20" s="7"/>
      <c r="AB20" s="7"/>
      <c r="AC20" s="7" t="n">
        <v>8</v>
      </c>
      <c r="AD20" s="7" t="s">
        <v>421</v>
      </c>
      <c r="AE20" s="7" t="s">
        <v>422</v>
      </c>
      <c r="AF20" s="7" t="s">
        <v>423</v>
      </c>
      <c r="AG20" s="7"/>
      <c r="AH20" s="7"/>
      <c r="AI20" s="7"/>
      <c r="AJ20" s="7"/>
      <c r="AK20" s="7"/>
      <c r="AL20" s="7"/>
      <c r="AM20" s="7" t="s">
        <v>424</v>
      </c>
      <c r="AN20" s="7" t="s">
        <v>425</v>
      </c>
      <c r="AO20" s="7" t="s">
        <v>424</v>
      </c>
      <c r="AP20" s="7" t="s">
        <v>426</v>
      </c>
      <c r="AQ20" s="7" t="s">
        <v>424</v>
      </c>
      <c r="AR20" s="7" t="s">
        <v>82</v>
      </c>
      <c r="AS20" s="7" t="s">
        <v>424</v>
      </c>
      <c r="AT20" s="7" t="s">
        <v>122</v>
      </c>
      <c r="AU20" s="7"/>
      <c r="AV20" s="7"/>
      <c r="AW20" s="7" t="s">
        <v>422</v>
      </c>
      <c r="AX20" s="7" t="s">
        <v>412</v>
      </c>
      <c r="AY20" s="7" t="s">
        <v>424</v>
      </c>
      <c r="AZ20" s="7" t="s">
        <v>124</v>
      </c>
      <c r="BA20" s="7" t="s">
        <v>424</v>
      </c>
      <c r="BB20" s="7" t="s">
        <v>369</v>
      </c>
      <c r="BC20" s="7" t="s">
        <v>427</v>
      </c>
      <c r="BD20" s="7" t="s">
        <v>220</v>
      </c>
      <c r="BE20" s="7" t="s">
        <v>127</v>
      </c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</row>
    <row r="21" customFormat="false" ht="15" hidden="false" customHeight="false" outlineLevel="0" collapsed="false">
      <c r="A21" s="7" t="s">
        <v>428</v>
      </c>
      <c r="B21" s="7" t="s">
        <v>429</v>
      </c>
      <c r="C21" s="7" t="s">
        <v>430</v>
      </c>
      <c r="D21" s="7"/>
      <c r="E21" s="7" t="s">
        <v>431</v>
      </c>
      <c r="F21" s="7" t="s">
        <v>431</v>
      </c>
      <c r="G21" s="7"/>
      <c r="H21" s="7" t="s">
        <v>102</v>
      </c>
      <c r="I21" s="7" t="s">
        <v>234</v>
      </c>
      <c r="J21" s="7" t="s">
        <v>104</v>
      </c>
      <c r="K21" s="7" t="s">
        <v>105</v>
      </c>
      <c r="L21" s="7" t="s">
        <v>259</v>
      </c>
      <c r="M21" s="7"/>
      <c r="N21" s="7" t="s">
        <v>432</v>
      </c>
      <c r="O21" s="7" t="s">
        <v>432</v>
      </c>
      <c r="P21" s="7" t="s">
        <v>135</v>
      </c>
      <c r="Q21" s="7"/>
      <c r="R21" s="7" t="s">
        <v>109</v>
      </c>
      <c r="S21" s="7" t="s">
        <v>110</v>
      </c>
      <c r="T21" s="7" t="n">
        <v>0.699</v>
      </c>
      <c r="U21" s="7" t="n">
        <v>2</v>
      </c>
      <c r="V21" s="7" t="s">
        <v>90</v>
      </c>
      <c r="W21" s="7"/>
      <c r="X21" s="7" t="s">
        <v>433</v>
      </c>
      <c r="Y21" s="7" t="s">
        <v>432</v>
      </c>
      <c r="Z21" s="7"/>
      <c r="AA21" s="7"/>
      <c r="AB21" s="7"/>
      <c r="AC21" s="7" t="n">
        <v>8</v>
      </c>
      <c r="AD21" s="7" t="s">
        <v>434</v>
      </c>
      <c r="AE21" s="7" t="s">
        <v>435</v>
      </c>
      <c r="AF21" s="7" t="s">
        <v>436</v>
      </c>
      <c r="AG21" s="7" t="s">
        <v>435</v>
      </c>
      <c r="AH21" s="7" t="s">
        <v>433</v>
      </c>
      <c r="AI21" s="7"/>
      <c r="AJ21" s="7"/>
      <c r="AK21" s="7"/>
      <c r="AL21" s="7"/>
      <c r="AM21" s="7"/>
      <c r="AN21" s="7"/>
      <c r="AO21" s="7" t="s">
        <v>435</v>
      </c>
      <c r="AP21" s="7" t="s">
        <v>437</v>
      </c>
      <c r="AQ21" s="7" t="s">
        <v>435</v>
      </c>
      <c r="AR21" s="7" t="s">
        <v>431</v>
      </c>
      <c r="AS21" s="7" t="s">
        <v>406</v>
      </c>
      <c r="AT21" s="7" t="s">
        <v>216</v>
      </c>
      <c r="AU21" s="7"/>
      <c r="AV21" s="7"/>
      <c r="AW21" s="7" t="s">
        <v>435</v>
      </c>
      <c r="AX21" s="7" t="s">
        <v>432</v>
      </c>
      <c r="AY21" s="7" t="s">
        <v>406</v>
      </c>
      <c r="AZ21" s="7" t="s">
        <v>438</v>
      </c>
      <c r="BA21" s="7" t="s">
        <v>406</v>
      </c>
      <c r="BB21" s="7" t="s">
        <v>439</v>
      </c>
      <c r="BC21" s="7"/>
      <c r="BD21" s="7" t="s">
        <v>440</v>
      </c>
      <c r="BE21" s="7" t="s">
        <v>127</v>
      </c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</row>
    <row r="22" customFormat="false" ht="15" hidden="false" customHeight="false" outlineLevel="0" collapsed="false">
      <c r="A22" s="7" t="s">
        <v>441</v>
      </c>
      <c r="B22" s="7" t="s">
        <v>442</v>
      </c>
      <c r="C22" s="7" t="s">
        <v>443</v>
      </c>
      <c r="D22" s="7"/>
      <c r="E22" s="7" t="s">
        <v>444</v>
      </c>
      <c r="F22" s="7" t="s">
        <v>444</v>
      </c>
      <c r="G22" s="7"/>
      <c r="H22" s="7" t="s">
        <v>102</v>
      </c>
      <c r="I22" s="7" t="s">
        <v>158</v>
      </c>
      <c r="J22" s="7" t="s">
        <v>104</v>
      </c>
      <c r="K22" s="7" t="s">
        <v>105</v>
      </c>
      <c r="L22" s="7" t="s">
        <v>106</v>
      </c>
      <c r="M22" s="7" t="s">
        <v>419</v>
      </c>
      <c r="N22" s="7" t="s">
        <v>445</v>
      </c>
      <c r="O22" s="7" t="s">
        <v>446</v>
      </c>
      <c r="P22" s="7" t="s">
        <v>135</v>
      </c>
      <c r="Q22" s="7"/>
      <c r="R22" s="7" t="s">
        <v>84</v>
      </c>
      <c r="S22" s="7" t="s">
        <v>238</v>
      </c>
      <c r="T22" s="7" t="n">
        <v>0.763</v>
      </c>
      <c r="U22" s="7" t="n">
        <v>2</v>
      </c>
      <c r="V22" s="7" t="s">
        <v>90</v>
      </c>
      <c r="W22" s="7"/>
      <c r="X22" s="7" t="s">
        <v>263</v>
      </c>
      <c r="Y22" s="7" t="s">
        <v>446</v>
      </c>
      <c r="Z22" s="7" t="s">
        <v>447</v>
      </c>
      <c r="AA22" s="7"/>
      <c r="AB22" s="7"/>
      <c r="AC22" s="7" t="n">
        <v>12</v>
      </c>
      <c r="AD22" s="7"/>
      <c r="AE22" s="7" t="s">
        <v>448</v>
      </c>
      <c r="AF22" s="7" t="s">
        <v>449</v>
      </c>
      <c r="AG22" s="7" t="s">
        <v>448</v>
      </c>
      <c r="AH22" s="7" t="s">
        <v>263</v>
      </c>
      <c r="AI22" s="7" t="s">
        <v>450</v>
      </c>
      <c r="AJ22" s="7" t="s">
        <v>451</v>
      </c>
      <c r="AK22" s="7" t="s">
        <v>450</v>
      </c>
      <c r="AL22" s="7" t="s">
        <v>452</v>
      </c>
      <c r="AM22" s="7" t="s">
        <v>450</v>
      </c>
      <c r="AN22" s="7" t="s">
        <v>453</v>
      </c>
      <c r="AO22" s="7" t="s">
        <v>448</v>
      </c>
      <c r="AP22" s="7" t="s">
        <v>454</v>
      </c>
      <c r="AQ22" s="7" t="s">
        <v>448</v>
      </c>
      <c r="AR22" s="7" t="s">
        <v>444</v>
      </c>
      <c r="AS22" s="7" t="s">
        <v>450</v>
      </c>
      <c r="AT22" s="7" t="s">
        <v>455</v>
      </c>
      <c r="AU22" s="7" t="s">
        <v>450</v>
      </c>
      <c r="AV22" s="7" t="s">
        <v>456</v>
      </c>
      <c r="AW22" s="7" t="s">
        <v>435</v>
      </c>
      <c r="AX22" s="7" t="s">
        <v>446</v>
      </c>
      <c r="AY22" s="7" t="s">
        <v>450</v>
      </c>
      <c r="AZ22" s="7" t="s">
        <v>457</v>
      </c>
      <c r="BA22" s="7" t="s">
        <v>450</v>
      </c>
      <c r="BB22" s="7" t="s">
        <v>158</v>
      </c>
      <c r="BC22" s="7" t="s">
        <v>427</v>
      </c>
      <c r="BD22" s="7" t="s">
        <v>440</v>
      </c>
      <c r="BE22" s="7" t="s">
        <v>127</v>
      </c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</row>
    <row r="23" customFormat="false" ht="15" hidden="false" customHeight="false" outlineLevel="0" collapsed="false">
      <c r="A23" s="7" t="s">
        <v>458</v>
      </c>
      <c r="B23" s="7" t="s">
        <v>459</v>
      </c>
      <c r="C23" s="7" t="s">
        <v>460</v>
      </c>
      <c r="D23" s="7" t="s">
        <v>461</v>
      </c>
      <c r="E23" s="7" t="s">
        <v>82</v>
      </c>
      <c r="F23" s="7" t="s">
        <v>82</v>
      </c>
      <c r="G23" s="7"/>
      <c r="H23" s="7" t="s">
        <v>102</v>
      </c>
      <c r="I23" s="7" t="s">
        <v>132</v>
      </c>
      <c r="J23" s="7" t="s">
        <v>104</v>
      </c>
      <c r="K23" s="7" t="s">
        <v>105</v>
      </c>
      <c r="L23" s="7" t="s">
        <v>106</v>
      </c>
      <c r="M23" s="7"/>
      <c r="N23" s="7" t="s">
        <v>462</v>
      </c>
      <c r="O23" s="7" t="s">
        <v>462</v>
      </c>
      <c r="P23" s="7" t="s">
        <v>135</v>
      </c>
      <c r="Q23" s="7"/>
      <c r="R23" s="7" t="s">
        <v>109</v>
      </c>
      <c r="S23" s="7" t="s">
        <v>110</v>
      </c>
      <c r="T23" s="7" t="n">
        <v>0.487</v>
      </c>
      <c r="U23" s="7" t="n">
        <v>2</v>
      </c>
      <c r="V23" s="7" t="s">
        <v>90</v>
      </c>
      <c r="W23" s="7"/>
      <c r="X23" s="7" t="s">
        <v>463</v>
      </c>
      <c r="Y23" s="7" t="s">
        <v>462</v>
      </c>
      <c r="Z23" s="7" t="s">
        <v>464</v>
      </c>
      <c r="AA23" s="7"/>
      <c r="AB23" s="7"/>
      <c r="AC23" s="7" t="n">
        <v>9</v>
      </c>
      <c r="AD23" s="7" t="s">
        <v>465</v>
      </c>
      <c r="AE23" s="7" t="s">
        <v>466</v>
      </c>
      <c r="AF23" s="7" t="s">
        <v>460</v>
      </c>
      <c r="AG23" s="7" t="s">
        <v>466</v>
      </c>
      <c r="AH23" s="7" t="s">
        <v>463</v>
      </c>
      <c r="AI23" s="7"/>
      <c r="AJ23" s="7"/>
      <c r="AK23" s="7" t="s">
        <v>467</v>
      </c>
      <c r="AL23" s="7" t="s">
        <v>468</v>
      </c>
      <c r="AM23" s="7" t="s">
        <v>467</v>
      </c>
      <c r="AN23" s="7" t="s">
        <v>469</v>
      </c>
      <c r="AO23" s="7" t="s">
        <v>466</v>
      </c>
      <c r="AP23" s="7" t="s">
        <v>461</v>
      </c>
      <c r="AQ23" s="7" t="s">
        <v>467</v>
      </c>
      <c r="AR23" s="7" t="s">
        <v>82</v>
      </c>
      <c r="AS23" s="7" t="s">
        <v>467</v>
      </c>
      <c r="AT23" s="7" t="s">
        <v>216</v>
      </c>
      <c r="AU23" s="7"/>
      <c r="AV23" s="7"/>
      <c r="AW23" s="7" t="s">
        <v>466</v>
      </c>
      <c r="AX23" s="7" t="s">
        <v>470</v>
      </c>
      <c r="AY23" s="7" t="s">
        <v>467</v>
      </c>
      <c r="AZ23" s="7" t="s">
        <v>295</v>
      </c>
      <c r="BA23" s="7"/>
      <c r="BB23" s="7"/>
      <c r="BC23" s="7"/>
      <c r="BD23" s="7" t="s">
        <v>471</v>
      </c>
      <c r="BE23" s="7" t="s">
        <v>127</v>
      </c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</row>
    <row r="24" customFormat="false" ht="15" hidden="false" customHeight="false" outlineLevel="0" collapsed="false">
      <c r="A24" s="7" t="s">
        <v>472</v>
      </c>
      <c r="B24" s="7" t="s">
        <v>473</v>
      </c>
      <c r="C24" s="7" t="s">
        <v>474</v>
      </c>
      <c r="D24" s="7"/>
      <c r="E24" s="7" t="s">
        <v>82</v>
      </c>
      <c r="F24" s="7" t="s">
        <v>82</v>
      </c>
      <c r="G24" s="7"/>
      <c r="H24" s="7" t="s">
        <v>207</v>
      </c>
      <c r="I24" s="7" t="s">
        <v>103</v>
      </c>
      <c r="J24" s="7" t="s">
        <v>475</v>
      </c>
      <c r="K24" s="7" t="s">
        <v>476</v>
      </c>
      <c r="L24" s="7" t="s">
        <v>106</v>
      </c>
      <c r="M24" s="7" t="s">
        <v>477</v>
      </c>
      <c r="N24" s="7" t="s">
        <v>478</v>
      </c>
      <c r="O24" s="7" t="s">
        <v>478</v>
      </c>
      <c r="P24" s="7" t="s">
        <v>84</v>
      </c>
      <c r="Q24" s="7"/>
      <c r="R24" s="7" t="s">
        <v>84</v>
      </c>
      <c r="S24" s="7" t="s">
        <v>238</v>
      </c>
      <c r="T24" s="7" t="n">
        <v>0.804</v>
      </c>
      <c r="U24" s="7" t="n">
        <v>2</v>
      </c>
      <c r="V24" s="7" t="s">
        <v>479</v>
      </c>
      <c r="W24" s="7" t="s">
        <v>186</v>
      </c>
      <c r="X24" s="7"/>
      <c r="Y24" s="7" t="s">
        <v>478</v>
      </c>
      <c r="Z24" s="7" t="s">
        <v>480</v>
      </c>
      <c r="AA24" s="7"/>
      <c r="AB24" s="7"/>
      <c r="AC24" s="7" t="n">
        <v>12</v>
      </c>
      <c r="AD24" s="7"/>
      <c r="AE24" s="7" t="s">
        <v>448</v>
      </c>
      <c r="AF24" s="7" t="s">
        <v>481</v>
      </c>
      <c r="AG24" s="7" t="s">
        <v>115</v>
      </c>
      <c r="AH24" s="7" t="s">
        <v>482</v>
      </c>
      <c r="AI24" s="7" t="s">
        <v>483</v>
      </c>
      <c r="AJ24" s="7" t="s">
        <v>484</v>
      </c>
      <c r="AK24" s="7" t="s">
        <v>483</v>
      </c>
      <c r="AL24" s="7" t="s">
        <v>485</v>
      </c>
      <c r="AM24" s="7" t="s">
        <v>115</v>
      </c>
      <c r="AN24" s="7" t="s">
        <v>116</v>
      </c>
      <c r="AO24" s="7" t="s">
        <v>486</v>
      </c>
      <c r="AP24" s="7" t="s">
        <v>271</v>
      </c>
      <c r="AQ24" s="7" t="s">
        <v>486</v>
      </c>
      <c r="AR24" s="7" t="s">
        <v>82</v>
      </c>
      <c r="AS24" s="7" t="s">
        <v>486</v>
      </c>
      <c r="AT24" s="7" t="s">
        <v>122</v>
      </c>
      <c r="AU24" s="7" t="s">
        <v>486</v>
      </c>
      <c r="AV24" s="7" t="s">
        <v>487</v>
      </c>
      <c r="AW24" s="7" t="s">
        <v>448</v>
      </c>
      <c r="AX24" s="7" t="s">
        <v>478</v>
      </c>
      <c r="AY24" s="7" t="s">
        <v>486</v>
      </c>
      <c r="AZ24" s="7" t="s">
        <v>124</v>
      </c>
      <c r="BA24" s="7" t="s">
        <v>486</v>
      </c>
      <c r="BB24" s="7" t="s">
        <v>275</v>
      </c>
      <c r="BC24" s="7" t="s">
        <v>151</v>
      </c>
      <c r="BD24" s="7" t="s">
        <v>488</v>
      </c>
      <c r="BE24" s="7" t="s">
        <v>489</v>
      </c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</row>
    <row r="25" customFormat="false" ht="15" hidden="false" customHeight="false" outlineLevel="0" collapsed="false">
      <c r="A25" s="7" t="s">
        <v>490</v>
      </c>
      <c r="B25" s="7" t="s">
        <v>491</v>
      </c>
      <c r="C25" s="7" t="s">
        <v>492</v>
      </c>
      <c r="D25" s="7" t="s">
        <v>493</v>
      </c>
      <c r="E25" s="7" t="s">
        <v>101</v>
      </c>
      <c r="F25" s="7" t="s">
        <v>101</v>
      </c>
      <c r="G25" s="7"/>
      <c r="H25" s="7" t="s">
        <v>102</v>
      </c>
      <c r="I25" s="7" t="s">
        <v>132</v>
      </c>
      <c r="J25" s="7" t="s">
        <v>104</v>
      </c>
      <c r="K25" s="7" t="s">
        <v>105</v>
      </c>
      <c r="L25" s="7" t="s">
        <v>106</v>
      </c>
      <c r="M25" s="7" t="s">
        <v>494</v>
      </c>
      <c r="N25" s="7" t="s">
        <v>495</v>
      </c>
      <c r="O25" s="7" t="s">
        <v>495</v>
      </c>
      <c r="P25" s="7" t="s">
        <v>84</v>
      </c>
      <c r="Q25" s="7"/>
      <c r="R25" s="7" t="s">
        <v>84</v>
      </c>
      <c r="S25" s="7" t="s">
        <v>238</v>
      </c>
      <c r="T25" s="7" t="n">
        <v>0.606</v>
      </c>
      <c r="U25" s="7" t="n">
        <v>2</v>
      </c>
      <c r="V25" s="7" t="s">
        <v>479</v>
      </c>
      <c r="W25" s="7" t="s">
        <v>496</v>
      </c>
      <c r="X25" s="7" t="s">
        <v>497</v>
      </c>
      <c r="Y25" s="7" t="s">
        <v>495</v>
      </c>
      <c r="Z25" s="7" t="s">
        <v>498</v>
      </c>
      <c r="AA25" s="7"/>
      <c r="AB25" s="7"/>
      <c r="AC25" s="7" t="n">
        <v>12</v>
      </c>
      <c r="AD25" s="7"/>
      <c r="AE25" s="7" t="s">
        <v>286</v>
      </c>
      <c r="AF25" s="7" t="s">
        <v>499</v>
      </c>
      <c r="AG25" s="7" t="s">
        <v>286</v>
      </c>
      <c r="AH25" s="7" t="s">
        <v>500</v>
      </c>
      <c r="AI25" s="7" t="s">
        <v>286</v>
      </c>
      <c r="AJ25" s="7" t="s">
        <v>497</v>
      </c>
      <c r="AK25" s="7" t="s">
        <v>286</v>
      </c>
      <c r="AL25" s="7" t="s">
        <v>145</v>
      </c>
      <c r="AM25" s="7" t="s">
        <v>286</v>
      </c>
      <c r="AN25" s="7" t="s">
        <v>501</v>
      </c>
      <c r="AO25" s="7" t="s">
        <v>286</v>
      </c>
      <c r="AP25" s="7" t="s">
        <v>493</v>
      </c>
      <c r="AQ25" s="7" t="s">
        <v>286</v>
      </c>
      <c r="AR25" s="7" t="s">
        <v>121</v>
      </c>
      <c r="AS25" s="7" t="s">
        <v>286</v>
      </c>
      <c r="AT25" s="7" t="s">
        <v>250</v>
      </c>
      <c r="AU25" s="7" t="s">
        <v>286</v>
      </c>
      <c r="AV25" s="7" t="s">
        <v>502</v>
      </c>
      <c r="AW25" s="7" t="s">
        <v>286</v>
      </c>
      <c r="AX25" s="7" t="s">
        <v>326</v>
      </c>
      <c r="AY25" s="7" t="s">
        <v>286</v>
      </c>
      <c r="AZ25" s="7" t="s">
        <v>124</v>
      </c>
      <c r="BA25" s="7" t="s">
        <v>115</v>
      </c>
      <c r="BB25" s="7" t="s">
        <v>116</v>
      </c>
      <c r="BC25" s="7" t="s">
        <v>151</v>
      </c>
      <c r="BD25" s="7" t="s">
        <v>126</v>
      </c>
      <c r="BE25" s="7" t="s">
        <v>127</v>
      </c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</row>
    <row r="26" customFormat="false" ht="15" hidden="false" customHeight="false" outlineLevel="0" collapsed="false">
      <c r="A26" s="7" t="s">
        <v>503</v>
      </c>
      <c r="B26" s="7" t="s">
        <v>504</v>
      </c>
      <c r="C26" s="7" t="s">
        <v>505</v>
      </c>
      <c r="D26" s="7" t="s">
        <v>506</v>
      </c>
      <c r="E26" s="7" t="s">
        <v>101</v>
      </c>
      <c r="F26" s="7" t="s">
        <v>507</v>
      </c>
      <c r="G26" s="7"/>
      <c r="H26" s="7" t="s">
        <v>102</v>
      </c>
      <c r="I26" s="7" t="s">
        <v>158</v>
      </c>
      <c r="J26" s="7" t="s">
        <v>104</v>
      </c>
      <c r="K26" s="7" t="s">
        <v>105</v>
      </c>
      <c r="L26" s="7" t="s">
        <v>353</v>
      </c>
      <c r="M26" s="7"/>
      <c r="N26" s="7" t="s">
        <v>508</v>
      </c>
      <c r="O26" s="7" t="s">
        <v>508</v>
      </c>
      <c r="P26" s="7" t="s">
        <v>84</v>
      </c>
      <c r="Q26" s="7"/>
      <c r="R26" s="7" t="s">
        <v>109</v>
      </c>
      <c r="S26" s="7" t="s">
        <v>110</v>
      </c>
      <c r="T26" s="7" t="n">
        <v>0.857</v>
      </c>
      <c r="U26" s="7" t="n">
        <v>2</v>
      </c>
      <c r="V26" s="7" t="s">
        <v>479</v>
      </c>
      <c r="W26" s="7" t="s">
        <v>509</v>
      </c>
      <c r="X26" s="7" t="s">
        <v>356</v>
      </c>
      <c r="Y26" s="7" t="s">
        <v>508</v>
      </c>
      <c r="Z26" s="7" t="s">
        <v>510</v>
      </c>
      <c r="AA26" s="7"/>
      <c r="AB26" s="7"/>
      <c r="AC26" s="7" t="n">
        <v>0</v>
      </c>
      <c r="AD26" s="7" t="s">
        <v>388</v>
      </c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 t="s">
        <v>511</v>
      </c>
      <c r="BE26" s="7" t="s">
        <v>127</v>
      </c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</row>
    <row r="27" customFormat="false" ht="15" hidden="false" customHeight="false" outlineLevel="0" collapsed="false">
      <c r="A27" s="7" t="s">
        <v>512</v>
      </c>
      <c r="B27" s="7" t="s">
        <v>513</v>
      </c>
      <c r="C27" s="7" t="s">
        <v>514</v>
      </c>
      <c r="D27" s="7" t="s">
        <v>515</v>
      </c>
      <c r="E27" s="7" t="s">
        <v>516</v>
      </c>
      <c r="F27" s="7" t="s">
        <v>516</v>
      </c>
      <c r="G27" s="7"/>
      <c r="H27" s="7" t="s">
        <v>207</v>
      </c>
      <c r="I27" s="7" t="s">
        <v>158</v>
      </c>
      <c r="J27" s="7" t="s">
        <v>475</v>
      </c>
      <c r="K27" s="7" t="s">
        <v>476</v>
      </c>
      <c r="L27" s="7" t="s">
        <v>106</v>
      </c>
      <c r="M27" s="7" t="s">
        <v>517</v>
      </c>
      <c r="N27" s="7" t="s">
        <v>518</v>
      </c>
      <c r="O27" s="7"/>
      <c r="P27" s="7" t="s">
        <v>84</v>
      </c>
      <c r="Q27" s="7"/>
      <c r="R27" s="7" t="s">
        <v>135</v>
      </c>
      <c r="S27" s="7" t="s">
        <v>136</v>
      </c>
      <c r="T27" s="7" t="n">
        <v>0.865</v>
      </c>
      <c r="U27" s="7" t="n">
        <v>2</v>
      </c>
      <c r="V27" s="7" t="s">
        <v>111</v>
      </c>
      <c r="W27" s="7" t="s">
        <v>519</v>
      </c>
      <c r="X27" s="7" t="s">
        <v>520</v>
      </c>
      <c r="Y27" s="7" t="s">
        <v>518</v>
      </c>
      <c r="Z27" s="7" t="s">
        <v>521</v>
      </c>
      <c r="AA27" s="7"/>
      <c r="AB27" s="7"/>
      <c r="AC27" s="7" t="n">
        <v>12</v>
      </c>
      <c r="AD27" s="7"/>
      <c r="AE27" s="7" t="s">
        <v>522</v>
      </c>
      <c r="AF27" s="7" t="s">
        <v>523</v>
      </c>
      <c r="AG27" s="7" t="s">
        <v>522</v>
      </c>
      <c r="AH27" s="7" t="s">
        <v>524</v>
      </c>
      <c r="AI27" s="7" t="s">
        <v>522</v>
      </c>
      <c r="AJ27" s="7" t="s">
        <v>525</v>
      </c>
      <c r="AK27" s="7" t="s">
        <v>115</v>
      </c>
      <c r="AL27" s="7" t="s">
        <v>116</v>
      </c>
      <c r="AM27" s="7" t="s">
        <v>526</v>
      </c>
      <c r="AN27" s="7" t="s">
        <v>145</v>
      </c>
      <c r="AO27" s="7" t="s">
        <v>522</v>
      </c>
      <c r="AP27" s="7" t="s">
        <v>527</v>
      </c>
      <c r="AQ27" s="7" t="s">
        <v>522</v>
      </c>
      <c r="AR27" s="7" t="s">
        <v>516</v>
      </c>
      <c r="AS27" s="7" t="s">
        <v>522</v>
      </c>
      <c r="AT27" s="7" t="s">
        <v>216</v>
      </c>
      <c r="AU27" s="7" t="s">
        <v>522</v>
      </c>
      <c r="AV27" s="7" t="s">
        <v>528</v>
      </c>
      <c r="AW27" s="7" t="s">
        <v>529</v>
      </c>
      <c r="AX27" s="7" t="s">
        <v>530</v>
      </c>
      <c r="AY27" s="7" t="s">
        <v>522</v>
      </c>
      <c r="AZ27" s="7" t="s">
        <v>295</v>
      </c>
      <c r="BA27" s="7" t="s">
        <v>522</v>
      </c>
      <c r="BB27" s="7" t="s">
        <v>369</v>
      </c>
      <c r="BC27" s="7" t="s">
        <v>427</v>
      </c>
      <c r="BD27" s="7" t="s">
        <v>126</v>
      </c>
      <c r="BE27" s="7" t="s">
        <v>489</v>
      </c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</row>
    <row r="28" customFormat="false" ht="15" hidden="false" customHeight="false" outlineLevel="0" collapsed="false">
      <c r="A28" s="7" t="s">
        <v>531</v>
      </c>
      <c r="B28" s="7" t="s">
        <v>532</v>
      </c>
      <c r="C28" s="7" t="s">
        <v>533</v>
      </c>
      <c r="D28" s="7"/>
      <c r="E28" s="7" t="s">
        <v>101</v>
      </c>
      <c r="F28" s="7" t="s">
        <v>101</v>
      </c>
      <c r="G28" s="7"/>
      <c r="H28" s="7" t="s">
        <v>102</v>
      </c>
      <c r="I28" s="7" t="s">
        <v>103</v>
      </c>
      <c r="J28" s="7" t="s">
        <v>104</v>
      </c>
      <c r="K28" s="7" t="s">
        <v>105</v>
      </c>
      <c r="L28" s="7" t="s">
        <v>106</v>
      </c>
      <c r="M28" s="7" t="s">
        <v>534</v>
      </c>
      <c r="N28" s="7" t="s">
        <v>535</v>
      </c>
      <c r="O28" s="7"/>
      <c r="P28" s="7" t="s">
        <v>109</v>
      </c>
      <c r="Q28" s="7"/>
      <c r="R28" s="7" t="s">
        <v>135</v>
      </c>
      <c r="S28" s="7" t="s">
        <v>136</v>
      </c>
      <c r="T28" s="7" t="n">
        <v>0.212</v>
      </c>
      <c r="U28" s="7" t="n">
        <v>2</v>
      </c>
      <c r="V28" s="7" t="s">
        <v>111</v>
      </c>
      <c r="W28" s="7"/>
      <c r="X28" s="7"/>
      <c r="Y28" s="7"/>
      <c r="Z28" s="7"/>
      <c r="AA28" s="7"/>
      <c r="AB28" s="7"/>
      <c r="AC28" s="7" t="n">
        <v>0</v>
      </c>
      <c r="AD28" s="7" t="s">
        <v>388</v>
      </c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 t="s">
        <v>427</v>
      </c>
      <c r="BD28" s="7" t="s">
        <v>536</v>
      </c>
      <c r="BE28" s="7" t="s">
        <v>127</v>
      </c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</row>
    <row r="29" customFormat="false" ht="15" hidden="false" customHeight="false" outlineLevel="0" collapsed="false">
      <c r="A29" s="7" t="s">
        <v>537</v>
      </c>
      <c r="B29" s="7" t="s">
        <v>538</v>
      </c>
      <c r="C29" s="7" t="s">
        <v>539</v>
      </c>
      <c r="D29" s="7"/>
      <c r="E29" s="7" t="s">
        <v>101</v>
      </c>
      <c r="F29" s="7" t="s">
        <v>101</v>
      </c>
      <c r="G29" s="7"/>
      <c r="H29" s="7" t="s">
        <v>102</v>
      </c>
      <c r="I29" s="7" t="s">
        <v>300</v>
      </c>
      <c r="J29" s="7" t="s">
        <v>104</v>
      </c>
      <c r="K29" s="7" t="s">
        <v>105</v>
      </c>
      <c r="L29" s="7" t="s">
        <v>106</v>
      </c>
      <c r="M29" s="7" t="s">
        <v>419</v>
      </c>
      <c r="N29" s="7" t="s">
        <v>540</v>
      </c>
      <c r="O29" s="7" t="s">
        <v>540</v>
      </c>
      <c r="P29" s="7" t="s">
        <v>84</v>
      </c>
      <c r="Q29" s="7"/>
      <c r="R29" s="7" t="s">
        <v>109</v>
      </c>
      <c r="S29" s="7" t="s">
        <v>110</v>
      </c>
      <c r="T29" s="7" t="n">
        <v>0.746</v>
      </c>
      <c r="U29" s="7" t="n">
        <v>2</v>
      </c>
      <c r="V29" s="7" t="s">
        <v>479</v>
      </c>
      <c r="W29" s="7"/>
      <c r="X29" s="7"/>
      <c r="Y29" s="7" t="s">
        <v>540</v>
      </c>
      <c r="Z29" s="7"/>
      <c r="AA29" s="7"/>
      <c r="AB29" s="7"/>
      <c r="AC29" s="7" t="n">
        <v>8</v>
      </c>
      <c r="AD29" s="7" t="s">
        <v>541</v>
      </c>
      <c r="AE29" s="7" t="s">
        <v>542</v>
      </c>
      <c r="AF29" s="7" t="s">
        <v>543</v>
      </c>
      <c r="AG29" s="7"/>
      <c r="AH29" s="7"/>
      <c r="AI29" s="7"/>
      <c r="AJ29" s="7"/>
      <c r="AK29" s="7"/>
      <c r="AL29" s="7"/>
      <c r="AM29" s="7"/>
      <c r="AN29" s="7"/>
      <c r="AO29" s="7" t="s">
        <v>542</v>
      </c>
      <c r="AP29" s="7" t="s">
        <v>544</v>
      </c>
      <c r="AQ29" s="7" t="s">
        <v>542</v>
      </c>
      <c r="AR29" s="7" t="s">
        <v>431</v>
      </c>
      <c r="AS29" s="7" t="s">
        <v>542</v>
      </c>
      <c r="AT29" s="7" t="s">
        <v>250</v>
      </c>
      <c r="AU29" s="7" t="s">
        <v>542</v>
      </c>
      <c r="AV29" s="7" t="s">
        <v>545</v>
      </c>
      <c r="AW29" s="7" t="s">
        <v>542</v>
      </c>
      <c r="AX29" s="7" t="s">
        <v>273</v>
      </c>
      <c r="AY29" s="7" t="s">
        <v>542</v>
      </c>
      <c r="AZ29" s="7" t="s">
        <v>124</v>
      </c>
      <c r="BA29" s="7" t="s">
        <v>542</v>
      </c>
      <c r="BB29" s="7" t="s">
        <v>546</v>
      </c>
      <c r="BC29" s="7" t="s">
        <v>427</v>
      </c>
      <c r="BD29" s="7" t="s">
        <v>547</v>
      </c>
      <c r="BE29" s="7" t="s">
        <v>127</v>
      </c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</row>
    <row r="30" customFormat="false" ht="15" hidden="false" customHeight="false" outlineLevel="0" collapsed="false">
      <c r="A30" s="7" t="s">
        <v>548</v>
      </c>
      <c r="B30" s="7" t="s">
        <v>549</v>
      </c>
      <c r="C30" s="7" t="s">
        <v>550</v>
      </c>
      <c r="D30" s="7"/>
      <c r="E30" s="7" t="s">
        <v>101</v>
      </c>
      <c r="F30" s="7" t="s">
        <v>101</v>
      </c>
      <c r="G30" s="7"/>
      <c r="H30" s="7" t="s">
        <v>102</v>
      </c>
      <c r="I30" s="7" t="s">
        <v>158</v>
      </c>
      <c r="J30" s="7" t="s">
        <v>104</v>
      </c>
      <c r="K30" s="7" t="s">
        <v>105</v>
      </c>
      <c r="L30" s="7" t="s">
        <v>106</v>
      </c>
      <c r="M30" s="7"/>
      <c r="N30" s="7" t="s">
        <v>551</v>
      </c>
      <c r="O30" s="7" t="s">
        <v>551</v>
      </c>
      <c r="P30" s="7" t="s">
        <v>135</v>
      </c>
      <c r="Q30" s="7"/>
      <c r="R30" s="7" t="s">
        <v>84</v>
      </c>
      <c r="S30" s="7" t="s">
        <v>238</v>
      </c>
      <c r="T30" s="7" t="n">
        <v>0.533</v>
      </c>
      <c r="U30" s="7" t="n">
        <v>2</v>
      </c>
      <c r="V30" s="7" t="s">
        <v>552</v>
      </c>
      <c r="W30" s="7"/>
      <c r="X30" s="7"/>
      <c r="Y30" s="7" t="s">
        <v>551</v>
      </c>
      <c r="Z30" s="7"/>
      <c r="AA30" s="7"/>
      <c r="AB30" s="7"/>
      <c r="AC30" s="7" t="n">
        <v>12</v>
      </c>
      <c r="AD30" s="7"/>
      <c r="AE30" s="7" t="s">
        <v>339</v>
      </c>
      <c r="AF30" s="7" t="s">
        <v>553</v>
      </c>
      <c r="AG30" s="7" t="s">
        <v>339</v>
      </c>
      <c r="AH30" s="7" t="s">
        <v>554</v>
      </c>
      <c r="AI30" s="7" t="s">
        <v>339</v>
      </c>
      <c r="AJ30" s="7" t="s">
        <v>555</v>
      </c>
      <c r="AK30" s="7" t="s">
        <v>339</v>
      </c>
      <c r="AL30" s="7" t="s">
        <v>556</v>
      </c>
      <c r="AM30" s="7" t="s">
        <v>339</v>
      </c>
      <c r="AN30" s="7" t="s">
        <v>557</v>
      </c>
      <c r="AO30" s="7" t="s">
        <v>339</v>
      </c>
      <c r="AP30" s="7" t="s">
        <v>558</v>
      </c>
      <c r="AQ30" s="7" t="s">
        <v>339</v>
      </c>
      <c r="AR30" s="7" t="s">
        <v>559</v>
      </c>
      <c r="AS30" s="7" t="s">
        <v>339</v>
      </c>
      <c r="AT30" s="7" t="s">
        <v>559</v>
      </c>
      <c r="AU30" s="7" t="s">
        <v>339</v>
      </c>
      <c r="AV30" s="7" t="s">
        <v>560</v>
      </c>
      <c r="AW30" s="7" t="s">
        <v>339</v>
      </c>
      <c r="AX30" s="7" t="s">
        <v>294</v>
      </c>
      <c r="AY30" s="7" t="s">
        <v>339</v>
      </c>
      <c r="AZ30" s="7" t="s">
        <v>561</v>
      </c>
      <c r="BA30" s="7" t="s">
        <v>339</v>
      </c>
      <c r="BB30" s="7" t="s">
        <v>562</v>
      </c>
      <c r="BC30" s="7"/>
      <c r="BD30" s="7" t="s">
        <v>563</v>
      </c>
      <c r="BE30" s="7" t="s">
        <v>127</v>
      </c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</row>
    <row r="31" customFormat="false" ht="15" hidden="false" customHeight="false" outlineLevel="0" collapsed="false">
      <c r="A31" s="7" t="s">
        <v>564</v>
      </c>
      <c r="B31" s="7" t="s">
        <v>565</v>
      </c>
      <c r="C31" s="7" t="s">
        <v>566</v>
      </c>
      <c r="D31" s="7" t="s">
        <v>567</v>
      </c>
      <c r="E31" s="7" t="s">
        <v>431</v>
      </c>
      <c r="F31" s="7" t="s">
        <v>431</v>
      </c>
      <c r="G31" s="7"/>
      <c r="H31" s="7" t="s">
        <v>207</v>
      </c>
      <c r="I31" s="7" t="s">
        <v>158</v>
      </c>
      <c r="J31" s="7" t="s">
        <v>568</v>
      </c>
      <c r="K31" s="7" t="s">
        <v>569</v>
      </c>
      <c r="L31" s="7" t="s">
        <v>106</v>
      </c>
      <c r="M31" s="7"/>
      <c r="N31" s="7" t="s">
        <v>570</v>
      </c>
      <c r="O31" s="7"/>
      <c r="P31" s="7" t="s">
        <v>135</v>
      </c>
      <c r="Q31" s="7"/>
      <c r="R31" s="7" t="s">
        <v>135</v>
      </c>
      <c r="S31" s="7" t="s">
        <v>136</v>
      </c>
      <c r="T31" s="7" t="n">
        <v>0.71</v>
      </c>
      <c r="U31" s="7" t="n">
        <v>1</v>
      </c>
      <c r="V31" s="7" t="s">
        <v>90</v>
      </c>
      <c r="W31" s="7"/>
      <c r="X31" s="7"/>
      <c r="Y31" s="7" t="s">
        <v>571</v>
      </c>
      <c r="Z31" s="7"/>
      <c r="AA31" s="7" t="s">
        <v>572</v>
      </c>
      <c r="AB31" s="7" t="s">
        <v>573</v>
      </c>
      <c r="AC31" s="7" t="n">
        <v>0</v>
      </c>
      <c r="AD31" s="7" t="s">
        <v>388</v>
      </c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 t="s">
        <v>574</v>
      </c>
      <c r="BE31" s="7" t="s">
        <v>575</v>
      </c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</row>
    <row r="32" customFormat="false" ht="15" hidden="false" customHeight="false" outlineLevel="0" collapsed="false">
      <c r="A32" s="7" t="s">
        <v>576</v>
      </c>
      <c r="B32" s="7" t="s">
        <v>577</v>
      </c>
      <c r="C32" s="7" t="s">
        <v>578</v>
      </c>
      <c r="D32" s="7" t="s">
        <v>579</v>
      </c>
      <c r="E32" s="7" t="s">
        <v>101</v>
      </c>
      <c r="F32" s="7" t="s">
        <v>101</v>
      </c>
      <c r="G32" s="7"/>
      <c r="H32" s="7" t="s">
        <v>207</v>
      </c>
      <c r="I32" s="7" t="s">
        <v>132</v>
      </c>
      <c r="J32" s="7" t="s">
        <v>475</v>
      </c>
      <c r="K32" s="7" t="s">
        <v>476</v>
      </c>
      <c r="L32" s="7" t="s">
        <v>106</v>
      </c>
      <c r="M32" s="7" t="s">
        <v>580</v>
      </c>
      <c r="N32" s="7" t="s">
        <v>581</v>
      </c>
      <c r="O32" s="7"/>
      <c r="P32" s="7" t="s">
        <v>135</v>
      </c>
      <c r="Q32" s="7"/>
      <c r="R32" s="7" t="s">
        <v>135</v>
      </c>
      <c r="S32" s="7" t="s">
        <v>136</v>
      </c>
      <c r="T32" s="7" t="n">
        <v>0.359</v>
      </c>
      <c r="U32" s="7" t="n">
        <v>1</v>
      </c>
      <c r="V32" s="7" t="s">
        <v>582</v>
      </c>
      <c r="W32" s="7"/>
      <c r="X32" s="7" t="s">
        <v>139</v>
      </c>
      <c r="Y32" s="7" t="s">
        <v>581</v>
      </c>
      <c r="Z32" s="7" t="s">
        <v>583</v>
      </c>
      <c r="AA32" s="7"/>
      <c r="AB32" s="7"/>
      <c r="AC32" s="7" t="n">
        <v>12</v>
      </c>
      <c r="AD32" s="7"/>
      <c r="AE32" s="7" t="s">
        <v>448</v>
      </c>
      <c r="AF32" s="7" t="s">
        <v>584</v>
      </c>
      <c r="AG32" s="7" t="s">
        <v>585</v>
      </c>
      <c r="AH32" s="7" t="s">
        <v>586</v>
      </c>
      <c r="AI32" s="7" t="s">
        <v>585</v>
      </c>
      <c r="AJ32" s="7" t="s">
        <v>145</v>
      </c>
      <c r="AK32" s="7" t="s">
        <v>115</v>
      </c>
      <c r="AL32" s="7" t="s">
        <v>116</v>
      </c>
      <c r="AM32" s="7" t="s">
        <v>585</v>
      </c>
      <c r="AN32" s="7" t="s">
        <v>145</v>
      </c>
      <c r="AO32" s="7" t="s">
        <v>585</v>
      </c>
      <c r="AP32" s="7" t="s">
        <v>587</v>
      </c>
      <c r="AQ32" s="7" t="s">
        <v>585</v>
      </c>
      <c r="AR32" s="7" t="s">
        <v>121</v>
      </c>
      <c r="AS32" s="7" t="s">
        <v>585</v>
      </c>
      <c r="AT32" s="7" t="s">
        <v>250</v>
      </c>
      <c r="AU32" s="7" t="s">
        <v>585</v>
      </c>
      <c r="AV32" s="7" t="s">
        <v>588</v>
      </c>
      <c r="AW32" s="7" t="s">
        <v>448</v>
      </c>
      <c r="AX32" s="7" t="s">
        <v>581</v>
      </c>
      <c r="AY32" s="7" t="s">
        <v>585</v>
      </c>
      <c r="AZ32" s="7" t="s">
        <v>124</v>
      </c>
      <c r="BA32" s="7" t="s">
        <v>585</v>
      </c>
      <c r="BB32" s="7" t="s">
        <v>589</v>
      </c>
      <c r="BC32" s="7" t="s">
        <v>151</v>
      </c>
      <c r="BD32" s="7"/>
      <c r="BE32" s="7" t="s">
        <v>590</v>
      </c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</row>
    <row r="33" customFormat="false" ht="15" hidden="false" customHeight="false" outlineLevel="0" collapsed="false">
      <c r="A33" s="7" t="s">
        <v>591</v>
      </c>
      <c r="B33" s="7" t="s">
        <v>592</v>
      </c>
      <c r="C33" s="7" t="s">
        <v>593</v>
      </c>
      <c r="D33" s="7" t="s">
        <v>594</v>
      </c>
      <c r="E33" s="7" t="s">
        <v>82</v>
      </c>
      <c r="F33" s="7" t="s">
        <v>82</v>
      </c>
      <c r="G33" s="7"/>
      <c r="H33" s="7" t="s">
        <v>207</v>
      </c>
      <c r="I33" s="7" t="s">
        <v>132</v>
      </c>
      <c r="J33" s="7" t="s">
        <v>475</v>
      </c>
      <c r="K33" s="7" t="s">
        <v>476</v>
      </c>
      <c r="L33" s="7" t="s">
        <v>106</v>
      </c>
      <c r="M33" s="7" t="s">
        <v>595</v>
      </c>
      <c r="N33" s="7" t="s">
        <v>596</v>
      </c>
      <c r="O33" s="7" t="s">
        <v>596</v>
      </c>
      <c r="P33" s="7" t="s">
        <v>135</v>
      </c>
      <c r="Q33" s="7"/>
      <c r="R33" s="7" t="s">
        <v>84</v>
      </c>
      <c r="S33" s="7" t="s">
        <v>238</v>
      </c>
      <c r="T33" s="7" t="n">
        <v>0.506</v>
      </c>
      <c r="U33" s="7" t="n">
        <v>1</v>
      </c>
      <c r="V33" s="7" t="s">
        <v>90</v>
      </c>
      <c r="W33" s="7" t="s">
        <v>597</v>
      </c>
      <c r="X33" s="7" t="s">
        <v>598</v>
      </c>
      <c r="Y33" s="7" t="s">
        <v>596</v>
      </c>
      <c r="Z33" s="7" t="s">
        <v>599</v>
      </c>
      <c r="AA33" s="7"/>
      <c r="AB33" s="7"/>
      <c r="AC33" s="7" t="n">
        <v>12</v>
      </c>
      <c r="AD33" s="7"/>
      <c r="AE33" s="7" t="s">
        <v>448</v>
      </c>
      <c r="AF33" s="7" t="s">
        <v>600</v>
      </c>
      <c r="AG33" s="7" t="s">
        <v>601</v>
      </c>
      <c r="AH33" s="7" t="s">
        <v>602</v>
      </c>
      <c r="AI33" s="7" t="s">
        <v>601</v>
      </c>
      <c r="AJ33" s="7" t="s">
        <v>145</v>
      </c>
      <c r="AK33" s="7" t="s">
        <v>115</v>
      </c>
      <c r="AL33" s="7" t="s">
        <v>291</v>
      </c>
      <c r="AM33" s="7" t="s">
        <v>601</v>
      </c>
      <c r="AN33" s="7" t="s">
        <v>603</v>
      </c>
      <c r="AO33" s="7" t="s">
        <v>448</v>
      </c>
      <c r="AP33" s="7" t="s">
        <v>604</v>
      </c>
      <c r="AQ33" s="7" t="s">
        <v>601</v>
      </c>
      <c r="AR33" s="7" t="s">
        <v>82</v>
      </c>
      <c r="AS33" s="7" t="s">
        <v>601</v>
      </c>
      <c r="AT33" s="7" t="s">
        <v>122</v>
      </c>
      <c r="AU33" s="7" t="s">
        <v>601</v>
      </c>
      <c r="AV33" s="7" t="s">
        <v>605</v>
      </c>
      <c r="AW33" s="7" t="s">
        <v>448</v>
      </c>
      <c r="AX33" s="7" t="s">
        <v>596</v>
      </c>
      <c r="AY33" s="7" t="s">
        <v>601</v>
      </c>
      <c r="AZ33" s="7" t="s">
        <v>606</v>
      </c>
      <c r="BA33" s="7" t="s">
        <v>601</v>
      </c>
      <c r="BB33" s="7" t="s">
        <v>607</v>
      </c>
      <c r="BC33" s="7" t="s">
        <v>151</v>
      </c>
      <c r="BD33" s="7" t="s">
        <v>608</v>
      </c>
      <c r="BE33" s="7" t="s">
        <v>609</v>
      </c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</row>
    <row r="34" customFormat="false" ht="15" hidden="false" customHeight="false" outlineLevel="0" collapsed="false">
      <c r="A34" s="7" t="s">
        <v>610</v>
      </c>
      <c r="B34" s="7" t="s">
        <v>611</v>
      </c>
      <c r="C34" s="7" t="s">
        <v>612</v>
      </c>
      <c r="D34" s="7"/>
      <c r="E34" s="7" t="s">
        <v>101</v>
      </c>
      <c r="F34" s="7" t="s">
        <v>156</v>
      </c>
      <c r="G34" s="7"/>
      <c r="H34" s="7" t="s">
        <v>157</v>
      </c>
      <c r="I34" s="7" t="s">
        <v>158</v>
      </c>
      <c r="J34" s="7" t="s">
        <v>159</v>
      </c>
      <c r="K34" s="7" t="s">
        <v>105</v>
      </c>
      <c r="L34" s="7" t="s">
        <v>353</v>
      </c>
      <c r="M34" s="7" t="s">
        <v>613</v>
      </c>
      <c r="N34" s="7" t="s">
        <v>614</v>
      </c>
      <c r="O34" s="7"/>
      <c r="P34" s="7" t="s">
        <v>135</v>
      </c>
      <c r="Q34" s="7"/>
      <c r="R34" s="7"/>
      <c r="S34" s="7"/>
      <c r="T34" s="7" t="n">
        <v>0.749</v>
      </c>
      <c r="U34" s="7" t="n">
        <v>1</v>
      </c>
      <c r="V34" s="7" t="s">
        <v>90</v>
      </c>
      <c r="W34" s="7"/>
      <c r="X34" s="7" t="s">
        <v>615</v>
      </c>
      <c r="Y34" s="7" t="s">
        <v>614</v>
      </c>
      <c r="Z34" s="7" t="s">
        <v>616</v>
      </c>
      <c r="AA34" s="7"/>
      <c r="AB34" s="7"/>
      <c r="AC34" s="7"/>
      <c r="AD34" s="7"/>
      <c r="AE34" s="7" t="s">
        <v>166</v>
      </c>
      <c r="AF34" s="7" t="s">
        <v>617</v>
      </c>
      <c r="AG34" s="7" t="s">
        <v>166</v>
      </c>
      <c r="AH34" s="7" t="s">
        <v>618</v>
      </c>
      <c r="AI34" s="7" t="s">
        <v>619</v>
      </c>
      <c r="AJ34" s="7" t="s">
        <v>145</v>
      </c>
      <c r="AK34" s="7" t="s">
        <v>115</v>
      </c>
      <c r="AL34" s="7" t="s">
        <v>116</v>
      </c>
      <c r="AM34" s="7" t="s">
        <v>166</v>
      </c>
      <c r="AN34" s="7" t="s">
        <v>620</v>
      </c>
      <c r="AO34" s="7" t="s">
        <v>166</v>
      </c>
      <c r="AP34" s="7" t="s">
        <v>621</v>
      </c>
      <c r="AQ34" s="7" t="s">
        <v>166</v>
      </c>
      <c r="AR34" s="7" t="s">
        <v>622</v>
      </c>
      <c r="AS34" s="7" t="s">
        <v>166</v>
      </c>
      <c r="AT34" s="7" t="s">
        <v>623</v>
      </c>
      <c r="AU34" s="7" t="s">
        <v>166</v>
      </c>
      <c r="AV34" s="7" t="s">
        <v>624</v>
      </c>
      <c r="AW34" s="7" t="s">
        <v>166</v>
      </c>
      <c r="AX34" s="7" t="s">
        <v>625</v>
      </c>
      <c r="AY34" s="7" t="s">
        <v>166</v>
      </c>
      <c r="AZ34" s="7" t="s">
        <v>626</v>
      </c>
      <c r="BA34" s="7" t="s">
        <v>166</v>
      </c>
      <c r="BB34" s="7" t="s">
        <v>627</v>
      </c>
      <c r="BC34" s="7" t="s">
        <v>178</v>
      </c>
      <c r="BD34" s="7" t="s">
        <v>628</v>
      </c>
      <c r="BE34" s="7" t="s">
        <v>127</v>
      </c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</row>
    <row r="35" customFormat="false" ht="15" hidden="false" customHeight="false" outlineLevel="0" collapsed="false">
      <c r="A35" s="7" t="s">
        <v>629</v>
      </c>
      <c r="B35" s="7" t="s">
        <v>630</v>
      </c>
      <c r="C35" s="7" t="s">
        <v>631</v>
      </c>
      <c r="D35" s="7"/>
      <c r="E35" s="7" t="s">
        <v>101</v>
      </c>
      <c r="F35" s="7" t="s">
        <v>101</v>
      </c>
      <c r="G35" s="7"/>
      <c r="H35" s="7" t="s">
        <v>102</v>
      </c>
      <c r="I35" s="7" t="s">
        <v>132</v>
      </c>
      <c r="J35" s="7" t="s">
        <v>104</v>
      </c>
      <c r="K35" s="7" t="s">
        <v>105</v>
      </c>
      <c r="L35" s="7" t="s">
        <v>106</v>
      </c>
      <c r="M35" s="7" t="s">
        <v>632</v>
      </c>
      <c r="N35" s="7" t="s">
        <v>633</v>
      </c>
      <c r="O35" s="7"/>
      <c r="P35" s="7" t="s">
        <v>135</v>
      </c>
      <c r="Q35" s="7"/>
      <c r="R35" s="7" t="s">
        <v>135</v>
      </c>
      <c r="S35" s="7" t="s">
        <v>136</v>
      </c>
      <c r="T35" s="7" t="n">
        <v>0.797</v>
      </c>
      <c r="U35" s="7" t="n">
        <v>1</v>
      </c>
      <c r="V35" s="7" t="s">
        <v>90</v>
      </c>
      <c r="W35" s="7"/>
      <c r="X35" s="7"/>
      <c r="Y35" s="7" t="s">
        <v>633</v>
      </c>
      <c r="Z35" s="7"/>
      <c r="AA35" s="7"/>
      <c r="AB35" s="7"/>
      <c r="AC35" s="7" t="n">
        <v>12</v>
      </c>
      <c r="AD35" s="7"/>
      <c r="AE35" s="7" t="s">
        <v>634</v>
      </c>
      <c r="AF35" s="7" t="s">
        <v>635</v>
      </c>
      <c r="AG35" s="7" t="s">
        <v>115</v>
      </c>
      <c r="AH35" s="7" t="s">
        <v>116</v>
      </c>
      <c r="AI35" s="7" t="s">
        <v>115</v>
      </c>
      <c r="AJ35" s="7" t="s">
        <v>636</v>
      </c>
      <c r="AK35" s="7" t="s">
        <v>115</v>
      </c>
      <c r="AL35" s="7" t="s">
        <v>291</v>
      </c>
      <c r="AM35" s="7" t="s">
        <v>637</v>
      </c>
      <c r="AN35" s="7" t="s">
        <v>638</v>
      </c>
      <c r="AO35" s="7" t="s">
        <v>634</v>
      </c>
      <c r="AP35" s="7" t="s">
        <v>639</v>
      </c>
      <c r="AQ35" s="7" t="s">
        <v>634</v>
      </c>
      <c r="AR35" s="7" t="s">
        <v>121</v>
      </c>
      <c r="AS35" s="7" t="s">
        <v>634</v>
      </c>
      <c r="AT35" s="7" t="s">
        <v>250</v>
      </c>
      <c r="AU35" s="7" t="s">
        <v>637</v>
      </c>
      <c r="AV35" s="7" t="s">
        <v>640</v>
      </c>
      <c r="AW35" s="7" t="s">
        <v>634</v>
      </c>
      <c r="AX35" s="7" t="s">
        <v>326</v>
      </c>
      <c r="AY35" s="7" t="s">
        <v>634</v>
      </c>
      <c r="AZ35" s="7" t="s">
        <v>124</v>
      </c>
      <c r="BA35" s="7" t="s">
        <v>637</v>
      </c>
      <c r="BB35" s="7" t="s">
        <v>641</v>
      </c>
      <c r="BC35" s="7" t="s">
        <v>151</v>
      </c>
      <c r="BD35" s="7"/>
      <c r="BE35" s="7" t="s">
        <v>127</v>
      </c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</row>
    <row r="36" customFormat="false" ht="15" hidden="false" customHeight="false" outlineLevel="0" collapsed="false">
      <c r="A36" s="7" t="s">
        <v>642</v>
      </c>
      <c r="B36" s="7" t="s">
        <v>643</v>
      </c>
      <c r="C36" s="7" t="s">
        <v>644</v>
      </c>
      <c r="D36" s="7"/>
      <c r="E36" s="7" t="s">
        <v>101</v>
      </c>
      <c r="F36" s="7" t="s">
        <v>101</v>
      </c>
      <c r="G36" s="7"/>
      <c r="H36" s="7" t="s">
        <v>102</v>
      </c>
      <c r="I36" s="7" t="s">
        <v>132</v>
      </c>
      <c r="J36" s="7" t="s">
        <v>104</v>
      </c>
      <c r="K36" s="7" t="s">
        <v>105</v>
      </c>
      <c r="L36" s="7" t="s">
        <v>106</v>
      </c>
      <c r="M36" s="7" t="s">
        <v>645</v>
      </c>
      <c r="N36" s="7" t="s">
        <v>646</v>
      </c>
      <c r="O36" s="7"/>
      <c r="P36" s="7" t="s">
        <v>135</v>
      </c>
      <c r="Q36" s="7"/>
      <c r="R36" s="7" t="s">
        <v>135</v>
      </c>
      <c r="S36" s="7" t="s">
        <v>136</v>
      </c>
      <c r="T36" s="7" t="n">
        <v>0.547</v>
      </c>
      <c r="U36" s="7" t="n">
        <v>1</v>
      </c>
      <c r="V36" s="7" t="s">
        <v>90</v>
      </c>
      <c r="W36" s="7"/>
      <c r="X36" s="7"/>
      <c r="Y36" s="7"/>
      <c r="Z36" s="7"/>
      <c r="AA36" s="7"/>
      <c r="AB36" s="7"/>
      <c r="AC36" s="7" t="n">
        <v>9</v>
      </c>
      <c r="AD36" s="7" t="s">
        <v>320</v>
      </c>
      <c r="AE36" s="7" t="s">
        <v>522</v>
      </c>
      <c r="AF36" s="7" t="s">
        <v>647</v>
      </c>
      <c r="AG36" s="7" t="s">
        <v>115</v>
      </c>
      <c r="AH36" s="7" t="s">
        <v>116</v>
      </c>
      <c r="AI36" s="7"/>
      <c r="AJ36" s="7"/>
      <c r="AK36" s="7"/>
      <c r="AL36" s="7"/>
      <c r="AM36" s="7" t="s">
        <v>522</v>
      </c>
      <c r="AN36" s="7" t="s">
        <v>648</v>
      </c>
      <c r="AO36" s="7" t="s">
        <v>522</v>
      </c>
      <c r="AP36" s="7" t="s">
        <v>649</v>
      </c>
      <c r="AQ36" s="7" t="s">
        <v>522</v>
      </c>
      <c r="AR36" s="7" t="s">
        <v>121</v>
      </c>
      <c r="AS36" s="7" t="s">
        <v>522</v>
      </c>
      <c r="AT36" s="7" t="s">
        <v>250</v>
      </c>
      <c r="AU36" s="7" t="s">
        <v>522</v>
      </c>
      <c r="AV36" s="7" t="s">
        <v>650</v>
      </c>
      <c r="AW36" s="7" t="s">
        <v>522</v>
      </c>
      <c r="AX36" s="7" t="s">
        <v>326</v>
      </c>
      <c r="AY36" s="7" t="s">
        <v>522</v>
      </c>
      <c r="AZ36" s="7" t="s">
        <v>124</v>
      </c>
      <c r="BA36" s="7"/>
      <c r="BB36" s="7"/>
      <c r="BC36" s="7" t="s">
        <v>125</v>
      </c>
      <c r="BD36" s="7"/>
      <c r="BE36" s="7" t="s">
        <v>127</v>
      </c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</row>
    <row r="37" customFormat="false" ht="15" hidden="false" customHeight="false" outlineLevel="0" collapsed="false">
      <c r="A37" s="7" t="s">
        <v>651</v>
      </c>
      <c r="B37" s="7" t="s">
        <v>652</v>
      </c>
      <c r="C37" s="7" t="s">
        <v>653</v>
      </c>
      <c r="D37" s="7" t="s">
        <v>654</v>
      </c>
      <c r="E37" s="7" t="s">
        <v>101</v>
      </c>
      <c r="F37" s="7" t="s">
        <v>82</v>
      </c>
      <c r="G37" s="7" t="s">
        <v>83</v>
      </c>
      <c r="H37" s="7" t="s">
        <v>102</v>
      </c>
      <c r="I37" s="7" t="s">
        <v>132</v>
      </c>
      <c r="J37" s="7" t="s">
        <v>104</v>
      </c>
      <c r="K37" s="7" t="s">
        <v>105</v>
      </c>
      <c r="L37" s="7" t="s">
        <v>106</v>
      </c>
      <c r="M37" s="7" t="s">
        <v>655</v>
      </c>
      <c r="N37" s="7" t="s">
        <v>656</v>
      </c>
      <c r="O37" s="7" t="s">
        <v>656</v>
      </c>
      <c r="P37" s="7" t="s">
        <v>135</v>
      </c>
      <c r="Q37" s="7"/>
      <c r="R37" s="7" t="s">
        <v>84</v>
      </c>
      <c r="S37" s="7" t="s">
        <v>238</v>
      </c>
      <c r="T37" s="7" t="n">
        <v>0.391</v>
      </c>
      <c r="U37" s="7" t="n">
        <v>1</v>
      </c>
      <c r="V37" s="7" t="s">
        <v>90</v>
      </c>
      <c r="W37" s="7" t="s">
        <v>657</v>
      </c>
      <c r="X37" s="7" t="s">
        <v>658</v>
      </c>
      <c r="Y37" s="7" t="s">
        <v>656</v>
      </c>
      <c r="Z37" s="7" t="s">
        <v>659</v>
      </c>
      <c r="AA37" s="7"/>
      <c r="AB37" s="7"/>
      <c r="AC37" s="7" t="n">
        <v>12</v>
      </c>
      <c r="AD37" s="7"/>
      <c r="AE37" s="7" t="s">
        <v>424</v>
      </c>
      <c r="AF37" s="7" t="s">
        <v>660</v>
      </c>
      <c r="AG37" s="7" t="s">
        <v>448</v>
      </c>
      <c r="AH37" s="7" t="s">
        <v>658</v>
      </c>
      <c r="AI37" s="7" t="s">
        <v>661</v>
      </c>
      <c r="AJ37" s="7" t="s">
        <v>662</v>
      </c>
      <c r="AK37" s="7" t="s">
        <v>661</v>
      </c>
      <c r="AL37" s="7" t="s">
        <v>663</v>
      </c>
      <c r="AM37" s="7" t="s">
        <v>424</v>
      </c>
      <c r="AN37" s="7" t="s">
        <v>664</v>
      </c>
      <c r="AO37" s="7" t="s">
        <v>424</v>
      </c>
      <c r="AP37" s="7" t="s">
        <v>654</v>
      </c>
      <c r="AQ37" s="7" t="s">
        <v>448</v>
      </c>
      <c r="AR37" s="7" t="s">
        <v>82</v>
      </c>
      <c r="AS37" s="7" t="s">
        <v>424</v>
      </c>
      <c r="AT37" s="7" t="s">
        <v>216</v>
      </c>
      <c r="AU37" s="7" t="s">
        <v>661</v>
      </c>
      <c r="AV37" s="7" t="s">
        <v>665</v>
      </c>
      <c r="AW37" s="7" t="s">
        <v>448</v>
      </c>
      <c r="AX37" s="7" t="s">
        <v>656</v>
      </c>
      <c r="AY37" s="7" t="s">
        <v>424</v>
      </c>
      <c r="AZ37" s="7" t="s">
        <v>666</v>
      </c>
      <c r="BA37" s="7" t="s">
        <v>661</v>
      </c>
      <c r="BB37" s="7" t="s">
        <v>667</v>
      </c>
      <c r="BC37" s="7" t="s">
        <v>151</v>
      </c>
      <c r="BD37" s="7" t="s">
        <v>220</v>
      </c>
      <c r="BE37" s="7" t="s">
        <v>127</v>
      </c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</row>
    <row r="38" customFormat="false" ht="15" hidden="false" customHeight="false" outlineLevel="0" collapsed="false">
      <c r="A38" s="7" t="s">
        <v>668</v>
      </c>
      <c r="B38" s="7" t="s">
        <v>669</v>
      </c>
      <c r="C38" s="7" t="s">
        <v>670</v>
      </c>
      <c r="D38" s="7" t="s">
        <v>671</v>
      </c>
      <c r="E38" s="7" t="s">
        <v>101</v>
      </c>
      <c r="F38" s="7" t="s">
        <v>101</v>
      </c>
      <c r="G38" s="7"/>
      <c r="H38" s="7" t="s">
        <v>102</v>
      </c>
      <c r="I38" s="7" t="s">
        <v>300</v>
      </c>
      <c r="J38" s="7" t="s">
        <v>104</v>
      </c>
      <c r="K38" s="7" t="s">
        <v>105</v>
      </c>
      <c r="L38" s="7" t="s">
        <v>106</v>
      </c>
      <c r="M38" s="7"/>
      <c r="N38" s="7" t="s">
        <v>672</v>
      </c>
      <c r="O38" s="7"/>
      <c r="P38" s="7" t="s">
        <v>135</v>
      </c>
      <c r="Q38" s="7"/>
      <c r="R38" s="7" t="s">
        <v>135</v>
      </c>
      <c r="S38" s="7" t="s">
        <v>136</v>
      </c>
      <c r="T38" s="7" t="n">
        <v>0.776</v>
      </c>
      <c r="U38" s="7" t="n">
        <v>1</v>
      </c>
      <c r="V38" s="7" t="s">
        <v>90</v>
      </c>
      <c r="W38" s="7"/>
      <c r="X38" s="7"/>
      <c r="Y38" s="7" t="s">
        <v>672</v>
      </c>
      <c r="Z38" s="7"/>
      <c r="AA38" s="7"/>
      <c r="AB38" s="7"/>
      <c r="AC38" s="7" t="n">
        <v>0</v>
      </c>
      <c r="AD38" s="7" t="s">
        <v>388</v>
      </c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 t="s">
        <v>127</v>
      </c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</row>
    <row r="39" customFormat="false" ht="15" hidden="false" customHeight="false" outlineLevel="0" collapsed="false">
      <c r="A39" s="7" t="s">
        <v>673</v>
      </c>
      <c r="B39" s="7" t="s">
        <v>674</v>
      </c>
      <c r="C39" s="7" t="s">
        <v>675</v>
      </c>
      <c r="D39" s="7" t="s">
        <v>676</v>
      </c>
      <c r="E39" s="7" t="s">
        <v>677</v>
      </c>
      <c r="F39" s="7" t="s">
        <v>677</v>
      </c>
      <c r="G39" s="7"/>
      <c r="H39" s="7" t="s">
        <v>207</v>
      </c>
      <c r="I39" s="7" t="s">
        <v>132</v>
      </c>
      <c r="J39" s="7" t="s">
        <v>104</v>
      </c>
      <c r="K39" s="7" t="s">
        <v>105</v>
      </c>
      <c r="L39" s="7" t="s">
        <v>106</v>
      </c>
      <c r="M39" s="7"/>
      <c r="N39" s="7" t="s">
        <v>678</v>
      </c>
      <c r="O39" s="7"/>
      <c r="P39" s="7" t="s">
        <v>135</v>
      </c>
      <c r="Q39" s="7"/>
      <c r="R39" s="7"/>
      <c r="S39" s="7"/>
      <c r="T39" s="7"/>
      <c r="U39" s="7" t="n">
        <v>1</v>
      </c>
      <c r="V39" s="7" t="s">
        <v>90</v>
      </c>
      <c r="W39" s="7"/>
      <c r="X39" s="7"/>
      <c r="Y39" s="7" t="s">
        <v>678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 t="s">
        <v>440</v>
      </c>
      <c r="BE39" s="7" t="s">
        <v>127</v>
      </c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</row>
    <row r="40" customFormat="false" ht="15" hidden="false" customHeight="false" outlineLevel="0" collapsed="false">
      <c r="A40" s="7" t="s">
        <v>679</v>
      </c>
      <c r="B40" s="7" t="s">
        <v>680</v>
      </c>
      <c r="C40" s="7" t="s">
        <v>681</v>
      </c>
      <c r="D40" s="7"/>
      <c r="E40" s="7" t="s">
        <v>101</v>
      </c>
      <c r="F40" s="7" t="s">
        <v>82</v>
      </c>
      <c r="G40" s="7"/>
      <c r="H40" s="7" t="s">
        <v>102</v>
      </c>
      <c r="I40" s="7" t="s">
        <v>132</v>
      </c>
      <c r="J40" s="7" t="s">
        <v>104</v>
      </c>
      <c r="K40" s="7" t="s">
        <v>105</v>
      </c>
      <c r="L40" s="7" t="s">
        <v>106</v>
      </c>
      <c r="M40" s="7"/>
      <c r="N40" s="7" t="s">
        <v>682</v>
      </c>
      <c r="O40" s="7" t="s">
        <v>682</v>
      </c>
      <c r="P40" s="7" t="s">
        <v>135</v>
      </c>
      <c r="Q40" s="7"/>
      <c r="R40" s="7" t="s">
        <v>109</v>
      </c>
      <c r="S40" s="7" t="s">
        <v>110</v>
      </c>
      <c r="T40" s="7" t="n">
        <v>0.264</v>
      </c>
      <c r="U40" s="7" t="n">
        <v>1</v>
      </c>
      <c r="V40" s="7" t="s">
        <v>90</v>
      </c>
      <c r="W40" s="7"/>
      <c r="X40" s="7"/>
      <c r="Y40" s="7" t="s">
        <v>682</v>
      </c>
      <c r="Z40" s="7"/>
      <c r="AA40" s="7"/>
      <c r="AB40" s="7"/>
      <c r="AC40" s="7" t="n">
        <v>0</v>
      </c>
      <c r="AD40" s="7" t="s">
        <v>388</v>
      </c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 t="s">
        <v>220</v>
      </c>
      <c r="BE40" s="7" t="s">
        <v>127</v>
      </c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</row>
    <row r="41" customFormat="false" ht="15" hidden="false" customHeight="false" outlineLevel="0" collapsed="false">
      <c r="A41" s="7" t="s">
        <v>683</v>
      </c>
      <c r="B41" s="7" t="s">
        <v>684</v>
      </c>
      <c r="C41" s="7" t="s">
        <v>685</v>
      </c>
      <c r="D41" s="7" t="s">
        <v>686</v>
      </c>
      <c r="E41" s="7" t="s">
        <v>101</v>
      </c>
      <c r="F41" s="7" t="s">
        <v>101</v>
      </c>
      <c r="G41" s="7"/>
      <c r="H41" s="7" t="s">
        <v>102</v>
      </c>
      <c r="I41" s="7" t="s">
        <v>300</v>
      </c>
      <c r="J41" s="7" t="s">
        <v>104</v>
      </c>
      <c r="K41" s="7" t="s">
        <v>105</v>
      </c>
      <c r="L41" s="7" t="s">
        <v>106</v>
      </c>
      <c r="M41" s="7"/>
      <c r="N41" s="7" t="s">
        <v>687</v>
      </c>
      <c r="O41" s="7" t="s">
        <v>687</v>
      </c>
      <c r="P41" s="7" t="s">
        <v>135</v>
      </c>
      <c r="Q41" s="7"/>
      <c r="R41" s="7" t="s">
        <v>109</v>
      </c>
      <c r="S41" s="7" t="s">
        <v>110</v>
      </c>
      <c r="T41" s="7" t="n">
        <v>0.715</v>
      </c>
      <c r="U41" s="7" t="n">
        <v>1</v>
      </c>
      <c r="V41" s="7" t="s">
        <v>90</v>
      </c>
      <c r="W41" s="7"/>
      <c r="X41" s="7"/>
      <c r="Y41" s="7" t="s">
        <v>687</v>
      </c>
      <c r="Z41" s="7"/>
      <c r="AA41" s="7"/>
      <c r="AB41" s="7"/>
      <c r="AC41" s="7" t="n">
        <v>0</v>
      </c>
      <c r="AD41" s="7" t="s">
        <v>388</v>
      </c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 t="s">
        <v>127</v>
      </c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</row>
    <row r="42" customFormat="false" ht="15" hidden="false" customHeight="false" outlineLevel="0" collapsed="false">
      <c r="A42" s="7" t="s">
        <v>688</v>
      </c>
      <c r="B42" s="7" t="s">
        <v>689</v>
      </c>
      <c r="C42" s="7" t="s">
        <v>690</v>
      </c>
      <c r="D42" s="7" t="s">
        <v>671</v>
      </c>
      <c r="E42" s="7" t="s">
        <v>101</v>
      </c>
      <c r="F42" s="7" t="s">
        <v>101</v>
      </c>
      <c r="G42" s="7"/>
      <c r="H42" s="7" t="s">
        <v>102</v>
      </c>
      <c r="I42" s="7" t="s">
        <v>374</v>
      </c>
      <c r="J42" s="7" t="s">
        <v>475</v>
      </c>
      <c r="K42" s="7" t="s">
        <v>476</v>
      </c>
      <c r="L42" s="7" t="s">
        <v>106</v>
      </c>
      <c r="M42" s="7"/>
      <c r="N42" s="7" t="s">
        <v>691</v>
      </c>
      <c r="O42" s="7"/>
      <c r="P42" s="7" t="s">
        <v>135</v>
      </c>
      <c r="Q42" s="7"/>
      <c r="R42" s="7" t="s">
        <v>135</v>
      </c>
      <c r="S42" s="7" t="s">
        <v>136</v>
      </c>
      <c r="T42" s="7" t="n">
        <v>0.713</v>
      </c>
      <c r="U42" s="7" t="n">
        <v>1</v>
      </c>
      <c r="V42" s="7" t="s">
        <v>90</v>
      </c>
      <c r="W42" s="7"/>
      <c r="X42" s="7"/>
      <c r="Y42" s="7"/>
      <c r="Z42" s="7"/>
      <c r="AA42" s="7"/>
      <c r="AB42" s="7"/>
      <c r="AC42" s="7" t="n">
        <v>0</v>
      </c>
      <c r="AD42" s="7" t="s">
        <v>388</v>
      </c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 t="s">
        <v>127</v>
      </c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</row>
    <row r="43" customFormat="false" ht="15" hidden="false" customHeight="false" outlineLevel="0" collapsed="false">
      <c r="A43" s="7" t="s">
        <v>692</v>
      </c>
      <c r="B43" s="7" t="s">
        <v>693</v>
      </c>
      <c r="C43" s="7" t="s">
        <v>694</v>
      </c>
      <c r="D43" s="7"/>
      <c r="E43" s="7" t="s">
        <v>101</v>
      </c>
      <c r="F43" s="7" t="s">
        <v>156</v>
      </c>
      <c r="G43" s="7"/>
      <c r="H43" s="7" t="s">
        <v>157</v>
      </c>
      <c r="I43" s="7" t="s">
        <v>132</v>
      </c>
      <c r="J43" s="7" t="s">
        <v>159</v>
      </c>
      <c r="K43" s="7" t="s">
        <v>105</v>
      </c>
      <c r="L43" s="7" t="s">
        <v>106</v>
      </c>
      <c r="M43" s="7"/>
      <c r="N43" s="7" t="s">
        <v>695</v>
      </c>
      <c r="O43" s="7"/>
      <c r="P43" s="7" t="s">
        <v>135</v>
      </c>
      <c r="Q43" s="7"/>
      <c r="R43" s="7" t="s">
        <v>135</v>
      </c>
      <c r="S43" s="7" t="s">
        <v>136</v>
      </c>
      <c r="T43" s="7" t="n">
        <v>0.658</v>
      </c>
      <c r="U43" s="7" t="n">
        <v>1</v>
      </c>
      <c r="V43" s="7" t="s">
        <v>90</v>
      </c>
      <c r="W43" s="7"/>
      <c r="X43" s="7"/>
      <c r="Y43" s="7"/>
      <c r="Z43" s="7"/>
      <c r="AA43" s="7"/>
      <c r="AB43" s="7"/>
      <c r="AC43" s="7" t="n">
        <v>12</v>
      </c>
      <c r="AD43" s="7"/>
      <c r="AE43" s="7" t="s">
        <v>166</v>
      </c>
      <c r="AF43" s="7" t="s">
        <v>696</v>
      </c>
      <c r="AG43" s="7" t="s">
        <v>166</v>
      </c>
      <c r="AH43" s="7" t="s">
        <v>697</v>
      </c>
      <c r="AI43" s="7" t="s">
        <v>166</v>
      </c>
      <c r="AJ43" s="7" t="s">
        <v>698</v>
      </c>
      <c r="AK43" s="7" t="s">
        <v>115</v>
      </c>
      <c r="AL43" s="7"/>
      <c r="AM43" s="7" t="s">
        <v>166</v>
      </c>
      <c r="AN43" s="7" t="s">
        <v>699</v>
      </c>
      <c r="AO43" s="7" t="s">
        <v>166</v>
      </c>
      <c r="AP43" s="7" t="s">
        <v>700</v>
      </c>
      <c r="AQ43" s="7" t="s">
        <v>166</v>
      </c>
      <c r="AR43" s="7" t="s">
        <v>701</v>
      </c>
      <c r="AS43" s="7" t="s">
        <v>166</v>
      </c>
      <c r="AT43" s="7" t="s">
        <v>702</v>
      </c>
      <c r="AU43" s="7" t="s">
        <v>166</v>
      </c>
      <c r="AV43" s="7" t="s">
        <v>703</v>
      </c>
      <c r="AW43" s="7" t="s">
        <v>166</v>
      </c>
      <c r="AX43" s="7" t="s">
        <v>704</v>
      </c>
      <c r="AY43" s="7" t="s">
        <v>166</v>
      </c>
      <c r="AZ43" s="7" t="s">
        <v>705</v>
      </c>
      <c r="BA43" s="7" t="s">
        <v>166</v>
      </c>
      <c r="BB43" s="7" t="s">
        <v>706</v>
      </c>
      <c r="BC43" s="7" t="s">
        <v>707</v>
      </c>
      <c r="BD43" s="7" t="s">
        <v>708</v>
      </c>
      <c r="BE43" s="7" t="s">
        <v>127</v>
      </c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</row>
    <row r="44" customFormat="false" ht="15" hidden="false" customHeight="false" outlineLevel="0" collapsed="false">
      <c r="A44" s="7" t="s">
        <v>709</v>
      </c>
      <c r="B44" s="7" t="s">
        <v>710</v>
      </c>
      <c r="C44" s="7" t="s">
        <v>711</v>
      </c>
      <c r="D44" s="7"/>
      <c r="E44" s="7" t="s">
        <v>101</v>
      </c>
      <c r="F44" s="7" t="s">
        <v>156</v>
      </c>
      <c r="G44" s="7"/>
      <c r="H44" s="7" t="s">
        <v>157</v>
      </c>
      <c r="I44" s="7" t="s">
        <v>158</v>
      </c>
      <c r="J44" s="7" t="s">
        <v>159</v>
      </c>
      <c r="K44" s="7" t="s">
        <v>105</v>
      </c>
      <c r="L44" s="7" t="s">
        <v>106</v>
      </c>
      <c r="M44" s="7"/>
      <c r="N44" s="7" t="s">
        <v>712</v>
      </c>
      <c r="O44" s="7"/>
      <c r="P44" s="7" t="s">
        <v>135</v>
      </c>
      <c r="Q44" s="7"/>
      <c r="R44" s="7"/>
      <c r="S44" s="7"/>
      <c r="T44" s="7" t="n">
        <v>0.669</v>
      </c>
      <c r="U44" s="7" t="n">
        <v>1</v>
      </c>
      <c r="V44" s="7" t="s">
        <v>90</v>
      </c>
      <c r="W44" s="7"/>
      <c r="X44" s="7" t="s">
        <v>713</v>
      </c>
      <c r="Y44" s="7" t="s">
        <v>712</v>
      </c>
      <c r="Z44" s="7" t="s">
        <v>714</v>
      </c>
      <c r="AA44" s="7"/>
      <c r="AB44" s="7"/>
      <c r="AC44" s="7"/>
      <c r="AD44" s="7"/>
      <c r="AE44" s="7" t="s">
        <v>166</v>
      </c>
      <c r="AF44" s="7" t="s">
        <v>715</v>
      </c>
      <c r="AG44" s="7" t="s">
        <v>166</v>
      </c>
      <c r="AH44" s="7" t="s">
        <v>716</v>
      </c>
      <c r="AI44" s="7"/>
      <c r="AJ44" s="7"/>
      <c r="AK44" s="7" t="s">
        <v>115</v>
      </c>
      <c r="AL44" s="7"/>
      <c r="AM44" s="7"/>
      <c r="AN44" s="7"/>
      <c r="AO44" s="7" t="s">
        <v>166</v>
      </c>
      <c r="AP44" s="7" t="s">
        <v>717</v>
      </c>
      <c r="AQ44" s="7" t="s">
        <v>166</v>
      </c>
      <c r="AR44" s="7" t="s">
        <v>718</v>
      </c>
      <c r="AS44" s="7" t="s">
        <v>166</v>
      </c>
      <c r="AT44" s="7" t="s">
        <v>719</v>
      </c>
      <c r="AU44" s="7" t="s">
        <v>166</v>
      </c>
      <c r="AV44" s="7" t="s">
        <v>720</v>
      </c>
      <c r="AW44" s="7" t="s">
        <v>166</v>
      </c>
      <c r="AX44" s="7" t="s">
        <v>721</v>
      </c>
      <c r="AY44" s="7" t="s">
        <v>166</v>
      </c>
      <c r="AZ44" s="7" t="s">
        <v>722</v>
      </c>
      <c r="BA44" s="7" t="s">
        <v>166</v>
      </c>
      <c r="BB44" s="7" t="s">
        <v>723</v>
      </c>
      <c r="BC44" s="7" t="s">
        <v>178</v>
      </c>
      <c r="BD44" s="7" t="s">
        <v>724</v>
      </c>
      <c r="BE44" s="7" t="s">
        <v>127</v>
      </c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</row>
    <row r="45" customFormat="false" ht="15" hidden="false" customHeight="false" outlineLevel="0" collapsed="false">
      <c r="A45" s="7" t="s">
        <v>725</v>
      </c>
      <c r="B45" s="7" t="s">
        <v>726</v>
      </c>
      <c r="C45" s="7" t="s">
        <v>727</v>
      </c>
      <c r="D45" s="7"/>
      <c r="E45" s="7" t="s">
        <v>101</v>
      </c>
      <c r="F45" s="7" t="s">
        <v>156</v>
      </c>
      <c r="G45" s="7"/>
      <c r="H45" s="7" t="s">
        <v>157</v>
      </c>
      <c r="I45" s="7" t="s">
        <v>158</v>
      </c>
      <c r="J45" s="7" t="s">
        <v>159</v>
      </c>
      <c r="K45" s="7" t="s">
        <v>105</v>
      </c>
      <c r="L45" s="7" t="s">
        <v>353</v>
      </c>
      <c r="M45" s="7"/>
      <c r="N45" s="7" t="s">
        <v>728</v>
      </c>
      <c r="O45" s="7"/>
      <c r="P45" s="7" t="s">
        <v>135</v>
      </c>
      <c r="Q45" s="7"/>
      <c r="R45" s="7" t="s">
        <v>135</v>
      </c>
      <c r="S45" s="7" t="s">
        <v>136</v>
      </c>
      <c r="T45" s="7" t="n">
        <v>0.124</v>
      </c>
      <c r="U45" s="7" t="n">
        <v>1</v>
      </c>
      <c r="V45" s="7" t="s">
        <v>90</v>
      </c>
      <c r="W45" s="7"/>
      <c r="X45" s="7" t="s">
        <v>713</v>
      </c>
      <c r="Y45" s="7" t="s">
        <v>728</v>
      </c>
      <c r="Z45" s="7" t="s">
        <v>714</v>
      </c>
      <c r="AA45" s="7"/>
      <c r="AB45" s="7"/>
      <c r="AC45" s="7" t="n">
        <v>12</v>
      </c>
      <c r="AD45" s="7"/>
      <c r="AE45" s="7" t="s">
        <v>115</v>
      </c>
      <c r="AF45" s="7"/>
      <c r="AG45" s="7" t="s">
        <v>115</v>
      </c>
      <c r="AH45" s="7"/>
      <c r="AI45" s="7" t="s">
        <v>115</v>
      </c>
      <c r="AJ45" s="7"/>
      <c r="AK45" s="7" t="s">
        <v>115</v>
      </c>
      <c r="AL45" s="7"/>
      <c r="AM45" s="7" t="s">
        <v>115</v>
      </c>
      <c r="AN45" s="7"/>
      <c r="AO45" s="7" t="s">
        <v>115</v>
      </c>
      <c r="AP45" s="7"/>
      <c r="AQ45" s="7" t="s">
        <v>115</v>
      </c>
      <c r="AR45" s="7"/>
      <c r="AS45" s="7" t="s">
        <v>115</v>
      </c>
      <c r="AT45" s="7"/>
      <c r="AU45" s="7" t="s">
        <v>115</v>
      </c>
      <c r="AV45" s="7"/>
      <c r="AW45" s="7" t="s">
        <v>115</v>
      </c>
      <c r="AX45" s="7"/>
      <c r="AY45" s="7" t="s">
        <v>115</v>
      </c>
      <c r="AZ45" s="7"/>
      <c r="BA45" s="7" t="s">
        <v>115</v>
      </c>
      <c r="BB45" s="7"/>
      <c r="BC45" s="7" t="s">
        <v>707</v>
      </c>
      <c r="BD45" s="7" t="s">
        <v>729</v>
      </c>
      <c r="BE45" s="7" t="s">
        <v>127</v>
      </c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</row>
    <row r="46" customFormat="false" ht="15" hidden="false" customHeight="false" outlineLevel="0" collapsed="false">
      <c r="A46" s="7" t="s">
        <v>730</v>
      </c>
      <c r="B46" s="7" t="s">
        <v>731</v>
      </c>
      <c r="C46" s="7" t="s">
        <v>732</v>
      </c>
      <c r="D46" s="7"/>
      <c r="E46" s="7" t="s">
        <v>101</v>
      </c>
      <c r="F46" s="7" t="s">
        <v>101</v>
      </c>
      <c r="G46" s="7"/>
      <c r="H46" s="7" t="s">
        <v>102</v>
      </c>
      <c r="I46" s="7" t="s">
        <v>132</v>
      </c>
      <c r="J46" s="7" t="s">
        <v>104</v>
      </c>
      <c r="K46" s="7" t="s">
        <v>105</v>
      </c>
      <c r="L46" s="7" t="s">
        <v>106</v>
      </c>
      <c r="M46" s="7" t="s">
        <v>419</v>
      </c>
      <c r="N46" s="7" t="s">
        <v>733</v>
      </c>
      <c r="O46" s="7"/>
      <c r="P46" s="7" t="s">
        <v>135</v>
      </c>
      <c r="Q46" s="7"/>
      <c r="R46" s="7" t="s">
        <v>135</v>
      </c>
      <c r="S46" s="7" t="s">
        <v>136</v>
      </c>
      <c r="T46" s="7" t="n">
        <v>0.206</v>
      </c>
      <c r="U46" s="7" t="n">
        <v>1</v>
      </c>
      <c r="V46" s="7" t="s">
        <v>90</v>
      </c>
      <c r="W46" s="7"/>
      <c r="X46" s="7"/>
      <c r="Y46" s="7"/>
      <c r="Z46" s="7"/>
      <c r="AA46" s="7"/>
      <c r="AB46" s="7"/>
      <c r="AC46" s="7" t="n">
        <v>6</v>
      </c>
      <c r="AD46" s="7" t="s">
        <v>734</v>
      </c>
      <c r="AE46" s="7" t="s">
        <v>424</v>
      </c>
      <c r="AF46" s="7" t="s">
        <v>735</v>
      </c>
      <c r="AG46" s="7"/>
      <c r="AH46" s="7"/>
      <c r="AI46" s="7"/>
      <c r="AJ46" s="7"/>
      <c r="AK46" s="7"/>
      <c r="AL46" s="7"/>
      <c r="AM46" s="7"/>
      <c r="AN46" s="7"/>
      <c r="AO46" s="7" t="s">
        <v>424</v>
      </c>
      <c r="AP46" s="7" t="s">
        <v>736</v>
      </c>
      <c r="AQ46" s="7" t="s">
        <v>424</v>
      </c>
      <c r="AR46" s="7" t="s">
        <v>737</v>
      </c>
      <c r="AS46" s="7" t="s">
        <v>424</v>
      </c>
      <c r="AT46" s="7" t="s">
        <v>216</v>
      </c>
      <c r="AU46" s="7"/>
      <c r="AV46" s="7"/>
      <c r="AW46" s="7" t="s">
        <v>424</v>
      </c>
      <c r="AX46" s="7" t="s">
        <v>326</v>
      </c>
      <c r="AY46" s="7"/>
      <c r="AZ46" s="7"/>
      <c r="BA46" s="7" t="s">
        <v>424</v>
      </c>
      <c r="BB46" s="7" t="s">
        <v>275</v>
      </c>
      <c r="BC46" s="7" t="s">
        <v>427</v>
      </c>
      <c r="BD46" s="7"/>
      <c r="BE46" s="7" t="s">
        <v>127</v>
      </c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</row>
    <row r="47" customFormat="false" ht="15" hidden="false" customHeight="false" outlineLevel="0" collapsed="false">
      <c r="A47" s="7" t="s">
        <v>738</v>
      </c>
      <c r="B47" s="7" t="s">
        <v>739</v>
      </c>
      <c r="C47" s="7" t="s">
        <v>740</v>
      </c>
      <c r="D47" s="7"/>
      <c r="E47" s="7" t="s">
        <v>101</v>
      </c>
      <c r="F47" s="7" t="s">
        <v>741</v>
      </c>
      <c r="G47" s="7"/>
      <c r="H47" s="7" t="s">
        <v>102</v>
      </c>
      <c r="I47" s="7" t="s">
        <v>158</v>
      </c>
      <c r="J47" s="7" t="s">
        <v>104</v>
      </c>
      <c r="K47" s="7" t="s">
        <v>105</v>
      </c>
      <c r="L47" s="7" t="s">
        <v>106</v>
      </c>
      <c r="M47" s="7"/>
      <c r="N47" s="7" t="s">
        <v>742</v>
      </c>
      <c r="O47" s="7" t="s">
        <v>742</v>
      </c>
      <c r="P47" s="7" t="s">
        <v>135</v>
      </c>
      <c r="Q47" s="7"/>
      <c r="R47" s="7" t="s">
        <v>109</v>
      </c>
      <c r="S47" s="7" t="s">
        <v>110</v>
      </c>
      <c r="T47" s="7" t="n">
        <v>0.852</v>
      </c>
      <c r="U47" s="7" t="n">
        <v>1</v>
      </c>
      <c r="V47" s="7" t="s">
        <v>90</v>
      </c>
      <c r="W47" s="7"/>
      <c r="X47" s="7" t="s">
        <v>713</v>
      </c>
      <c r="Y47" s="7" t="s">
        <v>742</v>
      </c>
      <c r="Z47" s="7" t="s">
        <v>714</v>
      </c>
      <c r="AA47" s="7"/>
      <c r="AB47" s="7"/>
      <c r="AC47" s="7" t="n">
        <v>5</v>
      </c>
      <c r="AD47" s="7" t="s">
        <v>743</v>
      </c>
      <c r="AE47" s="7" t="s">
        <v>744</v>
      </c>
      <c r="AF47" s="7" t="s">
        <v>745</v>
      </c>
      <c r="AG47" s="7" t="s">
        <v>744</v>
      </c>
      <c r="AH47" s="7" t="s">
        <v>332</v>
      </c>
      <c r="AI47" s="7"/>
      <c r="AJ47" s="7"/>
      <c r="AK47" s="7"/>
      <c r="AL47" s="7"/>
      <c r="AM47" s="7"/>
      <c r="AN47" s="7"/>
      <c r="AO47" s="7" t="s">
        <v>744</v>
      </c>
      <c r="AP47" s="7" t="s">
        <v>746</v>
      </c>
      <c r="AQ47" s="7" t="s">
        <v>744</v>
      </c>
      <c r="AR47" s="7" t="s">
        <v>741</v>
      </c>
      <c r="AS47" s="7"/>
      <c r="AT47" s="7"/>
      <c r="AU47" s="7"/>
      <c r="AV47" s="7"/>
      <c r="AW47" s="7" t="s">
        <v>744</v>
      </c>
      <c r="AX47" s="7" t="s">
        <v>742</v>
      </c>
      <c r="AY47" s="7"/>
      <c r="AZ47" s="7"/>
      <c r="BA47" s="7"/>
      <c r="BB47" s="7"/>
      <c r="BC47" s="7"/>
      <c r="BD47" s="7" t="s">
        <v>747</v>
      </c>
      <c r="BE47" s="7" t="s">
        <v>127</v>
      </c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</row>
    <row r="48" customFormat="false" ht="15" hidden="false" customHeight="false" outlineLevel="0" collapsed="false">
      <c r="A48" s="7" t="s">
        <v>748</v>
      </c>
      <c r="B48" s="7" t="s">
        <v>749</v>
      </c>
      <c r="C48" s="7" t="s">
        <v>750</v>
      </c>
      <c r="D48" s="7"/>
      <c r="E48" s="7" t="s">
        <v>101</v>
      </c>
      <c r="F48" s="7" t="s">
        <v>101</v>
      </c>
      <c r="G48" s="7"/>
      <c r="H48" s="7" t="s">
        <v>102</v>
      </c>
      <c r="I48" s="7" t="s">
        <v>158</v>
      </c>
      <c r="J48" s="7" t="s">
        <v>104</v>
      </c>
      <c r="K48" s="7" t="s">
        <v>105</v>
      </c>
      <c r="L48" s="7" t="s">
        <v>106</v>
      </c>
      <c r="M48" s="7"/>
      <c r="N48" s="7" t="s">
        <v>751</v>
      </c>
      <c r="O48" s="7" t="s">
        <v>751</v>
      </c>
      <c r="P48" s="7" t="s">
        <v>135</v>
      </c>
      <c r="Q48" s="7"/>
      <c r="R48" s="7" t="s">
        <v>109</v>
      </c>
      <c r="S48" s="7" t="s">
        <v>110</v>
      </c>
      <c r="T48" s="7" t="n">
        <v>0.253</v>
      </c>
      <c r="U48" s="7" t="n">
        <v>1</v>
      </c>
      <c r="V48" s="7" t="s">
        <v>90</v>
      </c>
      <c r="W48" s="7"/>
      <c r="X48" s="7" t="s">
        <v>752</v>
      </c>
      <c r="Y48" s="7" t="s">
        <v>751</v>
      </c>
      <c r="Z48" s="7" t="s">
        <v>753</v>
      </c>
      <c r="AA48" s="7"/>
      <c r="AB48" s="7"/>
      <c r="AC48" s="7" t="n">
        <v>0</v>
      </c>
      <c r="AD48" s="7" t="s">
        <v>388</v>
      </c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 t="s">
        <v>127</v>
      </c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</row>
    <row r="49" customFormat="false" ht="15" hidden="false" customHeight="false" outlineLevel="0" collapsed="false">
      <c r="A49" s="7" t="s">
        <v>754</v>
      </c>
      <c r="B49" s="7" t="s">
        <v>755</v>
      </c>
      <c r="C49" s="7" t="s">
        <v>756</v>
      </c>
      <c r="D49" s="7"/>
      <c r="E49" s="7" t="s">
        <v>101</v>
      </c>
      <c r="F49" s="7" t="s">
        <v>101</v>
      </c>
      <c r="G49" s="7"/>
      <c r="H49" s="7" t="s">
        <v>102</v>
      </c>
      <c r="I49" s="7" t="s">
        <v>158</v>
      </c>
      <c r="J49" s="7" t="s">
        <v>104</v>
      </c>
      <c r="K49" s="7" t="s">
        <v>105</v>
      </c>
      <c r="L49" s="7" t="s">
        <v>106</v>
      </c>
      <c r="M49" s="7" t="s">
        <v>419</v>
      </c>
      <c r="N49" s="7" t="s">
        <v>757</v>
      </c>
      <c r="O49" s="7" t="s">
        <v>757</v>
      </c>
      <c r="P49" s="7" t="s">
        <v>135</v>
      </c>
      <c r="Q49" s="7"/>
      <c r="R49" s="7" t="s">
        <v>109</v>
      </c>
      <c r="S49" s="7" t="s">
        <v>110</v>
      </c>
      <c r="T49" s="7" t="n">
        <v>0.634</v>
      </c>
      <c r="U49" s="7" t="n">
        <v>1</v>
      </c>
      <c r="V49" s="7" t="s">
        <v>90</v>
      </c>
      <c r="W49" s="7"/>
      <c r="X49" s="7" t="s">
        <v>752</v>
      </c>
      <c r="Y49" s="7" t="s">
        <v>757</v>
      </c>
      <c r="Z49" s="7" t="s">
        <v>753</v>
      </c>
      <c r="AA49" s="7"/>
      <c r="AB49" s="7"/>
      <c r="AC49" s="7" t="n">
        <v>9</v>
      </c>
      <c r="AD49" s="7" t="s">
        <v>405</v>
      </c>
      <c r="AE49" s="7" t="s">
        <v>758</v>
      </c>
      <c r="AF49" s="7" t="s">
        <v>759</v>
      </c>
      <c r="AG49" s="7"/>
      <c r="AH49" s="7"/>
      <c r="AI49" s="7"/>
      <c r="AJ49" s="7"/>
      <c r="AK49" s="7"/>
      <c r="AL49" s="7"/>
      <c r="AM49" s="7" t="s">
        <v>758</v>
      </c>
      <c r="AN49" s="7" t="s">
        <v>760</v>
      </c>
      <c r="AO49" s="7" t="s">
        <v>758</v>
      </c>
      <c r="AP49" s="7" t="s">
        <v>761</v>
      </c>
      <c r="AQ49" s="7" t="s">
        <v>758</v>
      </c>
      <c r="AR49" s="7" t="s">
        <v>741</v>
      </c>
      <c r="AS49" s="7" t="s">
        <v>758</v>
      </c>
      <c r="AT49" s="7" t="s">
        <v>216</v>
      </c>
      <c r="AU49" s="7" t="s">
        <v>758</v>
      </c>
      <c r="AV49" s="7" t="s">
        <v>762</v>
      </c>
      <c r="AW49" s="7" t="s">
        <v>758</v>
      </c>
      <c r="AX49" s="7" t="s">
        <v>326</v>
      </c>
      <c r="AY49" s="7" t="s">
        <v>758</v>
      </c>
      <c r="AZ49" s="7" t="s">
        <v>124</v>
      </c>
      <c r="BA49" s="7" t="s">
        <v>758</v>
      </c>
      <c r="BB49" s="7" t="s">
        <v>369</v>
      </c>
      <c r="BC49" s="7" t="s">
        <v>427</v>
      </c>
      <c r="BD49" s="7"/>
      <c r="BE49" s="7" t="s">
        <v>127</v>
      </c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</row>
    <row r="50" customFormat="false" ht="15" hidden="false" customHeight="false" outlineLevel="0" collapsed="false">
      <c r="A50" s="7" t="s">
        <v>763</v>
      </c>
      <c r="B50" s="7" t="s">
        <v>764</v>
      </c>
      <c r="C50" s="7" t="s">
        <v>765</v>
      </c>
      <c r="D50" s="7"/>
      <c r="E50" s="7" t="s">
        <v>101</v>
      </c>
      <c r="F50" s="7" t="s">
        <v>101</v>
      </c>
      <c r="G50" s="7"/>
      <c r="H50" s="7" t="s">
        <v>102</v>
      </c>
      <c r="I50" s="7" t="s">
        <v>158</v>
      </c>
      <c r="J50" s="7" t="s">
        <v>104</v>
      </c>
      <c r="K50" s="7" t="s">
        <v>105</v>
      </c>
      <c r="L50" s="7" t="s">
        <v>106</v>
      </c>
      <c r="M50" s="7" t="s">
        <v>766</v>
      </c>
      <c r="N50" s="7" t="s">
        <v>767</v>
      </c>
      <c r="O50" s="7" t="s">
        <v>767</v>
      </c>
      <c r="P50" s="7" t="s">
        <v>135</v>
      </c>
      <c r="Q50" s="7"/>
      <c r="R50" s="7" t="s">
        <v>109</v>
      </c>
      <c r="S50" s="7" t="s">
        <v>110</v>
      </c>
      <c r="T50" s="7" t="n">
        <v>0.427</v>
      </c>
      <c r="U50" s="7" t="n">
        <v>1</v>
      </c>
      <c r="V50" s="7" t="s">
        <v>90</v>
      </c>
      <c r="W50" s="7"/>
      <c r="X50" s="7" t="s">
        <v>263</v>
      </c>
      <c r="Y50" s="7" t="s">
        <v>767</v>
      </c>
      <c r="Z50" s="7" t="s">
        <v>768</v>
      </c>
      <c r="AA50" s="7"/>
      <c r="AB50" s="7"/>
      <c r="AC50" s="7" t="n">
        <v>0</v>
      </c>
      <c r="AD50" s="7" t="s">
        <v>388</v>
      </c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 t="s">
        <v>427</v>
      </c>
      <c r="BD50" s="7"/>
      <c r="BE50" s="7" t="s">
        <v>127</v>
      </c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</row>
    <row r="51" customFormat="false" ht="15" hidden="false" customHeight="false" outlineLevel="0" collapsed="false">
      <c r="A51" s="7" t="s">
        <v>769</v>
      </c>
      <c r="B51" s="7" t="s">
        <v>770</v>
      </c>
      <c r="C51" s="7" t="s">
        <v>771</v>
      </c>
      <c r="D51" s="7"/>
      <c r="E51" s="7" t="s">
        <v>101</v>
      </c>
      <c r="F51" s="7" t="s">
        <v>82</v>
      </c>
      <c r="G51" s="7" t="s">
        <v>772</v>
      </c>
      <c r="H51" s="7" t="s">
        <v>102</v>
      </c>
      <c r="I51" s="7" t="s">
        <v>158</v>
      </c>
      <c r="J51" s="7" t="s">
        <v>104</v>
      </c>
      <c r="K51" s="7" t="s">
        <v>105</v>
      </c>
      <c r="L51" s="7" t="s">
        <v>106</v>
      </c>
      <c r="M51" s="7" t="s">
        <v>773</v>
      </c>
      <c r="N51" s="7" t="s">
        <v>774</v>
      </c>
      <c r="O51" s="7" t="s">
        <v>774</v>
      </c>
      <c r="P51" s="7" t="s">
        <v>135</v>
      </c>
      <c r="Q51" s="7"/>
      <c r="R51" s="7" t="s">
        <v>84</v>
      </c>
      <c r="S51" s="7" t="s">
        <v>238</v>
      </c>
      <c r="T51" s="7" t="n">
        <v>0.796</v>
      </c>
      <c r="U51" s="7" t="n">
        <v>1</v>
      </c>
      <c r="V51" s="7" t="s">
        <v>90</v>
      </c>
      <c r="W51" s="7" t="s">
        <v>597</v>
      </c>
      <c r="X51" s="7" t="s">
        <v>239</v>
      </c>
      <c r="Y51" s="7" t="s">
        <v>774</v>
      </c>
      <c r="Z51" s="7" t="s">
        <v>775</v>
      </c>
      <c r="AA51" s="7"/>
      <c r="AB51" s="7"/>
      <c r="AC51" s="7" t="n">
        <v>12</v>
      </c>
      <c r="AD51" s="7"/>
      <c r="AE51" s="7" t="s">
        <v>758</v>
      </c>
      <c r="AF51" s="7" t="s">
        <v>776</v>
      </c>
      <c r="AG51" s="7" t="s">
        <v>777</v>
      </c>
      <c r="AH51" s="7" t="s">
        <v>778</v>
      </c>
      <c r="AI51" s="7" t="s">
        <v>779</v>
      </c>
      <c r="AJ51" s="7" t="s">
        <v>780</v>
      </c>
      <c r="AK51" s="7" t="s">
        <v>779</v>
      </c>
      <c r="AL51" s="7" t="s">
        <v>781</v>
      </c>
      <c r="AM51" s="7" t="s">
        <v>779</v>
      </c>
      <c r="AN51" s="7" t="s">
        <v>782</v>
      </c>
      <c r="AO51" s="7" t="s">
        <v>758</v>
      </c>
      <c r="AP51" s="7" t="s">
        <v>783</v>
      </c>
      <c r="AQ51" s="7" t="s">
        <v>779</v>
      </c>
      <c r="AR51" s="7" t="s">
        <v>784</v>
      </c>
      <c r="AS51" s="7" t="s">
        <v>758</v>
      </c>
      <c r="AT51" s="7" t="s">
        <v>216</v>
      </c>
      <c r="AU51" s="7" t="s">
        <v>779</v>
      </c>
      <c r="AV51" s="7" t="s">
        <v>785</v>
      </c>
      <c r="AW51" s="7" t="s">
        <v>779</v>
      </c>
      <c r="AX51" s="7" t="s">
        <v>786</v>
      </c>
      <c r="AY51" s="7" t="s">
        <v>779</v>
      </c>
      <c r="AZ51" s="7" t="s">
        <v>787</v>
      </c>
      <c r="BA51" s="7" t="s">
        <v>758</v>
      </c>
      <c r="BB51" s="7" t="s">
        <v>369</v>
      </c>
      <c r="BC51" s="7" t="s">
        <v>413</v>
      </c>
      <c r="BD51" s="7" t="s">
        <v>220</v>
      </c>
      <c r="BE51" s="7" t="s">
        <v>127</v>
      </c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</row>
    <row r="52" customFormat="false" ht="15" hidden="false" customHeight="false" outlineLevel="0" collapsed="false">
      <c r="A52" s="7" t="s">
        <v>788</v>
      </c>
      <c r="B52" s="7" t="s">
        <v>789</v>
      </c>
      <c r="C52" s="7" t="s">
        <v>790</v>
      </c>
      <c r="D52" s="7"/>
      <c r="E52" s="7" t="s">
        <v>101</v>
      </c>
      <c r="F52" s="7" t="s">
        <v>101</v>
      </c>
      <c r="G52" s="7"/>
      <c r="H52" s="7" t="s">
        <v>102</v>
      </c>
      <c r="I52" s="7" t="s">
        <v>234</v>
      </c>
      <c r="J52" s="7" t="s">
        <v>104</v>
      </c>
      <c r="K52" s="7" t="s">
        <v>105</v>
      </c>
      <c r="L52" s="7" t="s">
        <v>259</v>
      </c>
      <c r="M52" s="7"/>
      <c r="N52" s="7" t="s">
        <v>791</v>
      </c>
      <c r="O52" s="7" t="s">
        <v>791</v>
      </c>
      <c r="P52" s="7" t="s">
        <v>135</v>
      </c>
      <c r="Q52" s="7"/>
      <c r="R52" s="7" t="s">
        <v>109</v>
      </c>
      <c r="S52" s="7" t="s">
        <v>110</v>
      </c>
      <c r="T52" s="7" t="n">
        <v>0.456</v>
      </c>
      <c r="U52" s="7" t="n">
        <v>1</v>
      </c>
      <c r="V52" s="7" t="s">
        <v>90</v>
      </c>
      <c r="W52" s="7"/>
      <c r="X52" s="7" t="s">
        <v>713</v>
      </c>
      <c r="Y52" s="7" t="s">
        <v>791</v>
      </c>
      <c r="Z52" s="7" t="s">
        <v>714</v>
      </c>
      <c r="AA52" s="7"/>
      <c r="AB52" s="7"/>
      <c r="AC52" s="7" t="n">
        <v>0</v>
      </c>
      <c r="AD52" s="7" t="s">
        <v>388</v>
      </c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 t="s">
        <v>127</v>
      </c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</row>
    <row r="53" customFormat="false" ht="15" hidden="false" customHeight="false" outlineLevel="0" collapsed="false">
      <c r="A53" s="7" t="s">
        <v>792</v>
      </c>
      <c r="B53" s="7" t="s">
        <v>793</v>
      </c>
      <c r="C53" s="7" t="s">
        <v>794</v>
      </c>
      <c r="D53" s="7"/>
      <c r="E53" s="7" t="s">
        <v>101</v>
      </c>
      <c r="F53" s="7" t="s">
        <v>101</v>
      </c>
      <c r="G53" s="7"/>
      <c r="H53" s="7" t="s">
        <v>102</v>
      </c>
      <c r="I53" s="7" t="s">
        <v>208</v>
      </c>
      <c r="J53" s="7" t="s">
        <v>104</v>
      </c>
      <c r="K53" s="7" t="s">
        <v>105</v>
      </c>
      <c r="L53" s="7" t="s">
        <v>106</v>
      </c>
      <c r="M53" s="7"/>
      <c r="N53" s="7" t="s">
        <v>795</v>
      </c>
      <c r="O53" s="7" t="s">
        <v>795</v>
      </c>
      <c r="P53" s="7" t="s">
        <v>135</v>
      </c>
      <c r="Q53" s="7"/>
      <c r="R53" s="7" t="s">
        <v>109</v>
      </c>
      <c r="S53" s="7" t="s">
        <v>110</v>
      </c>
      <c r="T53" s="7" t="n">
        <v>0.329</v>
      </c>
      <c r="U53" s="7" t="n">
        <v>1</v>
      </c>
      <c r="V53" s="7" t="s">
        <v>90</v>
      </c>
      <c r="W53" s="7"/>
      <c r="X53" s="7" t="s">
        <v>597</v>
      </c>
      <c r="Y53" s="7" t="s">
        <v>795</v>
      </c>
      <c r="Z53" s="7" t="s">
        <v>796</v>
      </c>
      <c r="AA53" s="7"/>
      <c r="AB53" s="7"/>
      <c r="AC53" s="7" t="n">
        <v>0</v>
      </c>
      <c r="AD53" s="7" t="s">
        <v>388</v>
      </c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 t="s">
        <v>127</v>
      </c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</row>
    <row r="54" customFormat="false" ht="15" hidden="false" customHeight="false" outlineLevel="0" collapsed="false">
      <c r="A54" s="7" t="s">
        <v>797</v>
      </c>
      <c r="B54" s="7" t="s">
        <v>798</v>
      </c>
      <c r="C54" s="7" t="s">
        <v>799</v>
      </c>
      <c r="D54" s="7"/>
      <c r="E54" s="7" t="s">
        <v>101</v>
      </c>
      <c r="F54" s="7" t="s">
        <v>101</v>
      </c>
      <c r="G54" s="7"/>
      <c r="H54" s="7" t="s">
        <v>102</v>
      </c>
      <c r="I54" s="7" t="s">
        <v>374</v>
      </c>
      <c r="J54" s="7" t="s">
        <v>104</v>
      </c>
      <c r="K54" s="7" t="s">
        <v>105</v>
      </c>
      <c r="L54" s="7" t="s">
        <v>106</v>
      </c>
      <c r="M54" s="7"/>
      <c r="N54" s="7" t="s">
        <v>800</v>
      </c>
      <c r="O54" s="7" t="s">
        <v>800</v>
      </c>
      <c r="P54" s="7" t="s">
        <v>135</v>
      </c>
      <c r="Q54" s="7"/>
      <c r="R54" s="7" t="s">
        <v>109</v>
      </c>
      <c r="S54" s="7" t="s">
        <v>110</v>
      </c>
      <c r="T54" s="7" t="n">
        <v>0.478</v>
      </c>
      <c r="U54" s="7" t="n">
        <v>1</v>
      </c>
      <c r="V54" s="7" t="s">
        <v>90</v>
      </c>
      <c r="W54" s="7"/>
      <c r="X54" s="7" t="s">
        <v>239</v>
      </c>
      <c r="Y54" s="7" t="s">
        <v>800</v>
      </c>
      <c r="Z54" s="7" t="s">
        <v>241</v>
      </c>
      <c r="AA54" s="7"/>
      <c r="AB54" s="7"/>
      <c r="AC54" s="7" t="n">
        <v>8</v>
      </c>
      <c r="AD54" s="7" t="s">
        <v>801</v>
      </c>
      <c r="AE54" s="7" t="s">
        <v>758</v>
      </c>
      <c r="AF54" s="7" t="s">
        <v>802</v>
      </c>
      <c r="AG54" s="7" t="s">
        <v>758</v>
      </c>
      <c r="AH54" s="7" t="s">
        <v>803</v>
      </c>
      <c r="AI54" s="7"/>
      <c r="AJ54" s="7"/>
      <c r="AK54" s="7"/>
      <c r="AL54" s="7"/>
      <c r="AM54" s="7"/>
      <c r="AN54" s="7"/>
      <c r="AO54" s="7" t="s">
        <v>758</v>
      </c>
      <c r="AP54" s="7" t="s">
        <v>804</v>
      </c>
      <c r="AQ54" s="7" t="s">
        <v>758</v>
      </c>
      <c r="AR54" s="7" t="s">
        <v>431</v>
      </c>
      <c r="AS54" s="7" t="s">
        <v>758</v>
      </c>
      <c r="AT54" s="7" t="s">
        <v>122</v>
      </c>
      <c r="AU54" s="7" t="s">
        <v>758</v>
      </c>
      <c r="AV54" s="7" t="s">
        <v>805</v>
      </c>
      <c r="AW54" s="7" t="s">
        <v>758</v>
      </c>
      <c r="AX54" s="7" t="s">
        <v>273</v>
      </c>
      <c r="AY54" s="7" t="s">
        <v>758</v>
      </c>
      <c r="AZ54" s="7" t="s">
        <v>124</v>
      </c>
      <c r="BA54" s="7"/>
      <c r="BB54" s="7"/>
      <c r="BC54" s="7"/>
      <c r="BD54" s="7"/>
      <c r="BE54" s="7" t="s">
        <v>127</v>
      </c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</row>
    <row r="55" customFormat="false" ht="15" hidden="false" customHeight="false" outlineLevel="0" collapsed="false">
      <c r="A55" s="7" t="s">
        <v>806</v>
      </c>
      <c r="B55" s="7" t="s">
        <v>807</v>
      </c>
      <c r="C55" s="7" t="s">
        <v>808</v>
      </c>
      <c r="D55" s="7"/>
      <c r="E55" s="7" t="s">
        <v>101</v>
      </c>
      <c r="F55" s="7" t="s">
        <v>101</v>
      </c>
      <c r="G55" s="7"/>
      <c r="H55" s="7" t="s">
        <v>102</v>
      </c>
      <c r="I55" s="7" t="s">
        <v>132</v>
      </c>
      <c r="J55" s="7" t="s">
        <v>104</v>
      </c>
      <c r="K55" s="7" t="s">
        <v>105</v>
      </c>
      <c r="L55" s="7" t="s">
        <v>106</v>
      </c>
      <c r="M55" s="7"/>
      <c r="N55" s="7" t="s">
        <v>809</v>
      </c>
      <c r="O55" s="7"/>
      <c r="P55" s="7" t="s">
        <v>135</v>
      </c>
      <c r="Q55" s="7"/>
      <c r="R55" s="7" t="s">
        <v>135</v>
      </c>
      <c r="S55" s="7" t="s">
        <v>136</v>
      </c>
      <c r="T55" s="7" t="n">
        <v>0.46</v>
      </c>
      <c r="U55" s="7" t="n">
        <v>1</v>
      </c>
      <c r="V55" s="7" t="s">
        <v>90</v>
      </c>
      <c r="W55" s="7"/>
      <c r="X55" s="7" t="s">
        <v>163</v>
      </c>
      <c r="Y55" s="7" t="s">
        <v>809</v>
      </c>
      <c r="Z55" s="7" t="s">
        <v>810</v>
      </c>
      <c r="AA55" s="7"/>
      <c r="AB55" s="7"/>
      <c r="AC55" s="7" t="n">
        <v>0</v>
      </c>
      <c r="AD55" s="7" t="s">
        <v>388</v>
      </c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 t="s">
        <v>127</v>
      </c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</row>
    <row r="56" customFormat="false" ht="15" hidden="false" customHeight="false" outlineLevel="0" collapsed="false">
      <c r="A56" s="7" t="s">
        <v>811</v>
      </c>
      <c r="B56" s="7" t="s">
        <v>812</v>
      </c>
      <c r="C56" s="7" t="s">
        <v>813</v>
      </c>
      <c r="D56" s="7"/>
      <c r="E56" s="7" t="s">
        <v>101</v>
      </c>
      <c r="F56" s="7" t="s">
        <v>101</v>
      </c>
      <c r="G56" s="7"/>
      <c r="H56" s="7" t="s">
        <v>102</v>
      </c>
      <c r="I56" s="7" t="s">
        <v>132</v>
      </c>
      <c r="J56" s="7" t="s">
        <v>104</v>
      </c>
      <c r="K56" s="7" t="s">
        <v>105</v>
      </c>
      <c r="L56" s="7" t="s">
        <v>106</v>
      </c>
      <c r="M56" s="7"/>
      <c r="N56" s="7" t="s">
        <v>814</v>
      </c>
      <c r="O56" s="7" t="s">
        <v>814</v>
      </c>
      <c r="P56" s="7" t="s">
        <v>135</v>
      </c>
      <c r="Q56" s="7"/>
      <c r="R56" s="7" t="s">
        <v>109</v>
      </c>
      <c r="S56" s="7" t="s">
        <v>110</v>
      </c>
      <c r="T56" s="7" t="n">
        <v>0.358</v>
      </c>
      <c r="U56" s="7" t="n">
        <v>1</v>
      </c>
      <c r="V56" s="7" t="s">
        <v>90</v>
      </c>
      <c r="W56" s="7"/>
      <c r="X56" s="7" t="s">
        <v>597</v>
      </c>
      <c r="Y56" s="7" t="s">
        <v>814</v>
      </c>
      <c r="Z56" s="7" t="s">
        <v>796</v>
      </c>
      <c r="AA56" s="7"/>
      <c r="AB56" s="7"/>
      <c r="AC56" s="7" t="n">
        <v>10</v>
      </c>
      <c r="AD56" s="7" t="s">
        <v>815</v>
      </c>
      <c r="AE56" s="7" t="s">
        <v>758</v>
      </c>
      <c r="AF56" s="7" t="s">
        <v>816</v>
      </c>
      <c r="AG56" s="7" t="s">
        <v>115</v>
      </c>
      <c r="AH56" s="7" t="s">
        <v>116</v>
      </c>
      <c r="AI56" s="7" t="s">
        <v>758</v>
      </c>
      <c r="AJ56" s="7" t="s">
        <v>817</v>
      </c>
      <c r="AK56" s="7"/>
      <c r="AL56" s="7"/>
      <c r="AM56" s="7"/>
      <c r="AN56" s="7"/>
      <c r="AO56" s="7" t="s">
        <v>758</v>
      </c>
      <c r="AP56" s="7" t="s">
        <v>818</v>
      </c>
      <c r="AQ56" s="7" t="s">
        <v>758</v>
      </c>
      <c r="AR56" s="7" t="s">
        <v>819</v>
      </c>
      <c r="AS56" s="7" t="s">
        <v>758</v>
      </c>
      <c r="AT56" s="7" t="s">
        <v>147</v>
      </c>
      <c r="AU56" s="7" t="s">
        <v>758</v>
      </c>
      <c r="AV56" s="7" t="s">
        <v>820</v>
      </c>
      <c r="AW56" s="7" t="s">
        <v>758</v>
      </c>
      <c r="AX56" s="7" t="s">
        <v>326</v>
      </c>
      <c r="AY56" s="7" t="s">
        <v>758</v>
      </c>
      <c r="AZ56" s="7" t="s">
        <v>124</v>
      </c>
      <c r="BA56" s="7" t="s">
        <v>758</v>
      </c>
      <c r="BB56" s="7" t="s">
        <v>230</v>
      </c>
      <c r="BC56" s="7"/>
      <c r="BD56" s="7"/>
      <c r="BE56" s="7" t="s">
        <v>127</v>
      </c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</row>
    <row r="57" customFormat="false" ht="15" hidden="false" customHeight="false" outlineLevel="0" collapsed="false">
      <c r="A57" s="7" t="s">
        <v>821</v>
      </c>
      <c r="B57" s="7" t="s">
        <v>822</v>
      </c>
      <c r="C57" s="7" t="s">
        <v>823</v>
      </c>
      <c r="D57" s="7"/>
      <c r="E57" s="7" t="s">
        <v>101</v>
      </c>
      <c r="F57" s="7" t="s">
        <v>101</v>
      </c>
      <c r="G57" s="7"/>
      <c r="H57" s="7" t="s">
        <v>102</v>
      </c>
      <c r="I57" s="7" t="s">
        <v>132</v>
      </c>
      <c r="J57" s="7" t="s">
        <v>104</v>
      </c>
      <c r="K57" s="7" t="s">
        <v>105</v>
      </c>
      <c r="L57" s="7" t="s">
        <v>106</v>
      </c>
      <c r="M57" s="7"/>
      <c r="N57" s="7" t="s">
        <v>824</v>
      </c>
      <c r="O57" s="7" t="s">
        <v>824</v>
      </c>
      <c r="P57" s="7" t="s">
        <v>135</v>
      </c>
      <c r="Q57" s="7"/>
      <c r="R57" s="7" t="s">
        <v>109</v>
      </c>
      <c r="S57" s="7" t="s">
        <v>110</v>
      </c>
      <c r="T57" s="7" t="n">
        <v>0.261</v>
      </c>
      <c r="U57" s="7" t="n">
        <v>1</v>
      </c>
      <c r="V57" s="7" t="s">
        <v>90</v>
      </c>
      <c r="W57" s="7"/>
      <c r="X57" s="7" t="s">
        <v>752</v>
      </c>
      <c r="Y57" s="7" t="s">
        <v>824</v>
      </c>
      <c r="Z57" s="7" t="s">
        <v>753</v>
      </c>
      <c r="AA57" s="7"/>
      <c r="AB57" s="7"/>
      <c r="AC57" s="7" t="n">
        <v>0</v>
      </c>
      <c r="AD57" s="7" t="s">
        <v>388</v>
      </c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 t="s">
        <v>127</v>
      </c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</row>
    <row r="58" customFormat="false" ht="15" hidden="false" customHeight="false" outlineLevel="0" collapsed="false">
      <c r="A58" s="7" t="s">
        <v>825</v>
      </c>
      <c r="B58" s="7" t="s">
        <v>826</v>
      </c>
      <c r="C58" s="7" t="s">
        <v>827</v>
      </c>
      <c r="D58" s="7"/>
      <c r="E58" s="7" t="s">
        <v>101</v>
      </c>
      <c r="F58" s="7" t="s">
        <v>101</v>
      </c>
      <c r="G58" s="7"/>
      <c r="H58" s="7" t="s">
        <v>102</v>
      </c>
      <c r="I58" s="7" t="s">
        <v>132</v>
      </c>
      <c r="J58" s="7" t="s">
        <v>104</v>
      </c>
      <c r="K58" s="7" t="s">
        <v>105</v>
      </c>
      <c r="L58" s="7" t="s">
        <v>106</v>
      </c>
      <c r="M58" s="7" t="s">
        <v>828</v>
      </c>
      <c r="N58" s="7" t="s">
        <v>829</v>
      </c>
      <c r="O58" s="7"/>
      <c r="P58" s="7" t="s">
        <v>135</v>
      </c>
      <c r="Q58" s="7"/>
      <c r="R58" s="7" t="s">
        <v>135</v>
      </c>
      <c r="S58" s="7" t="s">
        <v>136</v>
      </c>
      <c r="T58" s="7" t="n">
        <v>0.683</v>
      </c>
      <c r="U58" s="7" t="n">
        <v>1</v>
      </c>
      <c r="V58" s="7" t="s">
        <v>90</v>
      </c>
      <c r="W58" s="7" t="s">
        <v>282</v>
      </c>
      <c r="X58" s="7" t="s">
        <v>615</v>
      </c>
      <c r="Y58" s="7" t="s">
        <v>829</v>
      </c>
      <c r="Z58" s="7" t="s">
        <v>616</v>
      </c>
      <c r="AA58" s="7"/>
      <c r="AB58" s="7"/>
      <c r="AC58" s="7" t="n">
        <v>12</v>
      </c>
      <c r="AD58" s="7"/>
      <c r="AE58" s="7" t="s">
        <v>189</v>
      </c>
      <c r="AF58" s="7" t="s">
        <v>830</v>
      </c>
      <c r="AG58" s="7" t="s">
        <v>189</v>
      </c>
      <c r="AH58" s="7" t="s">
        <v>615</v>
      </c>
      <c r="AI58" s="7" t="s">
        <v>777</v>
      </c>
      <c r="AJ58" s="7" t="s">
        <v>145</v>
      </c>
      <c r="AK58" s="7" t="s">
        <v>115</v>
      </c>
      <c r="AL58" s="7" t="s">
        <v>116</v>
      </c>
      <c r="AM58" s="7" t="s">
        <v>189</v>
      </c>
      <c r="AN58" s="7" t="s">
        <v>831</v>
      </c>
      <c r="AO58" s="7" t="s">
        <v>758</v>
      </c>
      <c r="AP58" s="7" t="s">
        <v>832</v>
      </c>
      <c r="AQ58" s="7" t="s">
        <v>777</v>
      </c>
      <c r="AR58" s="7" t="s">
        <v>833</v>
      </c>
      <c r="AS58" s="7" t="s">
        <v>758</v>
      </c>
      <c r="AT58" s="7" t="s">
        <v>122</v>
      </c>
      <c r="AU58" s="7" t="s">
        <v>777</v>
      </c>
      <c r="AV58" s="7" t="s">
        <v>834</v>
      </c>
      <c r="AW58" s="7" t="s">
        <v>189</v>
      </c>
      <c r="AX58" s="7" t="s">
        <v>829</v>
      </c>
      <c r="AY58" s="7" t="s">
        <v>758</v>
      </c>
      <c r="AZ58" s="7" t="s">
        <v>124</v>
      </c>
      <c r="BA58" s="7" t="s">
        <v>779</v>
      </c>
      <c r="BB58" s="7" t="s">
        <v>835</v>
      </c>
      <c r="BC58" s="7" t="s">
        <v>413</v>
      </c>
      <c r="BD58" s="7" t="s">
        <v>836</v>
      </c>
      <c r="BE58" s="7" t="s">
        <v>127</v>
      </c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</row>
    <row r="59" customFormat="false" ht="15" hidden="false" customHeight="false" outlineLevel="0" collapsed="false">
      <c r="A59" s="7" t="s">
        <v>837</v>
      </c>
      <c r="B59" s="7" t="s">
        <v>838</v>
      </c>
      <c r="C59" s="7" t="s">
        <v>839</v>
      </c>
      <c r="D59" s="7"/>
      <c r="E59" s="7" t="s">
        <v>101</v>
      </c>
      <c r="F59" s="7" t="s">
        <v>101</v>
      </c>
      <c r="G59" s="7"/>
      <c r="H59" s="7" t="s">
        <v>102</v>
      </c>
      <c r="I59" s="7" t="s">
        <v>132</v>
      </c>
      <c r="J59" s="7" t="s">
        <v>104</v>
      </c>
      <c r="K59" s="7" t="s">
        <v>105</v>
      </c>
      <c r="L59" s="7" t="s">
        <v>106</v>
      </c>
      <c r="M59" s="7"/>
      <c r="N59" s="7" t="s">
        <v>840</v>
      </c>
      <c r="O59" s="7" t="s">
        <v>840</v>
      </c>
      <c r="P59" s="7" t="s">
        <v>135</v>
      </c>
      <c r="Q59" s="7"/>
      <c r="R59" s="7" t="s">
        <v>109</v>
      </c>
      <c r="S59" s="7" t="s">
        <v>110</v>
      </c>
      <c r="T59" s="7" t="n">
        <v>0.565</v>
      </c>
      <c r="U59" s="7" t="n">
        <v>1</v>
      </c>
      <c r="V59" s="7" t="s">
        <v>90</v>
      </c>
      <c r="W59" s="7"/>
      <c r="X59" s="7" t="s">
        <v>841</v>
      </c>
      <c r="Y59" s="7" t="s">
        <v>840</v>
      </c>
      <c r="Z59" s="7" t="s">
        <v>842</v>
      </c>
      <c r="AA59" s="7"/>
      <c r="AB59" s="7"/>
      <c r="AC59" s="7" t="n">
        <v>0</v>
      </c>
      <c r="AD59" s="7" t="s">
        <v>388</v>
      </c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 t="s">
        <v>127</v>
      </c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</row>
    <row r="60" customFormat="false" ht="15" hidden="false" customHeight="false" outlineLevel="0" collapsed="false">
      <c r="A60" s="7" t="s">
        <v>843</v>
      </c>
      <c r="B60" s="7" t="s">
        <v>844</v>
      </c>
      <c r="C60" s="7" t="s">
        <v>845</v>
      </c>
      <c r="D60" s="7"/>
      <c r="E60" s="7" t="s">
        <v>101</v>
      </c>
      <c r="F60" s="7" t="s">
        <v>101</v>
      </c>
      <c r="G60" s="7"/>
      <c r="H60" s="7" t="s">
        <v>102</v>
      </c>
      <c r="I60" s="7" t="s">
        <v>158</v>
      </c>
      <c r="J60" s="7" t="s">
        <v>104</v>
      </c>
      <c r="K60" s="7" t="s">
        <v>105</v>
      </c>
      <c r="L60" s="7" t="s">
        <v>106</v>
      </c>
      <c r="M60" s="7" t="s">
        <v>419</v>
      </c>
      <c r="N60" s="7" t="s">
        <v>846</v>
      </c>
      <c r="O60" s="7" t="s">
        <v>846</v>
      </c>
      <c r="P60" s="7" t="s">
        <v>135</v>
      </c>
      <c r="Q60" s="7"/>
      <c r="R60" s="7" t="s">
        <v>109</v>
      </c>
      <c r="S60" s="7" t="s">
        <v>110</v>
      </c>
      <c r="T60" s="7" t="n">
        <v>0.508</v>
      </c>
      <c r="U60" s="7" t="n">
        <v>1</v>
      </c>
      <c r="V60" s="7" t="s">
        <v>90</v>
      </c>
      <c r="W60" s="7"/>
      <c r="X60" s="7" t="s">
        <v>239</v>
      </c>
      <c r="Y60" s="7" t="s">
        <v>846</v>
      </c>
      <c r="Z60" s="7" t="s">
        <v>241</v>
      </c>
      <c r="AA60" s="7"/>
      <c r="AB60" s="7"/>
      <c r="AC60" s="7" t="n">
        <v>9</v>
      </c>
      <c r="AD60" s="7" t="s">
        <v>847</v>
      </c>
      <c r="AE60" s="7" t="s">
        <v>758</v>
      </c>
      <c r="AF60" s="7" t="s">
        <v>848</v>
      </c>
      <c r="AG60" s="7" t="s">
        <v>758</v>
      </c>
      <c r="AH60" s="7" t="s">
        <v>239</v>
      </c>
      <c r="AI60" s="7"/>
      <c r="AJ60" s="7"/>
      <c r="AK60" s="7"/>
      <c r="AL60" s="7"/>
      <c r="AM60" s="7"/>
      <c r="AN60" s="7"/>
      <c r="AO60" s="7" t="s">
        <v>758</v>
      </c>
      <c r="AP60" s="7" t="s">
        <v>849</v>
      </c>
      <c r="AQ60" s="7" t="s">
        <v>758</v>
      </c>
      <c r="AR60" s="7" t="s">
        <v>516</v>
      </c>
      <c r="AS60" s="7" t="s">
        <v>758</v>
      </c>
      <c r="AT60" s="7" t="s">
        <v>250</v>
      </c>
      <c r="AU60" s="7" t="s">
        <v>758</v>
      </c>
      <c r="AV60" s="7" t="s">
        <v>850</v>
      </c>
      <c r="AW60" s="7" t="s">
        <v>758</v>
      </c>
      <c r="AX60" s="7" t="s">
        <v>326</v>
      </c>
      <c r="AY60" s="7" t="s">
        <v>758</v>
      </c>
      <c r="AZ60" s="7" t="s">
        <v>124</v>
      </c>
      <c r="BA60" s="7" t="s">
        <v>758</v>
      </c>
      <c r="BB60" s="7" t="s">
        <v>369</v>
      </c>
      <c r="BC60" s="7" t="s">
        <v>427</v>
      </c>
      <c r="BD60" s="7"/>
      <c r="BE60" s="7" t="s">
        <v>127</v>
      </c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</row>
    <row r="61" customFormat="false" ht="15" hidden="false" customHeight="false" outlineLevel="0" collapsed="false">
      <c r="A61" s="7" t="s">
        <v>851</v>
      </c>
      <c r="B61" s="7" t="s">
        <v>852</v>
      </c>
      <c r="C61" s="7" t="s">
        <v>853</v>
      </c>
      <c r="D61" s="7"/>
      <c r="E61" s="7" t="s">
        <v>101</v>
      </c>
      <c r="F61" s="7" t="s">
        <v>101</v>
      </c>
      <c r="G61" s="7"/>
      <c r="H61" s="7" t="s">
        <v>102</v>
      </c>
      <c r="I61" s="7" t="s">
        <v>132</v>
      </c>
      <c r="J61" s="7" t="s">
        <v>104</v>
      </c>
      <c r="K61" s="7" t="s">
        <v>105</v>
      </c>
      <c r="L61" s="7" t="s">
        <v>106</v>
      </c>
      <c r="M61" s="7" t="s">
        <v>854</v>
      </c>
      <c r="N61" s="7" t="s">
        <v>855</v>
      </c>
      <c r="O61" s="7" t="s">
        <v>855</v>
      </c>
      <c r="P61" s="7" t="s">
        <v>135</v>
      </c>
      <c r="Q61" s="7"/>
      <c r="R61" s="7" t="s">
        <v>109</v>
      </c>
      <c r="S61" s="7" t="s">
        <v>110</v>
      </c>
      <c r="T61" s="7" t="n">
        <v>0.432</v>
      </c>
      <c r="U61" s="7" t="n">
        <v>1</v>
      </c>
      <c r="V61" s="7" t="s">
        <v>90</v>
      </c>
      <c r="W61" s="7"/>
      <c r="X61" s="7" t="s">
        <v>856</v>
      </c>
      <c r="Y61" s="7" t="s">
        <v>855</v>
      </c>
      <c r="Z61" s="7" t="s">
        <v>857</v>
      </c>
      <c r="AA61" s="7"/>
      <c r="AB61" s="7"/>
      <c r="AC61" s="7" t="n">
        <v>0</v>
      </c>
      <c r="AD61" s="7" t="s">
        <v>388</v>
      </c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 t="s">
        <v>427</v>
      </c>
      <c r="BD61" s="7"/>
      <c r="BE61" s="7" t="s">
        <v>127</v>
      </c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</row>
    <row r="62" customFormat="false" ht="15" hidden="false" customHeight="false" outlineLevel="0" collapsed="false">
      <c r="A62" s="7" t="s">
        <v>858</v>
      </c>
      <c r="B62" s="7" t="s">
        <v>859</v>
      </c>
      <c r="C62" s="7" t="s">
        <v>860</v>
      </c>
      <c r="D62" s="7"/>
      <c r="E62" s="7" t="s">
        <v>101</v>
      </c>
      <c r="F62" s="7" t="s">
        <v>101</v>
      </c>
      <c r="G62" s="7"/>
      <c r="H62" s="7" t="s">
        <v>102</v>
      </c>
      <c r="I62" s="7" t="s">
        <v>374</v>
      </c>
      <c r="J62" s="7" t="s">
        <v>104</v>
      </c>
      <c r="K62" s="7" t="s">
        <v>105</v>
      </c>
      <c r="L62" s="7" t="s">
        <v>106</v>
      </c>
      <c r="M62" s="7"/>
      <c r="N62" s="7" t="s">
        <v>861</v>
      </c>
      <c r="O62" s="7"/>
      <c r="P62" s="7" t="s">
        <v>135</v>
      </c>
      <c r="Q62" s="7"/>
      <c r="R62" s="7" t="s">
        <v>135</v>
      </c>
      <c r="S62" s="7" t="s">
        <v>136</v>
      </c>
      <c r="T62" s="7" t="n">
        <v>0.708</v>
      </c>
      <c r="U62" s="7" t="n">
        <v>1</v>
      </c>
      <c r="V62" s="7" t="s">
        <v>90</v>
      </c>
      <c r="W62" s="7"/>
      <c r="X62" s="7"/>
      <c r="Y62" s="7" t="s">
        <v>861</v>
      </c>
      <c r="Z62" s="7"/>
      <c r="AA62" s="7"/>
      <c r="AB62" s="7"/>
      <c r="AC62" s="7" t="n">
        <v>4</v>
      </c>
      <c r="AD62" s="7" t="s">
        <v>862</v>
      </c>
      <c r="AE62" s="7" t="s">
        <v>744</v>
      </c>
      <c r="AF62" s="7" t="s">
        <v>860</v>
      </c>
      <c r="AG62" s="7"/>
      <c r="AH62" s="7"/>
      <c r="AI62" s="7"/>
      <c r="AJ62" s="7"/>
      <c r="AK62" s="7"/>
      <c r="AL62" s="7"/>
      <c r="AM62" s="7" t="s">
        <v>744</v>
      </c>
      <c r="AN62" s="7" t="s">
        <v>863</v>
      </c>
      <c r="AO62" s="7" t="s">
        <v>744</v>
      </c>
      <c r="AP62" s="7" t="s">
        <v>864</v>
      </c>
      <c r="AQ62" s="7"/>
      <c r="AR62" s="7"/>
      <c r="AS62" s="7"/>
      <c r="AT62" s="7"/>
      <c r="AU62" s="7"/>
      <c r="AV62" s="7"/>
      <c r="AW62" s="7" t="s">
        <v>744</v>
      </c>
      <c r="AX62" s="7" t="s">
        <v>861</v>
      </c>
      <c r="AY62" s="7"/>
      <c r="AZ62" s="7"/>
      <c r="BA62" s="7"/>
      <c r="BB62" s="7"/>
      <c r="BC62" s="7"/>
      <c r="BD62" s="7" t="s">
        <v>865</v>
      </c>
      <c r="BE62" s="7" t="s">
        <v>127</v>
      </c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</row>
    <row r="63" customFormat="false" ht="15" hidden="false" customHeight="false" outlineLevel="0" collapsed="false">
      <c r="A63" s="7" t="s">
        <v>866</v>
      </c>
      <c r="B63" s="7" t="s">
        <v>867</v>
      </c>
      <c r="C63" s="7" t="s">
        <v>868</v>
      </c>
      <c r="D63" s="7"/>
      <c r="E63" s="7" t="s">
        <v>101</v>
      </c>
      <c r="F63" s="7" t="s">
        <v>101</v>
      </c>
      <c r="G63" s="7"/>
      <c r="H63" s="7" t="s">
        <v>102</v>
      </c>
      <c r="I63" s="7" t="s">
        <v>132</v>
      </c>
      <c r="J63" s="7" t="s">
        <v>104</v>
      </c>
      <c r="K63" s="7" t="s">
        <v>105</v>
      </c>
      <c r="L63" s="7" t="s">
        <v>106</v>
      </c>
      <c r="M63" s="7"/>
      <c r="N63" s="7" t="s">
        <v>869</v>
      </c>
      <c r="O63" s="7"/>
      <c r="P63" s="7" t="s">
        <v>135</v>
      </c>
      <c r="Q63" s="7"/>
      <c r="R63" s="7" t="s">
        <v>135</v>
      </c>
      <c r="S63" s="7" t="s">
        <v>136</v>
      </c>
      <c r="T63" s="7" t="n">
        <v>0.687</v>
      </c>
      <c r="U63" s="7" t="n">
        <v>1</v>
      </c>
      <c r="V63" s="7" t="s">
        <v>90</v>
      </c>
      <c r="W63" s="7"/>
      <c r="X63" s="7"/>
      <c r="Y63" s="7" t="s">
        <v>869</v>
      </c>
      <c r="Z63" s="7"/>
      <c r="AA63" s="7"/>
      <c r="AB63" s="7"/>
      <c r="AC63" s="7" t="n">
        <v>0</v>
      </c>
      <c r="AD63" s="7" t="s">
        <v>388</v>
      </c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 t="s">
        <v>202</v>
      </c>
      <c r="BE63" s="7" t="s">
        <v>127</v>
      </c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</row>
    <row r="64" customFormat="false" ht="15" hidden="false" customHeight="false" outlineLevel="0" collapsed="false">
      <c r="A64" s="7" t="s">
        <v>870</v>
      </c>
      <c r="B64" s="7" t="s">
        <v>871</v>
      </c>
      <c r="C64" s="7" t="s">
        <v>872</v>
      </c>
      <c r="D64" s="7"/>
      <c r="E64" s="7" t="s">
        <v>101</v>
      </c>
      <c r="F64" s="7" t="s">
        <v>82</v>
      </c>
      <c r="G64" s="7" t="s">
        <v>873</v>
      </c>
      <c r="H64" s="7" t="s">
        <v>102</v>
      </c>
      <c r="I64" s="7" t="s">
        <v>132</v>
      </c>
      <c r="J64" s="7" t="s">
        <v>104</v>
      </c>
      <c r="K64" s="7" t="s">
        <v>105</v>
      </c>
      <c r="L64" s="7" t="s">
        <v>106</v>
      </c>
      <c r="M64" s="7" t="s">
        <v>874</v>
      </c>
      <c r="N64" s="7" t="s">
        <v>875</v>
      </c>
      <c r="O64" s="7" t="s">
        <v>875</v>
      </c>
      <c r="P64" s="7" t="s">
        <v>135</v>
      </c>
      <c r="Q64" s="7"/>
      <c r="R64" s="7" t="s">
        <v>84</v>
      </c>
      <c r="S64" s="7" t="s">
        <v>238</v>
      </c>
      <c r="T64" s="7" t="n">
        <v>0.542</v>
      </c>
      <c r="U64" s="7" t="n">
        <v>1</v>
      </c>
      <c r="V64" s="7" t="s">
        <v>90</v>
      </c>
      <c r="W64" s="7" t="s">
        <v>876</v>
      </c>
      <c r="X64" s="7" t="s">
        <v>520</v>
      </c>
      <c r="Y64" s="7" t="s">
        <v>875</v>
      </c>
      <c r="Z64" s="7" t="s">
        <v>877</v>
      </c>
      <c r="AA64" s="7"/>
      <c r="AB64" s="7"/>
      <c r="AC64" s="7" t="n">
        <v>12</v>
      </c>
      <c r="AD64" s="7"/>
      <c r="AE64" s="7" t="s">
        <v>448</v>
      </c>
      <c r="AF64" s="7" t="s">
        <v>878</v>
      </c>
      <c r="AG64" s="7" t="s">
        <v>777</v>
      </c>
      <c r="AH64" s="7" t="s">
        <v>879</v>
      </c>
      <c r="AI64" s="7" t="s">
        <v>758</v>
      </c>
      <c r="AJ64" s="7" t="s">
        <v>145</v>
      </c>
      <c r="AK64" s="7" t="s">
        <v>777</v>
      </c>
      <c r="AL64" s="7" t="s">
        <v>145</v>
      </c>
      <c r="AM64" s="7" t="s">
        <v>777</v>
      </c>
      <c r="AN64" s="7" t="s">
        <v>880</v>
      </c>
      <c r="AO64" s="7" t="s">
        <v>758</v>
      </c>
      <c r="AP64" s="7" t="s">
        <v>881</v>
      </c>
      <c r="AQ64" s="7" t="s">
        <v>758</v>
      </c>
      <c r="AR64" s="7" t="s">
        <v>82</v>
      </c>
      <c r="AS64" s="7" t="s">
        <v>758</v>
      </c>
      <c r="AT64" s="7" t="s">
        <v>216</v>
      </c>
      <c r="AU64" s="7" t="s">
        <v>758</v>
      </c>
      <c r="AV64" s="7" t="s">
        <v>882</v>
      </c>
      <c r="AW64" s="7" t="s">
        <v>448</v>
      </c>
      <c r="AX64" s="7" t="s">
        <v>875</v>
      </c>
      <c r="AY64" s="7" t="s">
        <v>758</v>
      </c>
      <c r="AZ64" s="7" t="s">
        <v>124</v>
      </c>
      <c r="BA64" s="7" t="s">
        <v>758</v>
      </c>
      <c r="BB64" s="7" t="s">
        <v>883</v>
      </c>
      <c r="BC64" s="7" t="s">
        <v>427</v>
      </c>
      <c r="BD64" s="7" t="s">
        <v>884</v>
      </c>
      <c r="BE64" s="7" t="s">
        <v>127</v>
      </c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</row>
    <row r="65" customFormat="false" ht="15" hidden="false" customHeight="false" outlineLevel="0" collapsed="false">
      <c r="A65" s="7" t="s">
        <v>885</v>
      </c>
      <c r="B65" s="7" t="s">
        <v>886</v>
      </c>
      <c r="C65" s="7" t="s">
        <v>887</v>
      </c>
      <c r="D65" s="7"/>
      <c r="E65" s="7" t="s">
        <v>101</v>
      </c>
      <c r="F65" s="7" t="s">
        <v>888</v>
      </c>
      <c r="G65" s="7"/>
      <c r="H65" s="7" t="s">
        <v>102</v>
      </c>
      <c r="I65" s="7" t="s">
        <v>208</v>
      </c>
      <c r="J65" s="7" t="s">
        <v>104</v>
      </c>
      <c r="K65" s="7" t="s">
        <v>105</v>
      </c>
      <c r="L65" s="7" t="s">
        <v>106</v>
      </c>
      <c r="M65" s="7"/>
      <c r="N65" s="7" t="s">
        <v>889</v>
      </c>
      <c r="O65" s="7" t="s">
        <v>889</v>
      </c>
      <c r="P65" s="7" t="s">
        <v>135</v>
      </c>
      <c r="Q65" s="7"/>
      <c r="R65" s="7" t="s">
        <v>109</v>
      </c>
      <c r="S65" s="7" t="s">
        <v>110</v>
      </c>
      <c r="T65" s="7" t="n">
        <v>0.344</v>
      </c>
      <c r="U65" s="7" t="n">
        <v>1</v>
      </c>
      <c r="V65" s="7" t="s">
        <v>90</v>
      </c>
      <c r="W65" s="7"/>
      <c r="X65" s="7"/>
      <c r="Y65" s="7" t="s">
        <v>889</v>
      </c>
      <c r="Z65" s="7"/>
      <c r="AA65" s="7"/>
      <c r="AB65" s="7"/>
      <c r="AC65" s="7" t="n">
        <v>2</v>
      </c>
      <c r="AD65" s="7" t="s">
        <v>890</v>
      </c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 t="s">
        <v>758</v>
      </c>
      <c r="AP65" s="7" t="s">
        <v>891</v>
      </c>
      <c r="AQ65" s="7"/>
      <c r="AR65" s="7"/>
      <c r="AS65" s="7" t="s">
        <v>758</v>
      </c>
      <c r="AT65" s="7" t="s">
        <v>122</v>
      </c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 t="s">
        <v>127</v>
      </c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</row>
    <row r="66" customFormat="false" ht="15" hidden="false" customHeight="false" outlineLevel="0" collapsed="false">
      <c r="A66" s="7" t="s">
        <v>892</v>
      </c>
      <c r="B66" s="7" t="s">
        <v>893</v>
      </c>
      <c r="C66" s="7" t="s">
        <v>894</v>
      </c>
      <c r="D66" s="7" t="s">
        <v>895</v>
      </c>
      <c r="E66" s="7" t="s">
        <v>101</v>
      </c>
      <c r="F66" s="7" t="s">
        <v>741</v>
      </c>
      <c r="G66" s="7"/>
      <c r="H66" s="7" t="s">
        <v>102</v>
      </c>
      <c r="I66" s="7" t="s">
        <v>158</v>
      </c>
      <c r="J66" s="7" t="s">
        <v>104</v>
      </c>
      <c r="K66" s="7" t="s">
        <v>105</v>
      </c>
      <c r="L66" s="7" t="s">
        <v>106</v>
      </c>
      <c r="M66" s="7"/>
      <c r="N66" s="7" t="s">
        <v>896</v>
      </c>
      <c r="O66" s="7" t="s">
        <v>896</v>
      </c>
      <c r="P66" s="7" t="s">
        <v>135</v>
      </c>
      <c r="Q66" s="7"/>
      <c r="R66" s="7" t="s">
        <v>109</v>
      </c>
      <c r="S66" s="7" t="s">
        <v>110</v>
      </c>
      <c r="T66" s="7" t="n">
        <v>0.397</v>
      </c>
      <c r="U66" s="7" t="n">
        <v>1</v>
      </c>
      <c r="V66" s="7" t="s">
        <v>90</v>
      </c>
      <c r="W66" s="7"/>
      <c r="X66" s="7"/>
      <c r="Y66" s="7" t="s">
        <v>896</v>
      </c>
      <c r="Z66" s="7"/>
      <c r="AA66" s="7"/>
      <c r="AB66" s="7"/>
      <c r="AC66" s="7" t="n">
        <v>0</v>
      </c>
      <c r="AD66" s="7" t="s">
        <v>388</v>
      </c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 t="s">
        <v>747</v>
      </c>
      <c r="BE66" s="7" t="s">
        <v>127</v>
      </c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</row>
    <row r="67" customFormat="false" ht="15" hidden="false" customHeight="false" outlineLevel="0" collapsed="false">
      <c r="A67" s="7" t="s">
        <v>897</v>
      </c>
      <c r="B67" s="7" t="s">
        <v>898</v>
      </c>
      <c r="C67" s="7" t="s">
        <v>899</v>
      </c>
      <c r="D67" s="7" t="s">
        <v>900</v>
      </c>
      <c r="E67" s="7" t="s">
        <v>101</v>
      </c>
      <c r="F67" s="7" t="s">
        <v>82</v>
      </c>
      <c r="G67" s="7"/>
      <c r="H67" s="7" t="s">
        <v>102</v>
      </c>
      <c r="I67" s="7" t="s">
        <v>158</v>
      </c>
      <c r="J67" s="7" t="s">
        <v>104</v>
      </c>
      <c r="K67" s="7" t="s">
        <v>105</v>
      </c>
      <c r="L67" s="7" t="s">
        <v>106</v>
      </c>
      <c r="M67" s="7" t="s">
        <v>901</v>
      </c>
      <c r="N67" s="7" t="s">
        <v>902</v>
      </c>
      <c r="O67" s="7"/>
      <c r="P67" s="7" t="s">
        <v>135</v>
      </c>
      <c r="Q67" s="7"/>
      <c r="R67" s="7"/>
      <c r="S67" s="7"/>
      <c r="T67" s="7" t="n">
        <v>0.464</v>
      </c>
      <c r="U67" s="7" t="n">
        <v>1</v>
      </c>
      <c r="V67" s="7" t="s">
        <v>90</v>
      </c>
      <c r="W67" s="7" t="s">
        <v>841</v>
      </c>
      <c r="X67" s="7" t="s">
        <v>903</v>
      </c>
      <c r="Y67" s="7" t="s">
        <v>902</v>
      </c>
      <c r="Z67" s="7" t="s">
        <v>904</v>
      </c>
      <c r="AA67" s="7"/>
      <c r="AB67" s="7"/>
      <c r="AC67" s="7"/>
      <c r="AD67" s="7"/>
      <c r="AE67" s="7" t="s">
        <v>360</v>
      </c>
      <c r="AF67" s="7" t="s">
        <v>905</v>
      </c>
      <c r="AG67" s="7" t="s">
        <v>362</v>
      </c>
      <c r="AH67" s="7" t="s">
        <v>906</v>
      </c>
      <c r="AI67" s="7" t="s">
        <v>362</v>
      </c>
      <c r="AJ67" s="7" t="s">
        <v>907</v>
      </c>
      <c r="AK67" s="7" t="s">
        <v>362</v>
      </c>
      <c r="AL67" s="7" t="s">
        <v>908</v>
      </c>
      <c r="AM67" s="7" t="s">
        <v>362</v>
      </c>
      <c r="AN67" s="7" t="s">
        <v>909</v>
      </c>
      <c r="AO67" s="7" t="s">
        <v>360</v>
      </c>
      <c r="AP67" s="7" t="s">
        <v>910</v>
      </c>
      <c r="AQ67" s="7" t="s">
        <v>362</v>
      </c>
      <c r="AR67" s="7" t="s">
        <v>910</v>
      </c>
      <c r="AS67" s="7" t="s">
        <v>360</v>
      </c>
      <c r="AT67" s="7" t="s">
        <v>122</v>
      </c>
      <c r="AU67" s="7" t="s">
        <v>362</v>
      </c>
      <c r="AV67" s="7" t="s">
        <v>911</v>
      </c>
      <c r="AW67" s="7" t="s">
        <v>360</v>
      </c>
      <c r="AX67" s="7" t="s">
        <v>273</v>
      </c>
      <c r="AY67" s="7" t="s">
        <v>360</v>
      </c>
      <c r="AZ67" s="7" t="s">
        <v>295</v>
      </c>
      <c r="BA67" s="7" t="s">
        <v>912</v>
      </c>
      <c r="BB67" s="7" t="s">
        <v>913</v>
      </c>
      <c r="BC67" s="7" t="s">
        <v>151</v>
      </c>
      <c r="BD67" s="7" t="s">
        <v>220</v>
      </c>
      <c r="BE67" s="7" t="s">
        <v>127</v>
      </c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</row>
    <row r="68" customFormat="false" ht="15" hidden="false" customHeight="false" outlineLevel="0" collapsed="false">
      <c r="A68" s="7" t="s">
        <v>914</v>
      </c>
      <c r="B68" s="7" t="s">
        <v>915</v>
      </c>
      <c r="C68" s="7" t="s">
        <v>916</v>
      </c>
      <c r="D68" s="7"/>
      <c r="E68" s="7" t="s">
        <v>101</v>
      </c>
      <c r="F68" s="7" t="s">
        <v>737</v>
      </c>
      <c r="G68" s="7"/>
      <c r="H68" s="7" t="s">
        <v>102</v>
      </c>
      <c r="I68" s="7" t="s">
        <v>158</v>
      </c>
      <c r="J68" s="7" t="s">
        <v>104</v>
      </c>
      <c r="K68" s="7" t="s">
        <v>105</v>
      </c>
      <c r="L68" s="7" t="s">
        <v>106</v>
      </c>
      <c r="M68" s="7"/>
      <c r="N68" s="7" t="s">
        <v>917</v>
      </c>
      <c r="O68" s="7" t="s">
        <v>917</v>
      </c>
      <c r="P68" s="7" t="s">
        <v>135</v>
      </c>
      <c r="Q68" s="7"/>
      <c r="R68" s="7" t="s">
        <v>109</v>
      </c>
      <c r="S68" s="7" t="s">
        <v>110</v>
      </c>
      <c r="T68" s="7" t="n">
        <v>0.809</v>
      </c>
      <c r="U68" s="7" t="n">
        <v>1</v>
      </c>
      <c r="V68" s="7" t="s">
        <v>90</v>
      </c>
      <c r="W68" s="7"/>
      <c r="X68" s="7"/>
      <c r="Y68" s="7" t="s">
        <v>917</v>
      </c>
      <c r="Z68" s="7"/>
      <c r="AA68" s="7"/>
      <c r="AB68" s="7"/>
      <c r="AC68" s="7" t="n">
        <v>5</v>
      </c>
      <c r="AD68" s="7" t="s">
        <v>743</v>
      </c>
      <c r="AE68" s="7" t="s">
        <v>435</v>
      </c>
      <c r="AF68" s="7" t="s">
        <v>918</v>
      </c>
      <c r="AG68" s="7" t="s">
        <v>435</v>
      </c>
      <c r="AH68" s="7" t="s">
        <v>332</v>
      </c>
      <c r="AI68" s="7"/>
      <c r="AJ68" s="7"/>
      <c r="AK68" s="7"/>
      <c r="AL68" s="7"/>
      <c r="AM68" s="7"/>
      <c r="AN68" s="7"/>
      <c r="AO68" s="7" t="s">
        <v>435</v>
      </c>
      <c r="AP68" s="7" t="s">
        <v>919</v>
      </c>
      <c r="AQ68" s="7" t="s">
        <v>435</v>
      </c>
      <c r="AR68" s="7" t="s">
        <v>737</v>
      </c>
      <c r="AS68" s="7"/>
      <c r="AT68" s="7"/>
      <c r="AU68" s="7"/>
      <c r="AV68" s="7"/>
      <c r="AW68" s="7" t="s">
        <v>435</v>
      </c>
      <c r="AX68" s="7" t="s">
        <v>917</v>
      </c>
      <c r="AY68" s="7"/>
      <c r="AZ68" s="7"/>
      <c r="BA68" s="7"/>
      <c r="BB68" s="7"/>
      <c r="BC68" s="7"/>
      <c r="BD68" s="7" t="s">
        <v>440</v>
      </c>
      <c r="BE68" s="7" t="s">
        <v>127</v>
      </c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</row>
    <row r="69" customFormat="false" ht="15" hidden="false" customHeight="false" outlineLevel="0" collapsed="false">
      <c r="A69" s="7" t="s">
        <v>920</v>
      </c>
      <c r="B69" s="7" t="s">
        <v>921</v>
      </c>
      <c r="C69" s="7" t="s">
        <v>922</v>
      </c>
      <c r="D69" s="7"/>
      <c r="E69" s="7" t="s">
        <v>101</v>
      </c>
      <c r="F69" s="7" t="s">
        <v>507</v>
      </c>
      <c r="G69" s="7"/>
      <c r="H69" s="7" t="s">
        <v>102</v>
      </c>
      <c r="I69" s="7" t="s">
        <v>158</v>
      </c>
      <c r="J69" s="7" t="s">
        <v>104</v>
      </c>
      <c r="K69" s="7" t="s">
        <v>105</v>
      </c>
      <c r="L69" s="7" t="s">
        <v>106</v>
      </c>
      <c r="M69" s="7"/>
      <c r="N69" s="7" t="s">
        <v>923</v>
      </c>
      <c r="O69" s="7" t="s">
        <v>923</v>
      </c>
      <c r="P69" s="7" t="s">
        <v>135</v>
      </c>
      <c r="Q69" s="7"/>
      <c r="R69" s="7" t="s">
        <v>109</v>
      </c>
      <c r="S69" s="7" t="s">
        <v>110</v>
      </c>
      <c r="T69" s="7" t="n">
        <v>0.692</v>
      </c>
      <c r="U69" s="7" t="n">
        <v>1</v>
      </c>
      <c r="V69" s="7" t="s">
        <v>90</v>
      </c>
      <c r="W69" s="7" t="s">
        <v>597</v>
      </c>
      <c r="X69" s="7" t="s">
        <v>924</v>
      </c>
      <c r="Y69" s="7" t="s">
        <v>923</v>
      </c>
      <c r="Z69" s="7" t="s">
        <v>925</v>
      </c>
      <c r="AA69" s="7"/>
      <c r="AB69" s="7"/>
      <c r="AC69" s="7" t="n">
        <v>5</v>
      </c>
      <c r="AD69" s="7" t="s">
        <v>743</v>
      </c>
      <c r="AE69" s="7" t="s">
        <v>744</v>
      </c>
      <c r="AF69" s="7" t="s">
        <v>926</v>
      </c>
      <c r="AG69" s="7" t="s">
        <v>744</v>
      </c>
      <c r="AH69" s="7" t="s">
        <v>927</v>
      </c>
      <c r="AI69" s="7"/>
      <c r="AJ69" s="7"/>
      <c r="AK69" s="7"/>
      <c r="AL69" s="7"/>
      <c r="AM69" s="7"/>
      <c r="AN69" s="7"/>
      <c r="AO69" s="7" t="s">
        <v>744</v>
      </c>
      <c r="AP69" s="7" t="s">
        <v>746</v>
      </c>
      <c r="AQ69" s="7" t="s">
        <v>744</v>
      </c>
      <c r="AR69" s="7" t="s">
        <v>507</v>
      </c>
      <c r="AS69" s="7"/>
      <c r="AT69" s="7"/>
      <c r="AU69" s="7"/>
      <c r="AV69" s="7"/>
      <c r="AW69" s="7" t="s">
        <v>744</v>
      </c>
      <c r="AX69" s="7" t="s">
        <v>923</v>
      </c>
      <c r="AY69" s="7"/>
      <c r="AZ69" s="7"/>
      <c r="BA69" s="7"/>
      <c r="BB69" s="7"/>
      <c r="BC69" s="7"/>
      <c r="BD69" s="7" t="s">
        <v>747</v>
      </c>
      <c r="BE69" s="7" t="s">
        <v>127</v>
      </c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</row>
    <row r="70" customFormat="false" ht="15" hidden="false" customHeight="false" outlineLevel="0" collapsed="false">
      <c r="A70" s="7" t="s">
        <v>928</v>
      </c>
      <c r="B70" s="7" t="s">
        <v>929</v>
      </c>
      <c r="C70" s="7" t="s">
        <v>930</v>
      </c>
      <c r="D70" s="7"/>
      <c r="E70" s="7" t="s">
        <v>101</v>
      </c>
      <c r="F70" s="7" t="s">
        <v>101</v>
      </c>
      <c r="G70" s="7"/>
      <c r="H70" s="7" t="s">
        <v>102</v>
      </c>
      <c r="I70" s="7" t="s">
        <v>158</v>
      </c>
      <c r="J70" s="7" t="s">
        <v>104</v>
      </c>
      <c r="K70" s="7" t="s">
        <v>105</v>
      </c>
      <c r="L70" s="7" t="s">
        <v>353</v>
      </c>
      <c r="M70" s="7"/>
      <c r="N70" s="7" t="s">
        <v>931</v>
      </c>
      <c r="O70" s="7"/>
      <c r="P70" s="7" t="s">
        <v>135</v>
      </c>
      <c r="Q70" s="7"/>
      <c r="R70" s="7"/>
      <c r="S70" s="7"/>
      <c r="T70" s="7" t="n">
        <v>0.304</v>
      </c>
      <c r="U70" s="7" t="n">
        <v>1</v>
      </c>
      <c r="V70" s="7" t="s">
        <v>90</v>
      </c>
      <c r="W70" s="7"/>
      <c r="X70" s="7"/>
      <c r="Y70" s="7"/>
      <c r="Z70" s="7"/>
      <c r="AA70" s="7"/>
      <c r="AB70" s="7"/>
      <c r="AC70" s="7"/>
      <c r="AD70" s="7"/>
      <c r="AE70" s="7" t="s">
        <v>339</v>
      </c>
      <c r="AF70" s="7" t="s">
        <v>932</v>
      </c>
      <c r="AG70" s="7" t="s">
        <v>115</v>
      </c>
      <c r="AH70" s="7" t="s">
        <v>116</v>
      </c>
      <c r="AI70" s="7" t="s">
        <v>339</v>
      </c>
      <c r="AJ70" s="7" t="s">
        <v>145</v>
      </c>
      <c r="AK70" s="7" t="s">
        <v>339</v>
      </c>
      <c r="AL70" s="7" t="s">
        <v>145</v>
      </c>
      <c r="AM70" s="7" t="s">
        <v>339</v>
      </c>
      <c r="AN70" s="7" t="s">
        <v>933</v>
      </c>
      <c r="AO70" s="7" t="s">
        <v>339</v>
      </c>
      <c r="AP70" s="7" t="s">
        <v>934</v>
      </c>
      <c r="AQ70" s="7" t="s">
        <v>339</v>
      </c>
      <c r="AR70" s="7" t="s">
        <v>559</v>
      </c>
      <c r="AS70" s="7" t="s">
        <v>339</v>
      </c>
      <c r="AT70" s="7" t="s">
        <v>559</v>
      </c>
      <c r="AU70" s="7" t="s">
        <v>339</v>
      </c>
      <c r="AV70" s="7" t="s">
        <v>935</v>
      </c>
      <c r="AW70" s="7" t="s">
        <v>339</v>
      </c>
      <c r="AX70" s="7" t="s">
        <v>145</v>
      </c>
      <c r="AY70" s="7" t="s">
        <v>339</v>
      </c>
      <c r="AZ70" s="7" t="s">
        <v>936</v>
      </c>
      <c r="BA70" s="7" t="s">
        <v>339</v>
      </c>
      <c r="BB70" s="7" t="s">
        <v>937</v>
      </c>
      <c r="BC70" s="7"/>
      <c r="BD70" s="7"/>
      <c r="BE70" s="7" t="s">
        <v>127</v>
      </c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</row>
    <row r="71" customFormat="false" ht="15" hidden="false" customHeight="false" outlineLevel="0" collapsed="false">
      <c r="A71" s="7" t="s">
        <v>938</v>
      </c>
      <c r="B71" s="7" t="s">
        <v>939</v>
      </c>
      <c r="C71" s="7" t="s">
        <v>940</v>
      </c>
      <c r="D71" s="7"/>
      <c r="E71" s="7" t="s">
        <v>101</v>
      </c>
      <c r="F71" s="7" t="s">
        <v>156</v>
      </c>
      <c r="G71" s="7"/>
      <c r="H71" s="7" t="s">
        <v>157</v>
      </c>
      <c r="I71" s="7" t="s">
        <v>158</v>
      </c>
      <c r="J71" s="7" t="s">
        <v>159</v>
      </c>
      <c r="K71" s="7" t="s">
        <v>105</v>
      </c>
      <c r="L71" s="7" t="s">
        <v>353</v>
      </c>
      <c r="M71" s="7"/>
      <c r="N71" s="7" t="s">
        <v>941</v>
      </c>
      <c r="O71" s="7"/>
      <c r="P71" s="7" t="s">
        <v>135</v>
      </c>
      <c r="Q71" s="7"/>
      <c r="R71" s="7" t="s">
        <v>135</v>
      </c>
      <c r="S71" s="7" t="s">
        <v>136</v>
      </c>
      <c r="T71" s="7" t="n">
        <v>0.278</v>
      </c>
      <c r="U71" s="7" t="n">
        <v>1</v>
      </c>
      <c r="V71" s="7" t="s">
        <v>90</v>
      </c>
      <c r="W71" s="7" t="s">
        <v>942</v>
      </c>
      <c r="X71" s="7" t="s">
        <v>597</v>
      </c>
      <c r="Y71" s="7" t="s">
        <v>941</v>
      </c>
      <c r="Z71" s="7" t="s">
        <v>943</v>
      </c>
      <c r="AA71" s="7"/>
      <c r="AB71" s="7"/>
      <c r="AC71" s="7" t="n">
        <v>12</v>
      </c>
      <c r="AD71" s="7"/>
      <c r="AE71" s="7" t="s">
        <v>115</v>
      </c>
      <c r="AF71" s="7" t="s">
        <v>944</v>
      </c>
      <c r="AG71" s="7" t="s">
        <v>115</v>
      </c>
      <c r="AH71" s="7" t="s">
        <v>945</v>
      </c>
      <c r="AI71" s="7" t="s">
        <v>115</v>
      </c>
      <c r="AJ71" s="7"/>
      <c r="AK71" s="7" t="s">
        <v>115</v>
      </c>
      <c r="AL71" s="7" t="s">
        <v>338</v>
      </c>
      <c r="AM71" s="7" t="s">
        <v>115</v>
      </c>
      <c r="AN71" s="7" t="s">
        <v>946</v>
      </c>
      <c r="AO71" s="7" t="s">
        <v>115</v>
      </c>
      <c r="AP71" s="7" t="s">
        <v>947</v>
      </c>
      <c r="AQ71" s="7" t="s">
        <v>115</v>
      </c>
      <c r="AR71" s="7" t="s">
        <v>559</v>
      </c>
      <c r="AS71" s="7" t="s">
        <v>115</v>
      </c>
      <c r="AT71" s="7" t="s">
        <v>147</v>
      </c>
      <c r="AU71" s="7" t="s">
        <v>115</v>
      </c>
      <c r="AV71" s="7" t="s">
        <v>948</v>
      </c>
      <c r="AW71" s="7" t="s">
        <v>115</v>
      </c>
      <c r="AX71" s="7"/>
      <c r="AY71" s="7" t="s">
        <v>115</v>
      </c>
      <c r="AZ71" s="7" t="s">
        <v>666</v>
      </c>
      <c r="BA71" s="7" t="s">
        <v>115</v>
      </c>
      <c r="BB71" s="7"/>
      <c r="BC71" s="7" t="s">
        <v>707</v>
      </c>
      <c r="BD71" s="7" t="s">
        <v>949</v>
      </c>
      <c r="BE71" s="7" t="s">
        <v>127</v>
      </c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</row>
    <row r="72" customFormat="false" ht="15" hidden="false" customHeight="false" outlineLevel="0" collapsed="false">
      <c r="A72" s="7" t="s">
        <v>950</v>
      </c>
      <c r="B72" s="7" t="s">
        <v>951</v>
      </c>
      <c r="C72" s="7" t="s">
        <v>952</v>
      </c>
      <c r="D72" s="7"/>
      <c r="E72" s="7" t="s">
        <v>101</v>
      </c>
      <c r="F72" s="7" t="s">
        <v>156</v>
      </c>
      <c r="G72" s="7"/>
      <c r="H72" s="7" t="s">
        <v>157</v>
      </c>
      <c r="I72" s="7" t="s">
        <v>132</v>
      </c>
      <c r="J72" s="7" t="s">
        <v>159</v>
      </c>
      <c r="K72" s="7" t="s">
        <v>105</v>
      </c>
      <c r="L72" s="7" t="s">
        <v>106</v>
      </c>
      <c r="M72" s="7" t="s">
        <v>953</v>
      </c>
      <c r="N72" s="7" t="s">
        <v>954</v>
      </c>
      <c r="O72" s="7"/>
      <c r="P72" s="7" t="s">
        <v>135</v>
      </c>
      <c r="Q72" s="7"/>
      <c r="R72" s="7"/>
      <c r="S72" s="7"/>
      <c r="T72" s="7" t="n">
        <v>0.616</v>
      </c>
      <c r="U72" s="7" t="n">
        <v>1</v>
      </c>
      <c r="V72" s="7" t="s">
        <v>90</v>
      </c>
      <c r="W72" s="7"/>
      <c r="X72" s="7" t="s">
        <v>615</v>
      </c>
      <c r="Y72" s="7" t="s">
        <v>954</v>
      </c>
      <c r="Z72" s="7" t="s">
        <v>616</v>
      </c>
      <c r="AA72" s="7"/>
      <c r="AB72" s="7"/>
      <c r="AC72" s="7"/>
      <c r="AD72" s="7"/>
      <c r="AE72" s="7" t="s">
        <v>339</v>
      </c>
      <c r="AF72" s="7" t="s">
        <v>955</v>
      </c>
      <c r="AG72" s="7" t="s">
        <v>619</v>
      </c>
      <c r="AH72" s="7" t="s">
        <v>956</v>
      </c>
      <c r="AI72" s="7" t="s">
        <v>339</v>
      </c>
      <c r="AJ72" s="7" t="s">
        <v>145</v>
      </c>
      <c r="AK72" s="7" t="s">
        <v>115</v>
      </c>
      <c r="AL72" s="7" t="s">
        <v>116</v>
      </c>
      <c r="AM72" s="7" t="s">
        <v>619</v>
      </c>
      <c r="AN72" s="7" t="s">
        <v>957</v>
      </c>
      <c r="AO72" s="7" t="s">
        <v>339</v>
      </c>
      <c r="AP72" s="7" t="s">
        <v>934</v>
      </c>
      <c r="AQ72" s="7" t="s">
        <v>339</v>
      </c>
      <c r="AR72" s="7" t="s">
        <v>559</v>
      </c>
      <c r="AS72" s="7" t="s">
        <v>339</v>
      </c>
      <c r="AT72" s="7" t="s">
        <v>559</v>
      </c>
      <c r="AU72" s="7" t="s">
        <v>619</v>
      </c>
      <c r="AV72" s="7" t="s">
        <v>958</v>
      </c>
      <c r="AW72" s="7" t="s">
        <v>619</v>
      </c>
      <c r="AX72" s="7" t="s">
        <v>145</v>
      </c>
      <c r="AY72" s="7" t="s">
        <v>619</v>
      </c>
      <c r="AZ72" s="7" t="s">
        <v>959</v>
      </c>
      <c r="BA72" s="7" t="s">
        <v>339</v>
      </c>
      <c r="BB72" s="7" t="s">
        <v>960</v>
      </c>
      <c r="BC72" s="7" t="s">
        <v>413</v>
      </c>
      <c r="BD72" s="7"/>
      <c r="BE72" s="7" t="s">
        <v>127</v>
      </c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</row>
    <row r="73" customFormat="false" ht="15" hidden="false" customHeight="false" outlineLevel="0" collapsed="false">
      <c r="A73" s="7" t="s">
        <v>961</v>
      </c>
      <c r="B73" s="7" t="s">
        <v>962</v>
      </c>
      <c r="C73" s="7" t="s">
        <v>963</v>
      </c>
      <c r="D73" s="7"/>
      <c r="E73" s="7" t="s">
        <v>101</v>
      </c>
      <c r="F73" s="7" t="s">
        <v>101</v>
      </c>
      <c r="G73" s="7"/>
      <c r="H73" s="7" t="s">
        <v>102</v>
      </c>
      <c r="I73" s="7" t="s">
        <v>132</v>
      </c>
      <c r="J73" s="7" t="s">
        <v>104</v>
      </c>
      <c r="K73" s="7" t="s">
        <v>105</v>
      </c>
      <c r="L73" s="7" t="s">
        <v>106</v>
      </c>
      <c r="M73" s="7"/>
      <c r="N73" s="7" t="s">
        <v>964</v>
      </c>
      <c r="O73" s="7"/>
      <c r="P73" s="7" t="s">
        <v>135</v>
      </c>
      <c r="Q73" s="7"/>
      <c r="R73" s="7"/>
      <c r="S73" s="7"/>
      <c r="T73" s="7" t="n">
        <v>0.675</v>
      </c>
      <c r="U73" s="7" t="n">
        <v>1</v>
      </c>
      <c r="V73" s="7" t="s">
        <v>90</v>
      </c>
      <c r="W73" s="7"/>
      <c r="X73" s="7"/>
      <c r="Y73" s="7"/>
      <c r="Z73" s="7"/>
      <c r="AA73" s="7"/>
      <c r="AB73" s="7"/>
      <c r="AC73" s="7"/>
      <c r="AD73" s="7"/>
      <c r="AE73" s="7" t="s">
        <v>339</v>
      </c>
      <c r="AF73" s="7" t="s">
        <v>965</v>
      </c>
      <c r="AG73" s="7" t="s">
        <v>115</v>
      </c>
      <c r="AH73" s="7" t="s">
        <v>116</v>
      </c>
      <c r="AI73" s="7"/>
      <c r="AJ73" s="7"/>
      <c r="AK73" s="7" t="s">
        <v>339</v>
      </c>
      <c r="AL73" s="7" t="s">
        <v>338</v>
      </c>
      <c r="AM73" s="7"/>
      <c r="AN73" s="7"/>
      <c r="AO73" s="7" t="s">
        <v>339</v>
      </c>
      <c r="AP73" s="7" t="s">
        <v>934</v>
      </c>
      <c r="AQ73" s="7" t="s">
        <v>339</v>
      </c>
      <c r="AR73" s="7" t="s">
        <v>559</v>
      </c>
      <c r="AS73" s="7" t="s">
        <v>339</v>
      </c>
      <c r="AT73" s="7" t="s">
        <v>559</v>
      </c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 t="s">
        <v>127</v>
      </c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</row>
    <row r="74" customFormat="false" ht="15" hidden="false" customHeight="false" outlineLevel="0" collapsed="false">
      <c r="A74" s="7" t="s">
        <v>966</v>
      </c>
      <c r="B74" s="7" t="s">
        <v>967</v>
      </c>
      <c r="C74" s="7" t="s">
        <v>968</v>
      </c>
      <c r="D74" s="7"/>
      <c r="E74" s="7" t="s">
        <v>101</v>
      </c>
      <c r="F74" s="7" t="s">
        <v>741</v>
      </c>
      <c r="G74" s="7"/>
      <c r="H74" s="7" t="s">
        <v>102</v>
      </c>
      <c r="I74" s="7" t="s">
        <v>158</v>
      </c>
      <c r="J74" s="7" t="s">
        <v>104</v>
      </c>
      <c r="K74" s="7" t="s">
        <v>105</v>
      </c>
      <c r="L74" s="7" t="s">
        <v>106</v>
      </c>
      <c r="M74" s="7"/>
      <c r="N74" s="7" t="s">
        <v>969</v>
      </c>
      <c r="O74" s="7" t="s">
        <v>969</v>
      </c>
      <c r="P74" s="7" t="s">
        <v>135</v>
      </c>
      <c r="Q74" s="7"/>
      <c r="R74" s="7" t="s">
        <v>109</v>
      </c>
      <c r="S74" s="7" t="s">
        <v>110</v>
      </c>
      <c r="T74" s="7" t="n">
        <v>0.869</v>
      </c>
      <c r="U74" s="7" t="n">
        <v>1</v>
      </c>
      <c r="V74" s="7" t="s">
        <v>90</v>
      </c>
      <c r="W74" s="7"/>
      <c r="X74" s="7"/>
      <c r="Y74" s="7" t="s">
        <v>969</v>
      </c>
      <c r="Z74" s="7"/>
      <c r="AA74" s="7"/>
      <c r="AB74" s="7"/>
      <c r="AC74" s="7" t="n">
        <v>8</v>
      </c>
      <c r="AD74" s="7" t="s">
        <v>970</v>
      </c>
      <c r="AE74" s="7" t="s">
        <v>339</v>
      </c>
      <c r="AF74" s="7" t="s">
        <v>971</v>
      </c>
      <c r="AG74" s="7"/>
      <c r="AH74" s="7"/>
      <c r="AI74" s="7"/>
      <c r="AJ74" s="7"/>
      <c r="AK74" s="7"/>
      <c r="AL74" s="7"/>
      <c r="AM74" s="7" t="s">
        <v>339</v>
      </c>
      <c r="AN74" s="7" t="s">
        <v>972</v>
      </c>
      <c r="AO74" s="7" t="s">
        <v>339</v>
      </c>
      <c r="AP74" s="7" t="s">
        <v>973</v>
      </c>
      <c r="AQ74" s="7" t="s">
        <v>339</v>
      </c>
      <c r="AR74" s="7" t="s">
        <v>741</v>
      </c>
      <c r="AS74" s="7" t="s">
        <v>339</v>
      </c>
      <c r="AT74" s="7" t="s">
        <v>216</v>
      </c>
      <c r="AU74" s="7" t="s">
        <v>339</v>
      </c>
      <c r="AV74" s="7" t="s">
        <v>974</v>
      </c>
      <c r="AW74" s="7" t="s">
        <v>339</v>
      </c>
      <c r="AX74" s="7" t="s">
        <v>273</v>
      </c>
      <c r="AY74" s="7" t="s">
        <v>339</v>
      </c>
      <c r="AZ74" s="7" t="s">
        <v>124</v>
      </c>
      <c r="BA74" s="7"/>
      <c r="BB74" s="7"/>
      <c r="BC74" s="7"/>
      <c r="BD74" s="7" t="s">
        <v>747</v>
      </c>
      <c r="BE74" s="7" t="s">
        <v>127</v>
      </c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</row>
    <row r="75" customFormat="false" ht="15" hidden="false" customHeight="false" outlineLevel="0" collapsed="false">
      <c r="A75" s="7" t="s">
        <v>975</v>
      </c>
      <c r="B75" s="7" t="s">
        <v>976</v>
      </c>
      <c r="C75" s="7" t="s">
        <v>977</v>
      </c>
      <c r="D75" s="7"/>
      <c r="E75" s="7" t="s">
        <v>101</v>
      </c>
      <c r="F75" s="7" t="s">
        <v>101</v>
      </c>
      <c r="G75" s="7"/>
      <c r="H75" s="7" t="s">
        <v>102</v>
      </c>
      <c r="I75" s="7" t="s">
        <v>132</v>
      </c>
      <c r="J75" s="7" t="s">
        <v>104</v>
      </c>
      <c r="K75" s="7" t="s">
        <v>105</v>
      </c>
      <c r="L75" s="7" t="s">
        <v>106</v>
      </c>
      <c r="M75" s="7" t="s">
        <v>978</v>
      </c>
      <c r="N75" s="7" t="s">
        <v>979</v>
      </c>
      <c r="O75" s="7"/>
      <c r="P75" s="7" t="s">
        <v>135</v>
      </c>
      <c r="Q75" s="7"/>
      <c r="R75" s="7" t="s">
        <v>135</v>
      </c>
      <c r="S75" s="7" t="s">
        <v>136</v>
      </c>
      <c r="T75" s="7" t="n">
        <v>0.536</v>
      </c>
      <c r="U75" s="7" t="n">
        <v>1</v>
      </c>
      <c r="V75" s="7" t="s">
        <v>90</v>
      </c>
      <c r="W75" s="7" t="s">
        <v>980</v>
      </c>
      <c r="X75" s="7" t="s">
        <v>187</v>
      </c>
      <c r="Y75" s="7" t="s">
        <v>979</v>
      </c>
      <c r="Z75" s="7" t="s">
        <v>981</v>
      </c>
      <c r="AA75" s="7"/>
      <c r="AB75" s="7"/>
      <c r="AC75" s="7" t="n">
        <v>12</v>
      </c>
      <c r="AD75" s="7"/>
      <c r="AE75" s="7" t="s">
        <v>522</v>
      </c>
      <c r="AF75" s="7" t="s">
        <v>982</v>
      </c>
      <c r="AG75" s="7" t="s">
        <v>983</v>
      </c>
      <c r="AH75" s="7" t="s">
        <v>984</v>
      </c>
      <c r="AI75" s="7" t="s">
        <v>522</v>
      </c>
      <c r="AJ75" s="7" t="s">
        <v>985</v>
      </c>
      <c r="AK75" s="7" t="s">
        <v>115</v>
      </c>
      <c r="AL75" s="7" t="s">
        <v>986</v>
      </c>
      <c r="AM75" s="7" t="s">
        <v>115</v>
      </c>
      <c r="AN75" s="7" t="s">
        <v>987</v>
      </c>
      <c r="AO75" s="7" t="s">
        <v>522</v>
      </c>
      <c r="AP75" s="7" t="s">
        <v>988</v>
      </c>
      <c r="AQ75" s="7" t="s">
        <v>522</v>
      </c>
      <c r="AR75" s="7" t="s">
        <v>101</v>
      </c>
      <c r="AS75" s="7" t="s">
        <v>522</v>
      </c>
      <c r="AT75" s="7" t="s">
        <v>250</v>
      </c>
      <c r="AU75" s="7" t="s">
        <v>522</v>
      </c>
      <c r="AV75" s="7" t="s">
        <v>989</v>
      </c>
      <c r="AW75" s="7" t="s">
        <v>522</v>
      </c>
      <c r="AX75" s="7" t="s">
        <v>326</v>
      </c>
      <c r="AY75" s="7" t="s">
        <v>522</v>
      </c>
      <c r="AZ75" s="7" t="s">
        <v>295</v>
      </c>
      <c r="BA75" s="7" t="s">
        <v>983</v>
      </c>
      <c r="BB75" s="7" t="s">
        <v>990</v>
      </c>
      <c r="BC75" s="7" t="s">
        <v>151</v>
      </c>
      <c r="BD75" s="7"/>
      <c r="BE75" s="7" t="s">
        <v>127</v>
      </c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</row>
    <row r="76" customFormat="false" ht="15" hidden="false" customHeight="false" outlineLevel="0" collapsed="false">
      <c r="A76" s="7" t="s">
        <v>991</v>
      </c>
      <c r="B76" s="7" t="s">
        <v>992</v>
      </c>
      <c r="C76" s="7" t="s">
        <v>993</v>
      </c>
      <c r="D76" s="7" t="s">
        <v>994</v>
      </c>
      <c r="E76" s="7" t="s">
        <v>101</v>
      </c>
      <c r="F76" s="7" t="s">
        <v>101</v>
      </c>
      <c r="G76" s="7"/>
      <c r="H76" s="7" t="s">
        <v>102</v>
      </c>
      <c r="I76" s="7" t="s">
        <v>995</v>
      </c>
      <c r="J76" s="7" t="s">
        <v>104</v>
      </c>
      <c r="K76" s="7" t="s">
        <v>105</v>
      </c>
      <c r="L76" s="7" t="s">
        <v>106</v>
      </c>
      <c r="M76" s="7" t="s">
        <v>996</v>
      </c>
      <c r="N76" s="7" t="s">
        <v>997</v>
      </c>
      <c r="O76" s="7" t="s">
        <v>998</v>
      </c>
      <c r="P76" s="7" t="s">
        <v>135</v>
      </c>
      <c r="Q76" s="7"/>
      <c r="R76" s="7" t="s">
        <v>84</v>
      </c>
      <c r="S76" s="7" t="s">
        <v>238</v>
      </c>
      <c r="T76" s="7" t="n">
        <v>0.694</v>
      </c>
      <c r="U76" s="7" t="n">
        <v>1</v>
      </c>
      <c r="V76" s="7" t="s">
        <v>90</v>
      </c>
      <c r="W76" s="7" t="s">
        <v>597</v>
      </c>
      <c r="X76" s="7" t="s">
        <v>999</v>
      </c>
      <c r="Y76" s="7" t="s">
        <v>997</v>
      </c>
      <c r="Z76" s="7" t="s">
        <v>1000</v>
      </c>
      <c r="AA76" s="7"/>
      <c r="AB76" s="7"/>
      <c r="AC76" s="7" t="n">
        <v>12</v>
      </c>
      <c r="AD76" s="7"/>
      <c r="AE76" s="7" t="s">
        <v>1001</v>
      </c>
      <c r="AF76" s="7" t="s">
        <v>1002</v>
      </c>
      <c r="AG76" s="7" t="s">
        <v>1001</v>
      </c>
      <c r="AH76" s="7" t="s">
        <v>999</v>
      </c>
      <c r="AI76" s="7" t="s">
        <v>115</v>
      </c>
      <c r="AJ76" s="7" t="s">
        <v>291</v>
      </c>
      <c r="AK76" s="7" t="s">
        <v>115</v>
      </c>
      <c r="AL76" s="7" t="s">
        <v>291</v>
      </c>
      <c r="AM76" s="7" t="s">
        <v>115</v>
      </c>
      <c r="AN76" s="7" t="s">
        <v>291</v>
      </c>
      <c r="AO76" s="7" t="s">
        <v>1001</v>
      </c>
      <c r="AP76" s="7" t="s">
        <v>1003</v>
      </c>
      <c r="AQ76" s="7" t="s">
        <v>1001</v>
      </c>
      <c r="AR76" s="7" t="s">
        <v>1004</v>
      </c>
      <c r="AS76" s="7" t="s">
        <v>1005</v>
      </c>
      <c r="AT76" s="7" t="s">
        <v>250</v>
      </c>
      <c r="AU76" s="7" t="s">
        <v>115</v>
      </c>
      <c r="AV76" s="7" t="s">
        <v>116</v>
      </c>
      <c r="AW76" s="7" t="s">
        <v>115</v>
      </c>
      <c r="AX76" s="7" t="s">
        <v>291</v>
      </c>
      <c r="AY76" s="7" t="s">
        <v>115</v>
      </c>
      <c r="AZ76" s="7" t="s">
        <v>291</v>
      </c>
      <c r="BA76" s="7" t="s">
        <v>115</v>
      </c>
      <c r="BB76" s="7" t="s">
        <v>116</v>
      </c>
      <c r="BC76" s="7" t="s">
        <v>151</v>
      </c>
      <c r="BD76" s="7"/>
      <c r="BE76" s="7" t="s">
        <v>127</v>
      </c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</row>
    <row r="77" customFormat="false" ht="15" hidden="false" customHeight="false" outlineLevel="0" collapsed="false">
      <c r="A77" s="7" t="s">
        <v>1006</v>
      </c>
      <c r="B77" s="7" t="s">
        <v>1007</v>
      </c>
      <c r="C77" s="7" t="s">
        <v>1008</v>
      </c>
      <c r="D77" s="7" t="s">
        <v>1009</v>
      </c>
      <c r="E77" s="7" t="s">
        <v>101</v>
      </c>
      <c r="F77" s="7" t="s">
        <v>82</v>
      </c>
      <c r="G77" s="7"/>
      <c r="H77" s="7" t="s">
        <v>102</v>
      </c>
      <c r="I77" s="7" t="s">
        <v>995</v>
      </c>
      <c r="J77" s="7" t="s">
        <v>104</v>
      </c>
      <c r="K77" s="7" t="s">
        <v>105</v>
      </c>
      <c r="L77" s="7" t="s">
        <v>106</v>
      </c>
      <c r="M77" s="7" t="s">
        <v>1010</v>
      </c>
      <c r="N77" s="7" t="s">
        <v>1011</v>
      </c>
      <c r="O77" s="7" t="s">
        <v>1011</v>
      </c>
      <c r="P77" s="7" t="s">
        <v>135</v>
      </c>
      <c r="Q77" s="7"/>
      <c r="R77" s="7" t="s">
        <v>84</v>
      </c>
      <c r="S77" s="7" t="s">
        <v>238</v>
      </c>
      <c r="T77" s="7" t="n">
        <v>0.336</v>
      </c>
      <c r="U77" s="7" t="n">
        <v>1</v>
      </c>
      <c r="V77" s="7" t="s">
        <v>90</v>
      </c>
      <c r="W77" s="7" t="s">
        <v>597</v>
      </c>
      <c r="X77" s="7" t="s">
        <v>999</v>
      </c>
      <c r="Y77" s="7" t="s">
        <v>1011</v>
      </c>
      <c r="Z77" s="7" t="s">
        <v>1000</v>
      </c>
      <c r="AA77" s="7"/>
      <c r="AB77" s="7"/>
      <c r="AC77" s="7" t="n">
        <v>12</v>
      </c>
      <c r="AD77" s="7"/>
      <c r="AE77" s="7" t="s">
        <v>1001</v>
      </c>
      <c r="AF77" s="7" t="s">
        <v>1012</v>
      </c>
      <c r="AG77" s="7" t="s">
        <v>1001</v>
      </c>
      <c r="AH77" s="7" t="s">
        <v>999</v>
      </c>
      <c r="AI77" s="7" t="s">
        <v>115</v>
      </c>
      <c r="AJ77" s="7" t="s">
        <v>291</v>
      </c>
      <c r="AK77" s="7" t="s">
        <v>115</v>
      </c>
      <c r="AL77" s="7" t="s">
        <v>291</v>
      </c>
      <c r="AM77" s="7" t="s">
        <v>115</v>
      </c>
      <c r="AN77" s="7" t="s">
        <v>291</v>
      </c>
      <c r="AO77" s="7" t="s">
        <v>1001</v>
      </c>
      <c r="AP77" s="7" t="s">
        <v>1013</v>
      </c>
      <c r="AQ77" s="7" t="s">
        <v>1001</v>
      </c>
      <c r="AR77" s="7" t="s">
        <v>82</v>
      </c>
      <c r="AS77" s="7" t="s">
        <v>1005</v>
      </c>
      <c r="AT77" s="7" t="s">
        <v>122</v>
      </c>
      <c r="AU77" s="7" t="s">
        <v>1014</v>
      </c>
      <c r="AV77" s="7" t="s">
        <v>1015</v>
      </c>
      <c r="AW77" s="7" t="s">
        <v>115</v>
      </c>
      <c r="AX77" s="7" t="s">
        <v>291</v>
      </c>
      <c r="AY77" s="7" t="s">
        <v>115</v>
      </c>
      <c r="AZ77" s="7" t="s">
        <v>291</v>
      </c>
      <c r="BA77" s="7" t="s">
        <v>1014</v>
      </c>
      <c r="BB77" s="7" t="s">
        <v>1016</v>
      </c>
      <c r="BC77" s="7" t="s">
        <v>151</v>
      </c>
      <c r="BD77" s="7" t="s">
        <v>1017</v>
      </c>
      <c r="BE77" s="7" t="s">
        <v>127</v>
      </c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</row>
    <row r="78" customFormat="false" ht="15" hidden="false" customHeight="false" outlineLevel="0" collapsed="false">
      <c r="A78" s="7" t="s">
        <v>1018</v>
      </c>
      <c r="B78" s="7" t="s">
        <v>1019</v>
      </c>
      <c r="C78" s="7" t="s">
        <v>1020</v>
      </c>
      <c r="D78" s="7" t="s">
        <v>1021</v>
      </c>
      <c r="E78" s="7" t="s">
        <v>101</v>
      </c>
      <c r="F78" s="7" t="s">
        <v>82</v>
      </c>
      <c r="G78" s="7" t="s">
        <v>83</v>
      </c>
      <c r="H78" s="7" t="s">
        <v>102</v>
      </c>
      <c r="I78" s="7" t="s">
        <v>995</v>
      </c>
      <c r="J78" s="7" t="s">
        <v>104</v>
      </c>
      <c r="K78" s="7" t="s">
        <v>105</v>
      </c>
      <c r="L78" s="7" t="s">
        <v>106</v>
      </c>
      <c r="M78" s="7" t="s">
        <v>1022</v>
      </c>
      <c r="N78" s="7" t="s">
        <v>1023</v>
      </c>
      <c r="O78" s="7" t="s">
        <v>1024</v>
      </c>
      <c r="P78" s="7" t="s">
        <v>135</v>
      </c>
      <c r="Q78" s="7"/>
      <c r="R78" s="7" t="s">
        <v>84</v>
      </c>
      <c r="S78" s="7" t="s">
        <v>238</v>
      </c>
      <c r="T78" s="7" t="n">
        <v>0.685</v>
      </c>
      <c r="U78" s="7" t="n">
        <v>1</v>
      </c>
      <c r="V78" s="7" t="s">
        <v>90</v>
      </c>
      <c r="W78" s="7" t="s">
        <v>597</v>
      </c>
      <c r="X78" s="7" t="s">
        <v>999</v>
      </c>
      <c r="Y78" s="7" t="s">
        <v>1023</v>
      </c>
      <c r="Z78" s="7" t="s">
        <v>1000</v>
      </c>
      <c r="AA78" s="7"/>
      <c r="AB78" s="7"/>
      <c r="AC78" s="7" t="n">
        <v>12</v>
      </c>
      <c r="AD78" s="7"/>
      <c r="AE78" s="7" t="s">
        <v>1001</v>
      </c>
      <c r="AF78" s="7" t="s">
        <v>1025</v>
      </c>
      <c r="AG78" s="7" t="s">
        <v>1001</v>
      </c>
      <c r="AH78" s="7" t="s">
        <v>999</v>
      </c>
      <c r="AI78" s="7" t="s">
        <v>115</v>
      </c>
      <c r="AJ78" s="7" t="s">
        <v>291</v>
      </c>
      <c r="AK78" s="7" t="s">
        <v>115</v>
      </c>
      <c r="AL78" s="7" t="s">
        <v>291</v>
      </c>
      <c r="AM78" s="7" t="s">
        <v>115</v>
      </c>
      <c r="AN78" s="7" t="s">
        <v>291</v>
      </c>
      <c r="AO78" s="7" t="s">
        <v>1001</v>
      </c>
      <c r="AP78" s="7" t="s">
        <v>1026</v>
      </c>
      <c r="AQ78" s="7" t="s">
        <v>1005</v>
      </c>
      <c r="AR78" s="7" t="s">
        <v>1027</v>
      </c>
      <c r="AS78" s="7" t="s">
        <v>1005</v>
      </c>
      <c r="AT78" s="7" t="s">
        <v>216</v>
      </c>
      <c r="AU78" s="7" t="s">
        <v>1028</v>
      </c>
      <c r="AV78" s="7" t="s">
        <v>1029</v>
      </c>
      <c r="AW78" s="7" t="s">
        <v>115</v>
      </c>
      <c r="AX78" s="7" t="s">
        <v>291</v>
      </c>
      <c r="AY78" s="7" t="s">
        <v>115</v>
      </c>
      <c r="AZ78" s="7" t="s">
        <v>291</v>
      </c>
      <c r="BA78" s="7" t="s">
        <v>1028</v>
      </c>
      <c r="BB78" s="7" t="s">
        <v>1030</v>
      </c>
      <c r="BC78" s="7" t="s">
        <v>151</v>
      </c>
      <c r="BD78" s="7" t="s">
        <v>1017</v>
      </c>
      <c r="BE78" s="7" t="s">
        <v>127</v>
      </c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</row>
    <row r="79" customFormat="false" ht="15" hidden="false" customHeight="false" outlineLevel="0" collapsed="false">
      <c r="A79" s="7" t="s">
        <v>1031</v>
      </c>
      <c r="B79" s="7" t="s">
        <v>1032</v>
      </c>
      <c r="C79" s="7" t="s">
        <v>1033</v>
      </c>
      <c r="D79" s="7" t="s">
        <v>849</v>
      </c>
      <c r="E79" s="7" t="s">
        <v>101</v>
      </c>
      <c r="F79" s="7" t="s">
        <v>101</v>
      </c>
      <c r="G79" s="7"/>
      <c r="H79" s="7" t="s">
        <v>102</v>
      </c>
      <c r="I79" s="7" t="s">
        <v>158</v>
      </c>
      <c r="J79" s="7" t="s">
        <v>104</v>
      </c>
      <c r="K79" s="7" t="s">
        <v>105</v>
      </c>
      <c r="L79" s="7" t="s">
        <v>106</v>
      </c>
      <c r="M79" s="7" t="s">
        <v>419</v>
      </c>
      <c r="N79" s="7" t="s">
        <v>1034</v>
      </c>
      <c r="O79" s="7" t="s">
        <v>1034</v>
      </c>
      <c r="P79" s="7" t="s">
        <v>135</v>
      </c>
      <c r="Q79" s="7"/>
      <c r="R79" s="7" t="s">
        <v>84</v>
      </c>
      <c r="S79" s="7" t="s">
        <v>238</v>
      </c>
      <c r="T79" s="7" t="n">
        <v>0.56</v>
      </c>
      <c r="U79" s="7" t="n">
        <v>1</v>
      </c>
      <c r="V79" s="7" t="s">
        <v>90</v>
      </c>
      <c r="W79" s="7" t="s">
        <v>1035</v>
      </c>
      <c r="X79" s="7" t="s">
        <v>239</v>
      </c>
      <c r="Y79" s="7" t="s">
        <v>1034</v>
      </c>
      <c r="Z79" s="7" t="s">
        <v>1036</v>
      </c>
      <c r="AA79" s="7"/>
      <c r="AB79" s="7"/>
      <c r="AC79" s="7" t="n">
        <v>12</v>
      </c>
      <c r="AD79" s="7"/>
      <c r="AE79" s="7" t="s">
        <v>758</v>
      </c>
      <c r="AF79" s="7" t="s">
        <v>848</v>
      </c>
      <c r="AG79" s="7" t="s">
        <v>1037</v>
      </c>
      <c r="AH79" s="7" t="s">
        <v>1038</v>
      </c>
      <c r="AI79" s="7" t="s">
        <v>1037</v>
      </c>
      <c r="AJ79" s="7" t="s">
        <v>1039</v>
      </c>
      <c r="AK79" s="7" t="s">
        <v>1037</v>
      </c>
      <c r="AL79" s="7" t="s">
        <v>1040</v>
      </c>
      <c r="AM79" s="7" t="s">
        <v>1037</v>
      </c>
      <c r="AN79" s="7" t="s">
        <v>1041</v>
      </c>
      <c r="AO79" s="7" t="s">
        <v>758</v>
      </c>
      <c r="AP79" s="7" t="s">
        <v>849</v>
      </c>
      <c r="AQ79" s="7" t="s">
        <v>758</v>
      </c>
      <c r="AR79" s="7" t="s">
        <v>516</v>
      </c>
      <c r="AS79" s="7" t="s">
        <v>758</v>
      </c>
      <c r="AT79" s="7" t="s">
        <v>250</v>
      </c>
      <c r="AU79" s="7" t="s">
        <v>758</v>
      </c>
      <c r="AV79" s="7" t="s">
        <v>850</v>
      </c>
      <c r="AW79" s="7" t="s">
        <v>758</v>
      </c>
      <c r="AX79" s="7" t="s">
        <v>326</v>
      </c>
      <c r="AY79" s="7" t="s">
        <v>758</v>
      </c>
      <c r="AZ79" s="7" t="s">
        <v>124</v>
      </c>
      <c r="BA79" s="7" t="s">
        <v>758</v>
      </c>
      <c r="BB79" s="7" t="s">
        <v>369</v>
      </c>
      <c r="BC79" s="7" t="s">
        <v>427</v>
      </c>
      <c r="BD79" s="7"/>
      <c r="BE79" s="7" t="s">
        <v>127</v>
      </c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</row>
    <row r="80" customFormat="false" ht="15" hidden="false" customHeight="false" outlineLevel="0" collapsed="false">
      <c r="A80" s="7" t="s">
        <v>1042</v>
      </c>
      <c r="B80" s="7" t="s">
        <v>1043</v>
      </c>
      <c r="C80" s="7" t="s">
        <v>1044</v>
      </c>
      <c r="D80" s="7" t="s">
        <v>654</v>
      </c>
      <c r="E80" s="7" t="s">
        <v>101</v>
      </c>
      <c r="F80" s="7" t="s">
        <v>82</v>
      </c>
      <c r="G80" s="7" t="s">
        <v>83</v>
      </c>
      <c r="H80" s="7" t="s">
        <v>102</v>
      </c>
      <c r="I80" s="7" t="s">
        <v>132</v>
      </c>
      <c r="J80" s="7" t="s">
        <v>104</v>
      </c>
      <c r="K80" s="7" t="s">
        <v>105</v>
      </c>
      <c r="L80" s="7" t="s">
        <v>106</v>
      </c>
      <c r="M80" s="7" t="s">
        <v>1045</v>
      </c>
      <c r="N80" s="7" t="s">
        <v>656</v>
      </c>
      <c r="O80" s="7" t="s">
        <v>656</v>
      </c>
      <c r="P80" s="7" t="s">
        <v>135</v>
      </c>
      <c r="Q80" s="7"/>
      <c r="R80" s="7" t="s">
        <v>84</v>
      </c>
      <c r="S80" s="7" t="s">
        <v>238</v>
      </c>
      <c r="T80" s="7" t="n">
        <v>0.586</v>
      </c>
      <c r="U80" s="7" t="n">
        <v>1</v>
      </c>
      <c r="V80" s="7" t="s">
        <v>90</v>
      </c>
      <c r="W80" s="7" t="s">
        <v>657</v>
      </c>
      <c r="X80" s="7" t="s">
        <v>658</v>
      </c>
      <c r="Y80" s="7" t="s">
        <v>656</v>
      </c>
      <c r="Z80" s="7" t="s">
        <v>659</v>
      </c>
      <c r="AA80" s="7"/>
      <c r="AB80" s="7"/>
      <c r="AC80" s="7" t="n">
        <v>12</v>
      </c>
      <c r="AD80" s="7"/>
      <c r="AE80" s="7" t="s">
        <v>1046</v>
      </c>
      <c r="AF80" s="7" t="s">
        <v>1047</v>
      </c>
      <c r="AG80" s="7" t="s">
        <v>1048</v>
      </c>
      <c r="AH80" s="7" t="s">
        <v>1049</v>
      </c>
      <c r="AI80" s="7" t="s">
        <v>1050</v>
      </c>
      <c r="AJ80" s="7" t="s">
        <v>1051</v>
      </c>
      <c r="AK80" s="7" t="s">
        <v>1050</v>
      </c>
      <c r="AL80" s="7" t="s">
        <v>1052</v>
      </c>
      <c r="AM80" s="7" t="s">
        <v>1046</v>
      </c>
      <c r="AN80" s="7" t="s">
        <v>664</v>
      </c>
      <c r="AO80" s="7" t="s">
        <v>1046</v>
      </c>
      <c r="AP80" s="7" t="s">
        <v>654</v>
      </c>
      <c r="AQ80" s="7" t="s">
        <v>1046</v>
      </c>
      <c r="AR80" s="7" t="s">
        <v>82</v>
      </c>
      <c r="AS80" s="7" t="s">
        <v>1046</v>
      </c>
      <c r="AT80" s="7" t="s">
        <v>216</v>
      </c>
      <c r="AU80" s="7" t="s">
        <v>1050</v>
      </c>
      <c r="AV80" s="7" t="s">
        <v>1053</v>
      </c>
      <c r="AW80" s="7" t="s">
        <v>1046</v>
      </c>
      <c r="AX80" s="7" t="s">
        <v>294</v>
      </c>
      <c r="AY80" s="7" t="s">
        <v>1046</v>
      </c>
      <c r="AZ80" s="7" t="s">
        <v>274</v>
      </c>
      <c r="BA80" s="7" t="s">
        <v>1050</v>
      </c>
      <c r="BB80" s="7" t="s">
        <v>1054</v>
      </c>
      <c r="BC80" s="7" t="s">
        <v>151</v>
      </c>
      <c r="BD80" s="7" t="s">
        <v>1055</v>
      </c>
      <c r="BE80" s="7" t="s">
        <v>127</v>
      </c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</row>
    <row r="81" customFormat="false" ht="15" hidden="false" customHeight="false" outlineLevel="0" collapsed="false">
      <c r="A81" s="7" t="s">
        <v>1056</v>
      </c>
      <c r="B81" s="7" t="s">
        <v>1057</v>
      </c>
      <c r="C81" s="7" t="s">
        <v>1058</v>
      </c>
      <c r="D81" s="7" t="s">
        <v>1059</v>
      </c>
      <c r="E81" s="7" t="s">
        <v>101</v>
      </c>
      <c r="F81" s="7" t="s">
        <v>101</v>
      </c>
      <c r="G81" s="7"/>
      <c r="H81" s="7" t="s">
        <v>102</v>
      </c>
      <c r="I81" s="7" t="s">
        <v>300</v>
      </c>
      <c r="J81" s="7" t="s">
        <v>104</v>
      </c>
      <c r="K81" s="7" t="s">
        <v>105</v>
      </c>
      <c r="L81" s="7" t="s">
        <v>106</v>
      </c>
      <c r="M81" s="7" t="s">
        <v>1060</v>
      </c>
      <c r="N81" s="7" t="s">
        <v>1061</v>
      </c>
      <c r="O81" s="7" t="s">
        <v>1062</v>
      </c>
      <c r="P81" s="7" t="s">
        <v>135</v>
      </c>
      <c r="Q81" s="7"/>
      <c r="R81" s="7" t="s">
        <v>84</v>
      </c>
      <c r="S81" s="7" t="s">
        <v>238</v>
      </c>
      <c r="T81" s="7" t="n">
        <v>0.922</v>
      </c>
      <c r="U81" s="7" t="n">
        <v>1</v>
      </c>
      <c r="V81" s="7" t="s">
        <v>582</v>
      </c>
      <c r="W81" s="7" t="s">
        <v>1063</v>
      </c>
      <c r="X81" s="7" t="s">
        <v>139</v>
      </c>
      <c r="Y81" s="7" t="s">
        <v>1061</v>
      </c>
      <c r="Z81" s="7" t="s">
        <v>1064</v>
      </c>
      <c r="AA81" s="7"/>
      <c r="AB81" s="7"/>
      <c r="AC81" s="7" t="n">
        <v>12</v>
      </c>
      <c r="AD81" s="7"/>
      <c r="AE81" s="7" t="s">
        <v>1065</v>
      </c>
      <c r="AF81" s="7" t="s">
        <v>1066</v>
      </c>
      <c r="AG81" s="7" t="s">
        <v>1065</v>
      </c>
      <c r="AH81" s="7" t="s">
        <v>1067</v>
      </c>
      <c r="AI81" s="7" t="s">
        <v>115</v>
      </c>
      <c r="AJ81" s="7" t="s">
        <v>116</v>
      </c>
      <c r="AK81" s="7" t="s">
        <v>1065</v>
      </c>
      <c r="AL81" s="7" t="s">
        <v>1068</v>
      </c>
      <c r="AM81" s="7" t="s">
        <v>1065</v>
      </c>
      <c r="AN81" s="7" t="s">
        <v>1069</v>
      </c>
      <c r="AO81" s="7" t="s">
        <v>1070</v>
      </c>
      <c r="AP81" s="7" t="s">
        <v>1059</v>
      </c>
      <c r="AQ81" s="7" t="s">
        <v>1070</v>
      </c>
      <c r="AR81" s="7" t="s">
        <v>82</v>
      </c>
      <c r="AS81" s="7" t="s">
        <v>1070</v>
      </c>
      <c r="AT81" s="7" t="s">
        <v>122</v>
      </c>
      <c r="AU81" s="7" t="s">
        <v>1065</v>
      </c>
      <c r="AV81" s="7" t="s">
        <v>1071</v>
      </c>
      <c r="AW81" s="7" t="s">
        <v>1065</v>
      </c>
      <c r="AX81" s="7" t="s">
        <v>1072</v>
      </c>
      <c r="AY81" s="7" t="s">
        <v>1065</v>
      </c>
      <c r="AZ81" s="7" t="s">
        <v>1073</v>
      </c>
      <c r="BA81" s="7" t="s">
        <v>1070</v>
      </c>
      <c r="BB81" s="7" t="s">
        <v>546</v>
      </c>
      <c r="BC81" s="7" t="s">
        <v>151</v>
      </c>
      <c r="BD81" s="7" t="s">
        <v>440</v>
      </c>
      <c r="BE81" s="7" t="s">
        <v>127</v>
      </c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</row>
    <row r="82" customFormat="false" ht="15" hidden="false" customHeight="false" outlineLevel="0" collapsed="false">
      <c r="A82" s="7" t="s">
        <v>1074</v>
      </c>
      <c r="B82" s="7" t="s">
        <v>1075</v>
      </c>
      <c r="C82" s="7" t="s">
        <v>1076</v>
      </c>
      <c r="D82" s="7" t="s">
        <v>1077</v>
      </c>
      <c r="E82" s="7"/>
      <c r="F82" s="7" t="s">
        <v>101</v>
      </c>
      <c r="G82" s="7"/>
      <c r="H82" s="7" t="s">
        <v>102</v>
      </c>
      <c r="I82" s="7" t="s">
        <v>300</v>
      </c>
      <c r="J82" s="7" t="s">
        <v>568</v>
      </c>
      <c r="K82" s="7" t="s">
        <v>1078</v>
      </c>
      <c r="L82" s="7" t="s">
        <v>106</v>
      </c>
      <c r="M82" s="7"/>
      <c r="N82" s="7" t="s">
        <v>1079</v>
      </c>
      <c r="O82" s="7"/>
      <c r="P82" s="7" t="s">
        <v>135</v>
      </c>
      <c r="Q82" s="7"/>
      <c r="R82" s="7" t="s">
        <v>135</v>
      </c>
      <c r="S82" s="7" t="s">
        <v>136</v>
      </c>
      <c r="T82" s="7" t="n">
        <v>0.453</v>
      </c>
      <c r="U82" s="7" t="n">
        <v>0</v>
      </c>
      <c r="V82" s="7"/>
      <c r="W82" s="7"/>
      <c r="X82" s="7"/>
      <c r="Y82" s="7"/>
      <c r="Z82" s="7"/>
      <c r="AA82" s="7" t="s">
        <v>572</v>
      </c>
      <c r="AB82" s="7" t="s">
        <v>573</v>
      </c>
      <c r="AC82" s="7" t="n">
        <v>0</v>
      </c>
      <c r="AD82" s="7" t="s">
        <v>388</v>
      </c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 t="s">
        <v>1080</v>
      </c>
      <c r="BE82" s="7" t="s">
        <v>575</v>
      </c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</row>
    <row r="83" customFormat="false" ht="15" hidden="false" customHeight="false" outlineLevel="0" collapsed="false">
      <c r="A83" s="7" t="s">
        <v>1081</v>
      </c>
      <c r="B83" s="7" t="s">
        <v>1082</v>
      </c>
      <c r="C83" s="7" t="s">
        <v>1083</v>
      </c>
      <c r="D83" s="7" t="s">
        <v>131</v>
      </c>
      <c r="E83" s="7"/>
      <c r="F83" s="7" t="s">
        <v>101</v>
      </c>
      <c r="G83" s="7"/>
      <c r="H83" s="7" t="s">
        <v>102</v>
      </c>
      <c r="I83" s="7" t="s">
        <v>132</v>
      </c>
      <c r="J83" s="7" t="s">
        <v>568</v>
      </c>
      <c r="K83" s="7" t="s">
        <v>1084</v>
      </c>
      <c r="L83" s="7" t="s">
        <v>106</v>
      </c>
      <c r="M83" s="7"/>
      <c r="N83" s="7" t="s">
        <v>1085</v>
      </c>
      <c r="O83" s="7"/>
      <c r="P83" s="7" t="s">
        <v>135</v>
      </c>
      <c r="Q83" s="7"/>
      <c r="R83" s="7"/>
      <c r="S83" s="7"/>
      <c r="T83" s="7"/>
      <c r="U83" s="7" t="n">
        <v>0</v>
      </c>
      <c r="V83" s="7"/>
      <c r="W83" s="7"/>
      <c r="X83" s="7"/>
      <c r="Y83" s="7"/>
      <c r="Z83" s="7"/>
      <c r="AA83" s="7" t="s">
        <v>1086</v>
      </c>
      <c r="AB83" s="7" t="s">
        <v>1087</v>
      </c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 t="s">
        <v>152</v>
      </c>
      <c r="BE83" s="7" t="s">
        <v>1088</v>
      </c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</row>
    <row r="84" customFormat="false" ht="15" hidden="false" customHeight="false" outlineLevel="0" collapsed="false">
      <c r="A84" s="7" t="s">
        <v>1089</v>
      </c>
      <c r="B84" s="7" t="s">
        <v>1090</v>
      </c>
      <c r="C84" s="7" t="s">
        <v>1091</v>
      </c>
      <c r="D84" s="7" t="s">
        <v>1092</v>
      </c>
      <c r="E84" s="7" t="s">
        <v>82</v>
      </c>
      <c r="F84" s="7" t="s">
        <v>82</v>
      </c>
      <c r="G84" s="7"/>
      <c r="H84" s="7" t="s">
        <v>207</v>
      </c>
      <c r="I84" s="7" t="s">
        <v>234</v>
      </c>
      <c r="J84" s="7" t="s">
        <v>1093</v>
      </c>
      <c r="K84" s="7" t="s">
        <v>1094</v>
      </c>
      <c r="L84" s="7" t="s">
        <v>235</v>
      </c>
      <c r="M84" s="7"/>
      <c r="N84" s="7" t="s">
        <v>1095</v>
      </c>
      <c r="O84" s="7" t="s">
        <v>1095</v>
      </c>
      <c r="P84" s="7" t="s">
        <v>135</v>
      </c>
      <c r="Q84" s="7"/>
      <c r="R84" s="7" t="s">
        <v>109</v>
      </c>
      <c r="S84" s="7" t="s">
        <v>110</v>
      </c>
      <c r="T84" s="7" t="n">
        <v>0.312</v>
      </c>
      <c r="U84" s="7" t="n">
        <v>0</v>
      </c>
      <c r="V84" s="7"/>
      <c r="W84" s="7"/>
      <c r="X84" s="7"/>
      <c r="Y84" s="7"/>
      <c r="Z84" s="7"/>
      <c r="AA84" s="7" t="s">
        <v>572</v>
      </c>
      <c r="AB84" s="7" t="s">
        <v>573</v>
      </c>
      <c r="AC84" s="7" t="n">
        <v>0</v>
      </c>
      <c r="AD84" s="7" t="s">
        <v>388</v>
      </c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 t="s">
        <v>1096</v>
      </c>
      <c r="BE84" s="7" t="s">
        <v>575</v>
      </c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</row>
    <row r="85" customFormat="false" ht="15" hidden="false" customHeight="false" outlineLevel="0" collapsed="false">
      <c r="A85" s="7" t="s">
        <v>1097</v>
      </c>
      <c r="B85" s="7" t="s">
        <v>1098</v>
      </c>
      <c r="C85" s="7" t="s">
        <v>1099</v>
      </c>
      <c r="D85" s="7" t="s">
        <v>1092</v>
      </c>
      <c r="E85" s="7" t="s">
        <v>82</v>
      </c>
      <c r="F85" s="7" t="s">
        <v>82</v>
      </c>
      <c r="G85" s="7"/>
      <c r="H85" s="7" t="s">
        <v>1100</v>
      </c>
      <c r="I85" s="7" t="s">
        <v>234</v>
      </c>
      <c r="J85" s="7" t="s">
        <v>1093</v>
      </c>
      <c r="K85" s="7" t="s">
        <v>1084</v>
      </c>
      <c r="L85" s="7" t="s">
        <v>106</v>
      </c>
      <c r="M85" s="7"/>
      <c r="N85" s="7" t="s">
        <v>1095</v>
      </c>
      <c r="O85" s="7" t="s">
        <v>1095</v>
      </c>
      <c r="P85" s="7" t="s">
        <v>135</v>
      </c>
      <c r="Q85" s="7"/>
      <c r="R85" s="7" t="s">
        <v>109</v>
      </c>
      <c r="S85" s="7" t="s">
        <v>110</v>
      </c>
      <c r="T85" s="7" t="n">
        <v>0.57</v>
      </c>
      <c r="U85" s="7" t="n">
        <v>0</v>
      </c>
      <c r="V85" s="7"/>
      <c r="W85" s="7"/>
      <c r="X85" s="7"/>
      <c r="Y85" s="7"/>
      <c r="Z85" s="7"/>
      <c r="AA85" s="7" t="s">
        <v>1086</v>
      </c>
      <c r="AB85" s="7" t="s">
        <v>1087</v>
      </c>
      <c r="AC85" s="7" t="n">
        <v>0</v>
      </c>
      <c r="AD85" s="7" t="s">
        <v>388</v>
      </c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 t="s">
        <v>1096</v>
      </c>
      <c r="BE85" s="7" t="s">
        <v>575</v>
      </c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</row>
    <row r="86" customFormat="false" ht="15" hidden="false" customHeight="false" outlineLevel="0" collapsed="false">
      <c r="A86" s="7" t="s">
        <v>1101</v>
      </c>
      <c r="B86" s="7" t="s">
        <v>1102</v>
      </c>
      <c r="C86" s="7" t="s">
        <v>1103</v>
      </c>
      <c r="D86" s="7" t="s">
        <v>1092</v>
      </c>
      <c r="E86" s="7" t="s">
        <v>82</v>
      </c>
      <c r="F86" s="7" t="s">
        <v>82</v>
      </c>
      <c r="G86" s="7" t="s">
        <v>83</v>
      </c>
      <c r="H86" s="7" t="s">
        <v>1100</v>
      </c>
      <c r="I86" s="7" t="s">
        <v>1104</v>
      </c>
      <c r="J86" s="7" t="s">
        <v>1105</v>
      </c>
      <c r="K86" s="7" t="s">
        <v>1094</v>
      </c>
      <c r="L86" s="7" t="s">
        <v>1106</v>
      </c>
      <c r="M86" s="7"/>
      <c r="N86" s="7" t="s">
        <v>1095</v>
      </c>
      <c r="O86" s="7" t="s">
        <v>1095</v>
      </c>
      <c r="P86" s="7" t="s">
        <v>135</v>
      </c>
      <c r="Q86" s="7"/>
      <c r="R86" s="7" t="s">
        <v>109</v>
      </c>
      <c r="S86" s="7" t="s">
        <v>110</v>
      </c>
      <c r="T86" s="7" t="n">
        <v>0.524</v>
      </c>
      <c r="U86" s="7" t="n">
        <v>0</v>
      </c>
      <c r="V86" s="7"/>
      <c r="W86" s="7"/>
      <c r="X86" s="7"/>
      <c r="Y86" s="7"/>
      <c r="Z86" s="7"/>
      <c r="AA86" s="7" t="s">
        <v>572</v>
      </c>
      <c r="AB86" s="7" t="s">
        <v>573</v>
      </c>
      <c r="AC86" s="7" t="n">
        <v>0</v>
      </c>
      <c r="AD86" s="7" t="s">
        <v>388</v>
      </c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 t="s">
        <v>1096</v>
      </c>
      <c r="BE86" s="7" t="s">
        <v>575</v>
      </c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</row>
    <row r="87" customFormat="false" ht="15" hidden="false" customHeight="false" outlineLevel="0" collapsed="false">
      <c r="A87" s="7" t="s">
        <v>1107</v>
      </c>
      <c r="B87" s="7" t="s">
        <v>1108</v>
      </c>
      <c r="C87" s="7" t="s">
        <v>1109</v>
      </c>
      <c r="D87" s="7" t="s">
        <v>1092</v>
      </c>
      <c r="E87" s="7" t="s">
        <v>82</v>
      </c>
      <c r="F87" s="7" t="s">
        <v>82</v>
      </c>
      <c r="G87" s="7"/>
      <c r="H87" s="7" t="s">
        <v>207</v>
      </c>
      <c r="I87" s="7" t="s">
        <v>158</v>
      </c>
      <c r="J87" s="7" t="s">
        <v>1110</v>
      </c>
      <c r="K87" s="7" t="s">
        <v>1111</v>
      </c>
      <c r="L87" s="7" t="s">
        <v>106</v>
      </c>
      <c r="M87" s="7"/>
      <c r="N87" s="7" t="s">
        <v>1095</v>
      </c>
      <c r="O87" s="7" t="s">
        <v>1095</v>
      </c>
      <c r="P87" s="7" t="s">
        <v>84</v>
      </c>
      <c r="Q87" s="7"/>
      <c r="R87" s="7" t="s">
        <v>109</v>
      </c>
      <c r="S87" s="7" t="s">
        <v>110</v>
      </c>
      <c r="T87" s="7" t="n">
        <v>0.645</v>
      </c>
      <c r="U87" s="7" t="n">
        <v>2</v>
      </c>
      <c r="V87" s="7" t="s">
        <v>1112</v>
      </c>
      <c r="W87" s="7" t="s">
        <v>1113</v>
      </c>
      <c r="X87" s="7" t="s">
        <v>1114</v>
      </c>
      <c r="Y87" s="7" t="s">
        <v>1115</v>
      </c>
      <c r="Z87" s="7" t="s">
        <v>1116</v>
      </c>
      <c r="AA87" s="7" t="s">
        <v>1117</v>
      </c>
      <c r="AB87" s="7" t="s">
        <v>1118</v>
      </c>
      <c r="AC87" s="7" t="n">
        <v>0</v>
      </c>
      <c r="AD87" s="7" t="s">
        <v>388</v>
      </c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 t="s">
        <v>1119</v>
      </c>
      <c r="BE87" s="7" t="s">
        <v>575</v>
      </c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</row>
    <row r="88" customFormat="false" ht="15" hidden="false" customHeight="false" outlineLevel="0" collapsed="false">
      <c r="A88" s="7" t="s">
        <v>1120</v>
      </c>
      <c r="B88" s="7" t="s">
        <v>1121</v>
      </c>
      <c r="C88" s="7" t="s">
        <v>1122</v>
      </c>
      <c r="D88" s="7" t="s">
        <v>1092</v>
      </c>
      <c r="E88" s="7" t="s">
        <v>82</v>
      </c>
      <c r="F88" s="7" t="s">
        <v>82</v>
      </c>
      <c r="G88" s="7"/>
      <c r="H88" s="7" t="s">
        <v>207</v>
      </c>
      <c r="I88" s="7" t="s">
        <v>158</v>
      </c>
      <c r="J88" s="7" t="s">
        <v>1110</v>
      </c>
      <c r="K88" s="7" t="s">
        <v>1111</v>
      </c>
      <c r="L88" s="7" t="s">
        <v>106</v>
      </c>
      <c r="M88" s="7"/>
      <c r="N88" s="7" t="s">
        <v>1095</v>
      </c>
      <c r="O88" s="7" t="s">
        <v>1095</v>
      </c>
      <c r="P88" s="7" t="s">
        <v>84</v>
      </c>
      <c r="Q88" s="7"/>
      <c r="R88" s="7" t="s">
        <v>109</v>
      </c>
      <c r="S88" s="7" t="s">
        <v>110</v>
      </c>
      <c r="T88" s="7" t="n">
        <v>0.487</v>
      </c>
      <c r="U88" s="7" t="n">
        <v>2</v>
      </c>
      <c r="V88" s="7" t="s">
        <v>1112</v>
      </c>
      <c r="W88" s="7" t="s">
        <v>1113</v>
      </c>
      <c r="X88" s="7" t="s">
        <v>1114</v>
      </c>
      <c r="Y88" s="7" t="s">
        <v>1115</v>
      </c>
      <c r="Z88" s="7" t="s">
        <v>1116</v>
      </c>
      <c r="AA88" s="7" t="s">
        <v>1117</v>
      </c>
      <c r="AB88" s="7" t="s">
        <v>1118</v>
      </c>
      <c r="AC88" s="7" t="n">
        <v>0</v>
      </c>
      <c r="AD88" s="7" t="s">
        <v>388</v>
      </c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 t="s">
        <v>1119</v>
      </c>
      <c r="BE88" s="7" t="s">
        <v>575</v>
      </c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</row>
    <row r="89" customFormat="false" ht="15" hidden="false" customHeight="false" outlineLevel="0" collapsed="false">
      <c r="A89" s="7" t="s">
        <v>1123</v>
      </c>
      <c r="B89" s="7" t="s">
        <v>1124</v>
      </c>
      <c r="C89" s="7" t="s">
        <v>1125</v>
      </c>
      <c r="D89" s="7" t="s">
        <v>1126</v>
      </c>
      <c r="E89" s="7" t="s">
        <v>82</v>
      </c>
      <c r="F89" s="7" t="s">
        <v>82</v>
      </c>
      <c r="G89" s="7"/>
      <c r="H89" s="7" t="s">
        <v>207</v>
      </c>
      <c r="I89" s="7" t="s">
        <v>132</v>
      </c>
      <c r="J89" s="7" t="s">
        <v>1127</v>
      </c>
      <c r="K89" s="7" t="s">
        <v>1128</v>
      </c>
      <c r="L89" s="7" t="s">
        <v>106</v>
      </c>
      <c r="M89" s="7"/>
      <c r="N89" s="7" t="s">
        <v>1129</v>
      </c>
      <c r="O89" s="7" t="s">
        <v>1129</v>
      </c>
      <c r="P89" s="7" t="s">
        <v>135</v>
      </c>
      <c r="Q89" s="7"/>
      <c r="R89" s="7" t="s">
        <v>109</v>
      </c>
      <c r="S89" s="7" t="s">
        <v>110</v>
      </c>
      <c r="T89" s="7" t="n">
        <v>0.434</v>
      </c>
      <c r="U89" s="7" t="n">
        <v>0</v>
      </c>
      <c r="V89" s="7"/>
      <c r="W89" s="7"/>
      <c r="X89" s="7"/>
      <c r="Y89" s="7"/>
      <c r="Z89" s="7"/>
      <c r="AA89" s="7" t="s">
        <v>1086</v>
      </c>
      <c r="AB89" s="7" t="s">
        <v>1087</v>
      </c>
      <c r="AC89" s="7" t="n">
        <v>0</v>
      </c>
      <c r="AD89" s="7" t="s">
        <v>388</v>
      </c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 t="s">
        <v>608</v>
      </c>
      <c r="BE89" s="7" t="s">
        <v>1088</v>
      </c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</row>
    <row r="90" customFormat="false" ht="15" hidden="false" customHeight="false" outlineLevel="0" collapsed="false">
      <c r="A90" s="7" t="s">
        <v>1130</v>
      </c>
      <c r="B90" s="7" t="s">
        <v>1131</v>
      </c>
      <c r="C90" s="7" t="s">
        <v>1132</v>
      </c>
      <c r="D90" s="7" t="s">
        <v>1133</v>
      </c>
      <c r="E90" s="7" t="s">
        <v>82</v>
      </c>
      <c r="F90" s="7" t="s">
        <v>82</v>
      </c>
      <c r="G90" s="7"/>
      <c r="H90" s="7" t="s">
        <v>207</v>
      </c>
      <c r="I90" s="7" t="s">
        <v>158</v>
      </c>
      <c r="J90" s="7" t="s">
        <v>475</v>
      </c>
      <c r="K90" s="7" t="s">
        <v>1094</v>
      </c>
      <c r="L90" s="7" t="s">
        <v>106</v>
      </c>
      <c r="M90" s="7"/>
      <c r="N90" s="7" t="s">
        <v>682</v>
      </c>
      <c r="O90" s="7" t="s">
        <v>682</v>
      </c>
      <c r="P90" s="7" t="s">
        <v>109</v>
      </c>
      <c r="Q90" s="7"/>
      <c r="R90" s="7" t="s">
        <v>109</v>
      </c>
      <c r="S90" s="7" t="s">
        <v>110</v>
      </c>
      <c r="T90" s="7" t="n">
        <v>0.345</v>
      </c>
      <c r="U90" s="7" t="n">
        <v>1</v>
      </c>
      <c r="V90" s="7" t="s">
        <v>86</v>
      </c>
      <c r="W90" s="7" t="s">
        <v>87</v>
      </c>
      <c r="X90" s="7" t="s">
        <v>88</v>
      </c>
      <c r="Y90" s="7" t="s">
        <v>1134</v>
      </c>
      <c r="Z90" s="7"/>
      <c r="AA90" s="7" t="s">
        <v>572</v>
      </c>
      <c r="AB90" s="7" t="s">
        <v>573</v>
      </c>
      <c r="AC90" s="7" t="n">
        <v>0</v>
      </c>
      <c r="AD90" s="7" t="s">
        <v>388</v>
      </c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 t="s">
        <v>1135</v>
      </c>
      <c r="BE90" s="7" t="s">
        <v>575</v>
      </c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</row>
    <row r="91" customFormat="false" ht="15" hidden="false" customHeight="false" outlineLevel="0" collapsed="false">
      <c r="A91" s="7" t="s">
        <v>1136</v>
      </c>
      <c r="B91" s="7" t="s">
        <v>1137</v>
      </c>
      <c r="C91" s="7" t="s">
        <v>1138</v>
      </c>
      <c r="D91" s="7" t="s">
        <v>1139</v>
      </c>
      <c r="E91" s="7" t="s">
        <v>82</v>
      </c>
      <c r="F91" s="7" t="s">
        <v>82</v>
      </c>
      <c r="G91" s="7"/>
      <c r="H91" s="7" t="s">
        <v>207</v>
      </c>
      <c r="I91" s="7" t="s">
        <v>1140</v>
      </c>
      <c r="J91" s="7" t="s">
        <v>475</v>
      </c>
      <c r="K91" s="7" t="s">
        <v>569</v>
      </c>
      <c r="L91" s="7" t="s">
        <v>106</v>
      </c>
      <c r="M91" s="7"/>
      <c r="N91" s="7" t="s">
        <v>1141</v>
      </c>
      <c r="O91" s="7" t="s">
        <v>1141</v>
      </c>
      <c r="P91" s="7" t="s">
        <v>135</v>
      </c>
      <c r="Q91" s="7"/>
      <c r="R91" s="7" t="s">
        <v>109</v>
      </c>
      <c r="S91" s="7" t="s">
        <v>110</v>
      </c>
      <c r="T91" s="7" t="n">
        <v>0.385</v>
      </c>
      <c r="U91" s="7" t="n">
        <v>0</v>
      </c>
      <c r="V91" s="7"/>
      <c r="W91" s="7"/>
      <c r="X91" s="7"/>
      <c r="Y91" s="7"/>
      <c r="Z91" s="7"/>
      <c r="AA91" s="7" t="s">
        <v>572</v>
      </c>
      <c r="AB91" s="7" t="s">
        <v>573</v>
      </c>
      <c r="AC91" s="7" t="n">
        <v>0</v>
      </c>
      <c r="AD91" s="7" t="s">
        <v>388</v>
      </c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 t="s">
        <v>1142</v>
      </c>
      <c r="BE91" s="7" t="s">
        <v>575</v>
      </c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</row>
    <row r="92" customFormat="false" ht="15" hidden="false" customHeight="false" outlineLevel="0" collapsed="false">
      <c r="A92" s="7" t="s">
        <v>1143</v>
      </c>
      <c r="B92" s="7" t="s">
        <v>1144</v>
      </c>
      <c r="C92" s="7" t="s">
        <v>1145</v>
      </c>
      <c r="D92" s="7" t="s">
        <v>1146</v>
      </c>
      <c r="E92" s="7" t="s">
        <v>82</v>
      </c>
      <c r="F92" s="7" t="s">
        <v>82</v>
      </c>
      <c r="G92" s="7"/>
      <c r="H92" s="7" t="s">
        <v>207</v>
      </c>
      <c r="I92" s="7" t="s">
        <v>103</v>
      </c>
      <c r="J92" s="7" t="s">
        <v>475</v>
      </c>
      <c r="K92" s="7" t="s">
        <v>1147</v>
      </c>
      <c r="L92" s="7" t="s">
        <v>106</v>
      </c>
      <c r="M92" s="7"/>
      <c r="N92" s="7" t="s">
        <v>1148</v>
      </c>
      <c r="O92" s="7" t="s">
        <v>1148</v>
      </c>
      <c r="P92" s="7" t="s">
        <v>135</v>
      </c>
      <c r="Q92" s="7"/>
      <c r="R92" s="7" t="s">
        <v>109</v>
      </c>
      <c r="S92" s="7" t="s">
        <v>110</v>
      </c>
      <c r="T92" s="7" t="n">
        <v>0.34</v>
      </c>
      <c r="U92" s="7" t="n">
        <v>0</v>
      </c>
      <c r="V92" s="7"/>
      <c r="W92" s="7"/>
      <c r="X92" s="7"/>
      <c r="Y92" s="7"/>
      <c r="Z92" s="7" t="s">
        <v>1149</v>
      </c>
      <c r="AA92" s="7" t="s">
        <v>1117</v>
      </c>
      <c r="AB92" s="7" t="s">
        <v>1150</v>
      </c>
      <c r="AC92" s="7" t="n">
        <v>0</v>
      </c>
      <c r="AD92" s="7" t="s">
        <v>388</v>
      </c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 t="s">
        <v>1017</v>
      </c>
      <c r="BE92" s="7" t="s">
        <v>1088</v>
      </c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</row>
    <row r="93" customFormat="false" ht="15" hidden="false" customHeight="false" outlineLevel="0" collapsed="false">
      <c r="A93" s="7" t="s">
        <v>1151</v>
      </c>
      <c r="B93" s="7" t="s">
        <v>1152</v>
      </c>
      <c r="C93" s="7" t="s">
        <v>1153</v>
      </c>
      <c r="D93" s="7" t="s">
        <v>1154</v>
      </c>
      <c r="E93" s="7" t="s">
        <v>82</v>
      </c>
      <c r="F93" s="7" t="s">
        <v>82</v>
      </c>
      <c r="G93" s="7"/>
      <c r="H93" s="7" t="s">
        <v>207</v>
      </c>
      <c r="I93" s="7" t="s">
        <v>103</v>
      </c>
      <c r="J93" s="7" t="s">
        <v>475</v>
      </c>
      <c r="K93" s="7" t="s">
        <v>1147</v>
      </c>
      <c r="L93" s="7" t="s">
        <v>106</v>
      </c>
      <c r="M93" s="7"/>
      <c r="N93" s="7" t="s">
        <v>1155</v>
      </c>
      <c r="O93" s="7" t="s">
        <v>1155</v>
      </c>
      <c r="P93" s="7" t="s">
        <v>109</v>
      </c>
      <c r="Q93" s="7"/>
      <c r="R93" s="7" t="s">
        <v>109</v>
      </c>
      <c r="S93" s="7" t="s">
        <v>110</v>
      </c>
      <c r="T93" s="7" t="n">
        <v>0.474</v>
      </c>
      <c r="U93" s="7" t="n">
        <v>1</v>
      </c>
      <c r="V93" s="7" t="s">
        <v>1156</v>
      </c>
      <c r="W93" s="7" t="s">
        <v>1157</v>
      </c>
      <c r="X93" s="7"/>
      <c r="Y93" s="7" t="s">
        <v>1158</v>
      </c>
      <c r="Z93" s="7"/>
      <c r="AA93" s="7" t="s">
        <v>572</v>
      </c>
      <c r="AB93" s="7" t="s">
        <v>573</v>
      </c>
      <c r="AC93" s="7" t="n">
        <v>0</v>
      </c>
      <c r="AD93" s="7" t="s">
        <v>388</v>
      </c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 t="s">
        <v>488</v>
      </c>
      <c r="BE93" s="7" t="s">
        <v>575</v>
      </c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</row>
    <row r="94" customFormat="false" ht="15" hidden="false" customHeight="false" outlineLevel="0" collapsed="false">
      <c r="A94" s="7" t="s">
        <v>1159</v>
      </c>
      <c r="B94" s="7" t="s">
        <v>1160</v>
      </c>
      <c r="C94" s="7" t="s">
        <v>1161</v>
      </c>
      <c r="D94" s="7" t="s">
        <v>1162</v>
      </c>
      <c r="E94" s="7" t="s">
        <v>82</v>
      </c>
      <c r="F94" s="7" t="s">
        <v>82</v>
      </c>
      <c r="G94" s="7" t="s">
        <v>83</v>
      </c>
      <c r="H94" s="7" t="s">
        <v>1100</v>
      </c>
      <c r="I94" s="7" t="s">
        <v>158</v>
      </c>
      <c r="J94" s="7" t="s">
        <v>475</v>
      </c>
      <c r="K94" s="7" t="s">
        <v>569</v>
      </c>
      <c r="L94" s="7" t="s">
        <v>106</v>
      </c>
      <c r="M94" s="7"/>
      <c r="N94" s="7" t="s">
        <v>1163</v>
      </c>
      <c r="O94" s="7" t="s">
        <v>1163</v>
      </c>
      <c r="P94" s="7" t="s">
        <v>135</v>
      </c>
      <c r="Q94" s="7"/>
      <c r="R94" s="7" t="s">
        <v>109</v>
      </c>
      <c r="S94" s="7" t="s">
        <v>110</v>
      </c>
      <c r="T94" s="7" t="n">
        <v>0.553</v>
      </c>
      <c r="U94" s="7" t="n">
        <v>0</v>
      </c>
      <c r="V94" s="7"/>
      <c r="W94" s="7"/>
      <c r="X94" s="7"/>
      <c r="Y94" s="7"/>
      <c r="Z94" s="7"/>
      <c r="AA94" s="7" t="s">
        <v>1164</v>
      </c>
      <c r="AB94" s="7" t="s">
        <v>1165</v>
      </c>
      <c r="AC94" s="7" t="n">
        <v>0</v>
      </c>
      <c r="AD94" s="7" t="s">
        <v>388</v>
      </c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 t="s">
        <v>1142</v>
      </c>
      <c r="BE94" s="7" t="s">
        <v>575</v>
      </c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</row>
    <row r="95" customFormat="false" ht="15" hidden="false" customHeight="false" outlineLevel="0" collapsed="false">
      <c r="A95" s="7" t="s">
        <v>1166</v>
      </c>
      <c r="B95" s="7" t="s">
        <v>1167</v>
      </c>
      <c r="C95" s="7" t="s">
        <v>1168</v>
      </c>
      <c r="D95" s="7" t="s">
        <v>1146</v>
      </c>
      <c r="E95" s="7" t="s">
        <v>82</v>
      </c>
      <c r="F95" s="7" t="s">
        <v>82</v>
      </c>
      <c r="G95" s="7"/>
      <c r="H95" s="7" t="s">
        <v>1100</v>
      </c>
      <c r="I95" s="7" t="s">
        <v>1140</v>
      </c>
      <c r="J95" s="7" t="s">
        <v>475</v>
      </c>
      <c r="K95" s="7" t="s">
        <v>1147</v>
      </c>
      <c r="L95" s="7" t="s">
        <v>106</v>
      </c>
      <c r="M95" s="7"/>
      <c r="N95" s="7" t="s">
        <v>1148</v>
      </c>
      <c r="O95" s="7" t="s">
        <v>1148</v>
      </c>
      <c r="P95" s="7" t="s">
        <v>135</v>
      </c>
      <c r="Q95" s="7"/>
      <c r="R95" s="7" t="s">
        <v>109</v>
      </c>
      <c r="S95" s="7" t="s">
        <v>110</v>
      </c>
      <c r="T95" s="7" t="n">
        <v>0.479</v>
      </c>
      <c r="U95" s="7" t="n">
        <v>0</v>
      </c>
      <c r="V95" s="7"/>
      <c r="W95" s="7"/>
      <c r="X95" s="7"/>
      <c r="Y95" s="7"/>
      <c r="Z95" s="7" t="s">
        <v>1149</v>
      </c>
      <c r="AA95" s="7" t="s">
        <v>1117</v>
      </c>
      <c r="AB95" s="7" t="s">
        <v>1150</v>
      </c>
      <c r="AC95" s="7" t="n">
        <v>0</v>
      </c>
      <c r="AD95" s="7" t="s">
        <v>388</v>
      </c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 t="s">
        <v>1017</v>
      </c>
      <c r="BE95" s="7" t="s">
        <v>1088</v>
      </c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</row>
    <row r="96" customFormat="false" ht="15" hidden="false" customHeight="false" outlineLevel="0" collapsed="false">
      <c r="A96" s="7" t="s">
        <v>1169</v>
      </c>
      <c r="B96" s="7" t="s">
        <v>1170</v>
      </c>
      <c r="C96" s="7" t="s">
        <v>1171</v>
      </c>
      <c r="D96" s="7" t="s">
        <v>1133</v>
      </c>
      <c r="E96" s="7" t="s">
        <v>82</v>
      </c>
      <c r="F96" s="7" t="s">
        <v>82</v>
      </c>
      <c r="G96" s="7"/>
      <c r="H96" s="7" t="s">
        <v>207</v>
      </c>
      <c r="I96" s="7" t="s">
        <v>158</v>
      </c>
      <c r="J96" s="7" t="s">
        <v>1172</v>
      </c>
      <c r="K96" s="7" t="s">
        <v>569</v>
      </c>
      <c r="L96" s="7" t="s">
        <v>106</v>
      </c>
      <c r="M96" s="7"/>
      <c r="N96" s="7" t="s">
        <v>682</v>
      </c>
      <c r="O96" s="7" t="s">
        <v>682</v>
      </c>
      <c r="P96" s="7" t="s">
        <v>109</v>
      </c>
      <c r="Q96" s="7"/>
      <c r="R96" s="7" t="s">
        <v>109</v>
      </c>
      <c r="S96" s="7" t="s">
        <v>110</v>
      </c>
      <c r="T96" s="7" t="n">
        <v>0.392</v>
      </c>
      <c r="U96" s="7" t="n">
        <v>1</v>
      </c>
      <c r="V96" s="7" t="s">
        <v>1156</v>
      </c>
      <c r="W96" s="7" t="s">
        <v>1173</v>
      </c>
      <c r="X96" s="7" t="s">
        <v>1174</v>
      </c>
      <c r="Y96" s="7" t="s">
        <v>1175</v>
      </c>
      <c r="Z96" s="7"/>
      <c r="AA96" s="7" t="s">
        <v>572</v>
      </c>
      <c r="AB96" s="7" t="s">
        <v>573</v>
      </c>
      <c r="AC96" s="7" t="n">
        <v>0</v>
      </c>
      <c r="AD96" s="7" t="s">
        <v>388</v>
      </c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 t="s">
        <v>1176</v>
      </c>
      <c r="BE96" s="7" t="s">
        <v>575</v>
      </c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</row>
    <row r="97" customFormat="false" ht="15" hidden="false" customHeight="false" outlineLevel="0" collapsed="false">
      <c r="A97" s="7" t="s">
        <v>1177</v>
      </c>
      <c r="B97" s="7" t="s">
        <v>1178</v>
      </c>
      <c r="C97" s="7" t="s">
        <v>1179</v>
      </c>
      <c r="D97" s="7" t="s">
        <v>1133</v>
      </c>
      <c r="E97" s="7" t="s">
        <v>82</v>
      </c>
      <c r="F97" s="7" t="s">
        <v>82</v>
      </c>
      <c r="G97" s="7"/>
      <c r="H97" s="7" t="s">
        <v>207</v>
      </c>
      <c r="I97" s="7" t="s">
        <v>158</v>
      </c>
      <c r="J97" s="7" t="s">
        <v>1172</v>
      </c>
      <c r="K97" s="7" t="s">
        <v>569</v>
      </c>
      <c r="L97" s="7" t="s">
        <v>106</v>
      </c>
      <c r="M97" s="7"/>
      <c r="N97" s="7" t="s">
        <v>682</v>
      </c>
      <c r="O97" s="7" t="s">
        <v>682</v>
      </c>
      <c r="P97" s="7" t="s">
        <v>109</v>
      </c>
      <c r="Q97" s="7"/>
      <c r="R97" s="7" t="s">
        <v>109</v>
      </c>
      <c r="S97" s="7" t="s">
        <v>110</v>
      </c>
      <c r="T97" s="7" t="n">
        <v>0.396</v>
      </c>
      <c r="U97" s="7" t="n">
        <v>1</v>
      </c>
      <c r="V97" s="7" t="s">
        <v>1156</v>
      </c>
      <c r="W97" s="7" t="s">
        <v>1173</v>
      </c>
      <c r="X97" s="7" t="s">
        <v>1174</v>
      </c>
      <c r="Y97" s="7" t="s">
        <v>1175</v>
      </c>
      <c r="Z97" s="7"/>
      <c r="AA97" s="7" t="s">
        <v>572</v>
      </c>
      <c r="AB97" s="7" t="s">
        <v>573</v>
      </c>
      <c r="AC97" s="7" t="n">
        <v>0</v>
      </c>
      <c r="AD97" s="7" t="s">
        <v>388</v>
      </c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 t="s">
        <v>1176</v>
      </c>
      <c r="BE97" s="7" t="s">
        <v>575</v>
      </c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</row>
    <row r="98" customFormat="false" ht="15" hidden="false" customHeight="false" outlineLevel="0" collapsed="false">
      <c r="A98" s="7" t="s">
        <v>1180</v>
      </c>
      <c r="B98" s="7" t="s">
        <v>1181</v>
      </c>
      <c r="C98" s="7" t="s">
        <v>1182</v>
      </c>
      <c r="D98" s="7" t="s">
        <v>1133</v>
      </c>
      <c r="E98" s="7" t="s">
        <v>82</v>
      </c>
      <c r="F98" s="7" t="s">
        <v>82</v>
      </c>
      <c r="G98" s="7"/>
      <c r="H98" s="7" t="s">
        <v>207</v>
      </c>
      <c r="I98" s="7" t="s">
        <v>158</v>
      </c>
      <c r="J98" s="7" t="s">
        <v>1172</v>
      </c>
      <c r="K98" s="7" t="s">
        <v>569</v>
      </c>
      <c r="L98" s="7" t="s">
        <v>106</v>
      </c>
      <c r="M98" s="7"/>
      <c r="N98" s="7" t="s">
        <v>682</v>
      </c>
      <c r="O98" s="7" t="s">
        <v>682</v>
      </c>
      <c r="P98" s="7" t="s">
        <v>109</v>
      </c>
      <c r="Q98" s="7"/>
      <c r="R98" s="7" t="s">
        <v>109</v>
      </c>
      <c r="S98" s="7" t="s">
        <v>110</v>
      </c>
      <c r="T98" s="7" t="n">
        <v>0.378</v>
      </c>
      <c r="U98" s="7" t="n">
        <v>1</v>
      </c>
      <c r="V98" s="7" t="s">
        <v>1156</v>
      </c>
      <c r="W98" s="7" t="s">
        <v>1173</v>
      </c>
      <c r="X98" s="7" t="s">
        <v>1174</v>
      </c>
      <c r="Y98" s="7" t="s">
        <v>1175</v>
      </c>
      <c r="Z98" s="7"/>
      <c r="AA98" s="7" t="s">
        <v>572</v>
      </c>
      <c r="AB98" s="7" t="s">
        <v>573</v>
      </c>
      <c r="AC98" s="7" t="n">
        <v>0</v>
      </c>
      <c r="AD98" s="7" t="s">
        <v>388</v>
      </c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 t="s">
        <v>1176</v>
      </c>
      <c r="BE98" s="7" t="s">
        <v>575</v>
      </c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</row>
    <row r="99" customFormat="false" ht="15" hidden="false" customHeight="false" outlineLevel="0" collapsed="false">
      <c r="A99" s="7" t="s">
        <v>1183</v>
      </c>
      <c r="B99" s="7" t="s">
        <v>1184</v>
      </c>
      <c r="C99" s="7" t="s">
        <v>1185</v>
      </c>
      <c r="D99" s="7" t="s">
        <v>1133</v>
      </c>
      <c r="E99" s="7" t="s">
        <v>82</v>
      </c>
      <c r="F99" s="7" t="s">
        <v>82</v>
      </c>
      <c r="G99" s="7"/>
      <c r="H99" s="7" t="s">
        <v>207</v>
      </c>
      <c r="I99" s="7" t="s">
        <v>158</v>
      </c>
      <c r="J99" s="7" t="s">
        <v>1172</v>
      </c>
      <c r="K99" s="7" t="s">
        <v>569</v>
      </c>
      <c r="L99" s="7" t="s">
        <v>235</v>
      </c>
      <c r="M99" s="7"/>
      <c r="N99" s="7" t="s">
        <v>682</v>
      </c>
      <c r="O99" s="7" t="s">
        <v>682</v>
      </c>
      <c r="P99" s="7" t="s">
        <v>109</v>
      </c>
      <c r="Q99" s="7"/>
      <c r="R99" s="7" t="s">
        <v>109</v>
      </c>
      <c r="S99" s="7" t="s">
        <v>110</v>
      </c>
      <c r="T99" s="7" t="n">
        <v>0.392</v>
      </c>
      <c r="U99" s="7" t="n">
        <v>1</v>
      </c>
      <c r="V99" s="7" t="s">
        <v>1156</v>
      </c>
      <c r="W99" s="7" t="s">
        <v>1173</v>
      </c>
      <c r="X99" s="7" t="s">
        <v>1174</v>
      </c>
      <c r="Y99" s="7" t="s">
        <v>1175</v>
      </c>
      <c r="Z99" s="7"/>
      <c r="AA99" s="7" t="s">
        <v>572</v>
      </c>
      <c r="AB99" s="7" t="s">
        <v>573</v>
      </c>
      <c r="AC99" s="7" t="n">
        <v>0</v>
      </c>
      <c r="AD99" s="7" t="s">
        <v>388</v>
      </c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 t="s">
        <v>1186</v>
      </c>
      <c r="BE99" s="7" t="s">
        <v>575</v>
      </c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</row>
    <row r="100" customFormat="false" ht="15" hidden="false" customHeight="false" outlineLevel="0" collapsed="false">
      <c r="A100" s="7" t="s">
        <v>1187</v>
      </c>
      <c r="B100" s="7" t="s">
        <v>1188</v>
      </c>
      <c r="C100" s="7" t="s">
        <v>1189</v>
      </c>
      <c r="D100" s="7" t="s">
        <v>1133</v>
      </c>
      <c r="E100" s="7" t="s">
        <v>82</v>
      </c>
      <c r="F100" s="7" t="s">
        <v>82</v>
      </c>
      <c r="G100" s="7"/>
      <c r="H100" s="7" t="s">
        <v>207</v>
      </c>
      <c r="I100" s="7" t="s">
        <v>158</v>
      </c>
      <c r="J100" s="7" t="s">
        <v>1172</v>
      </c>
      <c r="K100" s="7" t="s">
        <v>569</v>
      </c>
      <c r="L100" s="7" t="s">
        <v>106</v>
      </c>
      <c r="M100" s="7"/>
      <c r="N100" s="7" t="s">
        <v>682</v>
      </c>
      <c r="O100" s="7" t="s">
        <v>682</v>
      </c>
      <c r="P100" s="7" t="s">
        <v>109</v>
      </c>
      <c r="Q100" s="7"/>
      <c r="R100" s="7" t="s">
        <v>109</v>
      </c>
      <c r="S100" s="7" t="s">
        <v>110</v>
      </c>
      <c r="T100" s="7" t="n">
        <v>0.443</v>
      </c>
      <c r="U100" s="7" t="n">
        <v>1</v>
      </c>
      <c r="V100" s="7" t="s">
        <v>1156</v>
      </c>
      <c r="W100" s="7" t="s">
        <v>1173</v>
      </c>
      <c r="X100" s="7" t="s">
        <v>1174</v>
      </c>
      <c r="Y100" s="7" t="s">
        <v>1175</v>
      </c>
      <c r="Z100" s="7"/>
      <c r="AA100" s="7" t="s">
        <v>572</v>
      </c>
      <c r="AB100" s="7" t="s">
        <v>573</v>
      </c>
      <c r="AC100" s="7" t="n">
        <v>0</v>
      </c>
      <c r="AD100" s="7" t="s">
        <v>388</v>
      </c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 t="s">
        <v>1176</v>
      </c>
      <c r="BE100" s="7" t="s">
        <v>575</v>
      </c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</row>
    <row r="101" customFormat="false" ht="15" hidden="false" customHeight="false" outlineLevel="0" collapsed="false">
      <c r="A101" s="7" t="s">
        <v>1190</v>
      </c>
      <c r="B101" s="7" t="s">
        <v>1191</v>
      </c>
      <c r="C101" s="7" t="s">
        <v>1192</v>
      </c>
      <c r="D101" s="7" t="s">
        <v>1133</v>
      </c>
      <c r="E101" s="7" t="s">
        <v>82</v>
      </c>
      <c r="F101" s="7" t="s">
        <v>82</v>
      </c>
      <c r="G101" s="7"/>
      <c r="H101" s="7" t="s">
        <v>207</v>
      </c>
      <c r="I101" s="7" t="s">
        <v>158</v>
      </c>
      <c r="J101" s="7" t="s">
        <v>1172</v>
      </c>
      <c r="K101" s="7" t="s">
        <v>569</v>
      </c>
      <c r="L101" s="7" t="s">
        <v>106</v>
      </c>
      <c r="M101" s="7"/>
      <c r="N101" s="7" t="s">
        <v>682</v>
      </c>
      <c r="O101" s="7" t="s">
        <v>682</v>
      </c>
      <c r="P101" s="7" t="s">
        <v>84</v>
      </c>
      <c r="Q101" s="7"/>
      <c r="R101" s="7" t="s">
        <v>109</v>
      </c>
      <c r="S101" s="7" t="s">
        <v>110</v>
      </c>
      <c r="T101" s="7" t="n">
        <v>0.559</v>
      </c>
      <c r="U101" s="7" t="n">
        <v>2</v>
      </c>
      <c r="V101" s="7" t="s">
        <v>1112</v>
      </c>
      <c r="W101" s="7" t="s">
        <v>1193</v>
      </c>
      <c r="X101" s="7" t="s">
        <v>1194</v>
      </c>
      <c r="Y101" s="7" t="s">
        <v>1195</v>
      </c>
      <c r="Z101" s="7"/>
      <c r="AA101" s="7" t="s">
        <v>572</v>
      </c>
      <c r="AB101" s="7" t="s">
        <v>573</v>
      </c>
      <c r="AC101" s="7" t="n">
        <v>0</v>
      </c>
      <c r="AD101" s="7" t="s">
        <v>388</v>
      </c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 t="s">
        <v>1196</v>
      </c>
      <c r="BE101" s="7" t="s">
        <v>575</v>
      </c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</row>
    <row r="102" customFormat="false" ht="15" hidden="false" customHeight="false" outlineLevel="0" collapsed="false">
      <c r="A102" s="7" t="s">
        <v>1197</v>
      </c>
      <c r="B102" s="7" t="s">
        <v>1198</v>
      </c>
      <c r="C102" s="7" t="s">
        <v>1199</v>
      </c>
      <c r="D102" s="7" t="s">
        <v>1162</v>
      </c>
      <c r="E102" s="7" t="s">
        <v>82</v>
      </c>
      <c r="F102" s="7" t="s">
        <v>82</v>
      </c>
      <c r="G102" s="7" t="s">
        <v>83</v>
      </c>
      <c r="H102" s="7" t="s">
        <v>1100</v>
      </c>
      <c r="I102" s="7" t="s">
        <v>158</v>
      </c>
      <c r="J102" s="7" t="s">
        <v>1172</v>
      </c>
      <c r="K102" s="7" t="s">
        <v>569</v>
      </c>
      <c r="L102" s="7" t="s">
        <v>106</v>
      </c>
      <c r="M102" s="7"/>
      <c r="N102" s="7" t="s">
        <v>1163</v>
      </c>
      <c r="O102" s="7" t="s">
        <v>1163</v>
      </c>
      <c r="P102" s="7" t="s">
        <v>109</v>
      </c>
      <c r="Q102" s="7"/>
      <c r="R102" s="7" t="s">
        <v>109</v>
      </c>
      <c r="S102" s="7" t="s">
        <v>110</v>
      </c>
      <c r="T102" s="7" t="n">
        <v>0.458</v>
      </c>
      <c r="U102" s="7" t="n">
        <v>1</v>
      </c>
      <c r="V102" s="7" t="s">
        <v>1156</v>
      </c>
      <c r="W102" s="7" t="s">
        <v>1200</v>
      </c>
      <c r="X102" s="7" t="s">
        <v>1201</v>
      </c>
      <c r="Y102" s="7" t="s">
        <v>1202</v>
      </c>
      <c r="Z102" s="7"/>
      <c r="AA102" s="7" t="s">
        <v>1164</v>
      </c>
      <c r="AB102" s="7" t="s">
        <v>1165</v>
      </c>
      <c r="AC102" s="7" t="n">
        <v>0</v>
      </c>
      <c r="AD102" s="7" t="s">
        <v>388</v>
      </c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 t="s">
        <v>1203</v>
      </c>
      <c r="BE102" s="7" t="s">
        <v>575</v>
      </c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</row>
    <row r="103" customFormat="false" ht="15" hidden="false" customHeight="false" outlineLevel="0" collapsed="false">
      <c r="A103" s="7" t="s">
        <v>1204</v>
      </c>
      <c r="B103" s="7" t="s">
        <v>1205</v>
      </c>
      <c r="C103" s="7" t="s">
        <v>1206</v>
      </c>
      <c r="D103" s="7" t="s">
        <v>1162</v>
      </c>
      <c r="E103" s="7" t="s">
        <v>82</v>
      </c>
      <c r="F103" s="7" t="s">
        <v>82</v>
      </c>
      <c r="G103" s="7" t="s">
        <v>83</v>
      </c>
      <c r="H103" s="7" t="s">
        <v>1100</v>
      </c>
      <c r="I103" s="7" t="s">
        <v>158</v>
      </c>
      <c r="J103" s="7" t="s">
        <v>1172</v>
      </c>
      <c r="K103" s="7" t="s">
        <v>569</v>
      </c>
      <c r="L103" s="7" t="s">
        <v>106</v>
      </c>
      <c r="M103" s="7"/>
      <c r="N103" s="7" t="s">
        <v>1163</v>
      </c>
      <c r="O103" s="7" t="s">
        <v>1163</v>
      </c>
      <c r="P103" s="7" t="s">
        <v>109</v>
      </c>
      <c r="Q103" s="7"/>
      <c r="R103" s="7" t="s">
        <v>109</v>
      </c>
      <c r="S103" s="7" t="s">
        <v>110</v>
      </c>
      <c r="T103" s="7" t="n">
        <v>0.542</v>
      </c>
      <c r="U103" s="7" t="n">
        <v>1</v>
      </c>
      <c r="V103" s="7" t="s">
        <v>1156</v>
      </c>
      <c r="W103" s="7" t="s">
        <v>1200</v>
      </c>
      <c r="X103" s="7" t="s">
        <v>1201</v>
      </c>
      <c r="Y103" s="7" t="s">
        <v>1202</v>
      </c>
      <c r="Z103" s="7"/>
      <c r="AA103" s="7" t="s">
        <v>1164</v>
      </c>
      <c r="AB103" s="7" t="s">
        <v>1165</v>
      </c>
      <c r="AC103" s="7" t="n">
        <v>0</v>
      </c>
      <c r="AD103" s="7" t="s">
        <v>388</v>
      </c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 t="s">
        <v>1203</v>
      </c>
      <c r="BE103" s="7" t="s">
        <v>575</v>
      </c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</row>
    <row r="104" customFormat="false" ht="15" hidden="false" customHeight="false" outlineLevel="0" collapsed="false">
      <c r="A104" s="7" t="s">
        <v>1207</v>
      </c>
      <c r="B104" s="7" t="s">
        <v>1208</v>
      </c>
      <c r="C104" s="7" t="s">
        <v>1209</v>
      </c>
      <c r="D104" s="7" t="s">
        <v>1162</v>
      </c>
      <c r="E104" s="7" t="s">
        <v>82</v>
      </c>
      <c r="F104" s="7" t="s">
        <v>82</v>
      </c>
      <c r="G104" s="7" t="s">
        <v>83</v>
      </c>
      <c r="H104" s="7" t="s">
        <v>1100</v>
      </c>
      <c r="I104" s="7" t="s">
        <v>158</v>
      </c>
      <c r="J104" s="7" t="s">
        <v>1172</v>
      </c>
      <c r="K104" s="7" t="s">
        <v>569</v>
      </c>
      <c r="L104" s="7" t="s">
        <v>106</v>
      </c>
      <c r="M104" s="7"/>
      <c r="N104" s="7" t="s">
        <v>1163</v>
      </c>
      <c r="O104" s="7" t="s">
        <v>1163</v>
      </c>
      <c r="P104" s="7" t="s">
        <v>109</v>
      </c>
      <c r="Q104" s="7"/>
      <c r="R104" s="7" t="s">
        <v>109</v>
      </c>
      <c r="S104" s="7" t="s">
        <v>110</v>
      </c>
      <c r="T104" s="7" t="n">
        <v>0.577</v>
      </c>
      <c r="U104" s="7" t="n">
        <v>1</v>
      </c>
      <c r="V104" s="7" t="s">
        <v>1156</v>
      </c>
      <c r="W104" s="7" t="s">
        <v>1200</v>
      </c>
      <c r="X104" s="7" t="s">
        <v>1201</v>
      </c>
      <c r="Y104" s="7" t="s">
        <v>1202</v>
      </c>
      <c r="Z104" s="7"/>
      <c r="AA104" s="7" t="s">
        <v>1164</v>
      </c>
      <c r="AB104" s="7" t="s">
        <v>1165</v>
      </c>
      <c r="AC104" s="7" t="n">
        <v>0</v>
      </c>
      <c r="AD104" s="7" t="s">
        <v>388</v>
      </c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 t="s">
        <v>1203</v>
      </c>
      <c r="BE104" s="7" t="s">
        <v>575</v>
      </c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</row>
    <row r="105" customFormat="false" ht="15" hidden="false" customHeight="false" outlineLevel="0" collapsed="false">
      <c r="A105" s="7" t="s">
        <v>1210</v>
      </c>
      <c r="B105" s="7" t="s">
        <v>1211</v>
      </c>
      <c r="C105" s="7" t="s">
        <v>1212</v>
      </c>
      <c r="D105" s="7" t="s">
        <v>1162</v>
      </c>
      <c r="E105" s="7" t="s">
        <v>82</v>
      </c>
      <c r="F105" s="7" t="s">
        <v>82</v>
      </c>
      <c r="G105" s="7" t="s">
        <v>83</v>
      </c>
      <c r="H105" s="7" t="s">
        <v>1100</v>
      </c>
      <c r="I105" s="7" t="s">
        <v>158</v>
      </c>
      <c r="J105" s="7" t="s">
        <v>1172</v>
      </c>
      <c r="K105" s="7" t="s">
        <v>569</v>
      </c>
      <c r="L105" s="7" t="s">
        <v>106</v>
      </c>
      <c r="M105" s="7"/>
      <c r="N105" s="7" t="s">
        <v>1163</v>
      </c>
      <c r="O105" s="7" t="s">
        <v>1163</v>
      </c>
      <c r="P105" s="7" t="s">
        <v>109</v>
      </c>
      <c r="Q105" s="7"/>
      <c r="R105" s="7" t="s">
        <v>109</v>
      </c>
      <c r="S105" s="7" t="s">
        <v>110</v>
      </c>
      <c r="T105" s="7" t="n">
        <v>0.675</v>
      </c>
      <c r="U105" s="7" t="n">
        <v>1</v>
      </c>
      <c r="V105" s="7" t="s">
        <v>1156</v>
      </c>
      <c r="W105" s="7" t="s">
        <v>1200</v>
      </c>
      <c r="X105" s="7" t="s">
        <v>1201</v>
      </c>
      <c r="Y105" s="7" t="s">
        <v>1202</v>
      </c>
      <c r="Z105" s="7"/>
      <c r="AA105" s="7" t="s">
        <v>1164</v>
      </c>
      <c r="AB105" s="7" t="s">
        <v>1165</v>
      </c>
      <c r="AC105" s="7" t="n">
        <v>0</v>
      </c>
      <c r="AD105" s="7" t="s">
        <v>388</v>
      </c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 t="s">
        <v>1203</v>
      </c>
      <c r="BE105" s="7" t="s">
        <v>575</v>
      </c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</row>
    <row r="106" customFormat="false" ht="15" hidden="false" customHeight="false" outlineLevel="0" collapsed="false">
      <c r="A106" s="7" t="s">
        <v>1213</v>
      </c>
      <c r="B106" s="7" t="s">
        <v>1214</v>
      </c>
      <c r="C106" s="7" t="s">
        <v>1215</v>
      </c>
      <c r="D106" s="7" t="s">
        <v>100</v>
      </c>
      <c r="E106" s="7" t="s">
        <v>101</v>
      </c>
      <c r="F106" s="7" t="s">
        <v>101</v>
      </c>
      <c r="G106" s="7"/>
      <c r="H106" s="7" t="s">
        <v>102</v>
      </c>
      <c r="I106" s="7" t="s">
        <v>300</v>
      </c>
      <c r="J106" s="7" t="s">
        <v>493</v>
      </c>
      <c r="K106" s="7" t="s">
        <v>476</v>
      </c>
      <c r="L106" s="7" t="s">
        <v>106</v>
      </c>
      <c r="M106" s="7" t="s">
        <v>1216</v>
      </c>
      <c r="N106" s="7" t="s">
        <v>1217</v>
      </c>
      <c r="O106" s="7"/>
      <c r="P106" s="7" t="s">
        <v>135</v>
      </c>
      <c r="Q106" s="7"/>
      <c r="R106" s="7" t="s">
        <v>135</v>
      </c>
      <c r="S106" s="7" t="s">
        <v>136</v>
      </c>
      <c r="T106" s="7" t="n">
        <v>0.694</v>
      </c>
      <c r="U106" s="7" t="n">
        <v>0</v>
      </c>
      <c r="V106" s="7"/>
      <c r="W106" s="7"/>
      <c r="X106" s="7"/>
      <c r="Y106" s="7"/>
      <c r="Z106" s="7"/>
      <c r="AA106" s="7"/>
      <c r="AB106" s="7"/>
      <c r="AC106" s="7" t="n">
        <v>0</v>
      </c>
      <c r="AD106" s="7" t="s">
        <v>388</v>
      </c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 t="s">
        <v>125</v>
      </c>
      <c r="BD106" s="7" t="s">
        <v>1218</v>
      </c>
      <c r="BE106" s="7" t="s">
        <v>127</v>
      </c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</row>
    <row r="107" customFormat="false" ht="15" hidden="false" customHeight="false" outlineLevel="0" collapsed="false">
      <c r="A107" s="7" t="s">
        <v>1219</v>
      </c>
      <c r="B107" s="7" t="s">
        <v>1220</v>
      </c>
      <c r="C107" s="7" t="s">
        <v>1221</v>
      </c>
      <c r="D107" s="7" t="s">
        <v>1222</v>
      </c>
      <c r="E107" s="7"/>
      <c r="F107" s="7" t="s">
        <v>101</v>
      </c>
      <c r="G107" s="7"/>
      <c r="H107" s="7" t="s">
        <v>102</v>
      </c>
      <c r="I107" s="7" t="s">
        <v>374</v>
      </c>
      <c r="J107" s="7" t="s">
        <v>568</v>
      </c>
      <c r="K107" s="7" t="s">
        <v>1078</v>
      </c>
      <c r="L107" s="7" t="s">
        <v>106</v>
      </c>
      <c r="M107" s="7"/>
      <c r="N107" s="7" t="s">
        <v>284</v>
      </c>
      <c r="O107" s="7"/>
      <c r="P107" s="7" t="s">
        <v>135</v>
      </c>
      <c r="Q107" s="7"/>
      <c r="R107" s="7" t="s">
        <v>135</v>
      </c>
      <c r="S107" s="7" t="s">
        <v>136</v>
      </c>
      <c r="T107" s="7" t="n">
        <v>0.683</v>
      </c>
      <c r="U107" s="7" t="n">
        <v>1</v>
      </c>
      <c r="V107" s="7" t="s">
        <v>90</v>
      </c>
      <c r="W107" s="7" t="s">
        <v>282</v>
      </c>
      <c r="X107" s="7" t="s">
        <v>283</v>
      </c>
      <c r="Y107" s="7" t="s">
        <v>281</v>
      </c>
      <c r="Z107" s="7"/>
      <c r="AA107" s="7" t="s">
        <v>572</v>
      </c>
      <c r="AB107" s="7" t="s">
        <v>573</v>
      </c>
      <c r="AC107" s="7" t="n">
        <v>0</v>
      </c>
      <c r="AD107" s="7" t="s">
        <v>388</v>
      </c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 t="s">
        <v>296</v>
      </c>
      <c r="BE107" s="7" t="s">
        <v>1088</v>
      </c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</row>
    <row r="108" customFormat="false" ht="15" hidden="false" customHeight="false" outlineLevel="0" collapsed="false">
      <c r="A108" s="7" t="s">
        <v>1223</v>
      </c>
      <c r="B108" s="7" t="s">
        <v>1224</v>
      </c>
      <c r="C108" s="7" t="s">
        <v>1225</v>
      </c>
      <c r="D108" s="7" t="s">
        <v>1225</v>
      </c>
      <c r="E108" s="7"/>
      <c r="F108" s="7" t="s">
        <v>101</v>
      </c>
      <c r="G108" s="7"/>
      <c r="H108" s="7" t="s">
        <v>102</v>
      </c>
      <c r="I108" s="7" t="s">
        <v>132</v>
      </c>
      <c r="J108" s="7" t="s">
        <v>568</v>
      </c>
      <c r="K108" s="7" t="s">
        <v>1084</v>
      </c>
      <c r="L108" s="7" t="s">
        <v>106</v>
      </c>
      <c r="M108" s="7"/>
      <c r="N108" s="7" t="s">
        <v>1226</v>
      </c>
      <c r="O108" s="7"/>
      <c r="P108" s="7" t="s">
        <v>135</v>
      </c>
      <c r="Q108" s="7"/>
      <c r="R108" s="7"/>
      <c r="S108" s="7"/>
      <c r="T108" s="7"/>
      <c r="U108" s="7" t="n">
        <v>0</v>
      </c>
      <c r="V108" s="7"/>
      <c r="W108" s="7"/>
      <c r="X108" s="7"/>
      <c r="Y108" s="7"/>
      <c r="Z108" s="7"/>
      <c r="AA108" s="7" t="s">
        <v>1086</v>
      </c>
      <c r="AB108" s="7" t="s">
        <v>1087</v>
      </c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 t="s">
        <v>1227</v>
      </c>
      <c r="BE108" s="7" t="s">
        <v>1088</v>
      </c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</row>
    <row r="109" customFormat="false" ht="15" hidden="false" customHeight="false" outlineLevel="0" collapsed="false">
      <c r="A109" s="7" t="s">
        <v>1228</v>
      </c>
      <c r="B109" s="7" t="s">
        <v>1229</v>
      </c>
      <c r="C109" s="7" t="s">
        <v>1230</v>
      </c>
      <c r="D109" s="7" t="s">
        <v>1230</v>
      </c>
      <c r="E109" s="7"/>
      <c r="F109" s="7" t="s">
        <v>101</v>
      </c>
      <c r="G109" s="7"/>
      <c r="H109" s="7" t="s">
        <v>102</v>
      </c>
      <c r="I109" s="7" t="s">
        <v>132</v>
      </c>
      <c r="J109" s="7" t="s">
        <v>568</v>
      </c>
      <c r="K109" s="7" t="s">
        <v>569</v>
      </c>
      <c r="L109" s="7" t="s">
        <v>106</v>
      </c>
      <c r="M109" s="7"/>
      <c r="N109" s="7" t="s">
        <v>1231</v>
      </c>
      <c r="O109" s="7"/>
      <c r="P109" s="7" t="s">
        <v>135</v>
      </c>
      <c r="Q109" s="7"/>
      <c r="R109" s="7" t="s">
        <v>135</v>
      </c>
      <c r="S109" s="7" t="s">
        <v>136</v>
      </c>
      <c r="T109" s="7" t="n">
        <v>0.474</v>
      </c>
      <c r="U109" s="7" t="n">
        <v>2</v>
      </c>
      <c r="V109" s="7" t="s">
        <v>90</v>
      </c>
      <c r="W109" s="7" t="s">
        <v>1232</v>
      </c>
      <c r="X109" s="7" t="s">
        <v>1233</v>
      </c>
      <c r="Y109" s="7" t="s">
        <v>1234</v>
      </c>
      <c r="Z109" s="7"/>
      <c r="AA109" s="7" t="s">
        <v>572</v>
      </c>
      <c r="AB109" s="7" t="s">
        <v>573</v>
      </c>
      <c r="AC109" s="7" t="n">
        <v>6</v>
      </c>
      <c r="AD109" s="7" t="s">
        <v>1235</v>
      </c>
      <c r="AE109" s="7" t="s">
        <v>189</v>
      </c>
      <c r="AF109" s="7" t="s">
        <v>1236</v>
      </c>
      <c r="AG109" s="7" t="s">
        <v>189</v>
      </c>
      <c r="AH109" s="7" t="s">
        <v>1237</v>
      </c>
      <c r="AI109" s="7"/>
      <c r="AJ109" s="7"/>
      <c r="AK109" s="7"/>
      <c r="AL109" s="7"/>
      <c r="AM109" s="7" t="s">
        <v>189</v>
      </c>
      <c r="AN109" s="7" t="s">
        <v>1238</v>
      </c>
      <c r="AO109" s="7" t="s">
        <v>189</v>
      </c>
      <c r="AP109" s="7" t="s">
        <v>1230</v>
      </c>
      <c r="AQ109" s="7" t="s">
        <v>189</v>
      </c>
      <c r="AR109" s="7" t="s">
        <v>1239</v>
      </c>
      <c r="AS109" s="7"/>
      <c r="AT109" s="7"/>
      <c r="AU109" s="7"/>
      <c r="AV109" s="7"/>
      <c r="AW109" s="7" t="s">
        <v>189</v>
      </c>
      <c r="AX109" s="7" t="s">
        <v>1240</v>
      </c>
      <c r="AY109" s="7"/>
      <c r="AZ109" s="7"/>
      <c r="BA109" s="7"/>
      <c r="BB109" s="7"/>
      <c r="BC109" s="7"/>
      <c r="BD109" s="7" t="s">
        <v>1241</v>
      </c>
      <c r="BE109" s="7" t="s">
        <v>1088</v>
      </c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</row>
    <row r="110" customFormat="false" ht="15" hidden="false" customHeight="false" outlineLevel="0" collapsed="false">
      <c r="A110" s="7" t="s">
        <v>1242</v>
      </c>
      <c r="B110" s="7" t="s">
        <v>1243</v>
      </c>
      <c r="C110" s="7" t="s">
        <v>1244</v>
      </c>
      <c r="D110" s="7" t="s">
        <v>1244</v>
      </c>
      <c r="E110" s="7"/>
      <c r="F110" s="7" t="s">
        <v>101</v>
      </c>
      <c r="G110" s="7"/>
      <c r="H110" s="7" t="s">
        <v>102</v>
      </c>
      <c r="I110" s="7" t="s">
        <v>132</v>
      </c>
      <c r="J110" s="7" t="s">
        <v>568</v>
      </c>
      <c r="K110" s="7" t="s">
        <v>569</v>
      </c>
      <c r="L110" s="7" t="s">
        <v>106</v>
      </c>
      <c r="M110" s="7"/>
      <c r="N110" s="7" t="s">
        <v>1245</v>
      </c>
      <c r="O110" s="7"/>
      <c r="P110" s="7" t="s">
        <v>135</v>
      </c>
      <c r="Q110" s="7"/>
      <c r="R110" s="7"/>
      <c r="S110" s="7"/>
      <c r="T110" s="7"/>
      <c r="U110" s="7" t="n">
        <v>0</v>
      </c>
      <c r="V110" s="7"/>
      <c r="W110" s="7"/>
      <c r="X110" s="7"/>
      <c r="Y110" s="7"/>
      <c r="Z110" s="7"/>
      <c r="AA110" s="7" t="s">
        <v>572</v>
      </c>
      <c r="AB110" s="7" t="s">
        <v>573</v>
      </c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 t="s">
        <v>1246</v>
      </c>
      <c r="BE110" s="7" t="s">
        <v>1088</v>
      </c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</row>
    <row r="111" customFormat="false" ht="15" hidden="false" customHeight="false" outlineLevel="0" collapsed="false">
      <c r="A111" s="7" t="s">
        <v>1247</v>
      </c>
      <c r="B111" s="7" t="s">
        <v>1248</v>
      </c>
      <c r="C111" s="7" t="s">
        <v>1249</v>
      </c>
      <c r="D111" s="7" t="s">
        <v>1249</v>
      </c>
      <c r="E111" s="7"/>
      <c r="F111" s="7" t="s">
        <v>101</v>
      </c>
      <c r="G111" s="7"/>
      <c r="H111" s="7" t="s">
        <v>102</v>
      </c>
      <c r="I111" s="7" t="s">
        <v>132</v>
      </c>
      <c r="J111" s="7" t="s">
        <v>568</v>
      </c>
      <c r="K111" s="7" t="s">
        <v>569</v>
      </c>
      <c r="L111" s="7" t="s">
        <v>106</v>
      </c>
      <c r="M111" s="7"/>
      <c r="N111" s="7" t="s">
        <v>1250</v>
      </c>
      <c r="O111" s="7"/>
      <c r="P111" s="7" t="s">
        <v>135</v>
      </c>
      <c r="Q111" s="7"/>
      <c r="R111" s="7"/>
      <c r="S111" s="7"/>
      <c r="T111" s="7"/>
      <c r="U111" s="7" t="n">
        <v>0</v>
      </c>
      <c r="V111" s="7"/>
      <c r="W111" s="7"/>
      <c r="X111" s="7"/>
      <c r="Y111" s="7"/>
      <c r="Z111" s="7"/>
      <c r="AA111" s="7" t="s">
        <v>572</v>
      </c>
      <c r="AB111" s="7" t="s">
        <v>573</v>
      </c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 t="s">
        <v>1251</v>
      </c>
      <c r="BE111" s="7" t="s">
        <v>1252</v>
      </c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</row>
    <row r="112" customFormat="false" ht="15" hidden="false" customHeight="false" outlineLevel="0" collapsed="false">
      <c r="A112" s="7" t="s">
        <v>1253</v>
      </c>
      <c r="B112" s="7" t="s">
        <v>1254</v>
      </c>
      <c r="C112" s="7" t="s">
        <v>1255</v>
      </c>
      <c r="D112" s="7" t="s">
        <v>1256</v>
      </c>
      <c r="E112" s="7"/>
      <c r="F112" s="7" t="s">
        <v>101</v>
      </c>
      <c r="G112" s="7"/>
      <c r="H112" s="7" t="s">
        <v>102</v>
      </c>
      <c r="I112" s="7" t="s">
        <v>132</v>
      </c>
      <c r="J112" s="7" t="s">
        <v>568</v>
      </c>
      <c r="K112" s="7" t="s">
        <v>1084</v>
      </c>
      <c r="L112" s="7" t="s">
        <v>106</v>
      </c>
      <c r="M112" s="7"/>
      <c r="N112" s="7" t="s">
        <v>1257</v>
      </c>
      <c r="O112" s="7"/>
      <c r="P112" s="7" t="s">
        <v>135</v>
      </c>
      <c r="Q112" s="7"/>
      <c r="R112" s="7" t="s">
        <v>135</v>
      </c>
      <c r="S112" s="7" t="s">
        <v>136</v>
      </c>
      <c r="T112" s="7" t="n">
        <v>0.337</v>
      </c>
      <c r="U112" s="7" t="n">
        <v>3</v>
      </c>
      <c r="V112" s="7" t="s">
        <v>90</v>
      </c>
      <c r="W112" s="7"/>
      <c r="X112" s="7" t="s">
        <v>1258</v>
      </c>
      <c r="Y112" s="7" t="s">
        <v>1259</v>
      </c>
      <c r="Z112" s="7"/>
      <c r="AA112" s="7" t="s">
        <v>1086</v>
      </c>
      <c r="AB112" s="7" t="s">
        <v>1087</v>
      </c>
      <c r="AC112" s="7" t="n">
        <v>0</v>
      </c>
      <c r="AD112" s="7" t="s">
        <v>388</v>
      </c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 t="s">
        <v>1260</v>
      </c>
      <c r="BE112" s="7" t="s">
        <v>1088</v>
      </c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</row>
    <row r="113" customFormat="false" ht="15" hidden="false" customHeight="false" outlineLevel="0" collapsed="false">
      <c r="A113" s="7" t="s">
        <v>1261</v>
      </c>
      <c r="B113" s="7" t="s">
        <v>1262</v>
      </c>
      <c r="C113" s="7" t="s">
        <v>1263</v>
      </c>
      <c r="D113" s="7" t="s">
        <v>1263</v>
      </c>
      <c r="E113" s="7"/>
      <c r="F113" s="7" t="s">
        <v>101</v>
      </c>
      <c r="G113" s="7"/>
      <c r="H113" s="7" t="s">
        <v>102</v>
      </c>
      <c r="I113" s="7" t="s">
        <v>132</v>
      </c>
      <c r="J113" s="7" t="s">
        <v>568</v>
      </c>
      <c r="K113" s="7" t="s">
        <v>1084</v>
      </c>
      <c r="L113" s="7" t="s">
        <v>106</v>
      </c>
      <c r="M113" s="7"/>
      <c r="N113" s="7" t="s">
        <v>1264</v>
      </c>
      <c r="O113" s="7"/>
      <c r="P113" s="7" t="s">
        <v>135</v>
      </c>
      <c r="Q113" s="7"/>
      <c r="R113" s="7" t="s">
        <v>135</v>
      </c>
      <c r="S113" s="7" t="s">
        <v>136</v>
      </c>
      <c r="T113" s="7" t="n">
        <v>0.578</v>
      </c>
      <c r="U113" s="7" t="n">
        <v>1</v>
      </c>
      <c r="V113" s="7" t="s">
        <v>90</v>
      </c>
      <c r="W113" s="7" t="s">
        <v>1265</v>
      </c>
      <c r="X113" s="7" t="s">
        <v>980</v>
      </c>
      <c r="Y113" s="7" t="s">
        <v>1264</v>
      </c>
      <c r="Z113" s="7"/>
      <c r="AA113" s="7" t="s">
        <v>1086</v>
      </c>
      <c r="AB113" s="7" t="s">
        <v>1087</v>
      </c>
      <c r="AC113" s="7" t="n">
        <v>6</v>
      </c>
      <c r="AD113" s="7" t="s">
        <v>1235</v>
      </c>
      <c r="AE113" s="7" t="s">
        <v>189</v>
      </c>
      <c r="AF113" s="7" t="s">
        <v>1266</v>
      </c>
      <c r="AG113" s="7" t="s">
        <v>189</v>
      </c>
      <c r="AH113" s="7" t="s">
        <v>1267</v>
      </c>
      <c r="AI113" s="7"/>
      <c r="AJ113" s="7"/>
      <c r="AK113" s="7"/>
      <c r="AL113" s="7"/>
      <c r="AM113" s="7" t="s">
        <v>189</v>
      </c>
      <c r="AN113" s="7" t="s">
        <v>1268</v>
      </c>
      <c r="AO113" s="7" t="s">
        <v>189</v>
      </c>
      <c r="AP113" s="7" t="s">
        <v>1263</v>
      </c>
      <c r="AQ113" s="7" t="s">
        <v>189</v>
      </c>
      <c r="AR113" s="7" t="s">
        <v>1269</v>
      </c>
      <c r="AS113" s="7"/>
      <c r="AT113" s="7"/>
      <c r="AU113" s="7"/>
      <c r="AV113" s="7"/>
      <c r="AW113" s="7" t="s">
        <v>189</v>
      </c>
      <c r="AX113" s="7" t="s">
        <v>1264</v>
      </c>
      <c r="AY113" s="7"/>
      <c r="AZ113" s="7"/>
      <c r="BA113" s="7"/>
      <c r="BB113" s="7"/>
      <c r="BC113" s="7"/>
      <c r="BD113" s="7" t="s">
        <v>1270</v>
      </c>
      <c r="BE113" s="7" t="s">
        <v>1088</v>
      </c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</row>
    <row r="114" customFormat="false" ht="15" hidden="false" customHeight="false" outlineLevel="0" collapsed="false">
      <c r="A114" s="7" t="s">
        <v>1271</v>
      </c>
      <c r="B114" s="7" t="s">
        <v>1272</v>
      </c>
      <c r="C114" s="7" t="s">
        <v>1273</v>
      </c>
      <c r="D114" s="7" t="s">
        <v>1273</v>
      </c>
      <c r="E114" s="7"/>
      <c r="F114" s="7" t="s">
        <v>101</v>
      </c>
      <c r="G114" s="7"/>
      <c r="H114" s="7" t="s">
        <v>102</v>
      </c>
      <c r="I114" s="7" t="s">
        <v>300</v>
      </c>
      <c r="J114" s="7" t="s">
        <v>568</v>
      </c>
      <c r="K114" s="7" t="s">
        <v>1084</v>
      </c>
      <c r="L114" s="7" t="s">
        <v>106</v>
      </c>
      <c r="M114" s="7"/>
      <c r="N114" s="7" t="s">
        <v>1274</v>
      </c>
      <c r="O114" s="7"/>
      <c r="P114" s="7" t="s">
        <v>84</v>
      </c>
      <c r="Q114" s="7"/>
      <c r="R114" s="7" t="s">
        <v>135</v>
      </c>
      <c r="S114" s="7" t="s">
        <v>136</v>
      </c>
      <c r="T114" s="7" t="n">
        <v>0.395</v>
      </c>
      <c r="U114" s="7" t="n">
        <v>3</v>
      </c>
      <c r="V114" s="7" t="s">
        <v>111</v>
      </c>
      <c r="W114" s="7" t="s">
        <v>1275</v>
      </c>
      <c r="X114" s="7" t="s">
        <v>1276</v>
      </c>
      <c r="Y114" s="7" t="s">
        <v>1277</v>
      </c>
      <c r="Z114" s="7"/>
      <c r="AA114" s="7" t="s">
        <v>1086</v>
      </c>
      <c r="AB114" s="7" t="s">
        <v>1087</v>
      </c>
      <c r="AC114" s="7" t="n">
        <v>0</v>
      </c>
      <c r="AD114" s="7" t="s">
        <v>388</v>
      </c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 t="s">
        <v>1278</v>
      </c>
      <c r="BE114" s="7" t="s">
        <v>575</v>
      </c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</row>
    <row r="115" customFormat="false" ht="15" hidden="false" customHeight="false" outlineLevel="0" collapsed="false">
      <c r="A115" s="7" t="s">
        <v>1279</v>
      </c>
      <c r="B115" s="7" t="s">
        <v>1280</v>
      </c>
      <c r="C115" s="7" t="s">
        <v>1281</v>
      </c>
      <c r="D115" s="7" t="s">
        <v>1281</v>
      </c>
      <c r="E115" s="7"/>
      <c r="F115" s="7" t="s">
        <v>101</v>
      </c>
      <c r="G115" s="7"/>
      <c r="H115" s="7" t="s">
        <v>102</v>
      </c>
      <c r="I115" s="7" t="s">
        <v>132</v>
      </c>
      <c r="J115" s="7" t="s">
        <v>568</v>
      </c>
      <c r="K115" s="7" t="s">
        <v>1084</v>
      </c>
      <c r="L115" s="7" t="s">
        <v>106</v>
      </c>
      <c r="M115" s="7"/>
      <c r="N115" s="7" t="s">
        <v>1282</v>
      </c>
      <c r="O115" s="7"/>
      <c r="P115" s="7" t="s">
        <v>135</v>
      </c>
      <c r="Q115" s="7"/>
      <c r="R115" s="7" t="s">
        <v>135</v>
      </c>
      <c r="S115" s="7" t="s">
        <v>136</v>
      </c>
      <c r="T115" s="7" t="n">
        <v>0.419</v>
      </c>
      <c r="U115" s="7" t="n">
        <v>2</v>
      </c>
      <c r="V115" s="7" t="s">
        <v>90</v>
      </c>
      <c r="W115" s="7" t="s">
        <v>1283</v>
      </c>
      <c r="X115" s="7" t="s">
        <v>1284</v>
      </c>
      <c r="Y115" s="7" t="s">
        <v>1285</v>
      </c>
      <c r="Z115" s="7"/>
      <c r="AA115" s="7" t="s">
        <v>1086</v>
      </c>
      <c r="AB115" s="7" t="s">
        <v>1087</v>
      </c>
      <c r="AC115" s="7" t="n">
        <v>0</v>
      </c>
      <c r="AD115" s="7" t="s">
        <v>388</v>
      </c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 t="s">
        <v>1286</v>
      </c>
      <c r="BE115" s="7" t="s">
        <v>575</v>
      </c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</row>
    <row r="116" customFormat="false" ht="15" hidden="false" customHeight="false" outlineLevel="0" collapsed="false">
      <c r="A116" s="7" t="s">
        <v>1287</v>
      </c>
      <c r="B116" s="7" t="s">
        <v>1288</v>
      </c>
      <c r="C116" s="7" t="s">
        <v>1289</v>
      </c>
      <c r="D116" s="7" t="s">
        <v>1289</v>
      </c>
      <c r="E116" s="7"/>
      <c r="F116" s="7" t="s">
        <v>101</v>
      </c>
      <c r="G116" s="7"/>
      <c r="H116" s="7" t="s">
        <v>102</v>
      </c>
      <c r="I116" s="7" t="s">
        <v>132</v>
      </c>
      <c r="J116" s="7" t="s">
        <v>568</v>
      </c>
      <c r="K116" s="7" t="s">
        <v>1084</v>
      </c>
      <c r="L116" s="7" t="s">
        <v>106</v>
      </c>
      <c r="M116" s="7"/>
      <c r="N116" s="7" t="s">
        <v>1290</v>
      </c>
      <c r="O116" s="7"/>
      <c r="P116" s="7" t="s">
        <v>135</v>
      </c>
      <c r="Q116" s="7"/>
      <c r="R116" s="7"/>
      <c r="S116" s="7"/>
      <c r="T116" s="7"/>
      <c r="U116" s="7" t="n">
        <v>0</v>
      </c>
      <c r="V116" s="7"/>
      <c r="W116" s="7"/>
      <c r="X116" s="7"/>
      <c r="Y116" s="7"/>
      <c r="Z116" s="7"/>
      <c r="AA116" s="7" t="s">
        <v>1086</v>
      </c>
      <c r="AB116" s="7" t="s">
        <v>1087</v>
      </c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 t="s">
        <v>1291</v>
      </c>
      <c r="BE116" s="7" t="s">
        <v>1088</v>
      </c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</row>
    <row r="117" customFormat="false" ht="15" hidden="false" customHeight="false" outlineLevel="0" collapsed="false">
      <c r="A117" s="7" t="s">
        <v>1292</v>
      </c>
      <c r="B117" s="7" t="s">
        <v>1293</v>
      </c>
      <c r="C117" s="7" t="s">
        <v>1294</v>
      </c>
      <c r="D117" s="7" t="s">
        <v>1092</v>
      </c>
      <c r="E117" s="7" t="s">
        <v>101</v>
      </c>
      <c r="F117" s="7" t="s">
        <v>101</v>
      </c>
      <c r="G117" s="7"/>
      <c r="H117" s="7" t="s">
        <v>102</v>
      </c>
      <c r="I117" s="7" t="s">
        <v>234</v>
      </c>
      <c r="J117" s="7" t="s">
        <v>1093</v>
      </c>
      <c r="K117" s="7" t="s">
        <v>1094</v>
      </c>
      <c r="L117" s="7" t="s">
        <v>235</v>
      </c>
      <c r="M117" s="7"/>
      <c r="N117" s="7" t="s">
        <v>1095</v>
      </c>
      <c r="O117" s="7" t="s">
        <v>1095</v>
      </c>
      <c r="P117" s="7" t="s">
        <v>135</v>
      </c>
      <c r="Q117" s="7"/>
      <c r="R117" s="7" t="s">
        <v>109</v>
      </c>
      <c r="S117" s="7" t="s">
        <v>110</v>
      </c>
      <c r="T117" s="7" t="n">
        <v>0.301</v>
      </c>
      <c r="U117" s="7" t="n">
        <v>0</v>
      </c>
      <c r="V117" s="7"/>
      <c r="W117" s="7"/>
      <c r="X117" s="7"/>
      <c r="Y117" s="7"/>
      <c r="Z117" s="7"/>
      <c r="AA117" s="7" t="s">
        <v>572</v>
      </c>
      <c r="AB117" s="7" t="s">
        <v>573</v>
      </c>
      <c r="AC117" s="7" t="n">
        <v>0</v>
      </c>
      <c r="AD117" s="7" t="s">
        <v>388</v>
      </c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 t="s">
        <v>1295</v>
      </c>
      <c r="BE117" s="7" t="s">
        <v>575</v>
      </c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</row>
    <row r="118" customFormat="false" ht="15" hidden="false" customHeight="false" outlineLevel="0" collapsed="false">
      <c r="A118" s="7" t="s">
        <v>1296</v>
      </c>
      <c r="B118" s="7" t="s">
        <v>1297</v>
      </c>
      <c r="C118" s="7" t="s">
        <v>1298</v>
      </c>
      <c r="D118" s="7" t="s">
        <v>1299</v>
      </c>
      <c r="E118" s="7"/>
      <c r="F118" s="7" t="s">
        <v>101</v>
      </c>
      <c r="G118" s="7"/>
      <c r="H118" s="7" t="s">
        <v>102</v>
      </c>
      <c r="I118" s="7" t="s">
        <v>234</v>
      </c>
      <c r="J118" s="7" t="s">
        <v>1093</v>
      </c>
      <c r="K118" s="7" t="s">
        <v>1084</v>
      </c>
      <c r="L118" s="7" t="s">
        <v>235</v>
      </c>
      <c r="M118" s="7"/>
      <c r="N118" s="7" t="s">
        <v>1300</v>
      </c>
      <c r="O118" s="7" t="s">
        <v>1300</v>
      </c>
      <c r="P118" s="7" t="s">
        <v>135</v>
      </c>
      <c r="Q118" s="7"/>
      <c r="R118" s="7" t="s">
        <v>109</v>
      </c>
      <c r="S118" s="7" t="s">
        <v>110</v>
      </c>
      <c r="T118" s="7" t="n">
        <v>0.444</v>
      </c>
      <c r="U118" s="7" t="n">
        <v>0</v>
      </c>
      <c r="V118" s="7"/>
      <c r="W118" s="7"/>
      <c r="X118" s="7"/>
      <c r="Y118" s="7"/>
      <c r="Z118" s="7"/>
      <c r="AA118" s="7" t="s">
        <v>1086</v>
      </c>
      <c r="AB118" s="7" t="s">
        <v>1087</v>
      </c>
      <c r="AC118" s="7" t="n">
        <v>0</v>
      </c>
      <c r="AD118" s="7" t="s">
        <v>388</v>
      </c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 t="s">
        <v>1295</v>
      </c>
      <c r="BE118" s="7" t="s">
        <v>1088</v>
      </c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</row>
    <row r="119" customFormat="false" ht="15" hidden="false" customHeight="false" outlineLevel="0" collapsed="false">
      <c r="A119" s="7" t="s">
        <v>1301</v>
      </c>
      <c r="B119" s="7" t="s">
        <v>1302</v>
      </c>
      <c r="C119" s="7" t="s">
        <v>1303</v>
      </c>
      <c r="D119" s="7" t="s">
        <v>1304</v>
      </c>
      <c r="E119" s="7" t="s">
        <v>101</v>
      </c>
      <c r="F119" s="7" t="s">
        <v>101</v>
      </c>
      <c r="G119" s="7"/>
      <c r="H119" s="7" t="s">
        <v>102</v>
      </c>
      <c r="I119" s="7" t="s">
        <v>1104</v>
      </c>
      <c r="J119" s="7" t="s">
        <v>1105</v>
      </c>
      <c r="K119" s="7" t="s">
        <v>1084</v>
      </c>
      <c r="L119" s="7" t="s">
        <v>106</v>
      </c>
      <c r="M119" s="7"/>
      <c r="N119" s="7" t="s">
        <v>1305</v>
      </c>
      <c r="O119" s="7" t="s">
        <v>1305</v>
      </c>
      <c r="P119" s="7" t="s">
        <v>135</v>
      </c>
      <c r="Q119" s="7"/>
      <c r="R119" s="7" t="s">
        <v>109</v>
      </c>
      <c r="S119" s="7" t="s">
        <v>110</v>
      </c>
      <c r="T119" s="7" t="n">
        <v>0.262</v>
      </c>
      <c r="U119" s="7" t="n">
        <v>0</v>
      </c>
      <c r="V119" s="7"/>
      <c r="W119" s="7"/>
      <c r="X119" s="7"/>
      <c r="Y119" s="7"/>
      <c r="Z119" s="7"/>
      <c r="AA119" s="7" t="s">
        <v>1086</v>
      </c>
      <c r="AB119" s="7" t="s">
        <v>1087</v>
      </c>
      <c r="AC119" s="7" t="n">
        <v>0</v>
      </c>
      <c r="AD119" s="7" t="s">
        <v>388</v>
      </c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 t="s">
        <v>1306</v>
      </c>
      <c r="BE119" s="7" t="s">
        <v>1088</v>
      </c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</row>
    <row r="120" customFormat="false" ht="15" hidden="false" customHeight="false" outlineLevel="0" collapsed="false">
      <c r="A120" s="7" t="s">
        <v>1307</v>
      </c>
      <c r="B120" s="7" t="s">
        <v>1308</v>
      </c>
      <c r="C120" s="7" t="s">
        <v>1309</v>
      </c>
      <c r="D120" s="7" t="s">
        <v>1092</v>
      </c>
      <c r="E120" s="7" t="s">
        <v>101</v>
      </c>
      <c r="F120" s="7" t="s">
        <v>101</v>
      </c>
      <c r="G120" s="7"/>
      <c r="H120" s="7" t="s">
        <v>102</v>
      </c>
      <c r="I120" s="7" t="s">
        <v>1104</v>
      </c>
      <c r="J120" s="7" t="s">
        <v>1105</v>
      </c>
      <c r="K120" s="7" t="s">
        <v>1084</v>
      </c>
      <c r="L120" s="7" t="s">
        <v>1106</v>
      </c>
      <c r="M120" s="7"/>
      <c r="N120" s="7" t="s">
        <v>1095</v>
      </c>
      <c r="O120" s="7" t="s">
        <v>1095</v>
      </c>
      <c r="P120" s="7" t="s">
        <v>135</v>
      </c>
      <c r="Q120" s="7"/>
      <c r="R120" s="7" t="s">
        <v>109</v>
      </c>
      <c r="S120" s="7" t="s">
        <v>110</v>
      </c>
      <c r="T120" s="7" t="n">
        <v>0.51</v>
      </c>
      <c r="U120" s="7" t="n">
        <v>0</v>
      </c>
      <c r="V120" s="7"/>
      <c r="W120" s="7"/>
      <c r="X120" s="7"/>
      <c r="Y120" s="7"/>
      <c r="Z120" s="7"/>
      <c r="AA120" s="7" t="s">
        <v>1086</v>
      </c>
      <c r="AB120" s="7" t="s">
        <v>1087</v>
      </c>
      <c r="AC120" s="7" t="n">
        <v>0</v>
      </c>
      <c r="AD120" s="7" t="s">
        <v>388</v>
      </c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 t="s">
        <v>1310</v>
      </c>
      <c r="BE120" s="7" t="s">
        <v>575</v>
      </c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</row>
    <row r="121" customFormat="false" ht="15" hidden="false" customHeight="false" outlineLevel="0" collapsed="false">
      <c r="A121" s="7" t="s">
        <v>1311</v>
      </c>
      <c r="B121" s="7" t="s">
        <v>1312</v>
      </c>
      <c r="C121" s="7" t="s">
        <v>1313</v>
      </c>
      <c r="D121" s="7" t="s">
        <v>1092</v>
      </c>
      <c r="E121" s="7" t="s">
        <v>101</v>
      </c>
      <c r="F121" s="7" t="s">
        <v>101</v>
      </c>
      <c r="G121" s="7"/>
      <c r="H121" s="7" t="s">
        <v>102</v>
      </c>
      <c r="I121" s="7" t="s">
        <v>1104</v>
      </c>
      <c r="J121" s="7" t="s">
        <v>1105</v>
      </c>
      <c r="K121" s="7" t="s">
        <v>1094</v>
      </c>
      <c r="L121" s="7" t="s">
        <v>1106</v>
      </c>
      <c r="M121" s="7"/>
      <c r="N121" s="7" t="s">
        <v>1095</v>
      </c>
      <c r="O121" s="7" t="s">
        <v>1095</v>
      </c>
      <c r="P121" s="7" t="s">
        <v>135</v>
      </c>
      <c r="Q121" s="7"/>
      <c r="R121" s="7" t="s">
        <v>109</v>
      </c>
      <c r="S121" s="7" t="s">
        <v>110</v>
      </c>
      <c r="T121" s="7" t="n">
        <v>0.336</v>
      </c>
      <c r="U121" s="7" t="n">
        <v>0</v>
      </c>
      <c r="V121" s="7"/>
      <c r="W121" s="7"/>
      <c r="X121" s="7"/>
      <c r="Y121" s="7"/>
      <c r="Z121" s="7"/>
      <c r="AA121" s="7" t="s">
        <v>572</v>
      </c>
      <c r="AB121" s="7" t="s">
        <v>573</v>
      </c>
      <c r="AC121" s="7" t="n">
        <v>0</v>
      </c>
      <c r="AD121" s="7" t="s">
        <v>388</v>
      </c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 t="s">
        <v>1310</v>
      </c>
      <c r="BE121" s="7" t="s">
        <v>575</v>
      </c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</row>
    <row r="122" customFormat="false" ht="15" hidden="false" customHeight="false" outlineLevel="0" collapsed="false">
      <c r="A122" s="7" t="s">
        <v>1314</v>
      </c>
      <c r="B122" s="7" t="s">
        <v>1315</v>
      </c>
      <c r="C122" s="7" t="s">
        <v>1316</v>
      </c>
      <c r="D122" s="7" t="s">
        <v>1092</v>
      </c>
      <c r="E122" s="7"/>
      <c r="F122" s="7" t="s">
        <v>101</v>
      </c>
      <c r="G122" s="7"/>
      <c r="H122" s="7" t="s">
        <v>102</v>
      </c>
      <c r="I122" s="7" t="s">
        <v>1104</v>
      </c>
      <c r="J122" s="7" t="s">
        <v>1105</v>
      </c>
      <c r="K122" s="7" t="s">
        <v>1084</v>
      </c>
      <c r="L122" s="7" t="s">
        <v>1106</v>
      </c>
      <c r="M122" s="7"/>
      <c r="N122" s="7" t="s">
        <v>1095</v>
      </c>
      <c r="O122" s="7" t="s">
        <v>1095</v>
      </c>
      <c r="P122" s="7" t="s">
        <v>135</v>
      </c>
      <c r="Q122" s="7"/>
      <c r="R122" s="7" t="s">
        <v>109</v>
      </c>
      <c r="S122" s="7" t="s">
        <v>110</v>
      </c>
      <c r="T122" s="7" t="n">
        <v>0.444</v>
      </c>
      <c r="U122" s="7" t="n">
        <v>0</v>
      </c>
      <c r="V122" s="7"/>
      <c r="W122" s="7"/>
      <c r="X122" s="7"/>
      <c r="Y122" s="7"/>
      <c r="Z122" s="7"/>
      <c r="AA122" s="7" t="s">
        <v>1086</v>
      </c>
      <c r="AB122" s="7" t="s">
        <v>1087</v>
      </c>
      <c r="AC122" s="7" t="n">
        <v>0</v>
      </c>
      <c r="AD122" s="7" t="s">
        <v>388</v>
      </c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 t="s">
        <v>1310</v>
      </c>
      <c r="BE122" s="7" t="s">
        <v>575</v>
      </c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</row>
    <row r="123" customFormat="false" ht="15" hidden="false" customHeight="false" outlineLevel="0" collapsed="false">
      <c r="A123" s="7" t="s">
        <v>1317</v>
      </c>
      <c r="B123" s="7" t="s">
        <v>1318</v>
      </c>
      <c r="C123" s="7" t="s">
        <v>1319</v>
      </c>
      <c r="D123" s="7" t="s">
        <v>1319</v>
      </c>
      <c r="E123" s="7"/>
      <c r="F123" s="7" t="s">
        <v>156</v>
      </c>
      <c r="G123" s="7"/>
      <c r="H123" s="7" t="s">
        <v>157</v>
      </c>
      <c r="I123" s="7" t="s">
        <v>132</v>
      </c>
      <c r="J123" s="7" t="s">
        <v>159</v>
      </c>
      <c r="K123" s="7" t="s">
        <v>1078</v>
      </c>
      <c r="L123" s="7" t="s">
        <v>106</v>
      </c>
      <c r="M123" s="7"/>
      <c r="N123" s="7" t="s">
        <v>1320</v>
      </c>
      <c r="O123" s="7"/>
      <c r="P123" s="7" t="s">
        <v>135</v>
      </c>
      <c r="Q123" s="7"/>
      <c r="R123" s="7" t="s">
        <v>135</v>
      </c>
      <c r="S123" s="7" t="s">
        <v>136</v>
      </c>
      <c r="T123" s="7" t="n">
        <v>0.367</v>
      </c>
      <c r="U123" s="7" t="n">
        <v>0</v>
      </c>
      <c r="V123" s="7"/>
      <c r="W123" s="7"/>
      <c r="X123" s="7"/>
      <c r="Y123" s="7"/>
      <c r="Z123" s="7"/>
      <c r="AA123" s="7" t="s">
        <v>572</v>
      </c>
      <c r="AB123" s="7" t="s">
        <v>573</v>
      </c>
      <c r="AC123" s="7" t="n">
        <v>3</v>
      </c>
      <c r="AD123" s="7" t="s">
        <v>1321</v>
      </c>
      <c r="AE123" s="7"/>
      <c r="AF123" s="7"/>
      <c r="AG123" s="7" t="s">
        <v>115</v>
      </c>
      <c r="AH123" s="7"/>
      <c r="AI123" s="7" t="s">
        <v>115</v>
      </c>
      <c r="AJ123" s="7"/>
      <c r="AK123" s="7" t="s">
        <v>115</v>
      </c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 t="s">
        <v>707</v>
      </c>
      <c r="BD123" s="7" t="s">
        <v>1322</v>
      </c>
      <c r="BE123" s="7" t="s">
        <v>575</v>
      </c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</row>
    <row r="124" customFormat="false" ht="15" hidden="false" customHeight="false" outlineLevel="0" collapsed="false">
      <c r="A124" s="7" t="s">
        <v>1323</v>
      </c>
      <c r="B124" s="7" t="s">
        <v>1324</v>
      </c>
      <c r="C124" s="7" t="s">
        <v>1325</v>
      </c>
      <c r="D124" s="7" t="s">
        <v>1325</v>
      </c>
      <c r="E124" s="7"/>
      <c r="F124" s="7" t="s">
        <v>156</v>
      </c>
      <c r="G124" s="7"/>
      <c r="H124" s="7" t="s">
        <v>157</v>
      </c>
      <c r="I124" s="7" t="s">
        <v>132</v>
      </c>
      <c r="J124" s="7" t="s">
        <v>159</v>
      </c>
      <c r="K124" s="7" t="s">
        <v>1078</v>
      </c>
      <c r="L124" s="7" t="s">
        <v>106</v>
      </c>
      <c r="M124" s="7"/>
      <c r="N124" s="7" t="s">
        <v>1326</v>
      </c>
      <c r="O124" s="7"/>
      <c r="P124" s="7" t="s">
        <v>135</v>
      </c>
      <c r="Q124" s="7"/>
      <c r="R124" s="7" t="s">
        <v>135</v>
      </c>
      <c r="S124" s="7" t="s">
        <v>136</v>
      </c>
      <c r="T124" s="7" t="n">
        <v>0.379</v>
      </c>
      <c r="U124" s="7" t="n">
        <v>0</v>
      </c>
      <c r="V124" s="7"/>
      <c r="W124" s="7"/>
      <c r="X124" s="7"/>
      <c r="Y124" s="7"/>
      <c r="Z124" s="7"/>
      <c r="AA124" s="7" t="s">
        <v>572</v>
      </c>
      <c r="AB124" s="7" t="s">
        <v>573</v>
      </c>
      <c r="AC124" s="7" t="n">
        <v>11</v>
      </c>
      <c r="AD124" s="7" t="s">
        <v>1327</v>
      </c>
      <c r="AE124" s="7" t="s">
        <v>166</v>
      </c>
      <c r="AF124" s="7" t="s">
        <v>1328</v>
      </c>
      <c r="AG124" s="7" t="s">
        <v>115</v>
      </c>
      <c r="AH124" s="7"/>
      <c r="AI124" s="7" t="s">
        <v>166</v>
      </c>
      <c r="AJ124" s="7" t="s">
        <v>1329</v>
      </c>
      <c r="AK124" s="7" t="s">
        <v>115</v>
      </c>
      <c r="AL124" s="7"/>
      <c r="AM124" s="7" t="s">
        <v>166</v>
      </c>
      <c r="AN124" s="7" t="s">
        <v>1330</v>
      </c>
      <c r="AO124" s="7" t="s">
        <v>166</v>
      </c>
      <c r="AP124" s="7" t="s">
        <v>1325</v>
      </c>
      <c r="AQ124" s="7"/>
      <c r="AR124" s="7"/>
      <c r="AS124" s="7" t="s">
        <v>166</v>
      </c>
      <c r="AT124" s="7" t="s">
        <v>1331</v>
      </c>
      <c r="AU124" s="7" t="s">
        <v>166</v>
      </c>
      <c r="AV124" s="7" t="s">
        <v>1332</v>
      </c>
      <c r="AW124" s="7" t="s">
        <v>166</v>
      </c>
      <c r="AX124" s="7" t="s">
        <v>1333</v>
      </c>
      <c r="AY124" s="7" t="s">
        <v>166</v>
      </c>
      <c r="AZ124" s="7" t="s">
        <v>1334</v>
      </c>
      <c r="BA124" s="7" t="s">
        <v>166</v>
      </c>
      <c r="BB124" s="7" t="s">
        <v>1335</v>
      </c>
      <c r="BC124" s="7" t="s">
        <v>707</v>
      </c>
      <c r="BD124" s="7" t="s">
        <v>1336</v>
      </c>
      <c r="BE124" s="7" t="s">
        <v>1088</v>
      </c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</row>
    <row r="125" customFormat="false" ht="15" hidden="false" customHeight="false" outlineLevel="0" collapsed="false">
      <c r="A125" s="7" t="s">
        <v>1337</v>
      </c>
      <c r="B125" s="7" t="s">
        <v>1338</v>
      </c>
      <c r="C125" s="7" t="s">
        <v>1339</v>
      </c>
      <c r="D125" s="7" t="s">
        <v>1340</v>
      </c>
      <c r="E125" s="7" t="s">
        <v>101</v>
      </c>
      <c r="F125" s="7" t="s">
        <v>101</v>
      </c>
      <c r="G125" s="7"/>
      <c r="H125" s="7" t="s">
        <v>102</v>
      </c>
      <c r="I125" s="7" t="s">
        <v>158</v>
      </c>
      <c r="J125" s="7" t="s">
        <v>1341</v>
      </c>
      <c r="K125" s="7" t="s">
        <v>1111</v>
      </c>
      <c r="L125" s="7" t="s">
        <v>106</v>
      </c>
      <c r="M125" s="7"/>
      <c r="N125" s="7" t="s">
        <v>1342</v>
      </c>
      <c r="O125" s="7" t="s">
        <v>1342</v>
      </c>
      <c r="P125" s="7" t="s">
        <v>135</v>
      </c>
      <c r="Q125" s="7"/>
      <c r="R125" s="7" t="s">
        <v>109</v>
      </c>
      <c r="S125" s="7" t="s">
        <v>110</v>
      </c>
      <c r="T125" s="7" t="n">
        <v>0.414</v>
      </c>
      <c r="U125" s="7" t="n">
        <v>0</v>
      </c>
      <c r="V125" s="7"/>
      <c r="W125" s="7"/>
      <c r="X125" s="7"/>
      <c r="Y125" s="7"/>
      <c r="Z125" s="7" t="s">
        <v>1116</v>
      </c>
      <c r="AA125" s="7" t="s">
        <v>1117</v>
      </c>
      <c r="AB125" s="7" t="s">
        <v>1118</v>
      </c>
      <c r="AC125" s="7" t="n">
        <v>0</v>
      </c>
      <c r="AD125" s="7" t="s">
        <v>388</v>
      </c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 t="s">
        <v>1343</v>
      </c>
      <c r="BE125" s="7" t="s">
        <v>575</v>
      </c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</row>
    <row r="126" customFormat="false" ht="15" hidden="false" customHeight="false" outlineLevel="0" collapsed="false">
      <c r="A126" s="7" t="s">
        <v>1344</v>
      </c>
      <c r="B126" s="7" t="s">
        <v>1345</v>
      </c>
      <c r="C126" s="7" t="s">
        <v>1346</v>
      </c>
      <c r="D126" s="7" t="s">
        <v>1340</v>
      </c>
      <c r="E126" s="7" t="s">
        <v>101</v>
      </c>
      <c r="F126" s="7" t="s">
        <v>101</v>
      </c>
      <c r="G126" s="7"/>
      <c r="H126" s="7" t="s">
        <v>102</v>
      </c>
      <c r="I126" s="7" t="s">
        <v>158</v>
      </c>
      <c r="J126" s="7" t="s">
        <v>1341</v>
      </c>
      <c r="K126" s="7" t="s">
        <v>1111</v>
      </c>
      <c r="L126" s="7" t="s">
        <v>106</v>
      </c>
      <c r="M126" s="7"/>
      <c r="N126" s="7" t="s">
        <v>1342</v>
      </c>
      <c r="O126" s="7" t="s">
        <v>1342</v>
      </c>
      <c r="P126" s="7" t="s">
        <v>135</v>
      </c>
      <c r="Q126" s="7"/>
      <c r="R126" s="7" t="s">
        <v>109</v>
      </c>
      <c r="S126" s="7" t="s">
        <v>110</v>
      </c>
      <c r="T126" s="7" t="n">
        <v>0.43</v>
      </c>
      <c r="U126" s="7" t="n">
        <v>0</v>
      </c>
      <c r="V126" s="7"/>
      <c r="W126" s="7"/>
      <c r="X126" s="7"/>
      <c r="Y126" s="7"/>
      <c r="Z126" s="7" t="s">
        <v>1116</v>
      </c>
      <c r="AA126" s="7" t="s">
        <v>1117</v>
      </c>
      <c r="AB126" s="7" t="s">
        <v>1118</v>
      </c>
      <c r="AC126" s="7" t="n">
        <v>0</v>
      </c>
      <c r="AD126" s="7" t="s">
        <v>388</v>
      </c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 t="s">
        <v>1343</v>
      </c>
      <c r="BE126" s="7" t="s">
        <v>575</v>
      </c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</row>
    <row r="127" customFormat="false" ht="15" hidden="false" customHeight="false" outlineLevel="0" collapsed="false">
      <c r="A127" s="7" t="s">
        <v>1347</v>
      </c>
      <c r="B127" s="7" t="s">
        <v>1348</v>
      </c>
      <c r="C127" s="7" t="s">
        <v>1349</v>
      </c>
      <c r="D127" s="7" t="s">
        <v>1340</v>
      </c>
      <c r="E127" s="7" t="s">
        <v>101</v>
      </c>
      <c r="F127" s="7" t="s">
        <v>101</v>
      </c>
      <c r="G127" s="7"/>
      <c r="H127" s="7" t="s">
        <v>102</v>
      </c>
      <c r="I127" s="7" t="s">
        <v>158</v>
      </c>
      <c r="J127" s="7" t="s">
        <v>1341</v>
      </c>
      <c r="K127" s="7" t="s">
        <v>569</v>
      </c>
      <c r="L127" s="7" t="s">
        <v>235</v>
      </c>
      <c r="M127" s="7"/>
      <c r="N127" s="7" t="s">
        <v>1342</v>
      </c>
      <c r="O127" s="7" t="s">
        <v>1342</v>
      </c>
      <c r="P127" s="7" t="s">
        <v>135</v>
      </c>
      <c r="Q127" s="7"/>
      <c r="R127" s="7" t="s">
        <v>109</v>
      </c>
      <c r="S127" s="7" t="s">
        <v>110</v>
      </c>
      <c r="T127" s="7" t="n">
        <v>0.398</v>
      </c>
      <c r="U127" s="7" t="n">
        <v>0</v>
      </c>
      <c r="V127" s="7"/>
      <c r="W127" s="7"/>
      <c r="X127" s="7"/>
      <c r="Y127" s="7"/>
      <c r="Z127" s="7" t="s">
        <v>1116</v>
      </c>
      <c r="AA127" s="7" t="s">
        <v>1117</v>
      </c>
      <c r="AB127" s="7" t="s">
        <v>1118</v>
      </c>
      <c r="AC127" s="7" t="n">
        <v>0</v>
      </c>
      <c r="AD127" s="7" t="s">
        <v>388</v>
      </c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 t="s">
        <v>1343</v>
      </c>
      <c r="BE127" s="7" t="s">
        <v>575</v>
      </c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</row>
    <row r="128" customFormat="false" ht="15" hidden="false" customHeight="false" outlineLevel="0" collapsed="false">
      <c r="A128" s="7" t="s">
        <v>1350</v>
      </c>
      <c r="B128" s="7" t="s">
        <v>1351</v>
      </c>
      <c r="C128" s="7" t="s">
        <v>1352</v>
      </c>
      <c r="D128" s="7" t="s">
        <v>1353</v>
      </c>
      <c r="E128" s="7" t="s">
        <v>101</v>
      </c>
      <c r="F128" s="7" t="s">
        <v>101</v>
      </c>
      <c r="G128" s="7"/>
      <c r="H128" s="7" t="s">
        <v>102</v>
      </c>
      <c r="I128" s="7" t="s">
        <v>1140</v>
      </c>
      <c r="J128" s="7" t="s">
        <v>1354</v>
      </c>
      <c r="K128" s="7" t="s">
        <v>1111</v>
      </c>
      <c r="L128" s="7" t="s">
        <v>106</v>
      </c>
      <c r="M128" s="7"/>
      <c r="N128" s="7" t="s">
        <v>1355</v>
      </c>
      <c r="O128" s="7" t="s">
        <v>1355</v>
      </c>
      <c r="P128" s="7" t="s">
        <v>135</v>
      </c>
      <c r="Q128" s="7"/>
      <c r="R128" s="7" t="s">
        <v>109</v>
      </c>
      <c r="S128" s="7" t="s">
        <v>110</v>
      </c>
      <c r="T128" s="7" t="n">
        <v>0.466</v>
      </c>
      <c r="U128" s="7" t="n">
        <v>0</v>
      </c>
      <c r="V128" s="7"/>
      <c r="W128" s="7"/>
      <c r="X128" s="7"/>
      <c r="Y128" s="7"/>
      <c r="Z128" s="7"/>
      <c r="AA128" s="7" t="s">
        <v>572</v>
      </c>
      <c r="AB128" s="7" t="s">
        <v>573</v>
      </c>
      <c r="AC128" s="7" t="n">
        <v>0</v>
      </c>
      <c r="AD128" s="7" t="s">
        <v>388</v>
      </c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 t="s">
        <v>1356</v>
      </c>
      <c r="BE128" s="7" t="s">
        <v>1088</v>
      </c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</row>
    <row r="129" customFormat="false" ht="15" hidden="false" customHeight="false" outlineLevel="0" collapsed="false">
      <c r="A129" s="7" t="s">
        <v>1357</v>
      </c>
      <c r="B129" s="7" t="s">
        <v>1358</v>
      </c>
      <c r="C129" s="7" t="s">
        <v>1359</v>
      </c>
      <c r="D129" s="7" t="s">
        <v>1360</v>
      </c>
      <c r="E129" s="7" t="s">
        <v>101</v>
      </c>
      <c r="F129" s="7" t="s">
        <v>101</v>
      </c>
      <c r="G129" s="7"/>
      <c r="H129" s="7" t="s">
        <v>102</v>
      </c>
      <c r="I129" s="7" t="s">
        <v>1140</v>
      </c>
      <c r="J129" s="7" t="s">
        <v>1354</v>
      </c>
      <c r="K129" s="7" t="s">
        <v>1128</v>
      </c>
      <c r="L129" s="7" t="s">
        <v>106</v>
      </c>
      <c r="M129" s="7"/>
      <c r="N129" s="7" t="s">
        <v>1361</v>
      </c>
      <c r="O129" s="7" t="s">
        <v>1361</v>
      </c>
      <c r="P129" s="7" t="s">
        <v>135</v>
      </c>
      <c r="Q129" s="7"/>
      <c r="R129" s="7" t="s">
        <v>109</v>
      </c>
      <c r="S129" s="7" t="s">
        <v>110</v>
      </c>
      <c r="T129" s="7" t="n">
        <v>0.231</v>
      </c>
      <c r="U129" s="7" t="n">
        <v>0</v>
      </c>
      <c r="V129" s="7"/>
      <c r="W129" s="7"/>
      <c r="X129" s="7"/>
      <c r="Y129" s="7"/>
      <c r="Z129" s="7"/>
      <c r="AA129" s="7" t="s">
        <v>1086</v>
      </c>
      <c r="AB129" s="7" t="s">
        <v>1087</v>
      </c>
      <c r="AC129" s="7" t="n">
        <v>0</v>
      </c>
      <c r="AD129" s="7" t="s">
        <v>388</v>
      </c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 t="s">
        <v>1356</v>
      </c>
      <c r="BE129" s="7" t="s">
        <v>1252</v>
      </c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</row>
    <row r="130" customFormat="false" ht="15" hidden="false" customHeight="false" outlineLevel="0" collapsed="false">
      <c r="A130" s="7" t="s">
        <v>1362</v>
      </c>
      <c r="B130" s="7" t="s">
        <v>1363</v>
      </c>
      <c r="C130" s="7" t="s">
        <v>1364</v>
      </c>
      <c r="D130" s="7" t="s">
        <v>1126</v>
      </c>
      <c r="E130" s="7" t="s">
        <v>101</v>
      </c>
      <c r="F130" s="7" t="s">
        <v>101</v>
      </c>
      <c r="G130" s="7"/>
      <c r="H130" s="7" t="s">
        <v>102</v>
      </c>
      <c r="I130" s="7" t="s">
        <v>132</v>
      </c>
      <c r="J130" s="7" t="s">
        <v>1127</v>
      </c>
      <c r="K130" s="7" t="s">
        <v>1128</v>
      </c>
      <c r="L130" s="7" t="s">
        <v>106</v>
      </c>
      <c r="M130" s="7"/>
      <c r="N130" s="7" t="s">
        <v>1129</v>
      </c>
      <c r="O130" s="7" t="s">
        <v>1129</v>
      </c>
      <c r="P130" s="7" t="s">
        <v>135</v>
      </c>
      <c r="Q130" s="7"/>
      <c r="R130" s="7" t="s">
        <v>109</v>
      </c>
      <c r="S130" s="7" t="s">
        <v>110</v>
      </c>
      <c r="T130" s="7" t="n">
        <v>0.265</v>
      </c>
      <c r="U130" s="7" t="n">
        <v>0</v>
      </c>
      <c r="V130" s="7"/>
      <c r="W130" s="7"/>
      <c r="X130" s="7"/>
      <c r="Y130" s="7"/>
      <c r="Z130" s="7"/>
      <c r="AA130" s="7" t="s">
        <v>1086</v>
      </c>
      <c r="AB130" s="7" t="s">
        <v>1087</v>
      </c>
      <c r="AC130" s="7" t="n">
        <v>0</v>
      </c>
      <c r="AD130" s="7" t="s">
        <v>388</v>
      </c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 t="s">
        <v>1088</v>
      </c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</row>
    <row r="131" customFormat="false" ht="15" hidden="false" customHeight="false" outlineLevel="0" collapsed="false">
      <c r="A131" s="7" t="s">
        <v>1365</v>
      </c>
      <c r="B131" s="7" t="s">
        <v>1366</v>
      </c>
      <c r="C131" s="7" t="s">
        <v>1367</v>
      </c>
      <c r="D131" s="7" t="s">
        <v>1126</v>
      </c>
      <c r="E131" s="7" t="s">
        <v>101</v>
      </c>
      <c r="F131" s="7" t="s">
        <v>101</v>
      </c>
      <c r="G131" s="7"/>
      <c r="H131" s="7" t="s">
        <v>102</v>
      </c>
      <c r="I131" s="7" t="s">
        <v>132</v>
      </c>
      <c r="J131" s="7" t="s">
        <v>1127</v>
      </c>
      <c r="K131" s="7" t="s">
        <v>1128</v>
      </c>
      <c r="L131" s="7" t="s">
        <v>106</v>
      </c>
      <c r="M131" s="7"/>
      <c r="N131" s="7" t="s">
        <v>1129</v>
      </c>
      <c r="O131" s="7" t="s">
        <v>1129</v>
      </c>
      <c r="P131" s="7" t="s">
        <v>135</v>
      </c>
      <c r="Q131" s="7"/>
      <c r="R131" s="7" t="s">
        <v>109</v>
      </c>
      <c r="S131" s="7" t="s">
        <v>110</v>
      </c>
      <c r="T131" s="7" t="n">
        <v>0.489</v>
      </c>
      <c r="U131" s="7" t="n">
        <v>0</v>
      </c>
      <c r="V131" s="7"/>
      <c r="W131" s="7"/>
      <c r="X131" s="7"/>
      <c r="Y131" s="7"/>
      <c r="Z131" s="7"/>
      <c r="AA131" s="7" t="s">
        <v>1086</v>
      </c>
      <c r="AB131" s="7" t="s">
        <v>1087</v>
      </c>
      <c r="AC131" s="7" t="n">
        <v>0</v>
      </c>
      <c r="AD131" s="7" t="s">
        <v>388</v>
      </c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 t="s">
        <v>1088</v>
      </c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</row>
    <row r="132" customFormat="false" ht="15" hidden="false" customHeight="false" outlineLevel="0" collapsed="false">
      <c r="A132" s="7" t="s">
        <v>1368</v>
      </c>
      <c r="B132" s="7" t="s">
        <v>1369</v>
      </c>
      <c r="C132" s="7" t="s">
        <v>1370</v>
      </c>
      <c r="D132" s="7" t="s">
        <v>1126</v>
      </c>
      <c r="E132" s="7" t="s">
        <v>101</v>
      </c>
      <c r="F132" s="7" t="s">
        <v>101</v>
      </c>
      <c r="G132" s="7"/>
      <c r="H132" s="7" t="s">
        <v>102</v>
      </c>
      <c r="I132" s="7" t="s">
        <v>300</v>
      </c>
      <c r="J132" s="7" t="s">
        <v>1127</v>
      </c>
      <c r="K132" s="7" t="s">
        <v>1128</v>
      </c>
      <c r="L132" s="7" t="s">
        <v>106</v>
      </c>
      <c r="M132" s="7"/>
      <c r="N132" s="7" t="s">
        <v>1129</v>
      </c>
      <c r="O132" s="7" t="s">
        <v>1129</v>
      </c>
      <c r="P132" s="7" t="s">
        <v>135</v>
      </c>
      <c r="Q132" s="7"/>
      <c r="R132" s="7" t="s">
        <v>109</v>
      </c>
      <c r="S132" s="7" t="s">
        <v>110</v>
      </c>
      <c r="T132" s="7" t="n">
        <v>0.394</v>
      </c>
      <c r="U132" s="7" t="n">
        <v>0</v>
      </c>
      <c r="V132" s="7"/>
      <c r="W132" s="7"/>
      <c r="X132" s="7"/>
      <c r="Y132" s="7"/>
      <c r="Z132" s="7"/>
      <c r="AA132" s="7" t="s">
        <v>1086</v>
      </c>
      <c r="AB132" s="7" t="s">
        <v>1087</v>
      </c>
      <c r="AC132" s="7" t="n">
        <v>0</v>
      </c>
      <c r="AD132" s="7" t="s">
        <v>388</v>
      </c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 t="s">
        <v>1088</v>
      </c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</row>
    <row r="133" customFormat="false" ht="15" hidden="false" customHeight="false" outlineLevel="0" collapsed="false">
      <c r="A133" s="7" t="s">
        <v>1371</v>
      </c>
      <c r="B133" s="7" t="s">
        <v>1372</v>
      </c>
      <c r="C133" s="7" t="s">
        <v>1373</v>
      </c>
      <c r="D133" s="7" t="s">
        <v>1374</v>
      </c>
      <c r="E133" s="7" t="s">
        <v>101</v>
      </c>
      <c r="F133" s="7" t="s">
        <v>82</v>
      </c>
      <c r="G133" s="7"/>
      <c r="H133" s="7" t="s">
        <v>102</v>
      </c>
      <c r="I133" s="7" t="s">
        <v>1104</v>
      </c>
      <c r="J133" s="7" t="s">
        <v>475</v>
      </c>
      <c r="K133" s="7" t="s">
        <v>476</v>
      </c>
      <c r="L133" s="7" t="s">
        <v>235</v>
      </c>
      <c r="M133" s="7"/>
      <c r="N133" s="7" t="s">
        <v>261</v>
      </c>
      <c r="O133" s="7" t="s">
        <v>1375</v>
      </c>
      <c r="P133" s="7" t="s">
        <v>135</v>
      </c>
      <c r="Q133" s="7"/>
      <c r="R133" s="7" t="s">
        <v>109</v>
      </c>
      <c r="S133" s="7" t="s">
        <v>110</v>
      </c>
      <c r="T133" s="7" t="n">
        <v>0.573</v>
      </c>
      <c r="U133" s="7" t="n">
        <v>1</v>
      </c>
      <c r="V133" s="7"/>
      <c r="W133" s="7"/>
      <c r="X133" s="7"/>
      <c r="Y133" s="7" t="s">
        <v>1375</v>
      </c>
      <c r="Z133" s="7" t="s">
        <v>264</v>
      </c>
      <c r="AA133" s="7"/>
      <c r="AB133" s="7"/>
      <c r="AC133" s="7" t="n">
        <v>4</v>
      </c>
      <c r="AD133" s="7" t="s">
        <v>1376</v>
      </c>
      <c r="AE133" s="7" t="s">
        <v>448</v>
      </c>
      <c r="AF133" s="7" t="s">
        <v>1377</v>
      </c>
      <c r="AG133" s="7"/>
      <c r="AH133" s="7"/>
      <c r="AI133" s="7"/>
      <c r="AJ133" s="7"/>
      <c r="AK133" s="7"/>
      <c r="AL133" s="7"/>
      <c r="AM133" s="7"/>
      <c r="AN133" s="7"/>
      <c r="AO133" s="7" t="s">
        <v>448</v>
      </c>
      <c r="AP133" s="7" t="s">
        <v>1378</v>
      </c>
      <c r="AQ133" s="7" t="s">
        <v>448</v>
      </c>
      <c r="AR133" s="7" t="s">
        <v>82</v>
      </c>
      <c r="AS133" s="7"/>
      <c r="AT133" s="7"/>
      <c r="AU133" s="7"/>
      <c r="AV133" s="7"/>
      <c r="AW133" s="7" t="s">
        <v>448</v>
      </c>
      <c r="AX133" s="7" t="s">
        <v>1375</v>
      </c>
      <c r="AY133" s="7"/>
      <c r="AZ133" s="7"/>
      <c r="BA133" s="7"/>
      <c r="BB133" s="7"/>
      <c r="BC133" s="7"/>
      <c r="BD133" s="7" t="s">
        <v>220</v>
      </c>
      <c r="BE133" s="7" t="s">
        <v>1379</v>
      </c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</row>
    <row r="134" customFormat="false" ht="15" hidden="false" customHeight="false" outlineLevel="0" collapsed="false">
      <c r="A134" s="7" t="s">
        <v>1380</v>
      </c>
      <c r="B134" s="7" t="s">
        <v>1381</v>
      </c>
      <c r="C134" s="7" t="s">
        <v>1382</v>
      </c>
      <c r="D134" s="7" t="s">
        <v>1383</v>
      </c>
      <c r="E134" s="7" t="s">
        <v>101</v>
      </c>
      <c r="F134" s="7" t="s">
        <v>101</v>
      </c>
      <c r="G134" s="7"/>
      <c r="H134" s="7" t="s">
        <v>102</v>
      </c>
      <c r="I134" s="7" t="s">
        <v>103</v>
      </c>
      <c r="J134" s="7" t="s">
        <v>475</v>
      </c>
      <c r="K134" s="7" t="s">
        <v>569</v>
      </c>
      <c r="L134" s="7" t="s">
        <v>106</v>
      </c>
      <c r="M134" s="7"/>
      <c r="N134" s="7" t="s">
        <v>1384</v>
      </c>
      <c r="O134" s="7" t="s">
        <v>1384</v>
      </c>
      <c r="P134" s="7" t="s">
        <v>135</v>
      </c>
      <c r="Q134" s="7"/>
      <c r="R134" s="7" t="s">
        <v>109</v>
      </c>
      <c r="S134" s="7" t="s">
        <v>110</v>
      </c>
      <c r="T134" s="7" t="n">
        <v>0.35</v>
      </c>
      <c r="U134" s="7" t="n">
        <v>1</v>
      </c>
      <c r="V134" s="7" t="s">
        <v>90</v>
      </c>
      <c r="W134" s="7" t="s">
        <v>1385</v>
      </c>
      <c r="X134" s="7" t="s">
        <v>1386</v>
      </c>
      <c r="Y134" s="7" t="s">
        <v>1387</v>
      </c>
      <c r="Z134" s="7"/>
      <c r="AA134" s="7" t="s">
        <v>572</v>
      </c>
      <c r="AB134" s="7" t="s">
        <v>573</v>
      </c>
      <c r="AC134" s="7" t="n">
        <v>0</v>
      </c>
      <c r="AD134" s="7" t="s">
        <v>388</v>
      </c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 t="s">
        <v>1388</v>
      </c>
      <c r="BE134" s="7" t="s">
        <v>575</v>
      </c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</row>
    <row r="135" customFormat="false" ht="15" hidden="false" customHeight="false" outlineLevel="0" collapsed="false">
      <c r="A135" s="7" t="s">
        <v>1389</v>
      </c>
      <c r="B135" s="7" t="s">
        <v>1390</v>
      </c>
      <c r="C135" s="7" t="s">
        <v>1391</v>
      </c>
      <c r="D135" s="7" t="s">
        <v>1146</v>
      </c>
      <c r="E135" s="7" t="s">
        <v>101</v>
      </c>
      <c r="F135" s="7" t="s">
        <v>82</v>
      </c>
      <c r="G135" s="7"/>
      <c r="H135" s="7" t="s">
        <v>102</v>
      </c>
      <c r="I135" s="7" t="s">
        <v>300</v>
      </c>
      <c r="J135" s="7" t="s">
        <v>475</v>
      </c>
      <c r="K135" s="7" t="s">
        <v>1147</v>
      </c>
      <c r="L135" s="7" t="s">
        <v>106</v>
      </c>
      <c r="M135" s="7"/>
      <c r="N135" s="7" t="s">
        <v>1148</v>
      </c>
      <c r="O135" s="7" t="s">
        <v>1148</v>
      </c>
      <c r="P135" s="7" t="s">
        <v>135</v>
      </c>
      <c r="Q135" s="7"/>
      <c r="R135" s="7" t="s">
        <v>109</v>
      </c>
      <c r="S135" s="7" t="s">
        <v>110</v>
      </c>
      <c r="T135" s="7" t="n">
        <v>0.409</v>
      </c>
      <c r="U135" s="7" t="n">
        <v>0</v>
      </c>
      <c r="V135" s="7"/>
      <c r="W135" s="7"/>
      <c r="X135" s="7"/>
      <c r="Y135" s="7"/>
      <c r="Z135" s="7" t="s">
        <v>1149</v>
      </c>
      <c r="AA135" s="7" t="s">
        <v>1117</v>
      </c>
      <c r="AB135" s="7" t="s">
        <v>1150</v>
      </c>
      <c r="AC135" s="7" t="n">
        <v>0</v>
      </c>
      <c r="AD135" s="7" t="s">
        <v>388</v>
      </c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 t="s">
        <v>1017</v>
      </c>
      <c r="BE135" s="7" t="s">
        <v>1088</v>
      </c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</row>
    <row r="136" customFormat="false" ht="15" hidden="false" customHeight="false" outlineLevel="0" collapsed="false">
      <c r="A136" s="7" t="s">
        <v>1392</v>
      </c>
      <c r="B136" s="7" t="s">
        <v>1393</v>
      </c>
      <c r="C136" s="7" t="s">
        <v>1394</v>
      </c>
      <c r="D136" s="7" t="s">
        <v>1146</v>
      </c>
      <c r="E136" s="7" t="s">
        <v>101</v>
      </c>
      <c r="F136" s="7" t="s">
        <v>82</v>
      </c>
      <c r="G136" s="7"/>
      <c r="H136" s="7" t="s">
        <v>102</v>
      </c>
      <c r="I136" s="7" t="s">
        <v>300</v>
      </c>
      <c r="J136" s="7" t="s">
        <v>475</v>
      </c>
      <c r="K136" s="7" t="s">
        <v>1147</v>
      </c>
      <c r="L136" s="7" t="s">
        <v>106</v>
      </c>
      <c r="M136" s="7"/>
      <c r="N136" s="7" t="s">
        <v>1148</v>
      </c>
      <c r="O136" s="7" t="s">
        <v>1148</v>
      </c>
      <c r="P136" s="7" t="s">
        <v>135</v>
      </c>
      <c r="Q136" s="7"/>
      <c r="R136" s="7" t="s">
        <v>109</v>
      </c>
      <c r="S136" s="7" t="s">
        <v>110</v>
      </c>
      <c r="T136" s="7" t="n">
        <v>0.299</v>
      </c>
      <c r="U136" s="7" t="n">
        <v>0</v>
      </c>
      <c r="V136" s="7"/>
      <c r="W136" s="7"/>
      <c r="X136" s="7"/>
      <c r="Y136" s="7"/>
      <c r="Z136" s="7" t="s">
        <v>1149</v>
      </c>
      <c r="AA136" s="7" t="s">
        <v>1117</v>
      </c>
      <c r="AB136" s="7" t="s">
        <v>1150</v>
      </c>
      <c r="AC136" s="7" t="n">
        <v>0</v>
      </c>
      <c r="AD136" s="7" t="s">
        <v>388</v>
      </c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 t="s">
        <v>1017</v>
      </c>
      <c r="BE136" s="7" t="s">
        <v>1088</v>
      </c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</row>
    <row r="137" customFormat="false" ht="15" hidden="false" customHeight="false" outlineLevel="0" collapsed="false">
      <c r="A137" s="7" t="s">
        <v>1395</v>
      </c>
      <c r="B137" s="7" t="s">
        <v>1396</v>
      </c>
      <c r="C137" s="7" t="s">
        <v>1397</v>
      </c>
      <c r="D137" s="7" t="s">
        <v>1398</v>
      </c>
      <c r="E137" s="7" t="s">
        <v>737</v>
      </c>
      <c r="F137" s="7" t="s">
        <v>737</v>
      </c>
      <c r="G137" s="7"/>
      <c r="H137" s="7" t="s">
        <v>207</v>
      </c>
      <c r="I137" s="7" t="s">
        <v>132</v>
      </c>
      <c r="J137" s="7" t="s">
        <v>475</v>
      </c>
      <c r="K137" s="7" t="s">
        <v>569</v>
      </c>
      <c r="L137" s="7" t="s">
        <v>106</v>
      </c>
      <c r="M137" s="7"/>
      <c r="N137" s="7" t="s">
        <v>1399</v>
      </c>
      <c r="O137" s="7"/>
      <c r="P137" s="7" t="s">
        <v>135</v>
      </c>
      <c r="Q137" s="7"/>
      <c r="R137" s="7" t="s">
        <v>135</v>
      </c>
      <c r="S137" s="7" t="s">
        <v>136</v>
      </c>
      <c r="T137" s="7" t="n">
        <v>0.773</v>
      </c>
      <c r="U137" s="7" t="n">
        <v>0</v>
      </c>
      <c r="V137" s="7"/>
      <c r="W137" s="7"/>
      <c r="X137" s="7"/>
      <c r="Y137" s="7"/>
      <c r="Z137" s="7"/>
      <c r="AA137" s="7" t="s">
        <v>572</v>
      </c>
      <c r="AB137" s="7" t="s">
        <v>573</v>
      </c>
      <c r="AC137" s="7" t="n">
        <v>0</v>
      </c>
      <c r="AD137" s="7" t="s">
        <v>388</v>
      </c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 t="s">
        <v>1400</v>
      </c>
      <c r="BE137" s="7" t="s">
        <v>575</v>
      </c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</row>
    <row r="138" customFormat="false" ht="15" hidden="false" customHeight="false" outlineLevel="0" collapsed="false">
      <c r="A138" s="7" t="s">
        <v>1401</v>
      </c>
      <c r="B138" s="7" t="s">
        <v>1402</v>
      </c>
      <c r="C138" s="7" t="s">
        <v>1403</v>
      </c>
      <c r="D138" s="7" t="s">
        <v>671</v>
      </c>
      <c r="E138" s="7" t="s">
        <v>101</v>
      </c>
      <c r="F138" s="7" t="s">
        <v>101</v>
      </c>
      <c r="G138" s="7"/>
      <c r="H138" s="7" t="s">
        <v>207</v>
      </c>
      <c r="I138" s="7" t="s">
        <v>300</v>
      </c>
      <c r="J138" s="7" t="s">
        <v>475</v>
      </c>
      <c r="K138" s="7" t="s">
        <v>476</v>
      </c>
      <c r="L138" s="7" t="s">
        <v>106</v>
      </c>
      <c r="M138" s="7"/>
      <c r="N138" s="7" t="s">
        <v>1404</v>
      </c>
      <c r="O138" s="7"/>
      <c r="P138" s="7" t="s">
        <v>135</v>
      </c>
      <c r="Q138" s="7"/>
      <c r="R138" s="7" t="s">
        <v>135</v>
      </c>
      <c r="S138" s="7" t="s">
        <v>136</v>
      </c>
      <c r="T138" s="7" t="n">
        <v>0.335</v>
      </c>
      <c r="U138" s="7" t="n">
        <v>0</v>
      </c>
      <c r="V138" s="7"/>
      <c r="W138" s="7"/>
      <c r="X138" s="7"/>
      <c r="Y138" s="7"/>
      <c r="Z138" s="7"/>
      <c r="AA138" s="7"/>
      <c r="AB138" s="7"/>
      <c r="AC138" s="7" t="n">
        <v>0</v>
      </c>
      <c r="AD138" s="7" t="s">
        <v>388</v>
      </c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 t="s">
        <v>127</v>
      </c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</row>
    <row r="139" customFormat="false" ht="15" hidden="false" customHeight="false" outlineLevel="0" collapsed="false">
      <c r="A139" s="7" t="s">
        <v>1405</v>
      </c>
      <c r="B139" s="7" t="s">
        <v>1406</v>
      </c>
      <c r="C139" s="7" t="s">
        <v>1407</v>
      </c>
      <c r="D139" s="7" t="s">
        <v>1146</v>
      </c>
      <c r="E139" s="7"/>
      <c r="F139" s="7" t="s">
        <v>82</v>
      </c>
      <c r="G139" s="7"/>
      <c r="H139" s="7" t="s">
        <v>102</v>
      </c>
      <c r="I139" s="7" t="s">
        <v>1140</v>
      </c>
      <c r="J139" s="7" t="s">
        <v>475</v>
      </c>
      <c r="K139" s="7" t="s">
        <v>1408</v>
      </c>
      <c r="L139" s="7" t="s">
        <v>106</v>
      </c>
      <c r="M139" s="7"/>
      <c r="N139" s="7" t="s">
        <v>1148</v>
      </c>
      <c r="O139" s="7" t="s">
        <v>1148</v>
      </c>
      <c r="P139" s="7" t="s">
        <v>135</v>
      </c>
      <c r="Q139" s="7"/>
      <c r="R139" s="7" t="s">
        <v>109</v>
      </c>
      <c r="S139" s="7" t="s">
        <v>110</v>
      </c>
      <c r="T139" s="7" t="n">
        <v>0.283</v>
      </c>
      <c r="U139" s="7" t="n">
        <v>0</v>
      </c>
      <c r="V139" s="7"/>
      <c r="W139" s="7"/>
      <c r="X139" s="7"/>
      <c r="Y139" s="7"/>
      <c r="Z139" s="7" t="s">
        <v>1149</v>
      </c>
      <c r="AA139" s="7" t="s">
        <v>1117</v>
      </c>
      <c r="AB139" s="7" t="s">
        <v>1150</v>
      </c>
      <c r="AC139" s="7" t="n">
        <v>0</v>
      </c>
      <c r="AD139" s="7" t="s">
        <v>388</v>
      </c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 t="s">
        <v>1017</v>
      </c>
      <c r="BE139" s="7" t="s">
        <v>1088</v>
      </c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</row>
    <row r="140" customFormat="false" ht="15" hidden="false" customHeight="false" outlineLevel="0" collapsed="false">
      <c r="A140" s="7" t="s">
        <v>1409</v>
      </c>
      <c r="B140" s="7" t="s">
        <v>1410</v>
      </c>
      <c r="C140" s="7" t="s">
        <v>1411</v>
      </c>
      <c r="D140" s="7" t="s">
        <v>1412</v>
      </c>
      <c r="E140" s="7"/>
      <c r="F140" s="7" t="s">
        <v>101</v>
      </c>
      <c r="G140" s="7"/>
      <c r="H140" s="7" t="s">
        <v>102</v>
      </c>
      <c r="I140" s="7" t="s">
        <v>158</v>
      </c>
      <c r="J140" s="7" t="s">
        <v>475</v>
      </c>
      <c r="K140" s="7" t="s">
        <v>569</v>
      </c>
      <c r="L140" s="7" t="s">
        <v>106</v>
      </c>
      <c r="M140" s="7"/>
      <c r="N140" s="7" t="s">
        <v>1413</v>
      </c>
      <c r="O140" s="7" t="s">
        <v>1413</v>
      </c>
      <c r="P140" s="7" t="s">
        <v>135</v>
      </c>
      <c r="Q140" s="7"/>
      <c r="R140" s="7" t="s">
        <v>109</v>
      </c>
      <c r="S140" s="7" t="s">
        <v>110</v>
      </c>
      <c r="T140" s="7" t="n">
        <v>0.423</v>
      </c>
      <c r="U140" s="7" t="n">
        <v>0</v>
      </c>
      <c r="V140" s="7"/>
      <c r="W140" s="7"/>
      <c r="X140" s="7"/>
      <c r="Y140" s="7"/>
      <c r="Z140" s="7" t="s">
        <v>1116</v>
      </c>
      <c r="AA140" s="7" t="s">
        <v>1117</v>
      </c>
      <c r="AB140" s="7" t="s">
        <v>1118</v>
      </c>
      <c r="AC140" s="7" t="n">
        <v>0</v>
      </c>
      <c r="AD140" s="7" t="s">
        <v>388</v>
      </c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 t="s">
        <v>1343</v>
      </c>
      <c r="BE140" s="7" t="s">
        <v>1252</v>
      </c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</row>
    <row r="141" customFormat="false" ht="15" hidden="false" customHeight="false" outlineLevel="0" collapsed="false">
      <c r="A141" s="7" t="s">
        <v>1414</v>
      </c>
      <c r="B141" s="7" t="s">
        <v>1415</v>
      </c>
      <c r="C141" s="7" t="s">
        <v>1416</v>
      </c>
      <c r="D141" s="7" t="s">
        <v>1146</v>
      </c>
      <c r="E141" s="7"/>
      <c r="F141" s="7" t="s">
        <v>82</v>
      </c>
      <c r="G141" s="7"/>
      <c r="H141" s="7" t="s">
        <v>102</v>
      </c>
      <c r="I141" s="7" t="s">
        <v>158</v>
      </c>
      <c r="J141" s="7" t="s">
        <v>475</v>
      </c>
      <c r="K141" s="7" t="s">
        <v>1147</v>
      </c>
      <c r="L141" s="7" t="s">
        <v>106</v>
      </c>
      <c r="M141" s="7"/>
      <c r="N141" s="7" t="s">
        <v>1148</v>
      </c>
      <c r="O141" s="7" t="s">
        <v>1148</v>
      </c>
      <c r="P141" s="7" t="s">
        <v>135</v>
      </c>
      <c r="Q141" s="7"/>
      <c r="R141" s="7" t="s">
        <v>109</v>
      </c>
      <c r="S141" s="7" t="s">
        <v>110</v>
      </c>
      <c r="T141" s="7" t="n">
        <v>0.444</v>
      </c>
      <c r="U141" s="7" t="n">
        <v>0</v>
      </c>
      <c r="V141" s="7"/>
      <c r="W141" s="7"/>
      <c r="X141" s="7"/>
      <c r="Y141" s="7"/>
      <c r="Z141" s="7" t="s">
        <v>1149</v>
      </c>
      <c r="AA141" s="7" t="s">
        <v>1117</v>
      </c>
      <c r="AB141" s="7" t="s">
        <v>1150</v>
      </c>
      <c r="AC141" s="7" t="n">
        <v>0</v>
      </c>
      <c r="AD141" s="7" t="s">
        <v>388</v>
      </c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 t="s">
        <v>1017</v>
      </c>
      <c r="BE141" s="7" t="s">
        <v>1088</v>
      </c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</row>
    <row r="142" customFormat="false" ht="15" hidden="false" customHeight="false" outlineLevel="0" collapsed="false">
      <c r="A142" s="7" t="s">
        <v>1417</v>
      </c>
      <c r="B142" s="7" t="s">
        <v>1418</v>
      </c>
      <c r="C142" s="7" t="s">
        <v>1419</v>
      </c>
      <c r="D142" s="7" t="s">
        <v>1146</v>
      </c>
      <c r="E142" s="7"/>
      <c r="F142" s="7" t="s">
        <v>82</v>
      </c>
      <c r="G142" s="7"/>
      <c r="H142" s="7" t="s">
        <v>102</v>
      </c>
      <c r="I142" s="7" t="s">
        <v>208</v>
      </c>
      <c r="J142" s="7" t="s">
        <v>475</v>
      </c>
      <c r="K142" s="7" t="s">
        <v>1147</v>
      </c>
      <c r="L142" s="7" t="s">
        <v>106</v>
      </c>
      <c r="M142" s="7"/>
      <c r="N142" s="7" t="s">
        <v>1148</v>
      </c>
      <c r="O142" s="7"/>
      <c r="P142" s="7" t="s">
        <v>135</v>
      </c>
      <c r="Q142" s="7"/>
      <c r="R142" s="7"/>
      <c r="S142" s="7"/>
      <c r="T142" s="7"/>
      <c r="U142" s="7" t="n">
        <v>0</v>
      </c>
      <c r="V142" s="7"/>
      <c r="W142" s="7"/>
      <c r="X142" s="7"/>
      <c r="Y142" s="7"/>
      <c r="Z142" s="7" t="s">
        <v>1149</v>
      </c>
      <c r="AA142" s="7" t="s">
        <v>1117</v>
      </c>
      <c r="AB142" s="7" t="s">
        <v>1150</v>
      </c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 t="s">
        <v>1017</v>
      </c>
      <c r="BE142" s="7" t="s">
        <v>1088</v>
      </c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</row>
    <row r="143" customFormat="false" ht="15" hidden="false" customHeight="false" outlineLevel="0" collapsed="false">
      <c r="A143" s="7" t="s">
        <v>1420</v>
      </c>
      <c r="B143" s="7" t="s">
        <v>1421</v>
      </c>
      <c r="C143" s="7" t="s">
        <v>1422</v>
      </c>
      <c r="D143" s="7" t="s">
        <v>1146</v>
      </c>
      <c r="E143" s="7"/>
      <c r="F143" s="7" t="s">
        <v>82</v>
      </c>
      <c r="G143" s="7"/>
      <c r="H143" s="7" t="s">
        <v>102</v>
      </c>
      <c r="I143" s="7" t="s">
        <v>103</v>
      </c>
      <c r="J143" s="7" t="s">
        <v>475</v>
      </c>
      <c r="K143" s="7" t="s">
        <v>1147</v>
      </c>
      <c r="L143" s="7" t="s">
        <v>106</v>
      </c>
      <c r="M143" s="7"/>
      <c r="N143" s="7" t="s">
        <v>1148</v>
      </c>
      <c r="O143" s="7" t="s">
        <v>1148</v>
      </c>
      <c r="P143" s="7" t="s">
        <v>135</v>
      </c>
      <c r="Q143" s="7"/>
      <c r="R143" s="7" t="s">
        <v>109</v>
      </c>
      <c r="S143" s="7" t="s">
        <v>110</v>
      </c>
      <c r="T143" s="7" t="n">
        <v>0.285</v>
      </c>
      <c r="U143" s="7" t="n">
        <v>0</v>
      </c>
      <c r="V143" s="7"/>
      <c r="W143" s="7"/>
      <c r="X143" s="7"/>
      <c r="Y143" s="7"/>
      <c r="Z143" s="7" t="s">
        <v>1149</v>
      </c>
      <c r="AA143" s="7" t="s">
        <v>1117</v>
      </c>
      <c r="AB143" s="7" t="s">
        <v>1150</v>
      </c>
      <c r="AC143" s="7" t="n">
        <v>0</v>
      </c>
      <c r="AD143" s="7" t="s">
        <v>388</v>
      </c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 t="s">
        <v>1017</v>
      </c>
      <c r="BE143" s="7" t="s">
        <v>1088</v>
      </c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</row>
    <row r="144" customFormat="false" ht="15" hidden="false" customHeight="false" outlineLevel="0" collapsed="false">
      <c r="A144" s="7" t="s">
        <v>1423</v>
      </c>
      <c r="B144" s="7" t="s">
        <v>1424</v>
      </c>
      <c r="C144" s="7" t="s">
        <v>1425</v>
      </c>
      <c r="D144" s="7" t="s">
        <v>1092</v>
      </c>
      <c r="E144" s="7"/>
      <c r="F144" s="7" t="s">
        <v>101</v>
      </c>
      <c r="G144" s="7"/>
      <c r="H144" s="7" t="s">
        <v>102</v>
      </c>
      <c r="I144" s="7" t="s">
        <v>234</v>
      </c>
      <c r="J144" s="7" t="s">
        <v>475</v>
      </c>
      <c r="K144" s="7" t="s">
        <v>1128</v>
      </c>
      <c r="L144" s="7" t="s">
        <v>106</v>
      </c>
      <c r="M144" s="7"/>
      <c r="N144" s="7" t="s">
        <v>1095</v>
      </c>
      <c r="O144" s="7" t="s">
        <v>1095</v>
      </c>
      <c r="P144" s="7" t="s">
        <v>135</v>
      </c>
      <c r="Q144" s="7"/>
      <c r="R144" s="7" t="s">
        <v>109</v>
      </c>
      <c r="S144" s="7" t="s">
        <v>110</v>
      </c>
      <c r="T144" s="7" t="n">
        <v>0.379</v>
      </c>
      <c r="U144" s="7" t="n">
        <v>0</v>
      </c>
      <c r="V144" s="7"/>
      <c r="W144" s="7"/>
      <c r="X144" s="7"/>
      <c r="Y144" s="7"/>
      <c r="Z144" s="7"/>
      <c r="AA144" s="7" t="s">
        <v>1086</v>
      </c>
      <c r="AB144" s="7" t="s">
        <v>1087</v>
      </c>
      <c r="AC144" s="7" t="n">
        <v>0</v>
      </c>
      <c r="AD144" s="7" t="s">
        <v>388</v>
      </c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 t="s">
        <v>575</v>
      </c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</row>
    <row r="145" customFormat="false" ht="15" hidden="false" customHeight="false" outlineLevel="0" collapsed="false">
      <c r="A145" s="7" t="s">
        <v>1426</v>
      </c>
      <c r="B145" s="7" t="s">
        <v>1427</v>
      </c>
      <c r="C145" s="7" t="s">
        <v>1428</v>
      </c>
      <c r="D145" s="7" t="s">
        <v>1146</v>
      </c>
      <c r="E145" s="7"/>
      <c r="F145" s="7" t="s">
        <v>82</v>
      </c>
      <c r="G145" s="7"/>
      <c r="H145" s="7" t="s">
        <v>102</v>
      </c>
      <c r="I145" s="7" t="s">
        <v>374</v>
      </c>
      <c r="J145" s="7" t="s">
        <v>475</v>
      </c>
      <c r="K145" s="7" t="s">
        <v>1147</v>
      </c>
      <c r="L145" s="7" t="s">
        <v>106</v>
      </c>
      <c r="M145" s="7"/>
      <c r="N145" s="7" t="s">
        <v>1148</v>
      </c>
      <c r="O145" s="7"/>
      <c r="P145" s="7" t="s">
        <v>135</v>
      </c>
      <c r="Q145" s="7"/>
      <c r="R145" s="7"/>
      <c r="S145" s="7"/>
      <c r="T145" s="7"/>
      <c r="U145" s="7" t="n">
        <v>0</v>
      </c>
      <c r="V145" s="7"/>
      <c r="W145" s="7"/>
      <c r="X145" s="7"/>
      <c r="Y145" s="7"/>
      <c r="Z145" s="7" t="s">
        <v>1149</v>
      </c>
      <c r="AA145" s="7" t="s">
        <v>1117</v>
      </c>
      <c r="AB145" s="7" t="s">
        <v>1150</v>
      </c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 t="s">
        <v>1017</v>
      </c>
      <c r="BE145" s="7" t="s">
        <v>1088</v>
      </c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</row>
    <row r="146" customFormat="false" ht="15" hidden="false" customHeight="false" outlineLevel="0" collapsed="false">
      <c r="A146" s="7" t="s">
        <v>1429</v>
      </c>
      <c r="B146" s="7" t="s">
        <v>1430</v>
      </c>
      <c r="C146" s="7" t="s">
        <v>1431</v>
      </c>
      <c r="D146" s="7" t="s">
        <v>1146</v>
      </c>
      <c r="E146" s="7"/>
      <c r="F146" s="7" t="s">
        <v>82</v>
      </c>
      <c r="G146" s="7"/>
      <c r="H146" s="7" t="s">
        <v>102</v>
      </c>
      <c r="I146" s="7" t="s">
        <v>208</v>
      </c>
      <c r="J146" s="7" t="s">
        <v>475</v>
      </c>
      <c r="K146" s="7" t="s">
        <v>1147</v>
      </c>
      <c r="L146" s="7" t="s">
        <v>106</v>
      </c>
      <c r="M146" s="7"/>
      <c r="N146" s="7" t="s">
        <v>1148</v>
      </c>
      <c r="O146" s="7" t="s">
        <v>1148</v>
      </c>
      <c r="P146" s="7" t="s">
        <v>135</v>
      </c>
      <c r="Q146" s="7"/>
      <c r="R146" s="7" t="s">
        <v>109</v>
      </c>
      <c r="S146" s="7" t="s">
        <v>110</v>
      </c>
      <c r="T146" s="7" t="n">
        <v>0.41</v>
      </c>
      <c r="U146" s="7" t="n">
        <v>0</v>
      </c>
      <c r="V146" s="7"/>
      <c r="W146" s="7"/>
      <c r="X146" s="7"/>
      <c r="Y146" s="7"/>
      <c r="Z146" s="7" t="s">
        <v>1149</v>
      </c>
      <c r="AA146" s="7" t="s">
        <v>1117</v>
      </c>
      <c r="AB146" s="7" t="s">
        <v>1150</v>
      </c>
      <c r="AC146" s="7" t="n">
        <v>0</v>
      </c>
      <c r="AD146" s="7" t="s">
        <v>388</v>
      </c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 t="s">
        <v>1017</v>
      </c>
      <c r="BE146" s="7" t="s">
        <v>1088</v>
      </c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</row>
    <row r="147" customFormat="false" ht="15" hidden="false" customHeight="false" outlineLevel="0" collapsed="false">
      <c r="A147" s="7" t="s">
        <v>1432</v>
      </c>
      <c r="B147" s="7" t="s">
        <v>1433</v>
      </c>
      <c r="C147" s="7" t="s">
        <v>1434</v>
      </c>
      <c r="D147" s="7" t="s">
        <v>1146</v>
      </c>
      <c r="E147" s="7"/>
      <c r="F147" s="7" t="s">
        <v>82</v>
      </c>
      <c r="G147" s="7"/>
      <c r="H147" s="7" t="s">
        <v>102</v>
      </c>
      <c r="I147" s="7" t="s">
        <v>208</v>
      </c>
      <c r="J147" s="7" t="s">
        <v>475</v>
      </c>
      <c r="K147" s="7" t="s">
        <v>1147</v>
      </c>
      <c r="L147" s="7" t="s">
        <v>106</v>
      </c>
      <c r="M147" s="7"/>
      <c r="N147" s="7" t="s">
        <v>1148</v>
      </c>
      <c r="O147" s="7"/>
      <c r="P147" s="7" t="s">
        <v>135</v>
      </c>
      <c r="Q147" s="7"/>
      <c r="R147" s="7"/>
      <c r="S147" s="7"/>
      <c r="T147" s="7"/>
      <c r="U147" s="7" t="n">
        <v>0</v>
      </c>
      <c r="V147" s="7"/>
      <c r="W147" s="7"/>
      <c r="X147" s="7"/>
      <c r="Y147" s="7"/>
      <c r="Z147" s="7" t="s">
        <v>1149</v>
      </c>
      <c r="AA147" s="7" t="s">
        <v>1117</v>
      </c>
      <c r="AB147" s="7" t="s">
        <v>1150</v>
      </c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 t="s">
        <v>1017</v>
      </c>
      <c r="BE147" s="7" t="s">
        <v>1088</v>
      </c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</row>
    <row r="148" customFormat="false" ht="15" hidden="false" customHeight="false" outlineLevel="0" collapsed="false">
      <c r="A148" s="7" t="s">
        <v>1435</v>
      </c>
      <c r="B148" s="7" t="s">
        <v>1436</v>
      </c>
      <c r="C148" s="7" t="s">
        <v>1437</v>
      </c>
      <c r="D148" s="7" t="s">
        <v>1146</v>
      </c>
      <c r="E148" s="7"/>
      <c r="F148" s="7" t="s">
        <v>82</v>
      </c>
      <c r="G148" s="7"/>
      <c r="H148" s="7" t="s">
        <v>102</v>
      </c>
      <c r="I148" s="7" t="s">
        <v>208</v>
      </c>
      <c r="J148" s="7" t="s">
        <v>475</v>
      </c>
      <c r="K148" s="7" t="s">
        <v>1147</v>
      </c>
      <c r="L148" s="7" t="s">
        <v>106</v>
      </c>
      <c r="M148" s="7"/>
      <c r="N148" s="7" t="s">
        <v>1148</v>
      </c>
      <c r="O148" s="7" t="s">
        <v>1148</v>
      </c>
      <c r="P148" s="7" t="s">
        <v>135</v>
      </c>
      <c r="Q148" s="7"/>
      <c r="R148" s="7" t="s">
        <v>109</v>
      </c>
      <c r="S148" s="7" t="s">
        <v>110</v>
      </c>
      <c r="T148" s="7" t="n">
        <v>0.338</v>
      </c>
      <c r="U148" s="7" t="n">
        <v>0</v>
      </c>
      <c r="V148" s="7"/>
      <c r="W148" s="7"/>
      <c r="X148" s="7"/>
      <c r="Y148" s="7"/>
      <c r="Z148" s="7" t="s">
        <v>1149</v>
      </c>
      <c r="AA148" s="7" t="s">
        <v>1117</v>
      </c>
      <c r="AB148" s="7" t="s">
        <v>1150</v>
      </c>
      <c r="AC148" s="7" t="n">
        <v>0</v>
      </c>
      <c r="AD148" s="7" t="s">
        <v>388</v>
      </c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 t="s">
        <v>1017</v>
      </c>
      <c r="BE148" s="7" t="s">
        <v>1088</v>
      </c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</row>
    <row r="149" customFormat="false" ht="15" hidden="false" customHeight="false" outlineLevel="0" collapsed="false">
      <c r="A149" s="7" t="s">
        <v>1438</v>
      </c>
      <c r="B149" s="7" t="s">
        <v>1439</v>
      </c>
      <c r="C149" s="7" t="s">
        <v>1440</v>
      </c>
      <c r="D149" s="7" t="s">
        <v>1146</v>
      </c>
      <c r="E149" s="7"/>
      <c r="F149" s="7" t="s">
        <v>82</v>
      </c>
      <c r="G149" s="7"/>
      <c r="H149" s="7" t="s">
        <v>102</v>
      </c>
      <c r="I149" s="7" t="s">
        <v>374</v>
      </c>
      <c r="J149" s="7" t="s">
        <v>475</v>
      </c>
      <c r="K149" s="7" t="s">
        <v>1147</v>
      </c>
      <c r="L149" s="7" t="s">
        <v>106</v>
      </c>
      <c r="M149" s="7"/>
      <c r="N149" s="7" t="s">
        <v>1148</v>
      </c>
      <c r="O149" s="7" t="s">
        <v>1148</v>
      </c>
      <c r="P149" s="7" t="s">
        <v>135</v>
      </c>
      <c r="Q149" s="7"/>
      <c r="R149" s="7" t="s">
        <v>109</v>
      </c>
      <c r="S149" s="7" t="s">
        <v>110</v>
      </c>
      <c r="T149" s="7" t="n">
        <v>0.321</v>
      </c>
      <c r="U149" s="7" t="n">
        <v>0</v>
      </c>
      <c r="V149" s="7"/>
      <c r="W149" s="7"/>
      <c r="X149" s="7"/>
      <c r="Y149" s="7"/>
      <c r="Z149" s="7" t="s">
        <v>1149</v>
      </c>
      <c r="AA149" s="7" t="s">
        <v>1117</v>
      </c>
      <c r="AB149" s="7" t="s">
        <v>1150</v>
      </c>
      <c r="AC149" s="7" t="n">
        <v>0</v>
      </c>
      <c r="AD149" s="7" t="s">
        <v>388</v>
      </c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 t="s">
        <v>1017</v>
      </c>
      <c r="BE149" s="7" t="s">
        <v>1088</v>
      </c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</row>
    <row r="150" customFormat="false" ht="15" hidden="false" customHeight="false" outlineLevel="0" collapsed="false">
      <c r="A150" s="7" t="s">
        <v>1441</v>
      </c>
      <c r="B150" s="7" t="s">
        <v>1442</v>
      </c>
      <c r="C150" s="7" t="s">
        <v>1443</v>
      </c>
      <c r="D150" s="7" t="s">
        <v>1146</v>
      </c>
      <c r="E150" s="7"/>
      <c r="F150" s="7" t="s">
        <v>82</v>
      </c>
      <c r="G150" s="7"/>
      <c r="H150" s="7" t="s">
        <v>102</v>
      </c>
      <c r="I150" s="7" t="s">
        <v>208</v>
      </c>
      <c r="J150" s="7" t="s">
        <v>475</v>
      </c>
      <c r="K150" s="7" t="s">
        <v>1147</v>
      </c>
      <c r="L150" s="7" t="s">
        <v>106</v>
      </c>
      <c r="M150" s="7"/>
      <c r="N150" s="7" t="s">
        <v>1148</v>
      </c>
      <c r="O150" s="7"/>
      <c r="P150" s="7" t="s">
        <v>135</v>
      </c>
      <c r="Q150" s="7"/>
      <c r="R150" s="7"/>
      <c r="S150" s="7"/>
      <c r="T150" s="7"/>
      <c r="U150" s="7" t="n">
        <v>0</v>
      </c>
      <c r="V150" s="7"/>
      <c r="W150" s="7"/>
      <c r="X150" s="7"/>
      <c r="Y150" s="7"/>
      <c r="Z150" s="7" t="s">
        <v>1149</v>
      </c>
      <c r="AA150" s="7" t="s">
        <v>1117</v>
      </c>
      <c r="AB150" s="7" t="s">
        <v>1150</v>
      </c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 t="s">
        <v>1017</v>
      </c>
      <c r="BE150" s="7" t="s">
        <v>1088</v>
      </c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</row>
    <row r="151" customFormat="false" ht="15" hidden="false" customHeight="false" outlineLevel="0" collapsed="false">
      <c r="A151" s="7" t="s">
        <v>1444</v>
      </c>
      <c r="B151" s="7" t="s">
        <v>1445</v>
      </c>
      <c r="C151" s="7" t="s">
        <v>1446</v>
      </c>
      <c r="D151" s="7" t="s">
        <v>1146</v>
      </c>
      <c r="E151" s="7"/>
      <c r="F151" s="7" t="s">
        <v>82</v>
      </c>
      <c r="G151" s="7"/>
      <c r="H151" s="7" t="s">
        <v>102</v>
      </c>
      <c r="I151" s="7" t="s">
        <v>208</v>
      </c>
      <c r="J151" s="7" t="s">
        <v>475</v>
      </c>
      <c r="K151" s="7" t="s">
        <v>1147</v>
      </c>
      <c r="L151" s="7" t="s">
        <v>1447</v>
      </c>
      <c r="M151" s="7"/>
      <c r="N151" s="7" t="s">
        <v>1148</v>
      </c>
      <c r="O151" s="7" t="s">
        <v>1148</v>
      </c>
      <c r="P151" s="7" t="s">
        <v>135</v>
      </c>
      <c r="Q151" s="7"/>
      <c r="R151" s="7" t="s">
        <v>109</v>
      </c>
      <c r="S151" s="7" t="s">
        <v>110</v>
      </c>
      <c r="T151" s="7" t="n">
        <v>0.41</v>
      </c>
      <c r="U151" s="7" t="n">
        <v>0</v>
      </c>
      <c r="V151" s="7"/>
      <c r="W151" s="7"/>
      <c r="X151" s="7"/>
      <c r="Y151" s="7"/>
      <c r="Z151" s="7" t="s">
        <v>1149</v>
      </c>
      <c r="AA151" s="7" t="s">
        <v>1117</v>
      </c>
      <c r="AB151" s="7" t="s">
        <v>1150</v>
      </c>
      <c r="AC151" s="7" t="n">
        <v>0</v>
      </c>
      <c r="AD151" s="7" t="s">
        <v>388</v>
      </c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 t="s">
        <v>1017</v>
      </c>
      <c r="BE151" s="7" t="s">
        <v>1088</v>
      </c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</row>
    <row r="152" customFormat="false" ht="15" hidden="false" customHeight="false" outlineLevel="0" collapsed="false">
      <c r="A152" s="7" t="s">
        <v>1448</v>
      </c>
      <c r="B152" s="7" t="s">
        <v>1449</v>
      </c>
      <c r="C152" s="7" t="s">
        <v>1450</v>
      </c>
      <c r="D152" s="7" t="s">
        <v>1146</v>
      </c>
      <c r="E152" s="7"/>
      <c r="F152" s="7" t="s">
        <v>82</v>
      </c>
      <c r="G152" s="7"/>
      <c r="H152" s="7" t="s">
        <v>102</v>
      </c>
      <c r="I152" s="7" t="s">
        <v>208</v>
      </c>
      <c r="J152" s="7" t="s">
        <v>475</v>
      </c>
      <c r="K152" s="7" t="s">
        <v>1147</v>
      </c>
      <c r="L152" s="7" t="s">
        <v>106</v>
      </c>
      <c r="M152" s="7"/>
      <c r="N152" s="7" t="s">
        <v>1148</v>
      </c>
      <c r="O152" s="7" t="s">
        <v>1148</v>
      </c>
      <c r="P152" s="7" t="s">
        <v>135</v>
      </c>
      <c r="Q152" s="7"/>
      <c r="R152" s="7" t="s">
        <v>109</v>
      </c>
      <c r="S152" s="7" t="s">
        <v>110</v>
      </c>
      <c r="T152" s="7" t="n">
        <v>0.409</v>
      </c>
      <c r="U152" s="7" t="n">
        <v>0</v>
      </c>
      <c r="V152" s="7"/>
      <c r="W152" s="7"/>
      <c r="X152" s="7"/>
      <c r="Y152" s="7"/>
      <c r="Z152" s="7" t="s">
        <v>1149</v>
      </c>
      <c r="AA152" s="7" t="s">
        <v>1117</v>
      </c>
      <c r="AB152" s="7" t="s">
        <v>1150</v>
      </c>
      <c r="AC152" s="7" t="n">
        <v>0</v>
      </c>
      <c r="AD152" s="7" t="s">
        <v>388</v>
      </c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 t="s">
        <v>1017</v>
      </c>
      <c r="BE152" s="7" t="s">
        <v>1088</v>
      </c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</row>
    <row r="153" customFormat="false" ht="15" hidden="false" customHeight="false" outlineLevel="0" collapsed="false">
      <c r="A153" s="7" t="s">
        <v>1451</v>
      </c>
      <c r="B153" s="7" t="s">
        <v>1452</v>
      </c>
      <c r="C153" s="7" t="s">
        <v>1453</v>
      </c>
      <c r="D153" s="7" t="s">
        <v>1146</v>
      </c>
      <c r="E153" s="7"/>
      <c r="F153" s="7" t="s">
        <v>82</v>
      </c>
      <c r="G153" s="7"/>
      <c r="H153" s="7" t="s">
        <v>102</v>
      </c>
      <c r="I153" s="7" t="s">
        <v>208</v>
      </c>
      <c r="J153" s="7" t="s">
        <v>475</v>
      </c>
      <c r="K153" s="7" t="s">
        <v>1147</v>
      </c>
      <c r="L153" s="7" t="s">
        <v>106</v>
      </c>
      <c r="M153" s="7"/>
      <c r="N153" s="7" t="s">
        <v>1148</v>
      </c>
      <c r="O153" s="7"/>
      <c r="P153" s="7" t="s">
        <v>135</v>
      </c>
      <c r="Q153" s="7"/>
      <c r="R153" s="7"/>
      <c r="S153" s="7"/>
      <c r="T153" s="7"/>
      <c r="U153" s="7" t="n">
        <v>0</v>
      </c>
      <c r="V153" s="7"/>
      <c r="W153" s="7"/>
      <c r="X153" s="7"/>
      <c r="Y153" s="7"/>
      <c r="Z153" s="7" t="s">
        <v>1149</v>
      </c>
      <c r="AA153" s="7" t="s">
        <v>1117</v>
      </c>
      <c r="AB153" s="7" t="s">
        <v>1150</v>
      </c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 t="s">
        <v>1017</v>
      </c>
      <c r="BE153" s="7" t="s">
        <v>1088</v>
      </c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</row>
    <row r="154" customFormat="false" ht="15" hidden="false" customHeight="false" outlineLevel="0" collapsed="false">
      <c r="A154" s="7" t="s">
        <v>1454</v>
      </c>
      <c r="B154" s="7" t="s">
        <v>1455</v>
      </c>
      <c r="C154" s="7" t="s">
        <v>1456</v>
      </c>
      <c r="D154" s="7" t="s">
        <v>1146</v>
      </c>
      <c r="E154" s="7"/>
      <c r="F154" s="7" t="s">
        <v>82</v>
      </c>
      <c r="G154" s="7"/>
      <c r="H154" s="7" t="s">
        <v>102</v>
      </c>
      <c r="I154" s="7" t="s">
        <v>1140</v>
      </c>
      <c r="J154" s="7" t="s">
        <v>475</v>
      </c>
      <c r="K154" s="7" t="s">
        <v>1408</v>
      </c>
      <c r="L154" s="7" t="s">
        <v>106</v>
      </c>
      <c r="M154" s="7"/>
      <c r="N154" s="7" t="s">
        <v>1148</v>
      </c>
      <c r="O154" s="7" t="s">
        <v>1148</v>
      </c>
      <c r="P154" s="7" t="s">
        <v>135</v>
      </c>
      <c r="Q154" s="7"/>
      <c r="R154" s="7" t="s">
        <v>109</v>
      </c>
      <c r="S154" s="7" t="s">
        <v>110</v>
      </c>
      <c r="T154" s="7" t="n">
        <v>0.436</v>
      </c>
      <c r="U154" s="7" t="n">
        <v>0</v>
      </c>
      <c r="V154" s="7"/>
      <c r="W154" s="7"/>
      <c r="X154" s="7"/>
      <c r="Y154" s="7"/>
      <c r="Z154" s="7" t="s">
        <v>1149</v>
      </c>
      <c r="AA154" s="7" t="s">
        <v>1117</v>
      </c>
      <c r="AB154" s="7" t="s">
        <v>1150</v>
      </c>
      <c r="AC154" s="7" t="n">
        <v>0</v>
      </c>
      <c r="AD154" s="7" t="s">
        <v>388</v>
      </c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 t="s">
        <v>1017</v>
      </c>
      <c r="BE154" s="7" t="s">
        <v>1088</v>
      </c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</row>
    <row r="155" customFormat="false" ht="15" hidden="false" customHeight="false" outlineLevel="0" collapsed="false">
      <c r="A155" s="7" t="s">
        <v>1457</v>
      </c>
      <c r="B155" s="7" t="s">
        <v>1458</v>
      </c>
      <c r="C155" s="7" t="s">
        <v>1459</v>
      </c>
      <c r="D155" s="7" t="s">
        <v>1304</v>
      </c>
      <c r="E155" s="7" t="s">
        <v>101</v>
      </c>
      <c r="F155" s="7" t="s">
        <v>101</v>
      </c>
      <c r="G155" s="7"/>
      <c r="H155" s="7" t="s">
        <v>102</v>
      </c>
      <c r="I155" s="7" t="s">
        <v>132</v>
      </c>
      <c r="J155" s="7" t="s">
        <v>1460</v>
      </c>
      <c r="K155" s="7" t="s">
        <v>1084</v>
      </c>
      <c r="L155" s="7" t="s">
        <v>106</v>
      </c>
      <c r="M155" s="7"/>
      <c r="N155" s="7" t="s">
        <v>1305</v>
      </c>
      <c r="O155" s="7" t="s">
        <v>1305</v>
      </c>
      <c r="P155" s="7" t="s">
        <v>135</v>
      </c>
      <c r="Q155" s="7"/>
      <c r="R155" s="7" t="s">
        <v>109</v>
      </c>
      <c r="S155" s="7" t="s">
        <v>110</v>
      </c>
      <c r="T155" s="7" t="n">
        <v>0.343</v>
      </c>
      <c r="U155" s="7" t="n">
        <v>0</v>
      </c>
      <c r="V155" s="7"/>
      <c r="W155" s="7"/>
      <c r="X155" s="7"/>
      <c r="Y155" s="7"/>
      <c r="Z155" s="7"/>
      <c r="AA155" s="7" t="s">
        <v>1086</v>
      </c>
      <c r="AB155" s="7" t="s">
        <v>1087</v>
      </c>
      <c r="AC155" s="7" t="n">
        <v>0</v>
      </c>
      <c r="AD155" s="7" t="s">
        <v>388</v>
      </c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 t="s">
        <v>1306</v>
      </c>
      <c r="BE155" s="7" t="s">
        <v>1088</v>
      </c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</row>
    <row r="156" customFormat="false" ht="15" hidden="false" customHeight="false" outlineLevel="0" collapsed="false">
      <c r="A156" s="7" t="s">
        <v>1461</v>
      </c>
      <c r="B156" s="7" t="s">
        <v>1462</v>
      </c>
      <c r="C156" s="7" t="s">
        <v>1463</v>
      </c>
      <c r="D156" s="7"/>
      <c r="E156" s="7" t="s">
        <v>101</v>
      </c>
      <c r="F156" s="7" t="s">
        <v>82</v>
      </c>
      <c r="G156" s="7"/>
      <c r="H156" s="7" t="s">
        <v>102</v>
      </c>
      <c r="I156" s="7" t="s">
        <v>132</v>
      </c>
      <c r="J156" s="7" t="s">
        <v>104</v>
      </c>
      <c r="K156" s="7" t="s">
        <v>105</v>
      </c>
      <c r="L156" s="7" t="s">
        <v>106</v>
      </c>
      <c r="M156" s="7"/>
      <c r="N156" s="7" t="s">
        <v>1464</v>
      </c>
      <c r="O156" s="7"/>
      <c r="P156" s="7" t="s">
        <v>84</v>
      </c>
      <c r="Q156" s="7"/>
      <c r="R156" s="7"/>
      <c r="S156" s="7"/>
      <c r="T156" s="7" t="n">
        <v>0.63</v>
      </c>
      <c r="U156" s="7" t="n">
        <v>4</v>
      </c>
      <c r="V156" s="7" t="s">
        <v>1465</v>
      </c>
      <c r="W156" s="7"/>
      <c r="X156" s="7"/>
      <c r="Y156" s="7" t="s">
        <v>1464</v>
      </c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 t="s">
        <v>1466</v>
      </c>
      <c r="BE156" s="7" t="s">
        <v>127</v>
      </c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</row>
    <row r="157" customFormat="false" ht="15" hidden="false" customHeight="false" outlineLevel="0" collapsed="false">
      <c r="A157" s="7" t="s">
        <v>1467</v>
      </c>
      <c r="B157" s="7" t="s">
        <v>1468</v>
      </c>
      <c r="C157" s="7" t="s">
        <v>1469</v>
      </c>
      <c r="D157" s="7"/>
      <c r="E157" s="7" t="s">
        <v>101</v>
      </c>
      <c r="F157" s="7" t="s">
        <v>101</v>
      </c>
      <c r="G157" s="7"/>
      <c r="H157" s="7" t="s">
        <v>102</v>
      </c>
      <c r="I157" s="7" t="s">
        <v>158</v>
      </c>
      <c r="J157" s="7" t="s">
        <v>104</v>
      </c>
      <c r="K157" s="7" t="s">
        <v>105</v>
      </c>
      <c r="L157" s="7" t="s">
        <v>106</v>
      </c>
      <c r="M157" s="7"/>
      <c r="N157" s="7" t="s">
        <v>1470</v>
      </c>
      <c r="O157" s="7" t="s">
        <v>1470</v>
      </c>
      <c r="P157" s="7" t="s">
        <v>135</v>
      </c>
      <c r="Q157" s="7"/>
      <c r="R157" s="7" t="s">
        <v>109</v>
      </c>
      <c r="S157" s="7" t="s">
        <v>110</v>
      </c>
      <c r="T157" s="7" t="n">
        <v>0.424</v>
      </c>
      <c r="U157" s="7" t="n">
        <v>3</v>
      </c>
      <c r="V157" s="7" t="s">
        <v>552</v>
      </c>
      <c r="W157" s="7"/>
      <c r="X157" s="7" t="s">
        <v>597</v>
      </c>
      <c r="Y157" s="7" t="s">
        <v>1471</v>
      </c>
      <c r="Z157" s="7"/>
      <c r="AA157" s="7"/>
      <c r="AB157" s="7"/>
      <c r="AC157" s="7" t="n">
        <v>9</v>
      </c>
      <c r="AD157" s="7" t="s">
        <v>1472</v>
      </c>
      <c r="AE157" s="7" t="s">
        <v>744</v>
      </c>
      <c r="AF157" s="7" t="s">
        <v>1469</v>
      </c>
      <c r="AG157" s="7" t="s">
        <v>744</v>
      </c>
      <c r="AH157" s="7" t="s">
        <v>597</v>
      </c>
      <c r="AI157" s="7"/>
      <c r="AJ157" s="7"/>
      <c r="AK157" s="7" t="s">
        <v>339</v>
      </c>
      <c r="AL157" s="7" t="s">
        <v>338</v>
      </c>
      <c r="AM157" s="7"/>
      <c r="AN157" s="7"/>
      <c r="AO157" s="7" t="s">
        <v>744</v>
      </c>
      <c r="AP157" s="7" t="s">
        <v>1473</v>
      </c>
      <c r="AQ157" s="7" t="s">
        <v>339</v>
      </c>
      <c r="AR157" s="7" t="s">
        <v>559</v>
      </c>
      <c r="AS157" s="7" t="s">
        <v>339</v>
      </c>
      <c r="AT157" s="7" t="s">
        <v>559</v>
      </c>
      <c r="AU157" s="7" t="s">
        <v>339</v>
      </c>
      <c r="AV157" s="7" t="s">
        <v>1474</v>
      </c>
      <c r="AW157" s="7" t="s">
        <v>744</v>
      </c>
      <c r="AX157" s="7" t="s">
        <v>1471</v>
      </c>
      <c r="AY157" s="7" t="s">
        <v>339</v>
      </c>
      <c r="AZ157" s="7" t="s">
        <v>253</v>
      </c>
      <c r="BA157" s="7"/>
      <c r="BB157" s="7"/>
      <c r="BC157" s="7"/>
      <c r="BD157" s="7" t="s">
        <v>563</v>
      </c>
      <c r="BE157" s="7" t="s">
        <v>127</v>
      </c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</row>
    <row r="158" customFormat="false" ht="15" hidden="false" customHeight="false" outlineLevel="0" collapsed="false">
      <c r="A158" s="7" t="s">
        <v>1475</v>
      </c>
      <c r="B158" s="7" t="s">
        <v>1476</v>
      </c>
      <c r="C158" s="7" t="s">
        <v>1477</v>
      </c>
      <c r="D158" s="7" t="s">
        <v>1478</v>
      </c>
      <c r="E158" s="7" t="s">
        <v>82</v>
      </c>
      <c r="F158" s="7" t="s">
        <v>82</v>
      </c>
      <c r="G158" s="7"/>
      <c r="H158" s="7" t="s">
        <v>207</v>
      </c>
      <c r="I158" s="7" t="s">
        <v>300</v>
      </c>
      <c r="J158" s="7" t="s">
        <v>104</v>
      </c>
      <c r="K158" s="7" t="s">
        <v>105</v>
      </c>
      <c r="L158" s="7" t="s">
        <v>106</v>
      </c>
      <c r="M158" s="7" t="s">
        <v>1479</v>
      </c>
      <c r="N158" s="7" t="s">
        <v>1480</v>
      </c>
      <c r="O158" s="7" t="s">
        <v>1480</v>
      </c>
      <c r="P158" s="7" t="s">
        <v>135</v>
      </c>
      <c r="Q158" s="7"/>
      <c r="R158" s="7" t="s">
        <v>109</v>
      </c>
      <c r="S158" s="7" t="s">
        <v>110</v>
      </c>
      <c r="T158" s="7" t="n">
        <v>0.286</v>
      </c>
      <c r="U158" s="7" t="n">
        <v>2</v>
      </c>
      <c r="V158" s="7" t="s">
        <v>90</v>
      </c>
      <c r="W158" s="7"/>
      <c r="X158" s="7"/>
      <c r="Y158" s="7" t="s">
        <v>1480</v>
      </c>
      <c r="Z158" s="7"/>
      <c r="AA158" s="7"/>
      <c r="AB158" s="7"/>
      <c r="AC158" s="7" t="n">
        <v>6</v>
      </c>
      <c r="AD158" s="7" t="s">
        <v>1481</v>
      </c>
      <c r="AE158" s="7" t="s">
        <v>113</v>
      </c>
      <c r="AF158" s="7" t="s">
        <v>1482</v>
      </c>
      <c r="AG158" s="7"/>
      <c r="AH158" s="7"/>
      <c r="AI158" s="7" t="s">
        <v>113</v>
      </c>
      <c r="AJ158" s="7" t="s">
        <v>1483</v>
      </c>
      <c r="AK158" s="7"/>
      <c r="AL158" s="7"/>
      <c r="AM158" s="7"/>
      <c r="AN158" s="7"/>
      <c r="AO158" s="7" t="s">
        <v>113</v>
      </c>
      <c r="AP158" s="7" t="s">
        <v>1484</v>
      </c>
      <c r="AQ158" s="7"/>
      <c r="AR158" s="7"/>
      <c r="AS158" s="7" t="s">
        <v>113</v>
      </c>
      <c r="AT158" s="7" t="s">
        <v>122</v>
      </c>
      <c r="AU158" s="7"/>
      <c r="AV158" s="7"/>
      <c r="AW158" s="7" t="s">
        <v>113</v>
      </c>
      <c r="AX158" s="7" t="s">
        <v>326</v>
      </c>
      <c r="AY158" s="7"/>
      <c r="AZ158" s="7"/>
      <c r="BA158" s="7" t="s">
        <v>113</v>
      </c>
      <c r="BB158" s="7" t="s">
        <v>546</v>
      </c>
      <c r="BC158" s="7" t="s">
        <v>125</v>
      </c>
      <c r="BD158" s="7" t="s">
        <v>220</v>
      </c>
      <c r="BE158" s="7" t="s">
        <v>127</v>
      </c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</row>
    <row r="159" customFormat="false" ht="15" hidden="false" customHeight="false" outlineLevel="0" collapsed="false">
      <c r="A159" s="7" t="s">
        <v>1485</v>
      </c>
      <c r="B159" s="7" t="s">
        <v>1486</v>
      </c>
      <c r="C159" s="7" t="s">
        <v>1487</v>
      </c>
      <c r="D159" s="7" t="s">
        <v>671</v>
      </c>
      <c r="E159" s="7" t="s">
        <v>101</v>
      </c>
      <c r="F159" s="7" t="s">
        <v>101</v>
      </c>
      <c r="G159" s="7"/>
      <c r="H159" s="7" t="s">
        <v>207</v>
      </c>
      <c r="I159" s="7" t="s">
        <v>132</v>
      </c>
      <c r="J159" s="7" t="s">
        <v>475</v>
      </c>
      <c r="K159" s="7" t="s">
        <v>476</v>
      </c>
      <c r="L159" s="7" t="s">
        <v>1488</v>
      </c>
      <c r="M159" s="7" t="s">
        <v>1489</v>
      </c>
      <c r="N159" s="7" t="s">
        <v>1490</v>
      </c>
      <c r="O159" s="7" t="s">
        <v>1491</v>
      </c>
      <c r="P159" s="7" t="s">
        <v>135</v>
      </c>
      <c r="Q159" s="7"/>
      <c r="R159" s="7" t="s">
        <v>109</v>
      </c>
      <c r="S159" s="7" t="s">
        <v>110</v>
      </c>
      <c r="T159" s="7" t="n">
        <v>0.949</v>
      </c>
      <c r="U159" s="7" t="n">
        <v>3</v>
      </c>
      <c r="V159" s="7" t="s">
        <v>90</v>
      </c>
      <c r="W159" s="7"/>
      <c r="X159" s="7"/>
      <c r="Y159" s="7" t="s">
        <v>1490</v>
      </c>
      <c r="Z159" s="7"/>
      <c r="AA159" s="7"/>
      <c r="AB159" s="7"/>
      <c r="AC159" s="7" t="n">
        <v>3</v>
      </c>
      <c r="AD159" s="7" t="s">
        <v>1492</v>
      </c>
      <c r="AE159" s="7" t="s">
        <v>448</v>
      </c>
      <c r="AF159" s="7" t="s">
        <v>1493</v>
      </c>
      <c r="AG159" s="7"/>
      <c r="AH159" s="7"/>
      <c r="AI159" s="7"/>
      <c r="AJ159" s="7"/>
      <c r="AK159" s="7"/>
      <c r="AL159" s="7"/>
      <c r="AM159" s="7"/>
      <c r="AN159" s="7"/>
      <c r="AO159" s="7" t="s">
        <v>448</v>
      </c>
      <c r="AP159" s="7" t="s">
        <v>1494</v>
      </c>
      <c r="AQ159" s="7"/>
      <c r="AR159" s="7"/>
      <c r="AS159" s="7"/>
      <c r="AT159" s="7"/>
      <c r="AU159" s="7"/>
      <c r="AV159" s="7"/>
      <c r="AW159" s="7" t="s">
        <v>448</v>
      </c>
      <c r="AX159" s="7" t="s">
        <v>1491</v>
      </c>
      <c r="AY159" s="7"/>
      <c r="AZ159" s="7"/>
      <c r="BA159" s="7"/>
      <c r="BB159" s="7"/>
      <c r="BC159" s="7" t="s">
        <v>125</v>
      </c>
      <c r="BD159" s="7" t="s">
        <v>1495</v>
      </c>
      <c r="BE159" s="7" t="s">
        <v>127</v>
      </c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</row>
    <row r="160" customFormat="false" ht="15" hidden="false" customHeight="false" outlineLevel="0" collapsed="false">
      <c r="A160" s="7" t="s">
        <v>1496</v>
      </c>
      <c r="B160" s="7" t="s">
        <v>1497</v>
      </c>
      <c r="C160" s="7" t="s">
        <v>1498</v>
      </c>
      <c r="D160" s="7" t="s">
        <v>515</v>
      </c>
      <c r="E160" s="7" t="s">
        <v>101</v>
      </c>
      <c r="F160" s="7" t="s">
        <v>101</v>
      </c>
      <c r="G160" s="7"/>
      <c r="H160" s="7" t="s">
        <v>102</v>
      </c>
      <c r="I160" s="7" t="s">
        <v>132</v>
      </c>
      <c r="J160" s="7" t="s">
        <v>475</v>
      </c>
      <c r="K160" s="7" t="s">
        <v>476</v>
      </c>
      <c r="L160" s="7" t="s">
        <v>106</v>
      </c>
      <c r="M160" s="7" t="s">
        <v>1499</v>
      </c>
      <c r="N160" s="7" t="s">
        <v>1500</v>
      </c>
      <c r="O160" s="7"/>
      <c r="P160" s="7" t="s">
        <v>135</v>
      </c>
      <c r="Q160" s="7"/>
      <c r="R160" s="7"/>
      <c r="S160" s="7"/>
      <c r="T160" s="7" t="n">
        <v>0.702</v>
      </c>
      <c r="U160" s="7" t="n">
        <v>2</v>
      </c>
      <c r="V160" s="7" t="s">
        <v>90</v>
      </c>
      <c r="W160" s="7"/>
      <c r="X160" s="7"/>
      <c r="Y160" s="7" t="s">
        <v>1500</v>
      </c>
      <c r="Z160" s="7"/>
      <c r="AA160" s="7"/>
      <c r="AB160" s="7"/>
      <c r="AC160" s="7"/>
      <c r="AD160" s="7"/>
      <c r="AE160" s="7" t="s">
        <v>522</v>
      </c>
      <c r="AF160" s="7" t="s">
        <v>1501</v>
      </c>
      <c r="AG160" s="7"/>
      <c r="AH160" s="7"/>
      <c r="AI160" s="7"/>
      <c r="AJ160" s="7"/>
      <c r="AK160" s="7"/>
      <c r="AL160" s="7"/>
      <c r="AM160" s="7" t="s">
        <v>522</v>
      </c>
      <c r="AN160" s="7" t="s">
        <v>1502</v>
      </c>
      <c r="AO160" s="7" t="s">
        <v>522</v>
      </c>
      <c r="AP160" s="7" t="s">
        <v>1503</v>
      </c>
      <c r="AQ160" s="7" t="s">
        <v>522</v>
      </c>
      <c r="AR160" s="7" t="s">
        <v>121</v>
      </c>
      <c r="AS160" s="7" t="s">
        <v>522</v>
      </c>
      <c r="AT160" s="7" t="s">
        <v>122</v>
      </c>
      <c r="AU160" s="7"/>
      <c r="AV160" s="7"/>
      <c r="AW160" s="7" t="s">
        <v>522</v>
      </c>
      <c r="AX160" s="7" t="s">
        <v>326</v>
      </c>
      <c r="AY160" s="7" t="s">
        <v>522</v>
      </c>
      <c r="AZ160" s="7" t="s">
        <v>124</v>
      </c>
      <c r="BA160" s="7"/>
      <c r="BB160" s="7"/>
      <c r="BC160" s="7" t="s">
        <v>125</v>
      </c>
      <c r="BD160" s="7"/>
      <c r="BE160" s="7" t="s">
        <v>127</v>
      </c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</row>
    <row r="161" customFormat="false" ht="15" hidden="false" customHeight="false" outlineLevel="0" collapsed="false">
      <c r="A161" s="7" t="s">
        <v>1504</v>
      </c>
      <c r="B161" s="7" t="s">
        <v>1505</v>
      </c>
      <c r="C161" s="7" t="s">
        <v>1506</v>
      </c>
      <c r="D161" s="7" t="s">
        <v>392</v>
      </c>
      <c r="E161" s="7" t="s">
        <v>101</v>
      </c>
      <c r="F161" s="7" t="s">
        <v>101</v>
      </c>
      <c r="G161" s="7"/>
      <c r="H161" s="7" t="s">
        <v>102</v>
      </c>
      <c r="I161" s="7" t="s">
        <v>132</v>
      </c>
      <c r="J161" s="7" t="s">
        <v>104</v>
      </c>
      <c r="K161" s="7" t="s">
        <v>105</v>
      </c>
      <c r="L161" s="7" t="s">
        <v>106</v>
      </c>
      <c r="M161" s="7" t="s">
        <v>1507</v>
      </c>
      <c r="N161" s="7" t="s">
        <v>1508</v>
      </c>
      <c r="O161" s="7"/>
      <c r="P161" s="7" t="s">
        <v>135</v>
      </c>
      <c r="Q161" s="7"/>
      <c r="R161" s="7"/>
      <c r="S161" s="7"/>
      <c r="T161" s="7" t="n">
        <v>0.285</v>
      </c>
      <c r="U161" s="7" t="n">
        <v>2</v>
      </c>
      <c r="V161" s="7" t="s">
        <v>90</v>
      </c>
      <c r="W161" s="7"/>
      <c r="X161" s="7"/>
      <c r="Y161" s="7" t="s">
        <v>1508</v>
      </c>
      <c r="Z161" s="7"/>
      <c r="AA161" s="7"/>
      <c r="AB161" s="7"/>
      <c r="AC161" s="7"/>
      <c r="AD161" s="7"/>
      <c r="AE161" s="7" t="s">
        <v>213</v>
      </c>
      <c r="AF161" s="7" t="s">
        <v>1509</v>
      </c>
      <c r="AG161" s="7" t="s">
        <v>213</v>
      </c>
      <c r="AH161" s="7" t="s">
        <v>1510</v>
      </c>
      <c r="AI161" s="7" t="s">
        <v>213</v>
      </c>
      <c r="AJ161" s="7" t="s">
        <v>1511</v>
      </c>
      <c r="AK161" s="7" t="s">
        <v>634</v>
      </c>
      <c r="AL161" s="7" t="s">
        <v>338</v>
      </c>
      <c r="AM161" s="7"/>
      <c r="AN161" s="7"/>
      <c r="AO161" s="7" t="s">
        <v>213</v>
      </c>
      <c r="AP161" s="7" t="s">
        <v>1512</v>
      </c>
      <c r="AQ161" s="7" t="s">
        <v>213</v>
      </c>
      <c r="AR161" s="7" t="s">
        <v>121</v>
      </c>
      <c r="AS161" s="7" t="s">
        <v>213</v>
      </c>
      <c r="AT161" s="7" t="s">
        <v>250</v>
      </c>
      <c r="AU161" s="7" t="s">
        <v>213</v>
      </c>
      <c r="AV161" s="7" t="s">
        <v>1513</v>
      </c>
      <c r="AW161" s="7" t="s">
        <v>213</v>
      </c>
      <c r="AX161" s="7" t="s">
        <v>273</v>
      </c>
      <c r="AY161" s="7" t="s">
        <v>213</v>
      </c>
      <c r="AZ161" s="7" t="s">
        <v>666</v>
      </c>
      <c r="BA161" s="7"/>
      <c r="BB161" s="7"/>
      <c r="BC161" s="7" t="s">
        <v>219</v>
      </c>
      <c r="BD161" s="7"/>
      <c r="BE161" s="7" t="s">
        <v>127</v>
      </c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</row>
    <row r="162" customFormat="false" ht="15" hidden="false" customHeight="false" outlineLevel="0" collapsed="false">
      <c r="A162" s="7" t="s">
        <v>1514</v>
      </c>
      <c r="B162" s="7" t="s">
        <v>1515</v>
      </c>
      <c r="C162" s="7" t="s">
        <v>1516</v>
      </c>
      <c r="D162" s="7" t="s">
        <v>671</v>
      </c>
      <c r="E162" s="7" t="s">
        <v>101</v>
      </c>
      <c r="F162" s="7" t="s">
        <v>101</v>
      </c>
      <c r="G162" s="7"/>
      <c r="H162" s="7" t="s">
        <v>207</v>
      </c>
      <c r="I162" s="7" t="s">
        <v>300</v>
      </c>
      <c r="J162" s="7" t="s">
        <v>475</v>
      </c>
      <c r="K162" s="7" t="s">
        <v>476</v>
      </c>
      <c r="L162" s="7" t="s">
        <v>106</v>
      </c>
      <c r="M162" s="7"/>
      <c r="N162" s="7" t="s">
        <v>1517</v>
      </c>
      <c r="O162" s="7"/>
      <c r="P162" s="7" t="s">
        <v>135</v>
      </c>
      <c r="Q162" s="7"/>
      <c r="R162" s="7" t="s">
        <v>135</v>
      </c>
      <c r="S162" s="7" t="s">
        <v>136</v>
      </c>
      <c r="T162" s="7" t="n">
        <v>0.288</v>
      </c>
      <c r="U162" s="7" t="n">
        <v>1</v>
      </c>
      <c r="V162" s="7" t="s">
        <v>90</v>
      </c>
      <c r="W162" s="7"/>
      <c r="X162" s="7"/>
      <c r="Y162" s="7" t="s">
        <v>1517</v>
      </c>
      <c r="Z162" s="7"/>
      <c r="AA162" s="7"/>
      <c r="AB162" s="7"/>
      <c r="AC162" s="7" t="n">
        <v>0</v>
      </c>
      <c r="AD162" s="7" t="s">
        <v>388</v>
      </c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 t="s">
        <v>127</v>
      </c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</row>
    <row r="163" customFormat="false" ht="15" hidden="false" customHeight="false" outlineLevel="0" collapsed="false">
      <c r="A163" s="7" t="s">
        <v>1518</v>
      </c>
      <c r="B163" s="7" t="s">
        <v>1519</v>
      </c>
      <c r="C163" s="7" t="s">
        <v>1520</v>
      </c>
      <c r="D163" s="7"/>
      <c r="E163" s="7" t="s">
        <v>101</v>
      </c>
      <c r="F163" s="7" t="s">
        <v>101</v>
      </c>
      <c r="G163" s="7"/>
      <c r="H163" s="7" t="s">
        <v>102</v>
      </c>
      <c r="I163" s="7" t="s">
        <v>132</v>
      </c>
      <c r="J163" s="7" t="s">
        <v>104</v>
      </c>
      <c r="K163" s="7" t="s">
        <v>105</v>
      </c>
      <c r="L163" s="7" t="s">
        <v>106</v>
      </c>
      <c r="M163" s="7"/>
      <c r="N163" s="7" t="s">
        <v>1521</v>
      </c>
      <c r="O163" s="7" t="s">
        <v>1521</v>
      </c>
      <c r="P163" s="7" t="s">
        <v>135</v>
      </c>
      <c r="Q163" s="7"/>
      <c r="R163" s="7" t="s">
        <v>109</v>
      </c>
      <c r="S163" s="7" t="s">
        <v>110</v>
      </c>
      <c r="T163" s="7" t="n">
        <v>0.266</v>
      </c>
      <c r="U163" s="7" t="n">
        <v>1</v>
      </c>
      <c r="V163" s="7" t="s">
        <v>90</v>
      </c>
      <c r="W163" s="7"/>
      <c r="X163" s="7"/>
      <c r="Y163" s="7" t="s">
        <v>1521</v>
      </c>
      <c r="Z163" s="7"/>
      <c r="AA163" s="7"/>
      <c r="AB163" s="7"/>
      <c r="AC163" s="7" t="n">
        <v>3</v>
      </c>
      <c r="AD163" s="7" t="s">
        <v>1522</v>
      </c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 t="s">
        <v>1523</v>
      </c>
      <c r="AR163" s="7" t="s">
        <v>121</v>
      </c>
      <c r="AS163" s="7" t="s">
        <v>1523</v>
      </c>
      <c r="AT163" s="7" t="s">
        <v>250</v>
      </c>
      <c r="AU163" s="7"/>
      <c r="AV163" s="7"/>
      <c r="AW163" s="7"/>
      <c r="AX163" s="7"/>
      <c r="AY163" s="7" t="s">
        <v>1523</v>
      </c>
      <c r="AZ163" s="7" t="s">
        <v>295</v>
      </c>
      <c r="BA163" s="7"/>
      <c r="BB163" s="7"/>
      <c r="BC163" s="7"/>
      <c r="BD163" s="7"/>
      <c r="BE163" s="7" t="s">
        <v>127</v>
      </c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</row>
    <row r="164" customFormat="false" ht="15" hidden="false" customHeight="false" outlineLevel="0" collapsed="false">
      <c r="A164" s="7" t="s">
        <v>1524</v>
      </c>
      <c r="B164" s="7" t="s">
        <v>1525</v>
      </c>
      <c r="C164" s="7" t="s">
        <v>1526</v>
      </c>
      <c r="D164" s="7"/>
      <c r="E164" s="7" t="s">
        <v>101</v>
      </c>
      <c r="F164" s="7" t="s">
        <v>101</v>
      </c>
      <c r="G164" s="7"/>
      <c r="H164" s="7" t="s">
        <v>102</v>
      </c>
      <c r="I164" s="7" t="s">
        <v>132</v>
      </c>
      <c r="J164" s="7" t="s">
        <v>104</v>
      </c>
      <c r="K164" s="7" t="s">
        <v>105</v>
      </c>
      <c r="L164" s="7" t="s">
        <v>106</v>
      </c>
      <c r="M164" s="7"/>
      <c r="N164" s="7" t="s">
        <v>1527</v>
      </c>
      <c r="O164" s="7"/>
      <c r="P164" s="7" t="s">
        <v>135</v>
      </c>
      <c r="Q164" s="7"/>
      <c r="R164" s="7"/>
      <c r="S164" s="7"/>
      <c r="T164" s="7"/>
      <c r="U164" s="7" t="n">
        <v>1</v>
      </c>
      <c r="V164" s="7" t="s">
        <v>90</v>
      </c>
      <c r="W164" s="7"/>
      <c r="X164" s="7"/>
      <c r="Y164" s="7" t="s">
        <v>1527</v>
      </c>
      <c r="Z164" s="7"/>
      <c r="AA164" s="7"/>
      <c r="AB164" s="7"/>
      <c r="AC164" s="7"/>
      <c r="AD164" s="7"/>
      <c r="AE164" s="7" t="s">
        <v>1523</v>
      </c>
      <c r="AF164" s="7" t="s">
        <v>1528</v>
      </c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 t="s">
        <v>1523</v>
      </c>
      <c r="AT164" s="7" t="s">
        <v>250</v>
      </c>
      <c r="AU164" s="7"/>
      <c r="AV164" s="7"/>
      <c r="AW164" s="7"/>
      <c r="AX164" s="7"/>
      <c r="AY164" s="7"/>
      <c r="AZ164" s="7"/>
      <c r="BA164" s="7" t="s">
        <v>1523</v>
      </c>
      <c r="BB164" s="7" t="s">
        <v>275</v>
      </c>
      <c r="BC164" s="7"/>
      <c r="BD164" s="7"/>
      <c r="BE164" s="7" t="s">
        <v>127</v>
      </c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</row>
    <row r="165" customFormat="false" ht="15" hidden="false" customHeight="false" outlineLevel="0" collapsed="false">
      <c r="A165" s="7" t="s">
        <v>1529</v>
      </c>
      <c r="B165" s="7" t="s">
        <v>1530</v>
      </c>
      <c r="C165" s="7" t="s">
        <v>1531</v>
      </c>
      <c r="D165" s="7"/>
      <c r="E165" s="7" t="s">
        <v>101</v>
      </c>
      <c r="F165" s="7" t="s">
        <v>101</v>
      </c>
      <c r="G165" s="7"/>
      <c r="H165" s="7" t="s">
        <v>102</v>
      </c>
      <c r="I165" s="7" t="s">
        <v>132</v>
      </c>
      <c r="J165" s="7" t="s">
        <v>104</v>
      </c>
      <c r="K165" s="7" t="s">
        <v>105</v>
      </c>
      <c r="L165" s="7" t="s">
        <v>106</v>
      </c>
      <c r="M165" s="7"/>
      <c r="N165" s="7" t="s">
        <v>1532</v>
      </c>
      <c r="O165" s="7"/>
      <c r="P165" s="7" t="s">
        <v>135</v>
      </c>
      <c r="Q165" s="7"/>
      <c r="R165" s="7"/>
      <c r="S165" s="7"/>
      <c r="T165" s="7"/>
      <c r="U165" s="7" t="n">
        <v>1</v>
      </c>
      <c r="V165" s="7" t="s">
        <v>90</v>
      </c>
      <c r="W165" s="7"/>
      <c r="X165" s="7"/>
      <c r="Y165" s="7" t="s">
        <v>1532</v>
      </c>
      <c r="Z165" s="7"/>
      <c r="AA165" s="7"/>
      <c r="AB165" s="7"/>
      <c r="AC165" s="7"/>
      <c r="AD165" s="7"/>
      <c r="AE165" s="7" t="s">
        <v>1523</v>
      </c>
      <c r="AF165" s="7" t="s">
        <v>1533</v>
      </c>
      <c r="AG165" s="7"/>
      <c r="AH165" s="7"/>
      <c r="AI165" s="7"/>
      <c r="AJ165" s="7"/>
      <c r="AK165" s="7"/>
      <c r="AL165" s="7"/>
      <c r="AM165" s="7"/>
      <c r="AN165" s="7"/>
      <c r="AO165" s="7" t="s">
        <v>1523</v>
      </c>
      <c r="AP165" s="7" t="s">
        <v>493</v>
      </c>
      <c r="AQ165" s="7" t="s">
        <v>1523</v>
      </c>
      <c r="AR165" s="7" t="s">
        <v>121</v>
      </c>
      <c r="AS165" s="7" t="s">
        <v>1523</v>
      </c>
      <c r="AT165" s="7" t="s">
        <v>250</v>
      </c>
      <c r="AU165" s="7"/>
      <c r="AV165" s="7"/>
      <c r="AW165" s="7"/>
      <c r="AX165" s="7"/>
      <c r="AY165" s="7" t="s">
        <v>1523</v>
      </c>
      <c r="AZ165" s="7" t="s">
        <v>295</v>
      </c>
      <c r="BA165" s="7"/>
      <c r="BB165" s="7"/>
      <c r="BC165" s="7"/>
      <c r="BD165" s="7"/>
      <c r="BE165" s="7" t="s">
        <v>127</v>
      </c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</row>
    <row r="166" customFormat="false" ht="15" hidden="false" customHeight="false" outlineLevel="0" collapsed="false">
      <c r="A166" s="7" t="s">
        <v>1534</v>
      </c>
      <c r="B166" s="7" t="s">
        <v>1535</v>
      </c>
      <c r="C166" s="7" t="s">
        <v>1536</v>
      </c>
      <c r="D166" s="7"/>
      <c r="E166" s="7" t="s">
        <v>101</v>
      </c>
      <c r="F166" s="7" t="s">
        <v>101</v>
      </c>
      <c r="G166" s="7"/>
      <c r="H166" s="7" t="s">
        <v>102</v>
      </c>
      <c r="I166" s="7" t="s">
        <v>132</v>
      </c>
      <c r="J166" s="7" t="s">
        <v>104</v>
      </c>
      <c r="K166" s="7" t="s">
        <v>105</v>
      </c>
      <c r="L166" s="7" t="s">
        <v>106</v>
      </c>
      <c r="M166" s="7"/>
      <c r="N166" s="7" t="s">
        <v>1537</v>
      </c>
      <c r="O166" s="7" t="s">
        <v>1537</v>
      </c>
      <c r="P166" s="7" t="s">
        <v>135</v>
      </c>
      <c r="Q166" s="7"/>
      <c r="R166" s="7" t="s">
        <v>109</v>
      </c>
      <c r="S166" s="7" t="s">
        <v>110</v>
      </c>
      <c r="T166" s="7" t="n">
        <v>0.163</v>
      </c>
      <c r="U166" s="7" t="n">
        <v>1</v>
      </c>
      <c r="V166" s="7" t="s">
        <v>90</v>
      </c>
      <c r="W166" s="7"/>
      <c r="X166" s="7"/>
      <c r="Y166" s="7" t="s">
        <v>1537</v>
      </c>
      <c r="Z166" s="7"/>
      <c r="AA166" s="7"/>
      <c r="AB166" s="7"/>
      <c r="AC166" s="7" t="n">
        <v>7</v>
      </c>
      <c r="AD166" s="7" t="s">
        <v>1538</v>
      </c>
      <c r="AE166" s="7" t="s">
        <v>1523</v>
      </c>
      <c r="AF166" s="7" t="s">
        <v>1539</v>
      </c>
      <c r="AG166" s="7"/>
      <c r="AH166" s="7"/>
      <c r="AI166" s="7"/>
      <c r="AJ166" s="7"/>
      <c r="AK166" s="7"/>
      <c r="AL166" s="7"/>
      <c r="AM166" s="7"/>
      <c r="AN166" s="7"/>
      <c r="AO166" s="7" t="s">
        <v>1523</v>
      </c>
      <c r="AP166" s="7" t="s">
        <v>1494</v>
      </c>
      <c r="AQ166" s="7" t="s">
        <v>1523</v>
      </c>
      <c r="AR166" s="7" t="s">
        <v>121</v>
      </c>
      <c r="AS166" s="7" t="s">
        <v>1523</v>
      </c>
      <c r="AT166" s="7" t="s">
        <v>250</v>
      </c>
      <c r="AU166" s="7" t="s">
        <v>1523</v>
      </c>
      <c r="AV166" s="7" t="s">
        <v>1540</v>
      </c>
      <c r="AW166" s="7" t="s">
        <v>1523</v>
      </c>
      <c r="AX166" s="7" t="s">
        <v>326</v>
      </c>
      <c r="AY166" s="7" t="s">
        <v>1523</v>
      </c>
      <c r="AZ166" s="7" t="s">
        <v>666</v>
      </c>
      <c r="BA166" s="7"/>
      <c r="BB166" s="7"/>
      <c r="BC166" s="7"/>
      <c r="BD166" s="7"/>
      <c r="BE166" s="7" t="s">
        <v>127</v>
      </c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</row>
    <row r="167" customFormat="false" ht="15" hidden="false" customHeight="false" outlineLevel="0" collapsed="false">
      <c r="A167" s="7" t="s">
        <v>1541</v>
      </c>
      <c r="B167" s="7" t="s">
        <v>1542</v>
      </c>
      <c r="C167" s="7" t="s">
        <v>1543</v>
      </c>
      <c r="D167" s="7"/>
      <c r="E167" s="7" t="s">
        <v>101</v>
      </c>
      <c r="F167" s="7" t="s">
        <v>101</v>
      </c>
      <c r="G167" s="7"/>
      <c r="H167" s="7" t="s">
        <v>102</v>
      </c>
      <c r="I167" s="7" t="s">
        <v>132</v>
      </c>
      <c r="J167" s="7" t="s">
        <v>104</v>
      </c>
      <c r="K167" s="7" t="s">
        <v>105</v>
      </c>
      <c r="L167" s="7" t="s">
        <v>106</v>
      </c>
      <c r="M167" s="7"/>
      <c r="N167" s="7" t="s">
        <v>1544</v>
      </c>
      <c r="O167" s="7" t="s">
        <v>1544</v>
      </c>
      <c r="P167" s="7" t="s">
        <v>135</v>
      </c>
      <c r="Q167" s="7"/>
      <c r="R167" s="7" t="s">
        <v>109</v>
      </c>
      <c r="S167" s="7" t="s">
        <v>110</v>
      </c>
      <c r="T167" s="7" t="n">
        <v>0.58</v>
      </c>
      <c r="U167" s="7" t="n">
        <v>1</v>
      </c>
      <c r="V167" s="7" t="s">
        <v>90</v>
      </c>
      <c r="W167" s="7"/>
      <c r="X167" s="7"/>
      <c r="Y167" s="7" t="s">
        <v>1544</v>
      </c>
      <c r="Z167" s="7"/>
      <c r="AA167" s="7"/>
      <c r="AB167" s="7"/>
      <c r="AC167" s="7" t="n">
        <v>5</v>
      </c>
      <c r="AD167" s="7" t="s">
        <v>1545</v>
      </c>
      <c r="AE167" s="7" t="s">
        <v>1523</v>
      </c>
      <c r="AF167" s="7" t="s">
        <v>1546</v>
      </c>
      <c r="AG167" s="7"/>
      <c r="AH167" s="7"/>
      <c r="AI167" s="7"/>
      <c r="AJ167" s="7"/>
      <c r="AK167" s="7"/>
      <c r="AL167" s="7"/>
      <c r="AM167" s="7"/>
      <c r="AN167" s="7"/>
      <c r="AO167" s="7" t="s">
        <v>1523</v>
      </c>
      <c r="AP167" s="7" t="s">
        <v>493</v>
      </c>
      <c r="AQ167" s="7" t="s">
        <v>1523</v>
      </c>
      <c r="AR167" s="7" t="s">
        <v>121</v>
      </c>
      <c r="AS167" s="7" t="s">
        <v>1523</v>
      </c>
      <c r="AT167" s="7" t="s">
        <v>250</v>
      </c>
      <c r="AU167" s="7"/>
      <c r="AV167" s="7"/>
      <c r="AW167" s="7"/>
      <c r="AX167" s="7"/>
      <c r="AY167" s="7" t="s">
        <v>1523</v>
      </c>
      <c r="AZ167" s="7" t="s">
        <v>295</v>
      </c>
      <c r="BA167" s="7"/>
      <c r="BB167" s="7"/>
      <c r="BC167" s="7"/>
      <c r="BD167" s="7"/>
      <c r="BE167" s="7" t="s">
        <v>127</v>
      </c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</row>
    <row r="168" customFormat="false" ht="15" hidden="false" customHeight="false" outlineLevel="0" collapsed="false">
      <c r="A168" s="7" t="s">
        <v>1547</v>
      </c>
      <c r="B168" s="7" t="s">
        <v>1548</v>
      </c>
      <c r="C168" s="7" t="s">
        <v>1549</v>
      </c>
      <c r="D168" s="7"/>
      <c r="E168" s="7" t="s">
        <v>101</v>
      </c>
      <c r="F168" s="7" t="s">
        <v>101</v>
      </c>
      <c r="G168" s="7"/>
      <c r="H168" s="7" t="s">
        <v>102</v>
      </c>
      <c r="I168" s="7" t="s">
        <v>132</v>
      </c>
      <c r="J168" s="7" t="s">
        <v>104</v>
      </c>
      <c r="K168" s="7" t="s">
        <v>105</v>
      </c>
      <c r="L168" s="7" t="s">
        <v>106</v>
      </c>
      <c r="M168" s="7"/>
      <c r="N168" s="7" t="s">
        <v>1550</v>
      </c>
      <c r="O168" s="7" t="s">
        <v>1550</v>
      </c>
      <c r="P168" s="7" t="s">
        <v>135</v>
      </c>
      <c r="Q168" s="7"/>
      <c r="R168" s="7" t="s">
        <v>109</v>
      </c>
      <c r="S168" s="7" t="s">
        <v>110</v>
      </c>
      <c r="T168" s="7" t="n">
        <v>0.583</v>
      </c>
      <c r="U168" s="7" t="n">
        <v>1</v>
      </c>
      <c r="V168" s="7" t="s">
        <v>90</v>
      </c>
      <c r="W168" s="7"/>
      <c r="X168" s="7"/>
      <c r="Y168" s="7" t="s">
        <v>1550</v>
      </c>
      <c r="Z168" s="7"/>
      <c r="AA168" s="7"/>
      <c r="AB168" s="7"/>
      <c r="AC168" s="7" t="n">
        <v>1</v>
      </c>
      <c r="AD168" s="7" t="s">
        <v>1551</v>
      </c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 t="s">
        <v>1523</v>
      </c>
      <c r="AT168" s="7" t="s">
        <v>250</v>
      </c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 t="s">
        <v>127</v>
      </c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</row>
    <row r="169" customFormat="false" ht="15" hidden="false" customHeight="false" outlineLevel="0" collapsed="false">
      <c r="A169" s="7" t="s">
        <v>1552</v>
      </c>
      <c r="B169" s="7" t="s">
        <v>1553</v>
      </c>
      <c r="C169" s="7" t="s">
        <v>1554</v>
      </c>
      <c r="D169" s="7"/>
      <c r="E169" s="7" t="s">
        <v>101</v>
      </c>
      <c r="F169" s="7" t="s">
        <v>101</v>
      </c>
      <c r="G169" s="7"/>
      <c r="H169" s="7" t="s">
        <v>102</v>
      </c>
      <c r="I169" s="7" t="s">
        <v>132</v>
      </c>
      <c r="J169" s="7" t="s">
        <v>104</v>
      </c>
      <c r="K169" s="7" t="s">
        <v>105</v>
      </c>
      <c r="L169" s="7" t="s">
        <v>106</v>
      </c>
      <c r="M169" s="7"/>
      <c r="N169" s="7" t="s">
        <v>1555</v>
      </c>
      <c r="O169" s="7" t="s">
        <v>1555</v>
      </c>
      <c r="P169" s="7" t="s">
        <v>135</v>
      </c>
      <c r="Q169" s="7"/>
      <c r="R169" s="7" t="s">
        <v>109</v>
      </c>
      <c r="S169" s="7" t="s">
        <v>110</v>
      </c>
      <c r="T169" s="7" t="n">
        <v>0.276</v>
      </c>
      <c r="U169" s="7" t="n">
        <v>1</v>
      </c>
      <c r="V169" s="7" t="s">
        <v>90</v>
      </c>
      <c r="W169" s="7"/>
      <c r="X169" s="7"/>
      <c r="Y169" s="7" t="s">
        <v>1555</v>
      </c>
      <c r="Z169" s="7"/>
      <c r="AA169" s="7"/>
      <c r="AB169" s="7"/>
      <c r="AC169" s="7" t="n">
        <v>1</v>
      </c>
      <c r="AD169" s="7" t="s">
        <v>1556</v>
      </c>
      <c r="AE169" s="7" t="s">
        <v>1523</v>
      </c>
      <c r="AF169" s="7" t="s">
        <v>1557</v>
      </c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 t="s">
        <v>127</v>
      </c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</row>
    <row r="170" customFormat="false" ht="15" hidden="false" customHeight="false" outlineLevel="0" collapsed="false">
      <c r="A170" s="7" t="s">
        <v>1558</v>
      </c>
      <c r="B170" s="7" t="s">
        <v>1559</v>
      </c>
      <c r="C170" s="7" t="s">
        <v>1560</v>
      </c>
      <c r="D170" s="7"/>
      <c r="E170" s="7" t="s">
        <v>101</v>
      </c>
      <c r="F170" s="7" t="s">
        <v>101</v>
      </c>
      <c r="G170" s="7"/>
      <c r="H170" s="7" t="s">
        <v>102</v>
      </c>
      <c r="I170" s="7" t="s">
        <v>132</v>
      </c>
      <c r="J170" s="7" t="s">
        <v>104</v>
      </c>
      <c r="K170" s="7" t="s">
        <v>105</v>
      </c>
      <c r="L170" s="7" t="s">
        <v>106</v>
      </c>
      <c r="M170" s="7"/>
      <c r="N170" s="7" t="s">
        <v>1561</v>
      </c>
      <c r="O170" s="7"/>
      <c r="P170" s="7" t="s">
        <v>135</v>
      </c>
      <c r="Q170" s="7"/>
      <c r="R170" s="7"/>
      <c r="S170" s="7"/>
      <c r="T170" s="7"/>
      <c r="U170" s="7" t="n">
        <v>1</v>
      </c>
      <c r="V170" s="7" t="s">
        <v>90</v>
      </c>
      <c r="W170" s="7"/>
      <c r="X170" s="7"/>
      <c r="Y170" s="7" t="s">
        <v>1561</v>
      </c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 t="s">
        <v>127</v>
      </c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</row>
    <row r="171" customFormat="false" ht="15" hidden="false" customHeight="false" outlineLevel="0" collapsed="false">
      <c r="A171" s="7" t="s">
        <v>1562</v>
      </c>
      <c r="B171" s="7" t="s">
        <v>1563</v>
      </c>
      <c r="C171" s="7" t="s">
        <v>1564</v>
      </c>
      <c r="D171" s="7"/>
      <c r="E171" s="7" t="s">
        <v>101</v>
      </c>
      <c r="F171" s="7" t="s">
        <v>101</v>
      </c>
      <c r="G171" s="7"/>
      <c r="H171" s="7" t="s">
        <v>102</v>
      </c>
      <c r="I171" s="7" t="s">
        <v>132</v>
      </c>
      <c r="J171" s="7" t="s">
        <v>104</v>
      </c>
      <c r="K171" s="7" t="s">
        <v>105</v>
      </c>
      <c r="L171" s="7" t="s">
        <v>106</v>
      </c>
      <c r="M171" s="7"/>
      <c r="N171" s="7" t="s">
        <v>1565</v>
      </c>
      <c r="O171" s="7"/>
      <c r="P171" s="7" t="s">
        <v>135</v>
      </c>
      <c r="Q171" s="7"/>
      <c r="R171" s="7" t="s">
        <v>135</v>
      </c>
      <c r="S171" s="7" t="s">
        <v>136</v>
      </c>
      <c r="T171" s="7" t="n">
        <v>0.24</v>
      </c>
      <c r="U171" s="7" t="n">
        <v>1</v>
      </c>
      <c r="V171" s="7" t="s">
        <v>90</v>
      </c>
      <c r="W171" s="7"/>
      <c r="X171" s="7"/>
      <c r="Y171" s="7" t="s">
        <v>1565</v>
      </c>
      <c r="Z171" s="7"/>
      <c r="AA171" s="7"/>
      <c r="AB171" s="7"/>
      <c r="AC171" s="7" t="n">
        <v>0</v>
      </c>
      <c r="AD171" s="7" t="s">
        <v>388</v>
      </c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 t="s">
        <v>127</v>
      </c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</row>
    <row r="172" customFormat="false" ht="15" hidden="false" customHeight="false" outlineLevel="0" collapsed="false">
      <c r="A172" s="7" t="s">
        <v>1566</v>
      </c>
      <c r="B172" s="7" t="s">
        <v>1567</v>
      </c>
      <c r="C172" s="7" t="s">
        <v>1568</v>
      </c>
      <c r="D172" s="7" t="s">
        <v>493</v>
      </c>
      <c r="E172" s="7" t="s">
        <v>101</v>
      </c>
      <c r="F172" s="7" t="s">
        <v>101</v>
      </c>
      <c r="G172" s="7"/>
      <c r="H172" s="7" t="s">
        <v>102</v>
      </c>
      <c r="I172" s="7" t="s">
        <v>132</v>
      </c>
      <c r="J172" s="7" t="s">
        <v>104</v>
      </c>
      <c r="K172" s="7" t="s">
        <v>105</v>
      </c>
      <c r="L172" s="7" t="s">
        <v>106</v>
      </c>
      <c r="M172" s="7"/>
      <c r="N172" s="7" t="s">
        <v>1569</v>
      </c>
      <c r="O172" s="7" t="s">
        <v>1569</v>
      </c>
      <c r="P172" s="7" t="s">
        <v>135</v>
      </c>
      <c r="Q172" s="7"/>
      <c r="R172" s="7" t="s">
        <v>109</v>
      </c>
      <c r="S172" s="7" t="s">
        <v>110</v>
      </c>
      <c r="T172" s="7" t="n">
        <v>0.32</v>
      </c>
      <c r="U172" s="7" t="n">
        <v>1</v>
      </c>
      <c r="V172" s="7" t="s">
        <v>90</v>
      </c>
      <c r="W172" s="7"/>
      <c r="X172" s="7"/>
      <c r="Y172" s="7" t="s">
        <v>1569</v>
      </c>
      <c r="Z172" s="7"/>
      <c r="AA172" s="7"/>
      <c r="AB172" s="7"/>
      <c r="AC172" s="7" t="n">
        <v>0</v>
      </c>
      <c r="AD172" s="7" t="s">
        <v>388</v>
      </c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 t="s">
        <v>127</v>
      </c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</row>
    <row r="173" customFormat="false" ht="15" hidden="false" customHeight="false" outlineLevel="0" collapsed="false">
      <c r="A173" s="7" t="s">
        <v>1570</v>
      </c>
      <c r="B173" s="7" t="s">
        <v>1571</v>
      </c>
      <c r="C173" s="7" t="s">
        <v>1572</v>
      </c>
      <c r="D173" s="7"/>
      <c r="E173" s="7" t="s">
        <v>101</v>
      </c>
      <c r="F173" s="7" t="s">
        <v>101</v>
      </c>
      <c r="G173" s="7"/>
      <c r="H173" s="7" t="s">
        <v>102</v>
      </c>
      <c r="I173" s="7" t="s">
        <v>132</v>
      </c>
      <c r="J173" s="7" t="s">
        <v>104</v>
      </c>
      <c r="K173" s="7" t="s">
        <v>105</v>
      </c>
      <c r="L173" s="7" t="s">
        <v>106</v>
      </c>
      <c r="M173" s="7"/>
      <c r="N173" s="7" t="s">
        <v>1573</v>
      </c>
      <c r="O173" s="7" t="s">
        <v>1573</v>
      </c>
      <c r="P173" s="7" t="s">
        <v>135</v>
      </c>
      <c r="Q173" s="7"/>
      <c r="R173" s="7" t="s">
        <v>109</v>
      </c>
      <c r="S173" s="7" t="s">
        <v>110</v>
      </c>
      <c r="T173" s="7" t="n">
        <v>0.353</v>
      </c>
      <c r="U173" s="7" t="n">
        <v>1</v>
      </c>
      <c r="V173" s="7" t="s">
        <v>90</v>
      </c>
      <c r="W173" s="7"/>
      <c r="X173" s="7"/>
      <c r="Y173" s="7" t="s">
        <v>1573</v>
      </c>
      <c r="Z173" s="7"/>
      <c r="AA173" s="7"/>
      <c r="AB173" s="7"/>
      <c r="AC173" s="7" t="n">
        <v>0</v>
      </c>
      <c r="AD173" s="7" t="s">
        <v>388</v>
      </c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 t="s">
        <v>127</v>
      </c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</row>
    <row r="174" customFormat="false" ht="15" hidden="false" customHeight="false" outlineLevel="0" collapsed="false">
      <c r="A174" s="7" t="s">
        <v>1574</v>
      </c>
      <c r="B174" s="7" t="s">
        <v>1575</v>
      </c>
      <c r="C174" s="7" t="s">
        <v>1576</v>
      </c>
      <c r="D174" s="7"/>
      <c r="E174" s="7" t="s">
        <v>101</v>
      </c>
      <c r="F174" s="7" t="s">
        <v>101</v>
      </c>
      <c r="G174" s="7"/>
      <c r="H174" s="7" t="s">
        <v>102</v>
      </c>
      <c r="I174" s="7" t="s">
        <v>132</v>
      </c>
      <c r="J174" s="7" t="s">
        <v>104</v>
      </c>
      <c r="K174" s="7" t="s">
        <v>105</v>
      </c>
      <c r="L174" s="7" t="s">
        <v>106</v>
      </c>
      <c r="M174" s="7"/>
      <c r="N174" s="7" t="s">
        <v>1577</v>
      </c>
      <c r="O174" s="7" t="s">
        <v>1577</v>
      </c>
      <c r="P174" s="7" t="s">
        <v>135</v>
      </c>
      <c r="Q174" s="7"/>
      <c r="R174" s="7" t="s">
        <v>109</v>
      </c>
      <c r="S174" s="7" t="s">
        <v>110</v>
      </c>
      <c r="T174" s="7" t="n">
        <v>0.271</v>
      </c>
      <c r="U174" s="7" t="n">
        <v>1</v>
      </c>
      <c r="V174" s="7" t="s">
        <v>90</v>
      </c>
      <c r="W174" s="7"/>
      <c r="X174" s="7"/>
      <c r="Y174" s="7" t="s">
        <v>1577</v>
      </c>
      <c r="Z174" s="7"/>
      <c r="AA174" s="7"/>
      <c r="AB174" s="7"/>
      <c r="AC174" s="7" t="n">
        <v>0</v>
      </c>
      <c r="AD174" s="7" t="s">
        <v>388</v>
      </c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 t="s">
        <v>127</v>
      </c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</row>
    <row r="175" customFormat="false" ht="15" hidden="false" customHeight="false" outlineLevel="0" collapsed="false">
      <c r="A175" s="7" t="s">
        <v>1578</v>
      </c>
      <c r="B175" s="7" t="s">
        <v>1579</v>
      </c>
      <c r="C175" s="7" t="s">
        <v>1580</v>
      </c>
      <c r="D175" s="7"/>
      <c r="E175" s="7" t="s">
        <v>101</v>
      </c>
      <c r="F175" s="7" t="s">
        <v>101</v>
      </c>
      <c r="G175" s="7"/>
      <c r="H175" s="7" t="s">
        <v>102</v>
      </c>
      <c r="I175" s="7" t="s">
        <v>158</v>
      </c>
      <c r="J175" s="7" t="s">
        <v>104</v>
      </c>
      <c r="K175" s="7" t="s">
        <v>105</v>
      </c>
      <c r="L175" s="7" t="s">
        <v>106</v>
      </c>
      <c r="M175" s="7"/>
      <c r="N175" s="7" t="s">
        <v>1581</v>
      </c>
      <c r="O175" s="7" t="s">
        <v>1581</v>
      </c>
      <c r="P175" s="7" t="s">
        <v>135</v>
      </c>
      <c r="Q175" s="7"/>
      <c r="R175" s="7" t="s">
        <v>109</v>
      </c>
      <c r="S175" s="7" t="s">
        <v>110</v>
      </c>
      <c r="T175" s="7" t="n">
        <v>0.326</v>
      </c>
      <c r="U175" s="7" t="n">
        <v>1</v>
      </c>
      <c r="V175" s="7" t="s">
        <v>90</v>
      </c>
      <c r="W175" s="7"/>
      <c r="X175" s="7"/>
      <c r="Y175" s="7"/>
      <c r="Z175" s="7"/>
      <c r="AA175" s="7"/>
      <c r="AB175" s="7"/>
      <c r="AC175" s="7" t="n">
        <v>0</v>
      </c>
      <c r="AD175" s="7" t="s">
        <v>388</v>
      </c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 t="s">
        <v>440</v>
      </c>
      <c r="BE175" s="7" t="s">
        <v>127</v>
      </c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</row>
    <row r="176" customFormat="false" ht="15" hidden="false" customHeight="false" outlineLevel="0" collapsed="false">
      <c r="A176" s="7" t="s">
        <v>1582</v>
      </c>
      <c r="B176" s="7" t="s">
        <v>1583</v>
      </c>
      <c r="C176" s="7" t="s">
        <v>1584</v>
      </c>
      <c r="D176" s="7"/>
      <c r="E176" s="7" t="s">
        <v>101</v>
      </c>
      <c r="F176" s="7" t="s">
        <v>101</v>
      </c>
      <c r="G176" s="7"/>
      <c r="H176" s="7" t="s">
        <v>102</v>
      </c>
      <c r="I176" s="7" t="s">
        <v>132</v>
      </c>
      <c r="J176" s="7" t="s">
        <v>104</v>
      </c>
      <c r="K176" s="7" t="s">
        <v>105</v>
      </c>
      <c r="L176" s="7" t="s">
        <v>106</v>
      </c>
      <c r="M176" s="7"/>
      <c r="N176" s="7" t="s">
        <v>1585</v>
      </c>
      <c r="O176" s="7"/>
      <c r="P176" s="7" t="s">
        <v>135</v>
      </c>
      <c r="Q176" s="7"/>
      <c r="R176" s="7" t="s">
        <v>135</v>
      </c>
      <c r="S176" s="7" t="s">
        <v>136</v>
      </c>
      <c r="T176" s="7" t="n">
        <v>0.28</v>
      </c>
      <c r="U176" s="7" t="n">
        <v>1</v>
      </c>
      <c r="V176" s="7" t="s">
        <v>90</v>
      </c>
      <c r="W176" s="7"/>
      <c r="X176" s="7" t="s">
        <v>597</v>
      </c>
      <c r="Y176" s="7" t="s">
        <v>1585</v>
      </c>
      <c r="Z176" s="7" t="s">
        <v>796</v>
      </c>
      <c r="AA176" s="7"/>
      <c r="AB176" s="7"/>
      <c r="AC176" s="7" t="n">
        <v>7</v>
      </c>
      <c r="AD176" s="7" t="s">
        <v>1586</v>
      </c>
      <c r="AE176" s="7" t="s">
        <v>744</v>
      </c>
      <c r="AF176" s="7" t="s">
        <v>1584</v>
      </c>
      <c r="AG176" s="7" t="s">
        <v>744</v>
      </c>
      <c r="AH176" s="7" t="s">
        <v>597</v>
      </c>
      <c r="AI176" s="7"/>
      <c r="AJ176" s="7"/>
      <c r="AK176" s="7" t="s">
        <v>339</v>
      </c>
      <c r="AL176" s="7" t="s">
        <v>338</v>
      </c>
      <c r="AM176" s="7"/>
      <c r="AN176" s="7"/>
      <c r="AO176" s="7" t="s">
        <v>744</v>
      </c>
      <c r="AP176" s="7" t="s">
        <v>1473</v>
      </c>
      <c r="AQ176" s="7" t="s">
        <v>339</v>
      </c>
      <c r="AR176" s="7" t="s">
        <v>559</v>
      </c>
      <c r="AS176" s="7" t="s">
        <v>339</v>
      </c>
      <c r="AT176" s="7" t="s">
        <v>559</v>
      </c>
      <c r="AU176" s="7"/>
      <c r="AV176" s="7"/>
      <c r="AW176" s="7" t="s">
        <v>744</v>
      </c>
      <c r="AX176" s="7" t="s">
        <v>1585</v>
      </c>
      <c r="AY176" s="7"/>
      <c r="AZ176" s="7"/>
      <c r="BA176" s="7"/>
      <c r="BB176" s="7"/>
      <c r="BC176" s="7"/>
      <c r="BD176" s="7"/>
      <c r="BE176" s="7" t="s">
        <v>127</v>
      </c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</row>
    <row r="177" customFormat="false" ht="15" hidden="false" customHeight="false" outlineLevel="0" collapsed="false">
      <c r="A177" s="7" t="s">
        <v>1587</v>
      </c>
      <c r="B177" s="7" t="s">
        <v>1588</v>
      </c>
      <c r="C177" s="7" t="s">
        <v>1589</v>
      </c>
      <c r="D177" s="7" t="s">
        <v>804</v>
      </c>
      <c r="E177" s="7" t="s">
        <v>101</v>
      </c>
      <c r="F177" s="7" t="s">
        <v>101</v>
      </c>
      <c r="G177" s="7"/>
      <c r="H177" s="7" t="s">
        <v>102</v>
      </c>
      <c r="I177" s="7" t="s">
        <v>374</v>
      </c>
      <c r="J177" s="7" t="s">
        <v>104</v>
      </c>
      <c r="K177" s="7" t="s">
        <v>105</v>
      </c>
      <c r="L177" s="7" t="s">
        <v>106</v>
      </c>
      <c r="M177" s="7"/>
      <c r="N177" s="7" t="s">
        <v>1590</v>
      </c>
      <c r="O177" s="7"/>
      <c r="P177" s="7" t="s">
        <v>135</v>
      </c>
      <c r="Q177" s="7"/>
      <c r="R177" s="7" t="s">
        <v>135</v>
      </c>
      <c r="S177" s="7" t="s">
        <v>136</v>
      </c>
      <c r="T177" s="7" t="n">
        <v>0.455</v>
      </c>
      <c r="U177" s="7" t="n">
        <v>1</v>
      </c>
      <c r="V177" s="7" t="s">
        <v>90</v>
      </c>
      <c r="W177" s="7" t="s">
        <v>1591</v>
      </c>
      <c r="X177" s="7" t="s">
        <v>239</v>
      </c>
      <c r="Y177" s="7" t="s">
        <v>1590</v>
      </c>
      <c r="Z177" s="7" t="s">
        <v>1592</v>
      </c>
      <c r="AA177" s="7"/>
      <c r="AB177" s="7"/>
      <c r="AC177" s="7" t="n">
        <v>12</v>
      </c>
      <c r="AD177" s="7"/>
      <c r="AE177" s="7" t="s">
        <v>758</v>
      </c>
      <c r="AF177" s="7" t="s">
        <v>802</v>
      </c>
      <c r="AG177" s="7" t="s">
        <v>758</v>
      </c>
      <c r="AH177" s="7" t="s">
        <v>803</v>
      </c>
      <c r="AI177" s="7" t="s">
        <v>758</v>
      </c>
      <c r="AJ177" s="7" t="s">
        <v>1593</v>
      </c>
      <c r="AK177" s="7" t="s">
        <v>758</v>
      </c>
      <c r="AL177" s="7" t="s">
        <v>1594</v>
      </c>
      <c r="AM177" s="7" t="s">
        <v>758</v>
      </c>
      <c r="AN177" s="7" t="s">
        <v>1595</v>
      </c>
      <c r="AO177" s="7" t="s">
        <v>758</v>
      </c>
      <c r="AP177" s="7" t="s">
        <v>804</v>
      </c>
      <c r="AQ177" s="7" t="s">
        <v>758</v>
      </c>
      <c r="AR177" s="7" t="s">
        <v>431</v>
      </c>
      <c r="AS177" s="7" t="s">
        <v>758</v>
      </c>
      <c r="AT177" s="7" t="s">
        <v>122</v>
      </c>
      <c r="AU177" s="7" t="s">
        <v>758</v>
      </c>
      <c r="AV177" s="7" t="s">
        <v>805</v>
      </c>
      <c r="AW177" s="7" t="s">
        <v>758</v>
      </c>
      <c r="AX177" s="7" t="s">
        <v>273</v>
      </c>
      <c r="AY177" s="7" t="s">
        <v>758</v>
      </c>
      <c r="AZ177" s="7" t="s">
        <v>124</v>
      </c>
      <c r="BA177" s="7" t="s">
        <v>758</v>
      </c>
      <c r="BB177" s="7" t="s">
        <v>1596</v>
      </c>
      <c r="BC177" s="7"/>
      <c r="BD177" s="7"/>
      <c r="BE177" s="7" t="s">
        <v>127</v>
      </c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</row>
    <row r="178" customFormat="false" ht="15" hidden="false" customHeight="false" outlineLevel="0" collapsed="false">
      <c r="A178" s="7" t="s">
        <v>1597</v>
      </c>
      <c r="B178" s="7" t="s">
        <v>1598</v>
      </c>
      <c r="C178" s="7" t="s">
        <v>1599</v>
      </c>
      <c r="D178" s="7" t="s">
        <v>1600</v>
      </c>
      <c r="E178" s="7" t="s">
        <v>101</v>
      </c>
      <c r="F178" s="7" t="s">
        <v>82</v>
      </c>
      <c r="G178" s="7" t="s">
        <v>1601</v>
      </c>
      <c r="H178" s="7" t="s">
        <v>102</v>
      </c>
      <c r="I178" s="7" t="s">
        <v>132</v>
      </c>
      <c r="J178" s="7" t="s">
        <v>104</v>
      </c>
      <c r="K178" s="7" t="s">
        <v>105</v>
      </c>
      <c r="L178" s="7" t="s">
        <v>106</v>
      </c>
      <c r="M178" s="7"/>
      <c r="N178" s="7" t="s">
        <v>1602</v>
      </c>
      <c r="O178" s="7"/>
      <c r="P178" s="7" t="s">
        <v>135</v>
      </c>
      <c r="Q178" s="7"/>
      <c r="R178" s="7"/>
      <c r="S178" s="7"/>
      <c r="T178" s="7" t="n">
        <v>0.18</v>
      </c>
      <c r="U178" s="7" t="n">
        <v>1</v>
      </c>
      <c r="V178" s="7" t="s">
        <v>90</v>
      </c>
      <c r="W178" s="7"/>
      <c r="X178" s="7" t="s">
        <v>752</v>
      </c>
      <c r="Y178" s="7" t="s">
        <v>1602</v>
      </c>
      <c r="Z178" s="7" t="s">
        <v>753</v>
      </c>
      <c r="AA178" s="7"/>
      <c r="AB178" s="7"/>
      <c r="AC178" s="7"/>
      <c r="AD178" s="7"/>
      <c r="AE178" s="7" t="s">
        <v>1603</v>
      </c>
      <c r="AF178" s="7" t="s">
        <v>1604</v>
      </c>
      <c r="AG178" s="7"/>
      <c r="AH178" s="7"/>
      <c r="AI178" s="7"/>
      <c r="AJ178" s="7"/>
      <c r="AK178" s="7"/>
      <c r="AL178" s="7"/>
      <c r="AM178" s="7"/>
      <c r="AN178" s="7"/>
      <c r="AO178" s="7" t="s">
        <v>1603</v>
      </c>
      <c r="AP178" s="7" t="s">
        <v>1605</v>
      </c>
      <c r="AQ178" s="7" t="s">
        <v>1603</v>
      </c>
      <c r="AR178" s="7" t="s">
        <v>82</v>
      </c>
      <c r="AS178" s="7" t="s">
        <v>1603</v>
      </c>
      <c r="AT178" s="7" t="s">
        <v>216</v>
      </c>
      <c r="AU178" s="7"/>
      <c r="AV178" s="7"/>
      <c r="AW178" s="7" t="s">
        <v>1603</v>
      </c>
      <c r="AX178" s="7" t="s">
        <v>326</v>
      </c>
      <c r="AY178" s="7"/>
      <c r="AZ178" s="7"/>
      <c r="BA178" s="7"/>
      <c r="BB178" s="7"/>
      <c r="BC178" s="7"/>
      <c r="BD178" s="7" t="s">
        <v>1606</v>
      </c>
      <c r="BE178" s="7" t="s">
        <v>127</v>
      </c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</row>
    <row r="179" customFormat="false" ht="15" hidden="false" customHeight="false" outlineLevel="0" collapsed="false">
      <c r="A179" s="7" t="s">
        <v>1607</v>
      </c>
      <c r="B179" s="7" t="s">
        <v>1608</v>
      </c>
      <c r="C179" s="7" t="s">
        <v>1609</v>
      </c>
      <c r="D179" s="7" t="s">
        <v>1092</v>
      </c>
      <c r="E179" s="7" t="s">
        <v>82</v>
      </c>
      <c r="F179" s="7" t="s">
        <v>82</v>
      </c>
      <c r="G179" s="7"/>
      <c r="H179" s="7" t="s">
        <v>207</v>
      </c>
      <c r="I179" s="7" t="s">
        <v>1104</v>
      </c>
      <c r="J179" s="7" t="s">
        <v>1105</v>
      </c>
      <c r="K179" s="7" t="s">
        <v>1147</v>
      </c>
      <c r="L179" s="7" t="s">
        <v>1106</v>
      </c>
      <c r="M179" s="7"/>
      <c r="N179" s="7" t="s">
        <v>1095</v>
      </c>
      <c r="O179" s="7" t="s">
        <v>1095</v>
      </c>
      <c r="P179" s="7" t="s">
        <v>135</v>
      </c>
      <c r="Q179" s="7"/>
      <c r="R179" s="7" t="s">
        <v>109</v>
      </c>
      <c r="S179" s="7" t="s">
        <v>110</v>
      </c>
      <c r="T179" s="7" t="n">
        <v>0.514</v>
      </c>
      <c r="U179" s="7" t="n">
        <v>0</v>
      </c>
      <c r="V179" s="7"/>
      <c r="W179" s="7"/>
      <c r="X179" s="7"/>
      <c r="Y179" s="7"/>
      <c r="Z179" s="7"/>
      <c r="AA179" s="7" t="s">
        <v>572</v>
      </c>
      <c r="AB179" s="7" t="s">
        <v>573</v>
      </c>
      <c r="AC179" s="7" t="n">
        <v>0</v>
      </c>
      <c r="AD179" s="7" t="s">
        <v>388</v>
      </c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 t="s">
        <v>1096</v>
      </c>
      <c r="BE179" s="7" t="s">
        <v>575</v>
      </c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</row>
    <row r="180" customFormat="false" ht="15" hidden="false" customHeight="false" outlineLevel="0" collapsed="false">
      <c r="A180" s="7" t="s">
        <v>1610</v>
      </c>
      <c r="B180" s="7" t="s">
        <v>1611</v>
      </c>
      <c r="C180" s="7" t="s">
        <v>1612</v>
      </c>
      <c r="D180" s="7" t="s">
        <v>1092</v>
      </c>
      <c r="E180" s="7" t="s">
        <v>82</v>
      </c>
      <c r="F180" s="7" t="s">
        <v>82</v>
      </c>
      <c r="G180" s="7"/>
      <c r="H180" s="7" t="s">
        <v>207</v>
      </c>
      <c r="I180" s="7" t="s">
        <v>158</v>
      </c>
      <c r="J180" s="7" t="s">
        <v>1110</v>
      </c>
      <c r="K180" s="7" t="s">
        <v>1111</v>
      </c>
      <c r="L180" s="7" t="s">
        <v>106</v>
      </c>
      <c r="M180" s="7"/>
      <c r="N180" s="7" t="s">
        <v>1095</v>
      </c>
      <c r="O180" s="7" t="s">
        <v>1095</v>
      </c>
      <c r="P180" s="7" t="s">
        <v>84</v>
      </c>
      <c r="Q180" s="7"/>
      <c r="R180" s="7" t="s">
        <v>109</v>
      </c>
      <c r="S180" s="7" t="s">
        <v>110</v>
      </c>
      <c r="T180" s="7" t="n">
        <v>0.527</v>
      </c>
      <c r="U180" s="7" t="n">
        <v>2</v>
      </c>
      <c r="V180" s="7" t="s">
        <v>1112</v>
      </c>
      <c r="W180" s="7" t="s">
        <v>1113</v>
      </c>
      <c r="X180" s="7" t="s">
        <v>1114</v>
      </c>
      <c r="Y180" s="7" t="s">
        <v>1115</v>
      </c>
      <c r="Z180" s="7" t="s">
        <v>1116</v>
      </c>
      <c r="AA180" s="7" t="s">
        <v>1117</v>
      </c>
      <c r="AB180" s="7" t="s">
        <v>1118</v>
      </c>
      <c r="AC180" s="7" t="n">
        <v>0</v>
      </c>
      <c r="AD180" s="7" t="s">
        <v>388</v>
      </c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 t="s">
        <v>1119</v>
      </c>
      <c r="BE180" s="7" t="s">
        <v>575</v>
      </c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</row>
    <row r="181" customFormat="false" ht="15" hidden="false" customHeight="false" outlineLevel="0" collapsed="false">
      <c r="A181" s="7" t="s">
        <v>1613</v>
      </c>
      <c r="B181" s="7" t="s">
        <v>1614</v>
      </c>
      <c r="C181" s="7" t="s">
        <v>1615</v>
      </c>
      <c r="D181" s="7" t="s">
        <v>1616</v>
      </c>
      <c r="E181" s="7" t="s">
        <v>82</v>
      </c>
      <c r="F181" s="7" t="s">
        <v>82</v>
      </c>
      <c r="G181" s="7"/>
      <c r="H181" s="7" t="s">
        <v>207</v>
      </c>
      <c r="I181" s="7" t="s">
        <v>132</v>
      </c>
      <c r="J181" s="7" t="s">
        <v>475</v>
      </c>
      <c r="K181" s="7" t="s">
        <v>1147</v>
      </c>
      <c r="L181" s="7" t="s">
        <v>106</v>
      </c>
      <c r="M181" s="7"/>
      <c r="N181" s="7" t="s">
        <v>1617</v>
      </c>
      <c r="O181" s="7" t="s">
        <v>1617</v>
      </c>
      <c r="P181" s="7" t="s">
        <v>135</v>
      </c>
      <c r="Q181" s="7"/>
      <c r="R181" s="7" t="s">
        <v>109</v>
      </c>
      <c r="S181" s="7" t="s">
        <v>110</v>
      </c>
      <c r="T181" s="7" t="n">
        <v>0.278</v>
      </c>
      <c r="U181" s="7" t="n">
        <v>0</v>
      </c>
      <c r="V181" s="7"/>
      <c r="W181" s="7"/>
      <c r="X181" s="7"/>
      <c r="Y181" s="7"/>
      <c r="Z181" s="7"/>
      <c r="AA181" s="7" t="s">
        <v>572</v>
      </c>
      <c r="AB181" s="7" t="s">
        <v>573</v>
      </c>
      <c r="AC181" s="7" t="n">
        <v>0</v>
      </c>
      <c r="AD181" s="7" t="s">
        <v>388</v>
      </c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 t="s">
        <v>1142</v>
      </c>
      <c r="BE181" s="7" t="s">
        <v>1088</v>
      </c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</row>
    <row r="182" customFormat="false" ht="15" hidden="false" customHeight="false" outlineLevel="0" collapsed="false">
      <c r="A182" s="7" t="s">
        <v>1618</v>
      </c>
      <c r="B182" s="7" t="s">
        <v>1619</v>
      </c>
      <c r="C182" s="7" t="s">
        <v>1620</v>
      </c>
      <c r="D182" s="7" t="s">
        <v>1621</v>
      </c>
      <c r="E182" s="7" t="s">
        <v>82</v>
      </c>
      <c r="F182" s="7" t="s">
        <v>82</v>
      </c>
      <c r="G182" s="7"/>
      <c r="H182" s="7" t="s">
        <v>207</v>
      </c>
      <c r="I182" s="7" t="s">
        <v>374</v>
      </c>
      <c r="J182" s="7" t="s">
        <v>475</v>
      </c>
      <c r="K182" s="7" t="s">
        <v>1147</v>
      </c>
      <c r="L182" s="7" t="s">
        <v>106</v>
      </c>
      <c r="M182" s="7"/>
      <c r="N182" s="7" t="s">
        <v>1622</v>
      </c>
      <c r="O182" s="7" t="s">
        <v>1622</v>
      </c>
      <c r="P182" s="7" t="s">
        <v>135</v>
      </c>
      <c r="Q182" s="7"/>
      <c r="R182" s="7" t="s">
        <v>109</v>
      </c>
      <c r="S182" s="7" t="s">
        <v>110</v>
      </c>
      <c r="T182" s="7" t="n">
        <v>0.33</v>
      </c>
      <c r="U182" s="7" t="n">
        <v>0</v>
      </c>
      <c r="V182" s="7"/>
      <c r="W182" s="7"/>
      <c r="X182" s="7"/>
      <c r="Y182" s="7"/>
      <c r="Z182" s="7"/>
      <c r="AA182" s="7" t="s">
        <v>572</v>
      </c>
      <c r="AB182" s="7" t="s">
        <v>573</v>
      </c>
      <c r="AC182" s="7" t="n">
        <v>0</v>
      </c>
      <c r="AD182" s="7" t="s">
        <v>388</v>
      </c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 t="s">
        <v>1142</v>
      </c>
      <c r="BE182" s="7" t="s">
        <v>575</v>
      </c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</row>
    <row r="183" customFormat="false" ht="15" hidden="false" customHeight="false" outlineLevel="0" collapsed="false">
      <c r="A183" s="7" t="s">
        <v>1623</v>
      </c>
      <c r="B183" s="7" t="s">
        <v>1624</v>
      </c>
      <c r="C183" s="7" t="s">
        <v>1625</v>
      </c>
      <c r="D183" s="7" t="s">
        <v>1626</v>
      </c>
      <c r="E183" s="7" t="s">
        <v>82</v>
      </c>
      <c r="F183" s="7" t="s">
        <v>82</v>
      </c>
      <c r="G183" s="7" t="s">
        <v>83</v>
      </c>
      <c r="H183" s="7" t="s">
        <v>1100</v>
      </c>
      <c r="I183" s="7" t="s">
        <v>132</v>
      </c>
      <c r="J183" s="7" t="s">
        <v>475</v>
      </c>
      <c r="K183" s="7" t="s">
        <v>1084</v>
      </c>
      <c r="L183" s="7" t="s">
        <v>106</v>
      </c>
      <c r="M183" s="7"/>
      <c r="N183" s="7"/>
      <c r="O183" s="7"/>
      <c r="P183" s="7" t="s">
        <v>135</v>
      </c>
      <c r="Q183" s="7"/>
      <c r="R183" s="7" t="s">
        <v>135</v>
      </c>
      <c r="S183" s="7" t="s">
        <v>136</v>
      </c>
      <c r="T183" s="7" t="n">
        <v>0.309</v>
      </c>
      <c r="U183" s="7" t="n">
        <v>0</v>
      </c>
      <c r="V183" s="7"/>
      <c r="W183" s="7"/>
      <c r="X183" s="7"/>
      <c r="Y183" s="7"/>
      <c r="Z183" s="7"/>
      <c r="AA183" s="7" t="s">
        <v>1086</v>
      </c>
      <c r="AB183" s="7" t="s">
        <v>1087</v>
      </c>
      <c r="AC183" s="7" t="n">
        <v>0</v>
      </c>
      <c r="AD183" s="7" t="s">
        <v>388</v>
      </c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 t="s">
        <v>1142</v>
      </c>
      <c r="BE183" s="7" t="s">
        <v>127</v>
      </c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</row>
    <row r="184" customFormat="false" ht="15" hidden="false" customHeight="false" outlineLevel="0" collapsed="false">
      <c r="A184" s="7" t="s">
        <v>1627</v>
      </c>
      <c r="B184" s="7" t="s">
        <v>1628</v>
      </c>
      <c r="C184" s="7" t="s">
        <v>1629</v>
      </c>
      <c r="D184" s="7" t="s">
        <v>1092</v>
      </c>
      <c r="E184" s="7" t="s">
        <v>82</v>
      </c>
      <c r="F184" s="7" t="s">
        <v>82</v>
      </c>
      <c r="G184" s="7"/>
      <c r="H184" s="7" t="s">
        <v>1100</v>
      </c>
      <c r="I184" s="7" t="s">
        <v>234</v>
      </c>
      <c r="J184" s="7" t="s">
        <v>475</v>
      </c>
      <c r="K184" s="7" t="s">
        <v>1147</v>
      </c>
      <c r="L184" s="7" t="s">
        <v>106</v>
      </c>
      <c r="M184" s="7"/>
      <c r="N184" s="7" t="s">
        <v>1095</v>
      </c>
      <c r="O184" s="7" t="s">
        <v>1095</v>
      </c>
      <c r="P184" s="7" t="s">
        <v>135</v>
      </c>
      <c r="Q184" s="7"/>
      <c r="R184" s="7" t="s">
        <v>109</v>
      </c>
      <c r="S184" s="7" t="s">
        <v>110</v>
      </c>
      <c r="T184" s="7" t="n">
        <v>0.337</v>
      </c>
      <c r="U184" s="7" t="n">
        <v>0</v>
      </c>
      <c r="V184" s="7"/>
      <c r="W184" s="7"/>
      <c r="X184" s="7"/>
      <c r="Y184" s="7"/>
      <c r="Z184" s="7"/>
      <c r="AA184" s="7" t="s">
        <v>572</v>
      </c>
      <c r="AB184" s="7" t="s">
        <v>573</v>
      </c>
      <c r="AC184" s="7" t="n">
        <v>0</v>
      </c>
      <c r="AD184" s="7" t="s">
        <v>388</v>
      </c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 t="s">
        <v>1096</v>
      </c>
      <c r="BE184" s="7" t="s">
        <v>575</v>
      </c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</row>
    <row r="185" customFormat="false" ht="15" hidden="false" customHeight="false" outlineLevel="0" collapsed="false">
      <c r="A185" s="7" t="s">
        <v>1630</v>
      </c>
      <c r="B185" s="7" t="s">
        <v>1631</v>
      </c>
      <c r="C185" s="7" t="s">
        <v>1632</v>
      </c>
      <c r="D185" s="7" t="s">
        <v>1633</v>
      </c>
      <c r="E185" s="7" t="s">
        <v>82</v>
      </c>
      <c r="F185" s="7" t="s">
        <v>82</v>
      </c>
      <c r="G185" s="7" t="s">
        <v>83</v>
      </c>
      <c r="H185" s="7" t="s">
        <v>1100</v>
      </c>
      <c r="I185" s="7" t="s">
        <v>1140</v>
      </c>
      <c r="J185" s="7" t="s">
        <v>475</v>
      </c>
      <c r="K185" s="7" t="s">
        <v>569</v>
      </c>
      <c r="L185" s="7" t="s">
        <v>106</v>
      </c>
      <c r="M185" s="7"/>
      <c r="N185" s="7" t="s">
        <v>1634</v>
      </c>
      <c r="O185" s="7" t="s">
        <v>1634</v>
      </c>
      <c r="P185" s="7" t="s">
        <v>135</v>
      </c>
      <c r="Q185" s="7"/>
      <c r="R185" s="7" t="s">
        <v>109</v>
      </c>
      <c r="S185" s="7" t="s">
        <v>110</v>
      </c>
      <c r="T185" s="7" t="n">
        <v>0.644</v>
      </c>
      <c r="U185" s="7" t="n">
        <v>0</v>
      </c>
      <c r="V185" s="7"/>
      <c r="W185" s="7"/>
      <c r="X185" s="7"/>
      <c r="Y185" s="7"/>
      <c r="Z185" s="7"/>
      <c r="AA185" s="7" t="s">
        <v>572</v>
      </c>
      <c r="AB185" s="7" t="s">
        <v>573</v>
      </c>
      <c r="AC185" s="7" t="n">
        <v>0</v>
      </c>
      <c r="AD185" s="7" t="s">
        <v>388</v>
      </c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 t="s">
        <v>1142</v>
      </c>
      <c r="BE185" s="7" t="s">
        <v>575</v>
      </c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</row>
    <row r="186" customFormat="false" ht="15" hidden="false" customHeight="false" outlineLevel="0" collapsed="false">
      <c r="A186" s="7" t="s">
        <v>1635</v>
      </c>
      <c r="B186" s="7" t="s">
        <v>1636</v>
      </c>
      <c r="C186" s="7" t="s">
        <v>1637</v>
      </c>
      <c r="D186" s="7" t="s">
        <v>1638</v>
      </c>
      <c r="E186" s="7" t="s">
        <v>82</v>
      </c>
      <c r="F186" s="7" t="s">
        <v>82</v>
      </c>
      <c r="G186" s="7"/>
      <c r="H186" s="7" t="s">
        <v>207</v>
      </c>
      <c r="I186" s="7" t="s">
        <v>1639</v>
      </c>
      <c r="J186" s="7" t="s">
        <v>1640</v>
      </c>
      <c r="K186" s="7" t="s">
        <v>1084</v>
      </c>
      <c r="L186" s="7" t="s">
        <v>106</v>
      </c>
      <c r="M186" s="7"/>
      <c r="N186" s="7" t="s">
        <v>1641</v>
      </c>
      <c r="O186" s="7"/>
      <c r="P186" s="7" t="s">
        <v>135</v>
      </c>
      <c r="Q186" s="7"/>
      <c r="R186" s="7" t="s">
        <v>135</v>
      </c>
      <c r="S186" s="7" t="s">
        <v>136</v>
      </c>
      <c r="T186" s="7" t="n">
        <v>0.372</v>
      </c>
      <c r="U186" s="7" t="n">
        <v>0</v>
      </c>
      <c r="V186" s="7"/>
      <c r="W186" s="7"/>
      <c r="X186" s="7"/>
      <c r="Y186" s="7"/>
      <c r="Z186" s="7"/>
      <c r="AA186" s="7" t="s">
        <v>1086</v>
      </c>
      <c r="AB186" s="7" t="s">
        <v>1087</v>
      </c>
      <c r="AC186" s="7" t="n">
        <v>0</v>
      </c>
      <c r="AD186" s="7" t="s">
        <v>388</v>
      </c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 t="s">
        <v>1142</v>
      </c>
      <c r="BE186" s="7" t="s">
        <v>1252</v>
      </c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</row>
    <row r="187" customFormat="false" ht="15" hidden="false" customHeight="false" outlineLevel="0" collapsed="false">
      <c r="A187" s="7" t="s">
        <v>1642</v>
      </c>
      <c r="B187" s="7" t="s">
        <v>1643</v>
      </c>
      <c r="C187" s="7" t="s">
        <v>1644</v>
      </c>
      <c r="D187" s="7" t="s">
        <v>1645</v>
      </c>
      <c r="E187" s="7"/>
      <c r="F187" s="7" t="s">
        <v>101</v>
      </c>
      <c r="G187" s="7"/>
      <c r="H187" s="7" t="s">
        <v>102</v>
      </c>
      <c r="I187" s="7" t="s">
        <v>103</v>
      </c>
      <c r="J187" s="7" t="s">
        <v>1646</v>
      </c>
      <c r="K187" s="7" t="s">
        <v>1084</v>
      </c>
      <c r="L187" s="7" t="s">
        <v>106</v>
      </c>
      <c r="M187" s="7"/>
      <c r="N187" s="7"/>
      <c r="O187" s="7"/>
      <c r="P187" s="7" t="s">
        <v>135</v>
      </c>
      <c r="Q187" s="7"/>
      <c r="R187" s="7"/>
      <c r="S187" s="7"/>
      <c r="T187" s="7"/>
      <c r="U187" s="7" t="n">
        <v>0</v>
      </c>
      <c r="V187" s="7"/>
      <c r="W187" s="7"/>
      <c r="X187" s="7"/>
      <c r="Y187" s="7"/>
      <c r="Z187" s="7"/>
      <c r="AA187" s="7" t="s">
        <v>1086</v>
      </c>
      <c r="AB187" s="7" t="s">
        <v>1087</v>
      </c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 t="s">
        <v>127</v>
      </c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</row>
    <row r="188" customFormat="false" ht="15" hidden="false" customHeight="false" outlineLevel="0" collapsed="false">
      <c r="A188" s="7" t="s">
        <v>1647</v>
      </c>
      <c r="B188" s="7" t="s">
        <v>1648</v>
      </c>
      <c r="C188" s="7" t="s">
        <v>1649</v>
      </c>
      <c r="D188" s="7" t="s">
        <v>1650</v>
      </c>
      <c r="E188" s="7" t="s">
        <v>101</v>
      </c>
      <c r="F188" s="7" t="s">
        <v>101</v>
      </c>
      <c r="G188" s="7"/>
      <c r="H188" s="7" t="s">
        <v>102</v>
      </c>
      <c r="I188" s="7" t="s">
        <v>132</v>
      </c>
      <c r="J188" s="7" t="s">
        <v>1651</v>
      </c>
      <c r="K188" s="7" t="s">
        <v>1128</v>
      </c>
      <c r="L188" s="7" t="s">
        <v>106</v>
      </c>
      <c r="M188" s="7"/>
      <c r="N188" s="7" t="s">
        <v>1652</v>
      </c>
      <c r="O188" s="7" t="s">
        <v>1652</v>
      </c>
      <c r="P188" s="7" t="s">
        <v>135</v>
      </c>
      <c r="Q188" s="7"/>
      <c r="R188" s="7" t="s">
        <v>109</v>
      </c>
      <c r="S188" s="7" t="s">
        <v>110</v>
      </c>
      <c r="T188" s="7" t="n">
        <v>0.334</v>
      </c>
      <c r="U188" s="7" t="n">
        <v>0</v>
      </c>
      <c r="V188" s="7"/>
      <c r="W188" s="7"/>
      <c r="X188" s="7"/>
      <c r="Y188" s="7"/>
      <c r="Z188" s="7"/>
      <c r="AA188" s="7" t="s">
        <v>1086</v>
      </c>
      <c r="AB188" s="7" t="s">
        <v>1087</v>
      </c>
      <c r="AC188" s="7" t="n">
        <v>0</v>
      </c>
      <c r="AD188" s="7" t="s">
        <v>388</v>
      </c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 t="s">
        <v>1306</v>
      </c>
      <c r="BE188" s="7" t="s">
        <v>1088</v>
      </c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</row>
    <row r="189" customFormat="false" ht="15" hidden="false" customHeight="false" outlineLevel="0" collapsed="false">
      <c r="A189" s="7" t="s">
        <v>1653</v>
      </c>
      <c r="B189" s="7" t="s">
        <v>1654</v>
      </c>
      <c r="C189" s="7" t="s">
        <v>1655</v>
      </c>
      <c r="D189" s="7" t="s">
        <v>1655</v>
      </c>
      <c r="E189" s="7"/>
      <c r="F189" s="7" t="s">
        <v>101</v>
      </c>
      <c r="G189" s="7"/>
      <c r="H189" s="7" t="s">
        <v>102</v>
      </c>
      <c r="I189" s="7" t="s">
        <v>132</v>
      </c>
      <c r="J189" s="7" t="s">
        <v>568</v>
      </c>
      <c r="K189" s="7" t="s">
        <v>1084</v>
      </c>
      <c r="L189" s="7" t="s">
        <v>106</v>
      </c>
      <c r="M189" s="7"/>
      <c r="N189" s="7" t="s">
        <v>1656</v>
      </c>
      <c r="O189" s="7"/>
      <c r="P189" s="7" t="s">
        <v>135</v>
      </c>
      <c r="Q189" s="7"/>
      <c r="R189" s="7"/>
      <c r="S189" s="7"/>
      <c r="T189" s="7"/>
      <c r="U189" s="7" t="n">
        <v>0</v>
      </c>
      <c r="V189" s="7"/>
      <c r="W189" s="7"/>
      <c r="X189" s="7"/>
      <c r="Y189" s="7"/>
      <c r="Z189" s="7"/>
      <c r="AA189" s="7" t="s">
        <v>1086</v>
      </c>
      <c r="AB189" s="7" t="s">
        <v>1087</v>
      </c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 t="s">
        <v>1657</v>
      </c>
      <c r="BE189" s="7" t="s">
        <v>1088</v>
      </c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</row>
    <row r="190" customFormat="false" ht="15" hidden="false" customHeight="false" outlineLevel="0" collapsed="false">
      <c r="A190" s="7" t="s">
        <v>1658</v>
      </c>
      <c r="B190" s="7" t="s">
        <v>1659</v>
      </c>
      <c r="C190" s="7" t="s">
        <v>1660</v>
      </c>
      <c r="D190" s="7" t="s">
        <v>1660</v>
      </c>
      <c r="E190" s="7"/>
      <c r="F190" s="7" t="s">
        <v>101</v>
      </c>
      <c r="G190" s="7"/>
      <c r="H190" s="7" t="s">
        <v>102</v>
      </c>
      <c r="I190" s="7" t="s">
        <v>132</v>
      </c>
      <c r="J190" s="7" t="s">
        <v>568</v>
      </c>
      <c r="K190" s="7" t="s">
        <v>1084</v>
      </c>
      <c r="L190" s="7" t="s">
        <v>106</v>
      </c>
      <c r="M190" s="7"/>
      <c r="N190" s="7" t="s">
        <v>1661</v>
      </c>
      <c r="O190" s="7"/>
      <c r="P190" s="7" t="s">
        <v>135</v>
      </c>
      <c r="Q190" s="7"/>
      <c r="R190" s="7"/>
      <c r="S190" s="7"/>
      <c r="T190" s="7"/>
      <c r="U190" s="7" t="n">
        <v>0</v>
      </c>
      <c r="V190" s="7"/>
      <c r="W190" s="7"/>
      <c r="X190" s="7"/>
      <c r="Y190" s="7"/>
      <c r="Z190" s="7"/>
      <c r="AA190" s="7" t="s">
        <v>1086</v>
      </c>
      <c r="AB190" s="7" t="s">
        <v>1087</v>
      </c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 t="s">
        <v>1662</v>
      </c>
      <c r="BE190" s="7" t="s">
        <v>1088</v>
      </c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</row>
    <row r="191" customFormat="false" ht="15" hidden="false" customHeight="false" outlineLevel="0" collapsed="false">
      <c r="A191" s="7" t="s">
        <v>1663</v>
      </c>
      <c r="B191" s="7" t="s">
        <v>1664</v>
      </c>
      <c r="C191" s="7" t="s">
        <v>1665</v>
      </c>
      <c r="D191" s="7" t="s">
        <v>1666</v>
      </c>
      <c r="E191" s="7" t="s">
        <v>101</v>
      </c>
      <c r="F191" s="7" t="s">
        <v>101</v>
      </c>
      <c r="G191" s="7"/>
      <c r="H191" s="7" t="s">
        <v>207</v>
      </c>
      <c r="I191" s="7" t="s">
        <v>1140</v>
      </c>
      <c r="J191" s="7" t="s">
        <v>568</v>
      </c>
      <c r="K191" s="7" t="s">
        <v>476</v>
      </c>
      <c r="L191" s="7" t="s">
        <v>106</v>
      </c>
      <c r="M191" s="7"/>
      <c r="N191" s="7" t="s">
        <v>1667</v>
      </c>
      <c r="O191" s="7"/>
      <c r="P191" s="7" t="s">
        <v>135</v>
      </c>
      <c r="Q191" s="7"/>
      <c r="R191" s="7" t="s">
        <v>135</v>
      </c>
      <c r="S191" s="7" t="s">
        <v>136</v>
      </c>
      <c r="T191" s="7" t="n">
        <v>0.299</v>
      </c>
      <c r="U191" s="7" t="n">
        <v>0</v>
      </c>
      <c r="V191" s="7"/>
      <c r="W191" s="7"/>
      <c r="X191" s="7"/>
      <c r="Y191" s="7"/>
      <c r="Z191" s="7"/>
      <c r="AA191" s="7"/>
      <c r="AB191" s="7"/>
      <c r="AC191" s="7" t="n">
        <v>0</v>
      </c>
      <c r="AD191" s="7" t="s">
        <v>388</v>
      </c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 t="s">
        <v>127</v>
      </c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</row>
    <row r="192" customFormat="false" ht="15" hidden="false" customHeight="false" outlineLevel="0" collapsed="false">
      <c r="A192" s="7" t="s">
        <v>1668</v>
      </c>
      <c r="B192" s="7" t="s">
        <v>1669</v>
      </c>
      <c r="C192" s="7" t="s">
        <v>1670</v>
      </c>
      <c r="D192" s="7" t="s">
        <v>1666</v>
      </c>
      <c r="E192" s="7" t="s">
        <v>101</v>
      </c>
      <c r="F192" s="7" t="s">
        <v>101</v>
      </c>
      <c r="G192" s="7"/>
      <c r="H192" s="7" t="s">
        <v>207</v>
      </c>
      <c r="I192" s="7" t="s">
        <v>1140</v>
      </c>
      <c r="J192" s="7" t="s">
        <v>568</v>
      </c>
      <c r="K192" s="7" t="s">
        <v>476</v>
      </c>
      <c r="L192" s="7" t="s">
        <v>106</v>
      </c>
      <c r="M192" s="7"/>
      <c r="N192" s="7" t="s">
        <v>1671</v>
      </c>
      <c r="O192" s="7"/>
      <c r="P192" s="7" t="s">
        <v>135</v>
      </c>
      <c r="Q192" s="7"/>
      <c r="R192" s="7" t="s">
        <v>135</v>
      </c>
      <c r="S192" s="7" t="s">
        <v>136</v>
      </c>
      <c r="T192" s="7" t="n">
        <v>0.283</v>
      </c>
      <c r="U192" s="7" t="n">
        <v>0</v>
      </c>
      <c r="V192" s="7"/>
      <c r="W192" s="7"/>
      <c r="X192" s="7"/>
      <c r="Y192" s="7"/>
      <c r="Z192" s="7"/>
      <c r="AA192" s="7"/>
      <c r="AB192" s="7"/>
      <c r="AC192" s="7" t="n">
        <v>0</v>
      </c>
      <c r="AD192" s="7" t="s">
        <v>388</v>
      </c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 t="s">
        <v>127</v>
      </c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</row>
    <row r="193" customFormat="false" ht="15" hidden="false" customHeight="false" outlineLevel="0" collapsed="false">
      <c r="A193" s="7" t="s">
        <v>1672</v>
      </c>
      <c r="B193" s="7" t="s">
        <v>1673</v>
      </c>
      <c r="C193" s="7" t="s">
        <v>1674</v>
      </c>
      <c r="D193" s="7" t="s">
        <v>671</v>
      </c>
      <c r="E193" s="7" t="s">
        <v>101</v>
      </c>
      <c r="F193" s="7" t="s">
        <v>101</v>
      </c>
      <c r="G193" s="7"/>
      <c r="H193" s="7" t="s">
        <v>207</v>
      </c>
      <c r="I193" s="7" t="s">
        <v>132</v>
      </c>
      <c r="J193" s="7" t="s">
        <v>568</v>
      </c>
      <c r="K193" s="7" t="s">
        <v>476</v>
      </c>
      <c r="L193" s="7" t="s">
        <v>106</v>
      </c>
      <c r="M193" s="7"/>
      <c r="N193" s="7" t="s">
        <v>1675</v>
      </c>
      <c r="O193" s="7"/>
      <c r="P193" s="7" t="s">
        <v>135</v>
      </c>
      <c r="Q193" s="7"/>
      <c r="R193" s="7"/>
      <c r="S193" s="7"/>
      <c r="T193" s="7"/>
      <c r="U193" s="7" t="n">
        <v>0</v>
      </c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 t="s">
        <v>127</v>
      </c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</row>
    <row r="194" customFormat="false" ht="15" hidden="false" customHeight="false" outlineLevel="0" collapsed="false">
      <c r="A194" s="7" t="s">
        <v>1676</v>
      </c>
      <c r="B194" s="7" t="s">
        <v>1677</v>
      </c>
      <c r="C194" s="7" t="s">
        <v>1678</v>
      </c>
      <c r="D194" s="7" t="s">
        <v>1678</v>
      </c>
      <c r="E194" s="7"/>
      <c r="F194" s="7" t="s">
        <v>101</v>
      </c>
      <c r="G194" s="7"/>
      <c r="H194" s="7" t="s">
        <v>102</v>
      </c>
      <c r="I194" s="7" t="s">
        <v>132</v>
      </c>
      <c r="J194" s="7" t="s">
        <v>568</v>
      </c>
      <c r="K194" s="7" t="s">
        <v>569</v>
      </c>
      <c r="L194" s="7" t="s">
        <v>106</v>
      </c>
      <c r="M194" s="7"/>
      <c r="N194" s="7" t="s">
        <v>1679</v>
      </c>
      <c r="O194" s="7"/>
      <c r="P194" s="7" t="s">
        <v>135</v>
      </c>
      <c r="Q194" s="7"/>
      <c r="R194" s="7"/>
      <c r="S194" s="7"/>
      <c r="T194" s="7"/>
      <c r="U194" s="7" t="n">
        <v>0</v>
      </c>
      <c r="V194" s="7"/>
      <c r="W194" s="7"/>
      <c r="X194" s="7"/>
      <c r="Y194" s="7"/>
      <c r="Z194" s="7"/>
      <c r="AA194" s="7" t="s">
        <v>572</v>
      </c>
      <c r="AB194" s="7" t="s">
        <v>573</v>
      </c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 t="s">
        <v>1680</v>
      </c>
      <c r="BE194" s="7" t="s">
        <v>1088</v>
      </c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</row>
    <row r="195" customFormat="false" ht="15" hidden="false" customHeight="false" outlineLevel="0" collapsed="false">
      <c r="A195" s="7" t="s">
        <v>1681</v>
      </c>
      <c r="B195" s="7" t="s">
        <v>1682</v>
      </c>
      <c r="C195" s="7" t="s">
        <v>1683</v>
      </c>
      <c r="D195" s="7" t="s">
        <v>1683</v>
      </c>
      <c r="E195" s="7"/>
      <c r="F195" s="7" t="s">
        <v>101</v>
      </c>
      <c r="G195" s="7"/>
      <c r="H195" s="7" t="s">
        <v>102</v>
      </c>
      <c r="I195" s="7" t="s">
        <v>132</v>
      </c>
      <c r="J195" s="7" t="s">
        <v>568</v>
      </c>
      <c r="K195" s="7" t="s">
        <v>1084</v>
      </c>
      <c r="L195" s="7" t="s">
        <v>106</v>
      </c>
      <c r="M195" s="7"/>
      <c r="N195" s="7" t="s">
        <v>1684</v>
      </c>
      <c r="O195" s="7"/>
      <c r="P195" s="7" t="s">
        <v>135</v>
      </c>
      <c r="Q195" s="7"/>
      <c r="R195" s="7" t="s">
        <v>135</v>
      </c>
      <c r="S195" s="7" t="s">
        <v>136</v>
      </c>
      <c r="T195" s="7" t="n">
        <v>0.35</v>
      </c>
      <c r="U195" s="7" t="n">
        <v>1</v>
      </c>
      <c r="V195" s="7" t="s">
        <v>90</v>
      </c>
      <c r="W195" s="7" t="s">
        <v>1685</v>
      </c>
      <c r="X195" s="7" t="s">
        <v>1686</v>
      </c>
      <c r="Y195" s="7" t="s">
        <v>1687</v>
      </c>
      <c r="Z195" s="7"/>
      <c r="AA195" s="7" t="s">
        <v>1086</v>
      </c>
      <c r="AB195" s="7" t="s">
        <v>1087</v>
      </c>
      <c r="AC195" s="7" t="n">
        <v>0</v>
      </c>
      <c r="AD195" s="7" t="s">
        <v>388</v>
      </c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 t="s">
        <v>1688</v>
      </c>
      <c r="BE195" s="7" t="s">
        <v>1088</v>
      </c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</row>
    <row r="196" customFormat="false" ht="15" hidden="false" customHeight="false" outlineLevel="0" collapsed="false">
      <c r="A196" s="7" t="s">
        <v>1689</v>
      </c>
      <c r="B196" s="7" t="s">
        <v>1690</v>
      </c>
      <c r="C196" s="7" t="s">
        <v>1691</v>
      </c>
      <c r="D196" s="7" t="s">
        <v>1691</v>
      </c>
      <c r="E196" s="7"/>
      <c r="F196" s="7" t="s">
        <v>101</v>
      </c>
      <c r="G196" s="7"/>
      <c r="H196" s="7" t="s">
        <v>102</v>
      </c>
      <c r="I196" s="7" t="s">
        <v>132</v>
      </c>
      <c r="J196" s="7" t="s">
        <v>568</v>
      </c>
      <c r="K196" s="7" t="s">
        <v>1084</v>
      </c>
      <c r="L196" s="7" t="s">
        <v>106</v>
      </c>
      <c r="M196" s="7"/>
      <c r="N196" s="7" t="s">
        <v>1692</v>
      </c>
      <c r="O196" s="7"/>
      <c r="P196" s="7" t="s">
        <v>135</v>
      </c>
      <c r="Q196" s="7"/>
      <c r="R196" s="7"/>
      <c r="S196" s="7"/>
      <c r="T196" s="7"/>
      <c r="U196" s="7" t="n">
        <v>0</v>
      </c>
      <c r="V196" s="7"/>
      <c r="W196" s="7"/>
      <c r="X196" s="7"/>
      <c r="Y196" s="7"/>
      <c r="Z196" s="7"/>
      <c r="AA196" s="7" t="s">
        <v>1086</v>
      </c>
      <c r="AB196" s="7" t="s">
        <v>1087</v>
      </c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 t="s">
        <v>1693</v>
      </c>
      <c r="BE196" s="7" t="s">
        <v>1088</v>
      </c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</row>
    <row r="197" customFormat="false" ht="15" hidden="false" customHeight="false" outlineLevel="0" collapsed="false">
      <c r="A197" s="7" t="s">
        <v>1694</v>
      </c>
      <c r="B197" s="7" t="s">
        <v>1695</v>
      </c>
      <c r="C197" s="7" t="s">
        <v>1696</v>
      </c>
      <c r="D197" s="7" t="s">
        <v>1696</v>
      </c>
      <c r="E197" s="7"/>
      <c r="F197" s="7" t="s">
        <v>156</v>
      </c>
      <c r="G197" s="7"/>
      <c r="H197" s="7" t="s">
        <v>157</v>
      </c>
      <c r="I197" s="7" t="s">
        <v>132</v>
      </c>
      <c r="J197" s="7" t="s">
        <v>159</v>
      </c>
      <c r="K197" s="7" t="s">
        <v>1078</v>
      </c>
      <c r="L197" s="7" t="s">
        <v>106</v>
      </c>
      <c r="M197" s="7"/>
      <c r="N197" s="7" t="s">
        <v>1697</v>
      </c>
      <c r="O197" s="7"/>
      <c r="P197" s="7" t="s">
        <v>135</v>
      </c>
      <c r="Q197" s="7"/>
      <c r="R197" s="7" t="s">
        <v>135</v>
      </c>
      <c r="S197" s="7" t="s">
        <v>136</v>
      </c>
      <c r="T197" s="7" t="n">
        <v>0.327</v>
      </c>
      <c r="U197" s="7" t="n">
        <v>0</v>
      </c>
      <c r="V197" s="7"/>
      <c r="W197" s="7"/>
      <c r="X197" s="7"/>
      <c r="Y197" s="7"/>
      <c r="Z197" s="7"/>
      <c r="AA197" s="7" t="s">
        <v>572</v>
      </c>
      <c r="AB197" s="7" t="s">
        <v>573</v>
      </c>
      <c r="AC197" s="7" t="n">
        <v>10</v>
      </c>
      <c r="AD197" s="7" t="s">
        <v>1698</v>
      </c>
      <c r="AE197" s="7" t="s">
        <v>166</v>
      </c>
      <c r="AF197" s="7" t="s">
        <v>1699</v>
      </c>
      <c r="AG197" s="7" t="s">
        <v>115</v>
      </c>
      <c r="AH197" s="7"/>
      <c r="AI197" s="7" t="s">
        <v>115</v>
      </c>
      <c r="AJ197" s="7"/>
      <c r="AK197" s="7" t="s">
        <v>115</v>
      </c>
      <c r="AL197" s="7"/>
      <c r="AM197" s="7"/>
      <c r="AN197" s="7"/>
      <c r="AO197" s="7" t="s">
        <v>166</v>
      </c>
      <c r="AP197" s="7" t="s">
        <v>1696</v>
      </c>
      <c r="AQ197" s="7" t="s">
        <v>166</v>
      </c>
      <c r="AR197" s="7" t="s">
        <v>1700</v>
      </c>
      <c r="AS197" s="7" t="s">
        <v>166</v>
      </c>
      <c r="AT197" s="7" t="s">
        <v>1331</v>
      </c>
      <c r="AU197" s="7" t="s">
        <v>166</v>
      </c>
      <c r="AV197" s="7" t="s">
        <v>1701</v>
      </c>
      <c r="AW197" s="7" t="s">
        <v>115</v>
      </c>
      <c r="AX197" s="7"/>
      <c r="AY197" s="7"/>
      <c r="AZ197" s="7"/>
      <c r="BA197" s="7" t="s">
        <v>166</v>
      </c>
      <c r="BB197" s="7" t="s">
        <v>1702</v>
      </c>
      <c r="BC197" s="7" t="s">
        <v>707</v>
      </c>
      <c r="BD197" s="7" t="s">
        <v>1703</v>
      </c>
      <c r="BE197" s="7" t="s">
        <v>1088</v>
      </c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</row>
    <row r="198" customFormat="false" ht="15" hidden="false" customHeight="false" outlineLevel="0" collapsed="false">
      <c r="A198" s="7" t="s">
        <v>1704</v>
      </c>
      <c r="B198" s="7" t="s">
        <v>1705</v>
      </c>
      <c r="C198" s="7" t="s">
        <v>1706</v>
      </c>
      <c r="D198" s="7" t="s">
        <v>1707</v>
      </c>
      <c r="E198" s="7" t="s">
        <v>101</v>
      </c>
      <c r="F198" s="7" t="s">
        <v>101</v>
      </c>
      <c r="G198" s="7"/>
      <c r="H198" s="7" t="s">
        <v>102</v>
      </c>
      <c r="I198" s="7" t="s">
        <v>1104</v>
      </c>
      <c r="J198" s="7" t="s">
        <v>475</v>
      </c>
      <c r="K198" s="7" t="s">
        <v>476</v>
      </c>
      <c r="L198" s="7" t="s">
        <v>106</v>
      </c>
      <c r="M198" s="7"/>
      <c r="N198" s="7" t="s">
        <v>1708</v>
      </c>
      <c r="O198" s="7"/>
      <c r="P198" s="7" t="s">
        <v>135</v>
      </c>
      <c r="Q198" s="7"/>
      <c r="R198" s="7" t="s">
        <v>135</v>
      </c>
      <c r="S198" s="7" t="s">
        <v>136</v>
      </c>
      <c r="T198" s="7" t="n">
        <v>0.37</v>
      </c>
      <c r="U198" s="7" t="n">
        <v>0</v>
      </c>
      <c r="V198" s="7"/>
      <c r="W198" s="7"/>
      <c r="X198" s="7"/>
      <c r="Y198" s="7"/>
      <c r="Z198" s="7"/>
      <c r="AA198" s="7"/>
      <c r="AB198" s="7"/>
      <c r="AC198" s="7" t="n">
        <v>0</v>
      </c>
      <c r="AD198" s="7" t="s">
        <v>388</v>
      </c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 t="s">
        <v>127</v>
      </c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</row>
    <row r="199" customFormat="false" ht="15" hidden="false" customHeight="false" outlineLevel="0" collapsed="false">
      <c r="A199" s="7" t="s">
        <v>1709</v>
      </c>
      <c r="B199" s="7" t="s">
        <v>1710</v>
      </c>
      <c r="C199" s="7" t="s">
        <v>1711</v>
      </c>
      <c r="D199" s="7" t="s">
        <v>1712</v>
      </c>
      <c r="E199" s="7" t="s">
        <v>101</v>
      </c>
      <c r="F199" s="7" t="s">
        <v>101</v>
      </c>
      <c r="G199" s="7"/>
      <c r="H199" s="7" t="s">
        <v>102</v>
      </c>
      <c r="I199" s="7" t="s">
        <v>132</v>
      </c>
      <c r="J199" s="7" t="s">
        <v>475</v>
      </c>
      <c r="K199" s="7" t="s">
        <v>476</v>
      </c>
      <c r="L199" s="7" t="s">
        <v>106</v>
      </c>
      <c r="M199" s="7"/>
      <c r="N199" s="7" t="s">
        <v>1713</v>
      </c>
      <c r="O199" s="7" t="s">
        <v>1713</v>
      </c>
      <c r="P199" s="7" t="s">
        <v>135</v>
      </c>
      <c r="Q199" s="7"/>
      <c r="R199" s="7" t="s">
        <v>109</v>
      </c>
      <c r="S199" s="7" t="s">
        <v>110</v>
      </c>
      <c r="T199" s="7" t="n">
        <v>0.335</v>
      </c>
      <c r="U199" s="7" t="n">
        <v>0</v>
      </c>
      <c r="V199" s="7"/>
      <c r="W199" s="7"/>
      <c r="X199" s="7"/>
      <c r="Y199" s="7"/>
      <c r="Z199" s="7"/>
      <c r="AA199" s="7"/>
      <c r="AB199" s="7"/>
      <c r="AC199" s="7" t="n">
        <v>0</v>
      </c>
      <c r="AD199" s="7" t="s">
        <v>388</v>
      </c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 t="s">
        <v>1306</v>
      </c>
      <c r="BE199" s="7" t="s">
        <v>127</v>
      </c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</row>
    <row r="200" customFormat="false" ht="15" hidden="false" customHeight="false" outlineLevel="0" collapsed="false">
      <c r="A200" s="7" t="s">
        <v>1714</v>
      </c>
      <c r="B200" s="7" t="s">
        <v>1715</v>
      </c>
      <c r="C200" s="7" t="s">
        <v>1716</v>
      </c>
      <c r="D200" s="7" t="s">
        <v>1092</v>
      </c>
      <c r="E200" s="7" t="s">
        <v>101</v>
      </c>
      <c r="F200" s="7" t="s">
        <v>101</v>
      </c>
      <c r="G200" s="7"/>
      <c r="H200" s="7" t="s">
        <v>102</v>
      </c>
      <c r="I200" s="7" t="s">
        <v>158</v>
      </c>
      <c r="J200" s="7" t="s">
        <v>475</v>
      </c>
      <c r="K200" s="7" t="s">
        <v>1094</v>
      </c>
      <c r="L200" s="7" t="s">
        <v>106</v>
      </c>
      <c r="M200" s="7"/>
      <c r="N200" s="7" t="s">
        <v>1095</v>
      </c>
      <c r="O200" s="7" t="s">
        <v>1095</v>
      </c>
      <c r="P200" s="7" t="s">
        <v>109</v>
      </c>
      <c r="Q200" s="7"/>
      <c r="R200" s="7" t="s">
        <v>109</v>
      </c>
      <c r="S200" s="7" t="s">
        <v>110</v>
      </c>
      <c r="T200" s="7" t="n">
        <v>0.325</v>
      </c>
      <c r="U200" s="7" t="n">
        <v>1</v>
      </c>
      <c r="V200" s="7" t="s">
        <v>1717</v>
      </c>
      <c r="W200" s="7" t="s">
        <v>1718</v>
      </c>
      <c r="X200" s="7" t="s">
        <v>1719</v>
      </c>
      <c r="Y200" s="7" t="s">
        <v>1720</v>
      </c>
      <c r="Z200" s="7"/>
      <c r="AA200" s="7" t="s">
        <v>572</v>
      </c>
      <c r="AB200" s="7" t="s">
        <v>573</v>
      </c>
      <c r="AC200" s="7" t="n">
        <v>0</v>
      </c>
      <c r="AD200" s="7" t="s">
        <v>388</v>
      </c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 t="s">
        <v>1721</v>
      </c>
      <c r="BE200" s="7" t="s">
        <v>575</v>
      </c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</row>
    <row r="201" customFormat="false" ht="15" hidden="false" customHeight="false" outlineLevel="0" collapsed="false">
      <c r="A201" s="7" t="s">
        <v>1722</v>
      </c>
      <c r="B201" s="7" t="s">
        <v>1723</v>
      </c>
      <c r="C201" s="7" t="s">
        <v>1724</v>
      </c>
      <c r="D201" s="7" t="s">
        <v>1725</v>
      </c>
      <c r="E201" s="7" t="s">
        <v>101</v>
      </c>
      <c r="F201" s="7" t="s">
        <v>101</v>
      </c>
      <c r="G201" s="7"/>
      <c r="H201" s="7" t="s">
        <v>102</v>
      </c>
      <c r="I201" s="7" t="s">
        <v>1726</v>
      </c>
      <c r="J201" s="7" t="s">
        <v>475</v>
      </c>
      <c r="K201" s="7" t="s">
        <v>569</v>
      </c>
      <c r="L201" s="7" t="s">
        <v>106</v>
      </c>
      <c r="M201" s="7"/>
      <c r="N201" s="7" t="s">
        <v>1727</v>
      </c>
      <c r="O201" s="7" t="s">
        <v>1727</v>
      </c>
      <c r="P201" s="7" t="s">
        <v>84</v>
      </c>
      <c r="Q201" s="7"/>
      <c r="R201" s="7" t="s">
        <v>109</v>
      </c>
      <c r="S201" s="7" t="s">
        <v>110</v>
      </c>
      <c r="T201" s="7" t="n">
        <v>0.311</v>
      </c>
      <c r="U201" s="7" t="n">
        <v>4</v>
      </c>
      <c r="V201" s="7" t="s">
        <v>1728</v>
      </c>
      <c r="W201" s="7" t="s">
        <v>496</v>
      </c>
      <c r="X201" s="7" t="s">
        <v>1729</v>
      </c>
      <c r="Y201" s="7" t="s">
        <v>1730</v>
      </c>
      <c r="Z201" s="7"/>
      <c r="AA201" s="7" t="s">
        <v>572</v>
      </c>
      <c r="AB201" s="7" t="s">
        <v>573</v>
      </c>
      <c r="AC201" s="7" t="n">
        <v>0</v>
      </c>
      <c r="AD201" s="7" t="s">
        <v>388</v>
      </c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 t="s">
        <v>1731</v>
      </c>
      <c r="BE201" s="7" t="s">
        <v>1088</v>
      </c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</row>
    <row r="202" customFormat="false" ht="15" hidden="false" customHeight="false" outlineLevel="0" collapsed="false">
      <c r="A202" s="7" t="s">
        <v>1732</v>
      </c>
      <c r="B202" s="7" t="s">
        <v>1733</v>
      </c>
      <c r="C202" s="7" t="s">
        <v>1734</v>
      </c>
      <c r="D202" s="7" t="s">
        <v>1478</v>
      </c>
      <c r="E202" s="7" t="s">
        <v>101</v>
      </c>
      <c r="F202" s="7" t="s">
        <v>82</v>
      </c>
      <c r="G202" s="7"/>
      <c r="H202" s="7" t="s">
        <v>102</v>
      </c>
      <c r="I202" s="7" t="s">
        <v>103</v>
      </c>
      <c r="J202" s="7" t="s">
        <v>475</v>
      </c>
      <c r="K202" s="7" t="s">
        <v>476</v>
      </c>
      <c r="L202" s="7" t="s">
        <v>106</v>
      </c>
      <c r="M202" s="7"/>
      <c r="N202" s="7" t="s">
        <v>1735</v>
      </c>
      <c r="O202" s="7"/>
      <c r="P202" s="7" t="s">
        <v>84</v>
      </c>
      <c r="Q202" s="7"/>
      <c r="R202" s="7"/>
      <c r="S202" s="7"/>
      <c r="T202" s="7" t="n">
        <v>0.278</v>
      </c>
      <c r="U202" s="7" t="n">
        <v>2</v>
      </c>
      <c r="V202" s="7" t="s">
        <v>1112</v>
      </c>
      <c r="W202" s="7" t="s">
        <v>1736</v>
      </c>
      <c r="X202" s="7"/>
      <c r="Y202" s="7" t="s">
        <v>1737</v>
      </c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 t="s">
        <v>1466</v>
      </c>
      <c r="BE202" s="7" t="s">
        <v>127</v>
      </c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</row>
    <row r="203" customFormat="false" ht="15" hidden="false" customHeight="false" outlineLevel="0" collapsed="false">
      <c r="A203" s="7" t="s">
        <v>1738</v>
      </c>
      <c r="B203" s="7" t="s">
        <v>1739</v>
      </c>
      <c r="C203" s="7" t="s">
        <v>1740</v>
      </c>
      <c r="D203" s="7" t="s">
        <v>1478</v>
      </c>
      <c r="E203" s="7" t="s">
        <v>101</v>
      </c>
      <c r="F203" s="7" t="s">
        <v>82</v>
      </c>
      <c r="G203" s="7"/>
      <c r="H203" s="7" t="s">
        <v>102</v>
      </c>
      <c r="I203" s="7" t="s">
        <v>374</v>
      </c>
      <c r="J203" s="7" t="s">
        <v>475</v>
      </c>
      <c r="K203" s="7" t="s">
        <v>476</v>
      </c>
      <c r="L203" s="7" t="s">
        <v>106</v>
      </c>
      <c r="M203" s="7"/>
      <c r="N203" s="7" t="s">
        <v>1741</v>
      </c>
      <c r="O203" s="7"/>
      <c r="P203" s="7" t="s">
        <v>84</v>
      </c>
      <c r="Q203" s="7"/>
      <c r="R203" s="7"/>
      <c r="S203" s="7"/>
      <c r="T203" s="7" t="n">
        <v>0.435</v>
      </c>
      <c r="U203" s="7" t="n">
        <v>2</v>
      </c>
      <c r="V203" s="7" t="s">
        <v>1112</v>
      </c>
      <c r="W203" s="7" t="s">
        <v>1742</v>
      </c>
      <c r="X203" s="7"/>
      <c r="Y203" s="7" t="s">
        <v>1743</v>
      </c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 t="s">
        <v>1466</v>
      </c>
      <c r="BE203" s="7" t="s">
        <v>127</v>
      </c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</row>
    <row r="204" customFormat="false" ht="15" hidden="false" customHeight="false" outlineLevel="0" collapsed="false">
      <c r="A204" s="7" t="s">
        <v>1744</v>
      </c>
      <c r="B204" s="7" t="s">
        <v>1745</v>
      </c>
      <c r="C204" s="7" t="s">
        <v>1746</v>
      </c>
      <c r="D204" s="7" t="s">
        <v>392</v>
      </c>
      <c r="E204" s="7" t="s">
        <v>101</v>
      </c>
      <c r="F204" s="7" t="s">
        <v>101</v>
      </c>
      <c r="G204" s="7"/>
      <c r="H204" s="7" t="s">
        <v>207</v>
      </c>
      <c r="I204" s="7" t="s">
        <v>132</v>
      </c>
      <c r="J204" s="7" t="s">
        <v>475</v>
      </c>
      <c r="K204" s="7" t="s">
        <v>476</v>
      </c>
      <c r="L204" s="7" t="s">
        <v>106</v>
      </c>
      <c r="M204" s="7"/>
      <c r="N204" s="7" t="s">
        <v>1747</v>
      </c>
      <c r="O204" s="7"/>
      <c r="P204" s="7" t="s">
        <v>135</v>
      </c>
      <c r="Q204" s="7"/>
      <c r="R204" s="7" t="s">
        <v>135</v>
      </c>
      <c r="S204" s="7" t="s">
        <v>136</v>
      </c>
      <c r="T204" s="7" t="n">
        <v>0.299</v>
      </c>
      <c r="U204" s="7" t="n">
        <v>0</v>
      </c>
      <c r="V204" s="7"/>
      <c r="W204" s="7"/>
      <c r="X204" s="7"/>
      <c r="Y204" s="7"/>
      <c r="Z204" s="7"/>
      <c r="AA204" s="7"/>
      <c r="AB204" s="7"/>
      <c r="AC204" s="7" t="n">
        <v>0</v>
      </c>
      <c r="AD204" s="7" t="s">
        <v>388</v>
      </c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 t="s">
        <v>127</v>
      </c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</row>
    <row r="205" customFormat="false" ht="15" hidden="false" customHeight="false" outlineLevel="0" collapsed="false">
      <c r="A205" s="7" t="s">
        <v>1748</v>
      </c>
      <c r="B205" s="7" t="s">
        <v>1749</v>
      </c>
      <c r="C205" s="7" t="s">
        <v>1750</v>
      </c>
      <c r="D205" s="7" t="s">
        <v>1725</v>
      </c>
      <c r="E205" s="7"/>
      <c r="F205" s="7" t="s">
        <v>101</v>
      </c>
      <c r="G205" s="7"/>
      <c r="H205" s="7" t="s">
        <v>102</v>
      </c>
      <c r="I205" s="7" t="s">
        <v>158</v>
      </c>
      <c r="J205" s="7" t="s">
        <v>475</v>
      </c>
      <c r="K205" s="7" t="s">
        <v>569</v>
      </c>
      <c r="L205" s="7" t="s">
        <v>106</v>
      </c>
      <c r="M205" s="7"/>
      <c r="N205" s="7" t="s">
        <v>1727</v>
      </c>
      <c r="O205" s="7" t="s">
        <v>1727</v>
      </c>
      <c r="P205" s="7" t="s">
        <v>135</v>
      </c>
      <c r="Q205" s="7"/>
      <c r="R205" s="7" t="s">
        <v>109</v>
      </c>
      <c r="S205" s="7" t="s">
        <v>110</v>
      </c>
      <c r="T205" s="7" t="n">
        <v>0.456</v>
      </c>
      <c r="U205" s="7" t="n">
        <v>0</v>
      </c>
      <c r="V205" s="7"/>
      <c r="W205" s="7"/>
      <c r="X205" s="7"/>
      <c r="Y205" s="7"/>
      <c r="Z205" s="7"/>
      <c r="AA205" s="7" t="s">
        <v>572</v>
      </c>
      <c r="AB205" s="7" t="s">
        <v>573</v>
      </c>
      <c r="AC205" s="7" t="n">
        <v>0</v>
      </c>
      <c r="AD205" s="7" t="s">
        <v>388</v>
      </c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 t="s">
        <v>1088</v>
      </c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</row>
    <row r="206" customFormat="false" ht="15" hidden="false" customHeight="false" outlineLevel="0" collapsed="false">
      <c r="A206" s="7" t="s">
        <v>1751</v>
      </c>
      <c r="B206" s="7" t="s">
        <v>1752</v>
      </c>
      <c r="C206" s="7" t="s">
        <v>1666</v>
      </c>
      <c r="D206" s="7" t="s">
        <v>1753</v>
      </c>
      <c r="E206" s="7"/>
      <c r="F206" s="7" t="s">
        <v>101</v>
      </c>
      <c r="G206" s="7"/>
      <c r="H206" s="7" t="s">
        <v>102</v>
      </c>
      <c r="I206" s="7" t="s">
        <v>132</v>
      </c>
      <c r="J206" s="7" t="s">
        <v>475</v>
      </c>
      <c r="K206" s="7" t="s">
        <v>1084</v>
      </c>
      <c r="L206" s="7" t="s">
        <v>106</v>
      </c>
      <c r="M206" s="7"/>
      <c r="N206" s="7" t="s">
        <v>1754</v>
      </c>
      <c r="O206" s="7"/>
      <c r="P206" s="7" t="s">
        <v>135</v>
      </c>
      <c r="Q206" s="7"/>
      <c r="R206" s="7" t="s">
        <v>135</v>
      </c>
      <c r="S206" s="7" t="s">
        <v>136</v>
      </c>
      <c r="T206" s="7" t="n">
        <v>0.316</v>
      </c>
      <c r="U206" s="7" t="n">
        <v>0</v>
      </c>
      <c r="V206" s="7"/>
      <c r="W206" s="7"/>
      <c r="X206" s="7"/>
      <c r="Y206" s="7"/>
      <c r="Z206" s="7"/>
      <c r="AA206" s="7" t="s">
        <v>1086</v>
      </c>
      <c r="AB206" s="7" t="s">
        <v>1087</v>
      </c>
      <c r="AC206" s="7" t="n">
        <v>0</v>
      </c>
      <c r="AD206" s="7" t="s">
        <v>388</v>
      </c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 t="s">
        <v>575</v>
      </c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</row>
    <row r="207" customFormat="false" ht="15" hidden="false" customHeight="false" outlineLevel="0" collapsed="false">
      <c r="A207" s="7" t="s">
        <v>1755</v>
      </c>
      <c r="B207" s="7" t="s">
        <v>1756</v>
      </c>
      <c r="C207" s="7" t="s">
        <v>1757</v>
      </c>
      <c r="D207" s="7" t="s">
        <v>1645</v>
      </c>
      <c r="E207" s="7"/>
      <c r="F207" s="7" t="s">
        <v>101</v>
      </c>
      <c r="G207" s="7"/>
      <c r="H207" s="7" t="s">
        <v>102</v>
      </c>
      <c r="I207" s="7" t="s">
        <v>1140</v>
      </c>
      <c r="J207" s="7" t="s">
        <v>475</v>
      </c>
      <c r="K207" s="7" t="s">
        <v>1084</v>
      </c>
      <c r="L207" s="7" t="s">
        <v>106</v>
      </c>
      <c r="M207" s="7"/>
      <c r="N207" s="7"/>
      <c r="O207" s="7"/>
      <c r="P207" s="7" t="s">
        <v>135</v>
      </c>
      <c r="Q207" s="7"/>
      <c r="R207" s="7"/>
      <c r="S207" s="7"/>
      <c r="T207" s="7"/>
      <c r="U207" s="7" t="n">
        <v>0</v>
      </c>
      <c r="V207" s="7"/>
      <c r="W207" s="7"/>
      <c r="X207" s="7"/>
      <c r="Y207" s="7"/>
      <c r="Z207" s="7"/>
      <c r="AA207" s="7" t="s">
        <v>1086</v>
      </c>
      <c r="AB207" s="7" t="s">
        <v>1087</v>
      </c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 t="s">
        <v>127</v>
      </c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</row>
    <row r="208" customFormat="false" ht="15" hidden="false" customHeight="false" outlineLevel="0" collapsed="false">
      <c r="A208" s="7" t="s">
        <v>1758</v>
      </c>
      <c r="B208" s="7" t="s">
        <v>1759</v>
      </c>
      <c r="C208" s="7" t="s">
        <v>1760</v>
      </c>
      <c r="D208" s="7" t="s">
        <v>1645</v>
      </c>
      <c r="E208" s="7"/>
      <c r="F208" s="7" t="s">
        <v>101</v>
      </c>
      <c r="G208" s="7"/>
      <c r="H208" s="7" t="s">
        <v>102</v>
      </c>
      <c r="I208" s="7" t="s">
        <v>132</v>
      </c>
      <c r="J208" s="7" t="s">
        <v>475</v>
      </c>
      <c r="K208" s="7" t="s">
        <v>1084</v>
      </c>
      <c r="L208" s="7" t="s">
        <v>106</v>
      </c>
      <c r="M208" s="7"/>
      <c r="N208" s="7" t="s">
        <v>1761</v>
      </c>
      <c r="O208" s="7"/>
      <c r="P208" s="7" t="s">
        <v>135</v>
      </c>
      <c r="Q208" s="7"/>
      <c r="R208" s="7" t="s">
        <v>135</v>
      </c>
      <c r="S208" s="7" t="s">
        <v>136</v>
      </c>
      <c r="T208" s="7" t="n">
        <v>0.298</v>
      </c>
      <c r="U208" s="7" t="n">
        <v>0</v>
      </c>
      <c r="V208" s="7"/>
      <c r="W208" s="7"/>
      <c r="X208" s="7"/>
      <c r="Y208" s="7"/>
      <c r="Z208" s="7"/>
      <c r="AA208" s="7" t="s">
        <v>1086</v>
      </c>
      <c r="AB208" s="7" t="s">
        <v>1087</v>
      </c>
      <c r="AC208" s="7" t="n">
        <v>0</v>
      </c>
      <c r="AD208" s="7" t="s">
        <v>388</v>
      </c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 t="s">
        <v>1088</v>
      </c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</row>
    <row r="209" customFormat="false" ht="15" hidden="false" customHeight="false" outlineLevel="0" collapsed="false">
      <c r="A209" s="7" t="s">
        <v>1762</v>
      </c>
      <c r="B209" s="7" t="s">
        <v>1763</v>
      </c>
      <c r="C209" s="7" t="s">
        <v>1764</v>
      </c>
      <c r="D209" s="7" t="s">
        <v>392</v>
      </c>
      <c r="E209" s="7" t="s">
        <v>101</v>
      </c>
      <c r="F209" s="7" t="s">
        <v>101</v>
      </c>
      <c r="G209" s="7"/>
      <c r="H209" s="7" t="s">
        <v>207</v>
      </c>
      <c r="I209" s="7" t="s">
        <v>132</v>
      </c>
      <c r="J209" s="7" t="s">
        <v>475</v>
      </c>
      <c r="K209" s="7" t="s">
        <v>476</v>
      </c>
      <c r="L209" s="7" t="s">
        <v>106</v>
      </c>
      <c r="M209" s="7"/>
      <c r="N209" s="7" t="s">
        <v>1765</v>
      </c>
      <c r="O209" s="7"/>
      <c r="P209" s="7" t="s">
        <v>135</v>
      </c>
      <c r="Q209" s="7"/>
      <c r="R209" s="7" t="s">
        <v>135</v>
      </c>
      <c r="S209" s="7" t="s">
        <v>136</v>
      </c>
      <c r="T209" s="7" t="n">
        <v>0.374</v>
      </c>
      <c r="U209" s="7" t="n">
        <v>0</v>
      </c>
      <c r="V209" s="7"/>
      <c r="W209" s="7"/>
      <c r="X209" s="7"/>
      <c r="Y209" s="7"/>
      <c r="Z209" s="7"/>
      <c r="AA209" s="7"/>
      <c r="AB209" s="7"/>
      <c r="AC209" s="7" t="n">
        <v>0</v>
      </c>
      <c r="AD209" s="7" t="s">
        <v>388</v>
      </c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 t="s">
        <v>127</v>
      </c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</row>
    <row r="210" customFormat="false" ht="15" hidden="false" customHeight="false" outlineLevel="0" collapsed="false">
      <c r="A210" s="7" t="s">
        <v>1766</v>
      </c>
      <c r="B210" s="7" t="s">
        <v>1767</v>
      </c>
      <c r="C210" s="9" t="s">
        <v>1768</v>
      </c>
      <c r="D210" s="7" t="s">
        <v>686</v>
      </c>
      <c r="E210" s="7" t="s">
        <v>101</v>
      </c>
      <c r="F210" s="7" t="s">
        <v>101</v>
      </c>
      <c r="G210" s="7"/>
      <c r="H210" s="7" t="s">
        <v>207</v>
      </c>
      <c r="I210" s="7" t="s">
        <v>132</v>
      </c>
      <c r="J210" s="7" t="s">
        <v>475</v>
      </c>
      <c r="K210" s="7" t="s">
        <v>476</v>
      </c>
      <c r="L210" s="7" t="s">
        <v>106</v>
      </c>
      <c r="M210" s="7"/>
      <c r="N210" s="7" t="s">
        <v>1769</v>
      </c>
      <c r="O210" s="7"/>
      <c r="P210" s="7" t="s">
        <v>135</v>
      </c>
      <c r="Q210" s="7"/>
      <c r="R210" s="7" t="s">
        <v>135</v>
      </c>
      <c r="S210" s="7" t="s">
        <v>136</v>
      </c>
      <c r="T210" s="7" t="n">
        <v>0.292</v>
      </c>
      <c r="U210" s="7" t="n">
        <v>0</v>
      </c>
      <c r="V210" s="7"/>
      <c r="W210" s="7"/>
      <c r="X210" s="7"/>
      <c r="Y210" s="7"/>
      <c r="Z210" s="7"/>
      <c r="AA210" s="7"/>
      <c r="AB210" s="7"/>
      <c r="AC210" s="7" t="n">
        <v>0</v>
      </c>
      <c r="AD210" s="7" t="s">
        <v>388</v>
      </c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 t="s">
        <v>127</v>
      </c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</row>
    <row r="211" customFormat="false" ht="15" hidden="false" customHeight="false" outlineLevel="0" collapsed="false">
      <c r="A211" s="7" t="s">
        <v>1770</v>
      </c>
      <c r="B211" s="7" t="s">
        <v>1771</v>
      </c>
      <c r="C211" s="7" t="s">
        <v>1772</v>
      </c>
      <c r="D211" s="7" t="s">
        <v>1773</v>
      </c>
      <c r="E211" s="7"/>
      <c r="F211" s="7" t="s">
        <v>101</v>
      </c>
      <c r="G211" s="7"/>
      <c r="H211" s="7" t="s">
        <v>102</v>
      </c>
      <c r="I211" s="7" t="s">
        <v>1140</v>
      </c>
      <c r="J211" s="7" t="s">
        <v>475</v>
      </c>
      <c r="K211" s="7" t="s">
        <v>1128</v>
      </c>
      <c r="L211" s="7" t="s">
        <v>106</v>
      </c>
      <c r="M211" s="7"/>
      <c r="N211" s="7" t="s">
        <v>1355</v>
      </c>
      <c r="O211" s="7" t="s">
        <v>1355</v>
      </c>
      <c r="P211" s="7" t="s">
        <v>135</v>
      </c>
      <c r="Q211" s="7"/>
      <c r="R211" s="7" t="s">
        <v>109</v>
      </c>
      <c r="S211" s="7" t="s">
        <v>110</v>
      </c>
      <c r="T211" s="7" t="n">
        <v>0.342</v>
      </c>
      <c r="U211" s="7" t="n">
        <v>0</v>
      </c>
      <c r="V211" s="7"/>
      <c r="W211" s="7"/>
      <c r="X211" s="7"/>
      <c r="Y211" s="7"/>
      <c r="Z211" s="7"/>
      <c r="AA211" s="7" t="s">
        <v>1086</v>
      </c>
      <c r="AB211" s="7" t="s">
        <v>1087</v>
      </c>
      <c r="AC211" s="7" t="n">
        <v>0</v>
      </c>
      <c r="AD211" s="7" t="s">
        <v>388</v>
      </c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 t="s">
        <v>1356</v>
      </c>
      <c r="BE211" s="7" t="s">
        <v>1088</v>
      </c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</row>
    <row r="212" customFormat="false" ht="15" hidden="false" customHeight="false" outlineLevel="0" collapsed="false">
      <c r="A212" s="7" t="s">
        <v>1774</v>
      </c>
      <c r="B212" s="7" t="s">
        <v>1775</v>
      </c>
      <c r="C212" s="7" t="s">
        <v>1776</v>
      </c>
      <c r="D212" s="7" t="s">
        <v>1645</v>
      </c>
      <c r="E212" s="7"/>
      <c r="F212" s="7" t="s">
        <v>101</v>
      </c>
      <c r="G212" s="7"/>
      <c r="H212" s="7" t="s">
        <v>102</v>
      </c>
      <c r="I212" s="7" t="s">
        <v>132</v>
      </c>
      <c r="J212" s="7" t="s">
        <v>475</v>
      </c>
      <c r="K212" s="7" t="s">
        <v>1084</v>
      </c>
      <c r="L212" s="7" t="s">
        <v>106</v>
      </c>
      <c r="M212" s="7"/>
      <c r="N212" s="7" t="s">
        <v>1761</v>
      </c>
      <c r="O212" s="7"/>
      <c r="P212" s="7" t="s">
        <v>135</v>
      </c>
      <c r="Q212" s="7"/>
      <c r="R212" s="7"/>
      <c r="S212" s="7"/>
      <c r="T212" s="7"/>
      <c r="U212" s="7" t="n">
        <v>0</v>
      </c>
      <c r="V212" s="7"/>
      <c r="W212" s="7"/>
      <c r="X212" s="7"/>
      <c r="Y212" s="7"/>
      <c r="Z212" s="7"/>
      <c r="AA212" s="7" t="s">
        <v>1086</v>
      </c>
      <c r="AB212" s="7" t="s">
        <v>1087</v>
      </c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 t="s">
        <v>1088</v>
      </c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</row>
    <row r="213" customFormat="false" ht="15" hidden="false" customHeight="false" outlineLevel="0" collapsed="false">
      <c r="A213" s="7" t="s">
        <v>1777</v>
      </c>
      <c r="B213" s="7" t="s">
        <v>1778</v>
      </c>
      <c r="C213" s="7" t="s">
        <v>1779</v>
      </c>
      <c r="D213" s="7" t="s">
        <v>1780</v>
      </c>
      <c r="E213" s="7"/>
      <c r="F213" s="7" t="s">
        <v>101</v>
      </c>
      <c r="G213" s="7"/>
      <c r="H213" s="7" t="s">
        <v>102</v>
      </c>
      <c r="I213" s="7" t="s">
        <v>132</v>
      </c>
      <c r="J213" s="7" t="s">
        <v>475</v>
      </c>
      <c r="K213" s="7" t="s">
        <v>1084</v>
      </c>
      <c r="L213" s="7" t="s">
        <v>106</v>
      </c>
      <c r="M213" s="7"/>
      <c r="N213" s="7" t="s">
        <v>1781</v>
      </c>
      <c r="O213" s="7"/>
      <c r="P213" s="7" t="s">
        <v>135</v>
      </c>
      <c r="Q213" s="7"/>
      <c r="R213" s="7" t="s">
        <v>135</v>
      </c>
      <c r="S213" s="7" t="s">
        <v>136</v>
      </c>
      <c r="T213" s="7" t="n">
        <v>0.45</v>
      </c>
      <c r="U213" s="7" t="n">
        <v>0</v>
      </c>
      <c r="V213" s="7"/>
      <c r="W213" s="7"/>
      <c r="X213" s="7"/>
      <c r="Y213" s="7"/>
      <c r="Z213" s="7"/>
      <c r="AA213" s="7" t="s">
        <v>1086</v>
      </c>
      <c r="AB213" s="7" t="s">
        <v>1087</v>
      </c>
      <c r="AC213" s="7" t="n">
        <v>0</v>
      </c>
      <c r="AD213" s="7" t="s">
        <v>388</v>
      </c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 t="s">
        <v>575</v>
      </c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</row>
    <row r="214" customFormat="false" ht="15" hidden="false" customHeight="false" outlineLevel="0" collapsed="false">
      <c r="A214" s="7" t="s">
        <v>1782</v>
      </c>
      <c r="B214" s="7" t="s">
        <v>1783</v>
      </c>
      <c r="C214" s="7" t="s">
        <v>1784</v>
      </c>
      <c r="D214" s="7" t="s">
        <v>1092</v>
      </c>
      <c r="E214" s="7"/>
      <c r="F214" s="7" t="s">
        <v>101</v>
      </c>
      <c r="G214" s="7"/>
      <c r="H214" s="7" t="s">
        <v>102</v>
      </c>
      <c r="I214" s="7" t="s">
        <v>234</v>
      </c>
      <c r="J214" s="7" t="s">
        <v>475</v>
      </c>
      <c r="K214" s="7" t="s">
        <v>1147</v>
      </c>
      <c r="L214" s="7" t="s">
        <v>1785</v>
      </c>
      <c r="M214" s="7"/>
      <c r="N214" s="7" t="s">
        <v>1095</v>
      </c>
      <c r="O214" s="7"/>
      <c r="P214" s="7" t="s">
        <v>135</v>
      </c>
      <c r="Q214" s="7"/>
      <c r="R214" s="7"/>
      <c r="S214" s="7"/>
      <c r="T214" s="7"/>
      <c r="U214" s="7" t="n">
        <v>0</v>
      </c>
      <c r="V214" s="7"/>
      <c r="W214" s="7"/>
      <c r="X214" s="7"/>
      <c r="Y214" s="7"/>
      <c r="Z214" s="7"/>
      <c r="AA214" s="7" t="s">
        <v>572</v>
      </c>
      <c r="AB214" s="7" t="s">
        <v>573</v>
      </c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 t="s">
        <v>1310</v>
      </c>
      <c r="BE214" s="7" t="s">
        <v>575</v>
      </c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</row>
    <row r="215" customFormat="false" ht="15" hidden="false" customHeight="false" outlineLevel="0" collapsed="false">
      <c r="A215" s="7" t="s">
        <v>1786</v>
      </c>
      <c r="B215" s="7" t="s">
        <v>1787</v>
      </c>
      <c r="C215" s="7" t="s">
        <v>1788</v>
      </c>
      <c r="D215" s="7" t="s">
        <v>1092</v>
      </c>
      <c r="E215" s="7"/>
      <c r="F215" s="7" t="s">
        <v>101</v>
      </c>
      <c r="G215" s="7"/>
      <c r="H215" s="7" t="s">
        <v>102</v>
      </c>
      <c r="I215" s="7" t="s">
        <v>234</v>
      </c>
      <c r="J215" s="7" t="s">
        <v>475</v>
      </c>
      <c r="K215" s="7" t="s">
        <v>1147</v>
      </c>
      <c r="L215" s="7" t="s">
        <v>106</v>
      </c>
      <c r="M215" s="7"/>
      <c r="N215" s="7" t="s">
        <v>1095</v>
      </c>
      <c r="O215" s="7"/>
      <c r="P215" s="7" t="s">
        <v>135</v>
      </c>
      <c r="Q215" s="7"/>
      <c r="R215" s="7"/>
      <c r="S215" s="7"/>
      <c r="T215" s="7"/>
      <c r="U215" s="7" t="n">
        <v>0</v>
      </c>
      <c r="V215" s="7"/>
      <c r="W215" s="7"/>
      <c r="X215" s="7"/>
      <c r="Y215" s="7"/>
      <c r="Z215" s="7"/>
      <c r="AA215" s="7" t="s">
        <v>572</v>
      </c>
      <c r="AB215" s="7" t="s">
        <v>573</v>
      </c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 t="s">
        <v>1295</v>
      </c>
      <c r="BE215" s="7" t="s">
        <v>575</v>
      </c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</row>
    <row r="216" customFormat="false" ht="15" hidden="false" customHeight="false" outlineLevel="0" collapsed="false">
      <c r="A216" s="7" t="s">
        <v>1789</v>
      </c>
      <c r="B216" s="7" t="s">
        <v>1790</v>
      </c>
      <c r="C216" s="7" t="s">
        <v>1791</v>
      </c>
      <c r="D216" s="7" t="s">
        <v>1092</v>
      </c>
      <c r="E216" s="7"/>
      <c r="F216" s="7" t="s">
        <v>101</v>
      </c>
      <c r="G216" s="7"/>
      <c r="H216" s="7" t="s">
        <v>102</v>
      </c>
      <c r="I216" s="7" t="s">
        <v>234</v>
      </c>
      <c r="J216" s="7" t="s">
        <v>475</v>
      </c>
      <c r="K216" s="7" t="s">
        <v>1147</v>
      </c>
      <c r="L216" s="7" t="s">
        <v>106</v>
      </c>
      <c r="M216" s="7"/>
      <c r="N216" s="7" t="s">
        <v>1095</v>
      </c>
      <c r="O216" s="7" t="s">
        <v>1095</v>
      </c>
      <c r="P216" s="7" t="s">
        <v>135</v>
      </c>
      <c r="Q216" s="7"/>
      <c r="R216" s="7" t="s">
        <v>109</v>
      </c>
      <c r="S216" s="7" t="s">
        <v>110</v>
      </c>
      <c r="T216" s="7" t="n">
        <v>0.353</v>
      </c>
      <c r="U216" s="7" t="n">
        <v>0</v>
      </c>
      <c r="V216" s="7"/>
      <c r="W216" s="7"/>
      <c r="X216" s="7"/>
      <c r="Y216" s="7"/>
      <c r="Z216" s="7"/>
      <c r="AA216" s="7" t="s">
        <v>572</v>
      </c>
      <c r="AB216" s="7" t="s">
        <v>573</v>
      </c>
      <c r="AC216" s="7" t="n">
        <v>0</v>
      </c>
      <c r="AD216" s="7" t="s">
        <v>388</v>
      </c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 t="s">
        <v>1792</v>
      </c>
      <c r="BE216" s="7" t="s">
        <v>575</v>
      </c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</row>
    <row r="217" customFormat="false" ht="15" hidden="false" customHeight="false" outlineLevel="0" collapsed="false">
      <c r="A217" s="7" t="s">
        <v>1793</v>
      </c>
      <c r="B217" s="7" t="s">
        <v>1794</v>
      </c>
      <c r="C217" s="7" t="s">
        <v>1795</v>
      </c>
      <c r="D217" s="7" t="s">
        <v>1645</v>
      </c>
      <c r="E217" s="7"/>
      <c r="F217" s="7" t="s">
        <v>82</v>
      </c>
      <c r="G217" s="7"/>
      <c r="H217" s="7" t="s">
        <v>102</v>
      </c>
      <c r="I217" s="7" t="s">
        <v>374</v>
      </c>
      <c r="J217" s="7" t="s">
        <v>475</v>
      </c>
      <c r="K217" s="7" t="s">
        <v>1128</v>
      </c>
      <c r="L217" s="7" t="s">
        <v>106</v>
      </c>
      <c r="M217" s="7"/>
      <c r="N217" s="7" t="s">
        <v>1796</v>
      </c>
      <c r="O217" s="7" t="s">
        <v>1796</v>
      </c>
      <c r="P217" s="7" t="s">
        <v>135</v>
      </c>
      <c r="Q217" s="7"/>
      <c r="R217" s="7" t="s">
        <v>109</v>
      </c>
      <c r="S217" s="7" t="s">
        <v>110</v>
      </c>
      <c r="T217" s="7" t="n">
        <v>0.312</v>
      </c>
      <c r="U217" s="7" t="n">
        <v>0</v>
      </c>
      <c r="V217" s="7"/>
      <c r="W217" s="7"/>
      <c r="X217" s="7"/>
      <c r="Y217" s="7"/>
      <c r="Z217" s="7"/>
      <c r="AA217" s="7" t="s">
        <v>1086</v>
      </c>
      <c r="AB217" s="7" t="s">
        <v>1087</v>
      </c>
      <c r="AC217" s="7" t="n">
        <v>0</v>
      </c>
      <c r="AD217" s="7" t="s">
        <v>388</v>
      </c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 t="s">
        <v>1142</v>
      </c>
      <c r="BE217" s="7" t="s">
        <v>575</v>
      </c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</row>
    <row r="218" customFormat="false" ht="15" hidden="false" customHeight="false" outlineLevel="0" collapsed="false">
      <c r="A218" s="7" t="s">
        <v>1797</v>
      </c>
      <c r="B218" s="7" t="s">
        <v>1798</v>
      </c>
      <c r="C218" s="7" t="s">
        <v>1799</v>
      </c>
      <c r="D218" s="7" t="s">
        <v>1645</v>
      </c>
      <c r="E218" s="7"/>
      <c r="F218" s="7" t="s">
        <v>101</v>
      </c>
      <c r="G218" s="7"/>
      <c r="H218" s="7" t="s">
        <v>102</v>
      </c>
      <c r="I218" s="7" t="s">
        <v>132</v>
      </c>
      <c r="J218" s="7" t="s">
        <v>475</v>
      </c>
      <c r="K218" s="7" t="s">
        <v>1084</v>
      </c>
      <c r="L218" s="7" t="s">
        <v>106</v>
      </c>
      <c r="M218" s="7"/>
      <c r="N218" s="7" t="s">
        <v>1761</v>
      </c>
      <c r="O218" s="7"/>
      <c r="P218" s="7" t="s">
        <v>135</v>
      </c>
      <c r="Q218" s="7"/>
      <c r="R218" s="7" t="s">
        <v>135</v>
      </c>
      <c r="S218" s="7" t="s">
        <v>136</v>
      </c>
      <c r="T218" s="7" t="n">
        <v>0.261</v>
      </c>
      <c r="U218" s="7" t="n">
        <v>0</v>
      </c>
      <c r="V218" s="7"/>
      <c r="W218" s="7"/>
      <c r="X218" s="7"/>
      <c r="Y218" s="7"/>
      <c r="Z218" s="7"/>
      <c r="AA218" s="7" t="s">
        <v>1086</v>
      </c>
      <c r="AB218" s="7" t="s">
        <v>1087</v>
      </c>
      <c r="AC218" s="7" t="n">
        <v>0</v>
      </c>
      <c r="AD218" s="7" t="s">
        <v>388</v>
      </c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 t="s">
        <v>1088</v>
      </c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</row>
    <row r="219" customFormat="false" ht="15" hidden="false" customHeight="false" outlineLevel="0" collapsed="false">
      <c r="A219" s="7" t="s">
        <v>1800</v>
      </c>
      <c r="B219" s="7" t="s">
        <v>1801</v>
      </c>
      <c r="C219" s="7" t="s">
        <v>1802</v>
      </c>
      <c r="D219" s="7" t="s">
        <v>1803</v>
      </c>
      <c r="E219" s="7" t="s">
        <v>82</v>
      </c>
      <c r="F219" s="7" t="s">
        <v>82</v>
      </c>
      <c r="G219" s="7" t="s">
        <v>1804</v>
      </c>
      <c r="H219" s="7"/>
      <c r="I219" s="7" t="s">
        <v>132</v>
      </c>
      <c r="J219" s="7" t="s">
        <v>104</v>
      </c>
      <c r="K219" s="7" t="s">
        <v>105</v>
      </c>
      <c r="L219" s="7" t="s">
        <v>106</v>
      </c>
      <c r="M219" s="7" t="s">
        <v>1805</v>
      </c>
      <c r="N219" s="7" t="s">
        <v>1806</v>
      </c>
      <c r="O219" s="7"/>
      <c r="P219" s="7" t="s">
        <v>135</v>
      </c>
      <c r="Q219" s="7"/>
      <c r="R219" s="7" t="s">
        <v>135</v>
      </c>
      <c r="S219" s="7" t="s">
        <v>136</v>
      </c>
      <c r="T219" s="7" t="n">
        <v>0.245</v>
      </c>
      <c r="U219" s="7" t="n">
        <v>12</v>
      </c>
      <c r="V219" s="7" t="s">
        <v>90</v>
      </c>
      <c r="W219" s="7" t="s">
        <v>332</v>
      </c>
      <c r="X219" s="7" t="s">
        <v>1807</v>
      </c>
      <c r="Y219" s="7"/>
      <c r="Z219" s="7"/>
      <c r="AA219" s="7"/>
      <c r="AB219" s="7"/>
      <c r="AC219" s="7" t="n">
        <v>10</v>
      </c>
      <c r="AD219" s="7" t="s">
        <v>359</v>
      </c>
      <c r="AE219" s="7" t="s">
        <v>1808</v>
      </c>
      <c r="AF219" s="7" t="s">
        <v>1802</v>
      </c>
      <c r="AG219" s="7" t="s">
        <v>1809</v>
      </c>
      <c r="AH219" s="7" t="s">
        <v>1810</v>
      </c>
      <c r="AI219" s="7"/>
      <c r="AJ219" s="7"/>
      <c r="AK219" s="7"/>
      <c r="AL219" s="7"/>
      <c r="AM219" s="7" t="s">
        <v>265</v>
      </c>
      <c r="AN219" s="7" t="s">
        <v>1811</v>
      </c>
      <c r="AO219" s="7" t="s">
        <v>1812</v>
      </c>
      <c r="AP219" s="7" t="s">
        <v>1813</v>
      </c>
      <c r="AQ219" s="7" t="s">
        <v>1808</v>
      </c>
      <c r="AR219" s="7" t="s">
        <v>82</v>
      </c>
      <c r="AS219" s="7" t="s">
        <v>265</v>
      </c>
      <c r="AT219" s="7" t="s">
        <v>216</v>
      </c>
      <c r="AU219" s="7" t="s">
        <v>265</v>
      </c>
      <c r="AV219" s="7" t="s">
        <v>1814</v>
      </c>
      <c r="AW219" s="7" t="s">
        <v>1812</v>
      </c>
      <c r="AX219" s="7" t="s">
        <v>326</v>
      </c>
      <c r="AY219" s="7" t="s">
        <v>265</v>
      </c>
      <c r="AZ219" s="7" t="s">
        <v>666</v>
      </c>
      <c r="BA219" s="7" t="s">
        <v>115</v>
      </c>
      <c r="BB219" s="7" t="s">
        <v>116</v>
      </c>
      <c r="BC219" s="7" t="s">
        <v>219</v>
      </c>
      <c r="BD219" s="7" t="s">
        <v>220</v>
      </c>
      <c r="BE219" s="7" t="s">
        <v>127</v>
      </c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</row>
    <row r="220" customFormat="false" ht="15" hidden="false" customHeight="false" outlineLevel="0" collapsed="false">
      <c r="A220" s="7" t="s">
        <v>1815</v>
      </c>
      <c r="B220" s="7" t="s">
        <v>1816</v>
      </c>
      <c r="C220" s="7" t="s">
        <v>1817</v>
      </c>
      <c r="D220" s="7"/>
      <c r="E220" s="7" t="s">
        <v>101</v>
      </c>
      <c r="F220" s="7" t="s">
        <v>101</v>
      </c>
      <c r="G220" s="7"/>
      <c r="H220" s="7" t="s">
        <v>102</v>
      </c>
      <c r="I220" s="7" t="s">
        <v>300</v>
      </c>
      <c r="J220" s="7" t="s">
        <v>104</v>
      </c>
      <c r="K220" s="7" t="s">
        <v>105</v>
      </c>
      <c r="L220" s="7" t="s">
        <v>106</v>
      </c>
      <c r="M220" s="7"/>
      <c r="N220" s="7" t="s">
        <v>1818</v>
      </c>
      <c r="O220" s="7" t="s">
        <v>1818</v>
      </c>
      <c r="P220" s="7" t="s">
        <v>84</v>
      </c>
      <c r="Q220" s="7"/>
      <c r="R220" s="7" t="s">
        <v>109</v>
      </c>
      <c r="S220" s="7" t="s">
        <v>110</v>
      </c>
      <c r="T220" s="7" t="n">
        <v>0.203</v>
      </c>
      <c r="U220" s="7" t="n">
        <v>12</v>
      </c>
      <c r="V220" s="7" t="s">
        <v>161</v>
      </c>
      <c r="W220" s="7" t="s">
        <v>980</v>
      </c>
      <c r="X220" s="7" t="s">
        <v>1819</v>
      </c>
      <c r="Y220" s="7" t="s">
        <v>1820</v>
      </c>
      <c r="Z220" s="7"/>
      <c r="AA220" s="7"/>
      <c r="AB220" s="7"/>
      <c r="AC220" s="7" t="n">
        <v>6</v>
      </c>
      <c r="AD220" s="7" t="s">
        <v>1235</v>
      </c>
      <c r="AE220" s="7" t="s">
        <v>744</v>
      </c>
      <c r="AF220" s="7" t="s">
        <v>1821</v>
      </c>
      <c r="AG220" s="7" t="s">
        <v>744</v>
      </c>
      <c r="AH220" s="7" t="s">
        <v>927</v>
      </c>
      <c r="AI220" s="7"/>
      <c r="AJ220" s="7"/>
      <c r="AK220" s="7"/>
      <c r="AL220" s="7"/>
      <c r="AM220" s="7" t="s">
        <v>744</v>
      </c>
      <c r="AN220" s="7" t="s">
        <v>1822</v>
      </c>
      <c r="AO220" s="7" t="s">
        <v>744</v>
      </c>
      <c r="AP220" s="7" t="s">
        <v>1823</v>
      </c>
      <c r="AQ220" s="7" t="s">
        <v>744</v>
      </c>
      <c r="AR220" s="7" t="s">
        <v>1824</v>
      </c>
      <c r="AS220" s="7"/>
      <c r="AT220" s="7"/>
      <c r="AU220" s="7"/>
      <c r="AV220" s="7"/>
      <c r="AW220" s="7" t="s">
        <v>744</v>
      </c>
      <c r="AX220" s="7" t="s">
        <v>1825</v>
      </c>
      <c r="AY220" s="7"/>
      <c r="AZ220" s="7"/>
      <c r="BA220" s="7"/>
      <c r="BB220" s="7"/>
      <c r="BC220" s="7"/>
      <c r="BD220" s="7" t="s">
        <v>1826</v>
      </c>
      <c r="BE220" s="7" t="s">
        <v>127</v>
      </c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</row>
    <row r="221" customFormat="false" ht="15" hidden="false" customHeight="false" outlineLevel="0" collapsed="false">
      <c r="A221" s="7" t="s">
        <v>1827</v>
      </c>
      <c r="B221" s="7" t="s">
        <v>1828</v>
      </c>
      <c r="C221" s="7" t="s">
        <v>1829</v>
      </c>
      <c r="D221" s="7"/>
      <c r="E221" s="7" t="s">
        <v>101</v>
      </c>
      <c r="F221" s="7" t="s">
        <v>101</v>
      </c>
      <c r="G221" s="7"/>
      <c r="H221" s="7" t="s">
        <v>102</v>
      </c>
      <c r="I221" s="7" t="s">
        <v>300</v>
      </c>
      <c r="J221" s="7" t="s">
        <v>104</v>
      </c>
      <c r="K221" s="7" t="s">
        <v>105</v>
      </c>
      <c r="L221" s="7" t="s">
        <v>106</v>
      </c>
      <c r="M221" s="7"/>
      <c r="N221" s="7" t="s">
        <v>1825</v>
      </c>
      <c r="O221" s="7"/>
      <c r="P221" s="7" t="s">
        <v>84</v>
      </c>
      <c r="Q221" s="7"/>
      <c r="R221" s="7" t="s">
        <v>135</v>
      </c>
      <c r="S221" s="7" t="s">
        <v>136</v>
      </c>
      <c r="T221" s="7" t="n">
        <v>0.207</v>
      </c>
      <c r="U221" s="7" t="n">
        <v>11</v>
      </c>
      <c r="V221" s="7" t="s">
        <v>161</v>
      </c>
      <c r="W221" s="7" t="s">
        <v>980</v>
      </c>
      <c r="X221" s="7" t="s">
        <v>1819</v>
      </c>
      <c r="Y221" s="7" t="s">
        <v>1820</v>
      </c>
      <c r="Z221" s="7"/>
      <c r="AA221" s="7"/>
      <c r="AB221" s="7"/>
      <c r="AC221" s="7" t="n">
        <v>0</v>
      </c>
      <c r="AD221" s="7" t="s">
        <v>388</v>
      </c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 t="s">
        <v>1830</v>
      </c>
      <c r="BE221" s="7" t="s">
        <v>127</v>
      </c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</row>
    <row r="222" customFormat="false" ht="15" hidden="false" customHeight="false" outlineLevel="0" collapsed="false">
      <c r="A222" s="7" t="s">
        <v>1831</v>
      </c>
      <c r="B222" s="7" t="s">
        <v>1832</v>
      </c>
      <c r="C222" s="7" t="s">
        <v>1833</v>
      </c>
      <c r="D222" s="7" t="s">
        <v>654</v>
      </c>
      <c r="E222" s="7" t="s">
        <v>82</v>
      </c>
      <c r="F222" s="7" t="s">
        <v>82</v>
      </c>
      <c r="G222" s="7" t="s">
        <v>83</v>
      </c>
      <c r="H222" s="7"/>
      <c r="I222" s="7" t="s">
        <v>132</v>
      </c>
      <c r="J222" s="7" t="s">
        <v>104</v>
      </c>
      <c r="K222" s="7" t="s">
        <v>105</v>
      </c>
      <c r="L222" s="7" t="s">
        <v>106</v>
      </c>
      <c r="M222" s="7"/>
      <c r="N222" s="7" t="s">
        <v>1834</v>
      </c>
      <c r="O222" s="7" t="s">
        <v>1835</v>
      </c>
      <c r="P222" s="7" t="s">
        <v>135</v>
      </c>
      <c r="Q222" s="7"/>
      <c r="R222" s="7" t="s">
        <v>109</v>
      </c>
      <c r="S222" s="7" t="s">
        <v>110</v>
      </c>
      <c r="T222" s="7" t="n">
        <v>0.391</v>
      </c>
      <c r="U222" s="7" t="n">
        <v>8</v>
      </c>
      <c r="V222" s="7" t="s">
        <v>90</v>
      </c>
      <c r="W222" s="7"/>
      <c r="X222" s="7"/>
      <c r="Y222" s="7"/>
      <c r="Z222" s="7"/>
      <c r="AA222" s="7"/>
      <c r="AB222" s="7"/>
      <c r="AC222" s="7" t="n">
        <v>7</v>
      </c>
      <c r="AD222" s="7" t="s">
        <v>1538</v>
      </c>
      <c r="AE222" s="7" t="s">
        <v>1812</v>
      </c>
      <c r="AF222" s="7" t="s">
        <v>1836</v>
      </c>
      <c r="AG222" s="7"/>
      <c r="AH222" s="7"/>
      <c r="AI222" s="7"/>
      <c r="AJ222" s="7"/>
      <c r="AK222" s="7"/>
      <c r="AL222" s="7"/>
      <c r="AM222" s="7"/>
      <c r="AN222" s="7"/>
      <c r="AO222" s="7" t="s">
        <v>1809</v>
      </c>
      <c r="AP222" s="7" t="s">
        <v>654</v>
      </c>
      <c r="AQ222" s="7" t="s">
        <v>1809</v>
      </c>
      <c r="AR222" s="7" t="s">
        <v>82</v>
      </c>
      <c r="AS222" s="7" t="s">
        <v>1812</v>
      </c>
      <c r="AT222" s="7" t="s">
        <v>216</v>
      </c>
      <c r="AU222" s="7" t="s">
        <v>1812</v>
      </c>
      <c r="AV222" s="7" t="s">
        <v>1837</v>
      </c>
      <c r="AW222" s="7" t="s">
        <v>1812</v>
      </c>
      <c r="AX222" s="7" t="s">
        <v>326</v>
      </c>
      <c r="AY222" s="7" t="s">
        <v>1812</v>
      </c>
      <c r="AZ222" s="7" t="s">
        <v>666</v>
      </c>
      <c r="BA222" s="7"/>
      <c r="BB222" s="7"/>
      <c r="BC222" s="7"/>
      <c r="BD222" s="7" t="s">
        <v>220</v>
      </c>
      <c r="BE222" s="7" t="s">
        <v>127</v>
      </c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</row>
    <row r="223" customFormat="false" ht="15" hidden="false" customHeight="false" outlineLevel="0" collapsed="false">
      <c r="A223" s="7" t="s">
        <v>1838</v>
      </c>
      <c r="B223" s="7" t="s">
        <v>1839</v>
      </c>
      <c r="C223" s="7" t="s">
        <v>1840</v>
      </c>
      <c r="D223" s="7" t="s">
        <v>1841</v>
      </c>
      <c r="E223" s="7" t="s">
        <v>101</v>
      </c>
      <c r="F223" s="7" t="s">
        <v>101</v>
      </c>
      <c r="G223" s="7"/>
      <c r="H223" s="7" t="s">
        <v>102</v>
      </c>
      <c r="I223" s="7" t="s">
        <v>158</v>
      </c>
      <c r="J223" s="7" t="s">
        <v>104</v>
      </c>
      <c r="K223" s="7" t="s">
        <v>105</v>
      </c>
      <c r="L223" s="7" t="s">
        <v>353</v>
      </c>
      <c r="M223" s="7" t="s">
        <v>1842</v>
      </c>
      <c r="N223" s="7" t="s">
        <v>1843</v>
      </c>
      <c r="O223" s="7" t="s">
        <v>1843</v>
      </c>
      <c r="P223" s="7" t="s">
        <v>84</v>
      </c>
      <c r="Q223" s="7"/>
      <c r="R223" s="7" t="s">
        <v>109</v>
      </c>
      <c r="S223" s="7" t="s">
        <v>110</v>
      </c>
      <c r="T223" s="7" t="n">
        <v>0.781</v>
      </c>
      <c r="U223" s="7" t="n">
        <v>7</v>
      </c>
      <c r="V223" s="7" t="s">
        <v>1844</v>
      </c>
      <c r="W223" s="7" t="s">
        <v>1845</v>
      </c>
      <c r="X223" s="7" t="s">
        <v>1846</v>
      </c>
      <c r="Y223" s="7" t="s">
        <v>1843</v>
      </c>
      <c r="Z223" s="7" t="s">
        <v>1847</v>
      </c>
      <c r="AA223" s="7"/>
      <c r="AB223" s="7"/>
      <c r="AC223" s="7" t="n">
        <v>0</v>
      </c>
      <c r="AD223" s="7" t="s">
        <v>388</v>
      </c>
      <c r="AE223" s="7" t="s">
        <v>1848</v>
      </c>
      <c r="AF223" s="7" t="s">
        <v>1849</v>
      </c>
      <c r="AG223" s="7" t="s">
        <v>1848</v>
      </c>
      <c r="AH223" s="7" t="s">
        <v>1850</v>
      </c>
      <c r="AI223" s="7" t="s">
        <v>1848</v>
      </c>
      <c r="AJ223" s="7" t="s">
        <v>1851</v>
      </c>
      <c r="AK223" s="7" t="s">
        <v>1848</v>
      </c>
      <c r="AL223" s="7" t="s">
        <v>1852</v>
      </c>
      <c r="AM223" s="7" t="s">
        <v>1848</v>
      </c>
      <c r="AN223" s="7" t="s">
        <v>1853</v>
      </c>
      <c r="AO223" s="7" t="s">
        <v>1848</v>
      </c>
      <c r="AP223" s="7" t="s">
        <v>1854</v>
      </c>
      <c r="AQ223" s="7" t="s">
        <v>1848</v>
      </c>
      <c r="AR223" s="7" t="s">
        <v>1855</v>
      </c>
      <c r="AS223" s="7" t="s">
        <v>1848</v>
      </c>
      <c r="AT223" s="7" t="s">
        <v>1856</v>
      </c>
      <c r="AU223" s="7" t="s">
        <v>1848</v>
      </c>
      <c r="AV223" s="7" t="s">
        <v>1857</v>
      </c>
      <c r="AW223" s="7" t="s">
        <v>1848</v>
      </c>
      <c r="AX223" s="7" t="s">
        <v>1858</v>
      </c>
      <c r="AY223" s="7" t="s">
        <v>1848</v>
      </c>
      <c r="AZ223" s="7" t="s">
        <v>1859</v>
      </c>
      <c r="BA223" s="7" t="s">
        <v>1848</v>
      </c>
      <c r="BB223" s="7" t="s">
        <v>1860</v>
      </c>
      <c r="BC223" s="7" t="s">
        <v>413</v>
      </c>
      <c r="BD223" s="7" t="s">
        <v>1861</v>
      </c>
      <c r="BE223" s="7" t="s">
        <v>127</v>
      </c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</row>
    <row r="224" customFormat="false" ht="15" hidden="false" customHeight="false" outlineLevel="0" collapsed="false">
      <c r="A224" s="7" t="s">
        <v>1862</v>
      </c>
      <c r="B224" s="7" t="s">
        <v>1863</v>
      </c>
      <c r="C224" s="7" t="s">
        <v>1864</v>
      </c>
      <c r="D224" s="7" t="s">
        <v>654</v>
      </c>
      <c r="E224" s="7" t="s">
        <v>101</v>
      </c>
      <c r="F224" s="7" t="s">
        <v>101</v>
      </c>
      <c r="G224" s="7"/>
      <c r="H224" s="7" t="s">
        <v>102</v>
      </c>
      <c r="I224" s="7" t="s">
        <v>132</v>
      </c>
      <c r="J224" s="7" t="s">
        <v>104</v>
      </c>
      <c r="K224" s="7" t="s">
        <v>105</v>
      </c>
      <c r="L224" s="7" t="s">
        <v>106</v>
      </c>
      <c r="M224" s="7"/>
      <c r="N224" s="7" t="s">
        <v>1865</v>
      </c>
      <c r="O224" s="7"/>
      <c r="P224" s="7" t="s">
        <v>135</v>
      </c>
      <c r="Q224" s="7"/>
      <c r="R224" s="7" t="s">
        <v>135</v>
      </c>
      <c r="S224" s="7" t="s">
        <v>136</v>
      </c>
      <c r="T224" s="7" t="n">
        <v>0.336</v>
      </c>
      <c r="U224" s="7" t="n">
        <v>6</v>
      </c>
      <c r="V224" s="7" t="s">
        <v>90</v>
      </c>
      <c r="W224" s="7"/>
      <c r="X224" s="7"/>
      <c r="Y224" s="7"/>
      <c r="Z224" s="7"/>
      <c r="AA224" s="7"/>
      <c r="AB224" s="7"/>
      <c r="AC224" s="7" t="n">
        <v>0</v>
      </c>
      <c r="AD224" s="7" t="s">
        <v>388</v>
      </c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 t="s">
        <v>127</v>
      </c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</row>
    <row r="225" customFormat="false" ht="15" hidden="false" customHeight="false" outlineLevel="0" collapsed="false">
      <c r="A225" s="7" t="s">
        <v>1866</v>
      </c>
      <c r="B225" s="7" t="s">
        <v>1867</v>
      </c>
      <c r="C225" s="7" t="s">
        <v>1868</v>
      </c>
      <c r="D225" s="7" t="s">
        <v>1869</v>
      </c>
      <c r="E225" s="7" t="s">
        <v>101</v>
      </c>
      <c r="F225" s="7" t="s">
        <v>82</v>
      </c>
      <c r="G225" s="7"/>
      <c r="H225" s="7" t="s">
        <v>102</v>
      </c>
      <c r="I225" s="7" t="s">
        <v>1104</v>
      </c>
      <c r="J225" s="7" t="s">
        <v>104</v>
      </c>
      <c r="K225" s="7" t="s">
        <v>105</v>
      </c>
      <c r="L225" s="7" t="s">
        <v>1870</v>
      </c>
      <c r="M225" s="7"/>
      <c r="N225" s="7" t="s">
        <v>262</v>
      </c>
      <c r="O225" s="7" t="s">
        <v>262</v>
      </c>
      <c r="P225" s="7" t="s">
        <v>84</v>
      </c>
      <c r="Q225" s="7"/>
      <c r="R225" s="7" t="s">
        <v>109</v>
      </c>
      <c r="S225" s="7" t="s">
        <v>110</v>
      </c>
      <c r="T225" s="7" t="n">
        <v>0.544</v>
      </c>
      <c r="U225" s="7" t="n">
        <v>6</v>
      </c>
      <c r="V225" s="7" t="s">
        <v>90</v>
      </c>
      <c r="W225" s="7"/>
      <c r="X225" s="7"/>
      <c r="Y225" s="7" t="s">
        <v>262</v>
      </c>
      <c r="Z225" s="7"/>
      <c r="AA225" s="7"/>
      <c r="AB225" s="7"/>
      <c r="AC225" s="7" t="n">
        <v>8</v>
      </c>
      <c r="AD225" s="7" t="s">
        <v>1871</v>
      </c>
      <c r="AE225" s="7" t="s">
        <v>1872</v>
      </c>
      <c r="AF225" s="7" t="s">
        <v>266</v>
      </c>
      <c r="AG225" s="7"/>
      <c r="AH225" s="7"/>
      <c r="AI225" s="7"/>
      <c r="AJ225" s="7"/>
      <c r="AK225" s="7" t="s">
        <v>1872</v>
      </c>
      <c r="AL225" s="7" t="s">
        <v>1873</v>
      </c>
      <c r="AM225" s="7"/>
      <c r="AN225" s="7"/>
      <c r="AO225" s="7" t="s">
        <v>1872</v>
      </c>
      <c r="AP225" s="7" t="s">
        <v>271</v>
      </c>
      <c r="AQ225" s="7" t="s">
        <v>1872</v>
      </c>
      <c r="AR225" s="7" t="s">
        <v>82</v>
      </c>
      <c r="AS225" s="7" t="s">
        <v>1872</v>
      </c>
      <c r="AT225" s="7" t="s">
        <v>122</v>
      </c>
      <c r="AU225" s="7"/>
      <c r="AV225" s="7"/>
      <c r="AW225" s="7" t="s">
        <v>1872</v>
      </c>
      <c r="AX225" s="7" t="s">
        <v>273</v>
      </c>
      <c r="AY225" s="7" t="s">
        <v>1872</v>
      </c>
      <c r="AZ225" s="7" t="s">
        <v>274</v>
      </c>
      <c r="BA225" s="7" t="s">
        <v>1872</v>
      </c>
      <c r="BB225" s="7" t="s">
        <v>275</v>
      </c>
      <c r="BC225" s="7"/>
      <c r="BD225" s="7" t="s">
        <v>220</v>
      </c>
      <c r="BE225" s="7" t="s">
        <v>127</v>
      </c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</row>
    <row r="226" customFormat="false" ht="15" hidden="false" customHeight="false" outlineLevel="0" collapsed="false">
      <c r="A226" s="7" t="s">
        <v>1874</v>
      </c>
      <c r="B226" s="7" t="s">
        <v>1875</v>
      </c>
      <c r="C226" s="7" t="s">
        <v>1876</v>
      </c>
      <c r="D226" s="7" t="s">
        <v>1877</v>
      </c>
      <c r="E226" s="7" t="s">
        <v>82</v>
      </c>
      <c r="F226" s="7" t="s">
        <v>82</v>
      </c>
      <c r="G226" s="7" t="s">
        <v>1878</v>
      </c>
      <c r="H226" s="7"/>
      <c r="I226" s="7" t="s">
        <v>158</v>
      </c>
      <c r="J226" s="7" t="s">
        <v>104</v>
      </c>
      <c r="K226" s="7" t="s">
        <v>105</v>
      </c>
      <c r="L226" s="7" t="s">
        <v>106</v>
      </c>
      <c r="M226" s="7"/>
      <c r="N226" s="7" t="s">
        <v>1879</v>
      </c>
      <c r="O226" s="7" t="s">
        <v>1879</v>
      </c>
      <c r="P226" s="7" t="s">
        <v>84</v>
      </c>
      <c r="Q226" s="7"/>
      <c r="R226" s="7" t="s">
        <v>109</v>
      </c>
      <c r="S226" s="7" t="s">
        <v>110</v>
      </c>
      <c r="T226" s="7" t="n">
        <v>0.842</v>
      </c>
      <c r="U226" s="7" t="n">
        <v>6</v>
      </c>
      <c r="V226" s="7" t="s">
        <v>161</v>
      </c>
      <c r="W226" s="7"/>
      <c r="X226" s="7"/>
      <c r="Y226" s="7" t="s">
        <v>1879</v>
      </c>
      <c r="Z226" s="7"/>
      <c r="AA226" s="7"/>
      <c r="AB226" s="7"/>
      <c r="AC226" s="7" t="n">
        <v>8</v>
      </c>
      <c r="AD226" s="7" t="s">
        <v>421</v>
      </c>
      <c r="AE226" s="7" t="s">
        <v>1812</v>
      </c>
      <c r="AF226" s="7" t="s">
        <v>1880</v>
      </c>
      <c r="AG226" s="7"/>
      <c r="AH226" s="7"/>
      <c r="AI226" s="7"/>
      <c r="AJ226" s="7"/>
      <c r="AK226" s="7"/>
      <c r="AL226" s="7"/>
      <c r="AM226" s="7" t="s">
        <v>1812</v>
      </c>
      <c r="AN226" s="7" t="s">
        <v>1881</v>
      </c>
      <c r="AO226" s="7" t="s">
        <v>1882</v>
      </c>
      <c r="AP226" s="7" t="s">
        <v>1883</v>
      </c>
      <c r="AQ226" s="7" t="s">
        <v>1882</v>
      </c>
      <c r="AR226" s="7" t="s">
        <v>1884</v>
      </c>
      <c r="AS226" s="7" t="s">
        <v>1812</v>
      </c>
      <c r="AT226" s="7" t="s">
        <v>216</v>
      </c>
      <c r="AU226" s="7"/>
      <c r="AV226" s="7"/>
      <c r="AW226" s="7" t="s">
        <v>1809</v>
      </c>
      <c r="AX226" s="7" t="s">
        <v>1879</v>
      </c>
      <c r="AY226" s="7" t="s">
        <v>1812</v>
      </c>
      <c r="AZ226" s="7" t="s">
        <v>124</v>
      </c>
      <c r="BA226" s="7" t="s">
        <v>1882</v>
      </c>
      <c r="BB226" s="7" t="s">
        <v>158</v>
      </c>
      <c r="BC226" s="7" t="s">
        <v>707</v>
      </c>
      <c r="BD226" s="7" t="s">
        <v>1885</v>
      </c>
      <c r="BE226" s="7" t="s">
        <v>127</v>
      </c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</row>
    <row r="227" customFormat="false" ht="15" hidden="false" customHeight="false" outlineLevel="0" collapsed="false">
      <c r="A227" s="7" t="s">
        <v>1886</v>
      </c>
      <c r="B227" s="7" t="s">
        <v>1887</v>
      </c>
      <c r="C227" s="7" t="s">
        <v>1888</v>
      </c>
      <c r="D227" s="7" t="s">
        <v>1877</v>
      </c>
      <c r="E227" s="7" t="s">
        <v>82</v>
      </c>
      <c r="F227" s="7" t="s">
        <v>82</v>
      </c>
      <c r="G227" s="7" t="s">
        <v>1878</v>
      </c>
      <c r="H227" s="7"/>
      <c r="I227" s="7" t="s">
        <v>158</v>
      </c>
      <c r="J227" s="7" t="s">
        <v>104</v>
      </c>
      <c r="K227" s="7" t="s">
        <v>105</v>
      </c>
      <c r="L227" s="7" t="s">
        <v>106</v>
      </c>
      <c r="M227" s="7"/>
      <c r="N227" s="7" t="s">
        <v>1889</v>
      </c>
      <c r="O227" s="7" t="s">
        <v>1889</v>
      </c>
      <c r="P227" s="7" t="s">
        <v>84</v>
      </c>
      <c r="Q227" s="7"/>
      <c r="R227" s="7" t="s">
        <v>109</v>
      </c>
      <c r="S227" s="7" t="s">
        <v>110</v>
      </c>
      <c r="T227" s="7" t="n">
        <v>0.757</v>
      </c>
      <c r="U227" s="7" t="n">
        <v>6</v>
      </c>
      <c r="V227" s="7" t="s">
        <v>161</v>
      </c>
      <c r="W227" s="7"/>
      <c r="X227" s="7"/>
      <c r="Y227" s="7" t="s">
        <v>1889</v>
      </c>
      <c r="Z227" s="7"/>
      <c r="AA227" s="7"/>
      <c r="AB227" s="7"/>
      <c r="AC227" s="7" t="n">
        <v>6</v>
      </c>
      <c r="AD227" s="7" t="s">
        <v>1890</v>
      </c>
      <c r="AE227" s="7" t="s">
        <v>1809</v>
      </c>
      <c r="AF227" s="7" t="s">
        <v>1888</v>
      </c>
      <c r="AG227" s="7"/>
      <c r="AH227" s="7"/>
      <c r="AI227" s="7"/>
      <c r="AJ227" s="7"/>
      <c r="AK227" s="7"/>
      <c r="AL227" s="7"/>
      <c r="AM227" s="7" t="s">
        <v>1882</v>
      </c>
      <c r="AN227" s="7" t="s">
        <v>1891</v>
      </c>
      <c r="AO227" s="7" t="s">
        <v>1882</v>
      </c>
      <c r="AP227" s="7" t="s">
        <v>1883</v>
      </c>
      <c r="AQ227" s="7" t="s">
        <v>1882</v>
      </c>
      <c r="AR227" s="7" t="s">
        <v>1884</v>
      </c>
      <c r="AS227" s="7"/>
      <c r="AT227" s="7"/>
      <c r="AU227" s="7"/>
      <c r="AV227" s="7"/>
      <c r="AW227" s="7" t="s">
        <v>1809</v>
      </c>
      <c r="AX227" s="7" t="s">
        <v>1889</v>
      </c>
      <c r="AY227" s="7"/>
      <c r="AZ227" s="7"/>
      <c r="BA227" s="7" t="s">
        <v>1882</v>
      </c>
      <c r="BB227" s="7" t="s">
        <v>158</v>
      </c>
      <c r="BC227" s="7" t="s">
        <v>707</v>
      </c>
      <c r="BD227" s="7" t="s">
        <v>1885</v>
      </c>
      <c r="BE227" s="7" t="s">
        <v>127</v>
      </c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</row>
    <row r="228" customFormat="false" ht="15" hidden="false" customHeight="false" outlineLevel="0" collapsed="false">
      <c r="A228" s="7" t="s">
        <v>1892</v>
      </c>
      <c r="B228" s="7" t="s">
        <v>1893</v>
      </c>
      <c r="C228" s="7" t="s">
        <v>1894</v>
      </c>
      <c r="D228" s="7" t="s">
        <v>183</v>
      </c>
      <c r="E228" s="7" t="s">
        <v>101</v>
      </c>
      <c r="F228" s="7" t="s">
        <v>101</v>
      </c>
      <c r="G228" s="7"/>
      <c r="H228" s="7" t="s">
        <v>102</v>
      </c>
      <c r="I228" s="7" t="s">
        <v>132</v>
      </c>
      <c r="J228" s="7" t="s">
        <v>104</v>
      </c>
      <c r="K228" s="7" t="s">
        <v>105</v>
      </c>
      <c r="L228" s="7" t="s">
        <v>106</v>
      </c>
      <c r="M228" s="7"/>
      <c r="N228" s="7" t="s">
        <v>1895</v>
      </c>
      <c r="O228" s="7" t="s">
        <v>1895</v>
      </c>
      <c r="P228" s="7" t="s">
        <v>84</v>
      </c>
      <c r="Q228" s="7"/>
      <c r="R228" s="7" t="s">
        <v>109</v>
      </c>
      <c r="S228" s="7" t="s">
        <v>110</v>
      </c>
      <c r="T228" s="7" t="n">
        <v>0.753</v>
      </c>
      <c r="U228" s="7" t="n">
        <v>6</v>
      </c>
      <c r="V228" s="7" t="s">
        <v>111</v>
      </c>
      <c r="W228" s="7"/>
      <c r="X228" s="7" t="s">
        <v>187</v>
      </c>
      <c r="Y228" s="7" t="s">
        <v>1896</v>
      </c>
      <c r="Z228" s="7"/>
      <c r="AA228" s="7"/>
      <c r="AB228" s="7"/>
      <c r="AC228" s="7" t="n">
        <v>5</v>
      </c>
      <c r="AD228" s="7" t="s">
        <v>1897</v>
      </c>
      <c r="AE228" s="7" t="s">
        <v>744</v>
      </c>
      <c r="AF228" s="7" t="s">
        <v>1898</v>
      </c>
      <c r="AG228" s="7" t="s">
        <v>744</v>
      </c>
      <c r="AH228" s="7" t="s">
        <v>187</v>
      </c>
      <c r="AI228" s="7"/>
      <c r="AJ228" s="7"/>
      <c r="AK228" s="7"/>
      <c r="AL228" s="7"/>
      <c r="AM228" s="7" t="s">
        <v>744</v>
      </c>
      <c r="AN228" s="7" t="s">
        <v>1899</v>
      </c>
      <c r="AO228" s="7" t="s">
        <v>744</v>
      </c>
      <c r="AP228" s="7" t="s">
        <v>1900</v>
      </c>
      <c r="AQ228" s="7"/>
      <c r="AR228" s="7"/>
      <c r="AS228" s="7"/>
      <c r="AT228" s="7"/>
      <c r="AU228" s="7"/>
      <c r="AV228" s="7"/>
      <c r="AW228" s="7" t="s">
        <v>744</v>
      </c>
      <c r="AX228" s="7" t="s">
        <v>1896</v>
      </c>
      <c r="AY228" s="7"/>
      <c r="AZ228" s="7"/>
      <c r="BA228" s="7"/>
      <c r="BB228" s="7"/>
      <c r="BC228" s="7"/>
      <c r="BD228" s="7" t="s">
        <v>126</v>
      </c>
      <c r="BE228" s="7" t="s">
        <v>127</v>
      </c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</row>
    <row r="229" customFormat="false" ht="15" hidden="false" customHeight="false" outlineLevel="0" collapsed="false">
      <c r="A229" s="7" t="s">
        <v>1901</v>
      </c>
      <c r="B229" s="7" t="s">
        <v>1902</v>
      </c>
      <c r="C229" s="7" t="s">
        <v>1903</v>
      </c>
      <c r="D229" s="7" t="s">
        <v>1904</v>
      </c>
      <c r="E229" s="7" t="s">
        <v>101</v>
      </c>
      <c r="F229" s="7" t="s">
        <v>101</v>
      </c>
      <c r="G229" s="7"/>
      <c r="H229" s="7" t="s">
        <v>102</v>
      </c>
      <c r="I229" s="7" t="s">
        <v>132</v>
      </c>
      <c r="J229" s="7" t="s">
        <v>104</v>
      </c>
      <c r="K229" s="7" t="s">
        <v>105</v>
      </c>
      <c r="L229" s="7" t="s">
        <v>106</v>
      </c>
      <c r="M229" s="7"/>
      <c r="N229" s="7" t="s">
        <v>1905</v>
      </c>
      <c r="O229" s="7" t="s">
        <v>1905</v>
      </c>
      <c r="P229" s="7" t="s">
        <v>84</v>
      </c>
      <c r="Q229" s="7"/>
      <c r="R229" s="7" t="s">
        <v>109</v>
      </c>
      <c r="S229" s="7" t="s">
        <v>110</v>
      </c>
      <c r="T229" s="7" t="n">
        <v>0.797</v>
      </c>
      <c r="U229" s="7" t="n">
        <v>6</v>
      </c>
      <c r="V229" s="7" t="s">
        <v>1844</v>
      </c>
      <c r="W229" s="7" t="s">
        <v>1906</v>
      </c>
      <c r="X229" s="7" t="s">
        <v>1907</v>
      </c>
      <c r="Y229" s="7" t="s">
        <v>1908</v>
      </c>
      <c r="Z229" s="7" t="s">
        <v>1909</v>
      </c>
      <c r="AA229" s="7"/>
      <c r="AB229" s="7"/>
      <c r="AC229" s="7" t="n">
        <v>0</v>
      </c>
      <c r="AD229" s="7" t="s">
        <v>388</v>
      </c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 t="s">
        <v>1861</v>
      </c>
      <c r="BE229" s="7" t="s">
        <v>127</v>
      </c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</row>
    <row r="230" customFormat="false" ht="15" hidden="false" customHeight="false" outlineLevel="0" collapsed="false">
      <c r="A230" s="7" t="s">
        <v>1910</v>
      </c>
      <c r="B230" s="7" t="s">
        <v>1911</v>
      </c>
      <c r="C230" s="7" t="s">
        <v>1912</v>
      </c>
      <c r="D230" s="7" t="s">
        <v>1904</v>
      </c>
      <c r="E230" s="7" t="s">
        <v>101</v>
      </c>
      <c r="F230" s="7" t="s">
        <v>431</v>
      </c>
      <c r="G230" s="7" t="s">
        <v>1913</v>
      </c>
      <c r="H230" s="7" t="s">
        <v>102</v>
      </c>
      <c r="I230" s="7" t="s">
        <v>158</v>
      </c>
      <c r="J230" s="7" t="s">
        <v>104</v>
      </c>
      <c r="K230" s="7" t="s">
        <v>105</v>
      </c>
      <c r="L230" s="7" t="s">
        <v>353</v>
      </c>
      <c r="M230" s="7"/>
      <c r="N230" s="7" t="s">
        <v>1914</v>
      </c>
      <c r="O230" s="7" t="s">
        <v>1914</v>
      </c>
      <c r="P230" s="7" t="s">
        <v>84</v>
      </c>
      <c r="Q230" s="7"/>
      <c r="R230" s="7" t="s">
        <v>109</v>
      </c>
      <c r="S230" s="7" t="s">
        <v>110</v>
      </c>
      <c r="T230" s="7" t="n">
        <v>0.7</v>
      </c>
      <c r="U230" s="7" t="n">
        <v>6</v>
      </c>
      <c r="V230" s="7" t="s">
        <v>161</v>
      </c>
      <c r="W230" s="7" t="s">
        <v>1906</v>
      </c>
      <c r="X230" s="7" t="s">
        <v>1907</v>
      </c>
      <c r="Y230" s="7" t="s">
        <v>1908</v>
      </c>
      <c r="Z230" s="7" t="s">
        <v>1909</v>
      </c>
      <c r="AA230" s="7"/>
      <c r="AB230" s="7"/>
      <c r="AC230" s="7" t="n">
        <v>0</v>
      </c>
      <c r="AD230" s="7" t="s">
        <v>388</v>
      </c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 t="s">
        <v>1861</v>
      </c>
      <c r="BE230" s="7" t="s">
        <v>127</v>
      </c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</row>
    <row r="231" customFormat="false" ht="15" hidden="false" customHeight="false" outlineLevel="0" collapsed="false">
      <c r="A231" s="7" t="s">
        <v>1915</v>
      </c>
      <c r="B231" s="7" t="s">
        <v>1916</v>
      </c>
      <c r="C231" s="7" t="s">
        <v>1917</v>
      </c>
      <c r="D231" s="7" t="s">
        <v>1904</v>
      </c>
      <c r="E231" s="7" t="s">
        <v>101</v>
      </c>
      <c r="F231" s="7" t="s">
        <v>101</v>
      </c>
      <c r="G231" s="7"/>
      <c r="H231" s="7" t="s">
        <v>102</v>
      </c>
      <c r="I231" s="7" t="s">
        <v>132</v>
      </c>
      <c r="J231" s="7" t="s">
        <v>104</v>
      </c>
      <c r="K231" s="7" t="s">
        <v>105</v>
      </c>
      <c r="L231" s="7" t="s">
        <v>106</v>
      </c>
      <c r="M231" s="7"/>
      <c r="N231" s="7" t="s">
        <v>1914</v>
      </c>
      <c r="O231" s="7" t="s">
        <v>1914</v>
      </c>
      <c r="P231" s="7" t="s">
        <v>84</v>
      </c>
      <c r="Q231" s="7"/>
      <c r="R231" s="7" t="s">
        <v>109</v>
      </c>
      <c r="S231" s="7" t="s">
        <v>110</v>
      </c>
      <c r="T231" s="7" t="n">
        <v>0.538</v>
      </c>
      <c r="U231" s="7" t="n">
        <v>6</v>
      </c>
      <c r="V231" s="7" t="s">
        <v>161</v>
      </c>
      <c r="W231" s="7" t="s">
        <v>1906</v>
      </c>
      <c r="X231" s="7" t="s">
        <v>1907</v>
      </c>
      <c r="Y231" s="7" t="s">
        <v>1908</v>
      </c>
      <c r="Z231" s="7"/>
      <c r="AA231" s="7"/>
      <c r="AB231" s="7"/>
      <c r="AC231" s="7" t="n">
        <v>0</v>
      </c>
      <c r="AD231" s="7" t="s">
        <v>388</v>
      </c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 t="s">
        <v>1861</v>
      </c>
      <c r="BE231" s="7" t="s">
        <v>127</v>
      </c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</row>
    <row r="232" customFormat="false" ht="15" hidden="false" customHeight="false" outlineLevel="0" collapsed="false">
      <c r="A232" s="7" t="s">
        <v>1918</v>
      </c>
      <c r="B232" s="7" t="s">
        <v>1919</v>
      </c>
      <c r="C232" s="7" t="s">
        <v>1920</v>
      </c>
      <c r="D232" s="7" t="s">
        <v>1921</v>
      </c>
      <c r="E232" s="7" t="s">
        <v>82</v>
      </c>
      <c r="F232" s="7" t="s">
        <v>82</v>
      </c>
      <c r="G232" s="7"/>
      <c r="H232" s="7" t="s">
        <v>207</v>
      </c>
      <c r="I232" s="7" t="s">
        <v>158</v>
      </c>
      <c r="J232" s="7" t="s">
        <v>104</v>
      </c>
      <c r="K232" s="7" t="s">
        <v>105</v>
      </c>
      <c r="L232" s="7" t="s">
        <v>353</v>
      </c>
      <c r="M232" s="7"/>
      <c r="N232" s="7" t="s">
        <v>1922</v>
      </c>
      <c r="O232" s="7" t="s">
        <v>1922</v>
      </c>
      <c r="P232" s="7" t="s">
        <v>84</v>
      </c>
      <c r="Q232" s="7"/>
      <c r="R232" s="7" t="s">
        <v>109</v>
      </c>
      <c r="S232" s="7" t="s">
        <v>110</v>
      </c>
      <c r="T232" s="7" t="n">
        <v>0.493</v>
      </c>
      <c r="U232" s="7" t="n">
        <v>5</v>
      </c>
      <c r="V232" s="7" t="s">
        <v>1465</v>
      </c>
      <c r="W232" s="7"/>
      <c r="X232" s="7"/>
      <c r="Y232" s="7" t="s">
        <v>1922</v>
      </c>
      <c r="Z232" s="7"/>
      <c r="AA232" s="7"/>
      <c r="AB232" s="7"/>
      <c r="AC232" s="7" t="n">
        <v>0</v>
      </c>
      <c r="AD232" s="7" t="s">
        <v>388</v>
      </c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 t="s">
        <v>1923</v>
      </c>
      <c r="BE232" s="7" t="s">
        <v>127</v>
      </c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</row>
    <row r="233" customFormat="false" ht="15" hidden="false" customHeight="false" outlineLevel="0" collapsed="false">
      <c r="A233" s="7" t="s">
        <v>1924</v>
      </c>
      <c r="B233" s="7" t="s">
        <v>1925</v>
      </c>
      <c r="C233" s="7" t="s">
        <v>1926</v>
      </c>
      <c r="D233" s="7" t="s">
        <v>1927</v>
      </c>
      <c r="E233" s="7" t="s">
        <v>101</v>
      </c>
      <c r="F233" s="7" t="s">
        <v>82</v>
      </c>
      <c r="G233" s="7"/>
      <c r="H233" s="7" t="s">
        <v>102</v>
      </c>
      <c r="I233" s="7" t="s">
        <v>132</v>
      </c>
      <c r="J233" s="7" t="s">
        <v>104</v>
      </c>
      <c r="K233" s="7" t="s">
        <v>105</v>
      </c>
      <c r="L233" s="7" t="s">
        <v>106</v>
      </c>
      <c r="M233" s="7" t="s">
        <v>1928</v>
      </c>
      <c r="N233" s="7" t="s">
        <v>1464</v>
      </c>
      <c r="O233" s="7"/>
      <c r="P233" s="7" t="s">
        <v>84</v>
      </c>
      <c r="Q233" s="7"/>
      <c r="R233" s="7"/>
      <c r="S233" s="7"/>
      <c r="T233" s="7" t="n">
        <v>0.267</v>
      </c>
      <c r="U233" s="7" t="n">
        <v>5</v>
      </c>
      <c r="V233" s="7" t="s">
        <v>1465</v>
      </c>
      <c r="W233" s="7"/>
      <c r="X233" s="7"/>
      <c r="Y233" s="7" t="s">
        <v>1464</v>
      </c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 t="s">
        <v>219</v>
      </c>
      <c r="BD233" s="7" t="s">
        <v>1466</v>
      </c>
      <c r="BE233" s="7" t="s">
        <v>127</v>
      </c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</row>
    <row r="234" customFormat="false" ht="15" hidden="false" customHeight="false" outlineLevel="0" collapsed="false">
      <c r="A234" s="7" t="s">
        <v>1929</v>
      </c>
      <c r="B234" s="7" t="s">
        <v>1930</v>
      </c>
      <c r="C234" s="7" t="s">
        <v>1931</v>
      </c>
      <c r="D234" s="7"/>
      <c r="E234" s="7" t="s">
        <v>101</v>
      </c>
      <c r="F234" s="7" t="s">
        <v>156</v>
      </c>
      <c r="G234" s="7"/>
      <c r="H234" s="7" t="s">
        <v>157</v>
      </c>
      <c r="I234" s="7" t="s">
        <v>132</v>
      </c>
      <c r="J234" s="7" t="s">
        <v>159</v>
      </c>
      <c r="K234" s="7" t="s">
        <v>105</v>
      </c>
      <c r="L234" s="7" t="s">
        <v>106</v>
      </c>
      <c r="M234" s="7" t="s">
        <v>1932</v>
      </c>
      <c r="N234" s="7" t="s">
        <v>1933</v>
      </c>
      <c r="O234" s="7"/>
      <c r="P234" s="7" t="s">
        <v>84</v>
      </c>
      <c r="Q234" s="7"/>
      <c r="R234" s="7"/>
      <c r="S234" s="7"/>
      <c r="T234" s="7" t="n">
        <v>0.903</v>
      </c>
      <c r="U234" s="7" t="n">
        <v>5</v>
      </c>
      <c r="V234" s="7" t="s">
        <v>1465</v>
      </c>
      <c r="W234" s="7" t="s">
        <v>1511</v>
      </c>
      <c r="X234" s="7" t="s">
        <v>841</v>
      </c>
      <c r="Y234" s="7" t="s">
        <v>1934</v>
      </c>
      <c r="Z234" s="7" t="s">
        <v>842</v>
      </c>
      <c r="AA234" s="7"/>
      <c r="AB234" s="7"/>
      <c r="AC234" s="7"/>
      <c r="AD234" s="7"/>
      <c r="AE234" s="7" t="s">
        <v>166</v>
      </c>
      <c r="AF234" s="7" t="s">
        <v>1935</v>
      </c>
      <c r="AG234" s="7" t="s">
        <v>166</v>
      </c>
      <c r="AH234" s="7" t="s">
        <v>1936</v>
      </c>
      <c r="AI234" s="7" t="s">
        <v>166</v>
      </c>
      <c r="AJ234" s="7" t="s">
        <v>1937</v>
      </c>
      <c r="AK234" s="7" t="s">
        <v>115</v>
      </c>
      <c r="AL234" s="7" t="s">
        <v>116</v>
      </c>
      <c r="AM234" s="7" t="s">
        <v>166</v>
      </c>
      <c r="AN234" s="7" t="s">
        <v>1938</v>
      </c>
      <c r="AO234" s="7" t="s">
        <v>166</v>
      </c>
      <c r="AP234" s="7" t="s">
        <v>1939</v>
      </c>
      <c r="AQ234" s="7" t="s">
        <v>166</v>
      </c>
      <c r="AR234" s="7" t="s">
        <v>1940</v>
      </c>
      <c r="AS234" s="7" t="s">
        <v>166</v>
      </c>
      <c r="AT234" s="7" t="s">
        <v>1941</v>
      </c>
      <c r="AU234" s="7" t="s">
        <v>166</v>
      </c>
      <c r="AV234" s="7" t="s">
        <v>1942</v>
      </c>
      <c r="AW234" s="7" t="s">
        <v>166</v>
      </c>
      <c r="AX234" s="7" t="s">
        <v>1943</v>
      </c>
      <c r="AY234" s="7" t="s">
        <v>166</v>
      </c>
      <c r="AZ234" s="7" t="s">
        <v>1944</v>
      </c>
      <c r="BA234" s="7" t="s">
        <v>166</v>
      </c>
      <c r="BB234" s="7" t="s">
        <v>1945</v>
      </c>
      <c r="BC234" s="7" t="s">
        <v>707</v>
      </c>
      <c r="BD234" s="7" t="s">
        <v>1946</v>
      </c>
      <c r="BE234" s="7" t="s">
        <v>127</v>
      </c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</row>
    <row r="235" customFormat="false" ht="15" hidden="false" customHeight="false" outlineLevel="0" collapsed="false">
      <c r="A235" s="7" t="s">
        <v>1947</v>
      </c>
      <c r="B235" s="7" t="s">
        <v>1948</v>
      </c>
      <c r="C235" s="7" t="s">
        <v>1949</v>
      </c>
      <c r="D235" s="7" t="s">
        <v>1950</v>
      </c>
      <c r="E235" s="7" t="s">
        <v>101</v>
      </c>
      <c r="F235" s="7" t="s">
        <v>101</v>
      </c>
      <c r="G235" s="7"/>
      <c r="H235" s="7" t="s">
        <v>102</v>
      </c>
      <c r="I235" s="7" t="s">
        <v>208</v>
      </c>
      <c r="J235" s="7" t="s">
        <v>104</v>
      </c>
      <c r="K235" s="7" t="s">
        <v>105</v>
      </c>
      <c r="L235" s="7" t="s">
        <v>106</v>
      </c>
      <c r="M235" s="7" t="s">
        <v>419</v>
      </c>
      <c r="N235" s="7" t="s">
        <v>1951</v>
      </c>
      <c r="O235" s="7" t="s">
        <v>1951</v>
      </c>
      <c r="P235" s="7" t="s">
        <v>84</v>
      </c>
      <c r="Q235" s="7"/>
      <c r="R235" s="7" t="s">
        <v>109</v>
      </c>
      <c r="S235" s="7" t="s">
        <v>110</v>
      </c>
      <c r="T235" s="7" t="n">
        <v>0.762</v>
      </c>
      <c r="U235" s="7" t="n">
        <v>5</v>
      </c>
      <c r="V235" s="7" t="s">
        <v>111</v>
      </c>
      <c r="W235" s="7"/>
      <c r="X235" s="7" t="s">
        <v>1952</v>
      </c>
      <c r="Y235" s="7"/>
      <c r="Z235" s="7" t="s">
        <v>1953</v>
      </c>
      <c r="AA235" s="7"/>
      <c r="AB235" s="7"/>
      <c r="AC235" s="7" t="n">
        <v>2</v>
      </c>
      <c r="AD235" s="7" t="s">
        <v>1954</v>
      </c>
      <c r="AE235" s="7"/>
      <c r="AF235" s="7"/>
      <c r="AG235" s="7" t="s">
        <v>1955</v>
      </c>
      <c r="AH235" s="7" t="s">
        <v>1956</v>
      </c>
      <c r="AI235" s="7"/>
      <c r="AJ235" s="7"/>
      <c r="AK235" s="7"/>
      <c r="AL235" s="7"/>
      <c r="AM235" s="7" t="s">
        <v>1955</v>
      </c>
      <c r="AN235" s="7" t="s">
        <v>1957</v>
      </c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 t="s">
        <v>427</v>
      </c>
      <c r="BD235" s="7" t="s">
        <v>1861</v>
      </c>
      <c r="BE235" s="7" t="s">
        <v>127</v>
      </c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</row>
    <row r="236" customFormat="false" ht="15" hidden="false" customHeight="false" outlineLevel="0" collapsed="false">
      <c r="A236" s="7" t="s">
        <v>1958</v>
      </c>
      <c r="B236" s="7" t="s">
        <v>1959</v>
      </c>
      <c r="C236" s="7" t="s">
        <v>1960</v>
      </c>
      <c r="D236" s="7" t="s">
        <v>100</v>
      </c>
      <c r="E236" s="7" t="s">
        <v>101</v>
      </c>
      <c r="F236" s="7" t="s">
        <v>101</v>
      </c>
      <c r="G236" s="7"/>
      <c r="H236" s="7" t="s">
        <v>102</v>
      </c>
      <c r="I236" s="7" t="s">
        <v>132</v>
      </c>
      <c r="J236" s="7" t="s">
        <v>104</v>
      </c>
      <c r="K236" s="7" t="s">
        <v>105</v>
      </c>
      <c r="L236" s="7" t="s">
        <v>106</v>
      </c>
      <c r="M236" s="7" t="s">
        <v>419</v>
      </c>
      <c r="N236" s="7" t="s">
        <v>1264</v>
      </c>
      <c r="O236" s="7"/>
      <c r="P236" s="7" t="s">
        <v>135</v>
      </c>
      <c r="Q236" s="7"/>
      <c r="R236" s="7" t="s">
        <v>135</v>
      </c>
      <c r="S236" s="7" t="s">
        <v>136</v>
      </c>
      <c r="T236" s="7" t="n">
        <v>0.569</v>
      </c>
      <c r="U236" s="7" t="n">
        <v>4</v>
      </c>
      <c r="V236" s="7" t="s">
        <v>90</v>
      </c>
      <c r="W236" s="7"/>
      <c r="X236" s="7"/>
      <c r="Y236" s="7" t="s">
        <v>1961</v>
      </c>
      <c r="Z236" s="7"/>
      <c r="AA236" s="7"/>
      <c r="AB236" s="7"/>
      <c r="AC236" s="7" t="n">
        <v>0</v>
      </c>
      <c r="AD236" s="7" t="s">
        <v>388</v>
      </c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 t="s">
        <v>427</v>
      </c>
      <c r="BD236" s="7"/>
      <c r="BE236" s="7" t="s">
        <v>127</v>
      </c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</row>
    <row r="237" customFormat="false" ht="15" hidden="false" customHeight="false" outlineLevel="0" collapsed="false">
      <c r="A237" s="7" t="s">
        <v>1962</v>
      </c>
      <c r="B237" s="7" t="s">
        <v>1963</v>
      </c>
      <c r="C237" s="7" t="s">
        <v>1964</v>
      </c>
      <c r="D237" s="7" t="s">
        <v>1965</v>
      </c>
      <c r="E237" s="7" t="s">
        <v>1966</v>
      </c>
      <c r="F237" s="7" t="s">
        <v>1966</v>
      </c>
      <c r="G237" s="7"/>
      <c r="H237" s="7" t="s">
        <v>102</v>
      </c>
      <c r="I237" s="7" t="s">
        <v>374</v>
      </c>
      <c r="J237" s="7" t="s">
        <v>104</v>
      </c>
      <c r="K237" s="7" t="s">
        <v>105</v>
      </c>
      <c r="L237" s="7" t="s">
        <v>106</v>
      </c>
      <c r="M237" s="7" t="s">
        <v>419</v>
      </c>
      <c r="N237" s="7" t="s">
        <v>1967</v>
      </c>
      <c r="O237" s="7" t="s">
        <v>1967</v>
      </c>
      <c r="P237" s="7" t="s">
        <v>84</v>
      </c>
      <c r="Q237" s="7"/>
      <c r="R237" s="7" t="s">
        <v>109</v>
      </c>
      <c r="S237" s="7" t="s">
        <v>110</v>
      </c>
      <c r="T237" s="7" t="n">
        <v>0.774</v>
      </c>
      <c r="U237" s="7" t="n">
        <v>4</v>
      </c>
      <c r="V237" s="7" t="s">
        <v>479</v>
      </c>
      <c r="W237" s="7"/>
      <c r="X237" s="7" t="s">
        <v>841</v>
      </c>
      <c r="Y237" s="7" t="s">
        <v>1967</v>
      </c>
      <c r="Z237" s="7" t="s">
        <v>842</v>
      </c>
      <c r="AA237" s="7"/>
      <c r="AB237" s="7"/>
      <c r="AC237" s="7" t="n">
        <v>5</v>
      </c>
      <c r="AD237" s="7" t="s">
        <v>743</v>
      </c>
      <c r="AE237" s="7" t="s">
        <v>119</v>
      </c>
      <c r="AF237" s="7" t="s">
        <v>1968</v>
      </c>
      <c r="AG237" s="7" t="s">
        <v>119</v>
      </c>
      <c r="AH237" s="7" t="s">
        <v>841</v>
      </c>
      <c r="AI237" s="7"/>
      <c r="AJ237" s="7"/>
      <c r="AK237" s="7"/>
      <c r="AL237" s="7"/>
      <c r="AM237" s="7"/>
      <c r="AN237" s="7"/>
      <c r="AO237" s="7" t="s">
        <v>119</v>
      </c>
      <c r="AP237" s="7" t="s">
        <v>1965</v>
      </c>
      <c r="AQ237" s="7" t="s">
        <v>119</v>
      </c>
      <c r="AR237" s="7" t="s">
        <v>1966</v>
      </c>
      <c r="AS237" s="7"/>
      <c r="AT237" s="7"/>
      <c r="AU237" s="7"/>
      <c r="AV237" s="7"/>
      <c r="AW237" s="7" t="s">
        <v>119</v>
      </c>
      <c r="AX237" s="7" t="s">
        <v>1967</v>
      </c>
      <c r="AY237" s="7"/>
      <c r="AZ237" s="7"/>
      <c r="BA237" s="7"/>
      <c r="BB237" s="7"/>
      <c r="BC237" s="7" t="s">
        <v>427</v>
      </c>
      <c r="BD237" s="7"/>
      <c r="BE237" s="7" t="s">
        <v>127</v>
      </c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</row>
    <row r="238" customFormat="false" ht="15" hidden="false" customHeight="false" outlineLevel="0" collapsed="false">
      <c r="A238" s="7" t="s">
        <v>1969</v>
      </c>
      <c r="B238" s="7" t="s">
        <v>1970</v>
      </c>
      <c r="C238" s="7" t="s">
        <v>1971</v>
      </c>
      <c r="D238" s="7" t="s">
        <v>1877</v>
      </c>
      <c r="E238" s="7" t="s">
        <v>82</v>
      </c>
      <c r="F238" s="7" t="s">
        <v>82</v>
      </c>
      <c r="G238" s="7" t="s">
        <v>1878</v>
      </c>
      <c r="H238" s="7"/>
      <c r="I238" s="7" t="s">
        <v>158</v>
      </c>
      <c r="J238" s="7" t="s">
        <v>104</v>
      </c>
      <c r="K238" s="7" t="s">
        <v>105</v>
      </c>
      <c r="L238" s="7" t="s">
        <v>353</v>
      </c>
      <c r="M238" s="7"/>
      <c r="N238" s="7" t="s">
        <v>1972</v>
      </c>
      <c r="O238" s="7" t="s">
        <v>1972</v>
      </c>
      <c r="P238" s="7" t="s">
        <v>135</v>
      </c>
      <c r="Q238" s="7"/>
      <c r="R238" s="7" t="s">
        <v>109</v>
      </c>
      <c r="S238" s="7" t="s">
        <v>110</v>
      </c>
      <c r="T238" s="7" t="n">
        <v>0.667</v>
      </c>
      <c r="U238" s="7" t="n">
        <v>4</v>
      </c>
      <c r="V238" s="7" t="s">
        <v>1973</v>
      </c>
      <c r="W238" s="7" t="s">
        <v>1974</v>
      </c>
      <c r="X238" s="7" t="s">
        <v>1975</v>
      </c>
      <c r="Y238" s="7" t="s">
        <v>1972</v>
      </c>
      <c r="Z238" s="7"/>
      <c r="AA238" s="7"/>
      <c r="AB238" s="7"/>
      <c r="AC238" s="7" t="n">
        <v>9</v>
      </c>
      <c r="AD238" s="7" t="s">
        <v>1976</v>
      </c>
      <c r="AE238" s="7" t="s">
        <v>1882</v>
      </c>
      <c r="AF238" s="7" t="s">
        <v>1977</v>
      </c>
      <c r="AG238" s="7" t="s">
        <v>115</v>
      </c>
      <c r="AH238" s="7" t="s">
        <v>116</v>
      </c>
      <c r="AI238" s="7"/>
      <c r="AJ238" s="7"/>
      <c r="AK238" s="7"/>
      <c r="AL238" s="7"/>
      <c r="AM238" s="7" t="s">
        <v>1812</v>
      </c>
      <c r="AN238" s="7" t="s">
        <v>1957</v>
      </c>
      <c r="AO238" s="7" t="s">
        <v>1882</v>
      </c>
      <c r="AP238" s="7" t="s">
        <v>1883</v>
      </c>
      <c r="AQ238" s="7" t="s">
        <v>1882</v>
      </c>
      <c r="AR238" s="7" t="s">
        <v>1884</v>
      </c>
      <c r="AS238" s="7" t="s">
        <v>1812</v>
      </c>
      <c r="AT238" s="7" t="s">
        <v>216</v>
      </c>
      <c r="AU238" s="7" t="s">
        <v>1812</v>
      </c>
      <c r="AV238" s="7" t="s">
        <v>1978</v>
      </c>
      <c r="AW238" s="7" t="s">
        <v>1812</v>
      </c>
      <c r="AX238" s="7" t="s">
        <v>326</v>
      </c>
      <c r="AY238" s="7"/>
      <c r="AZ238" s="7"/>
      <c r="BA238" s="7" t="s">
        <v>1882</v>
      </c>
      <c r="BB238" s="7" t="s">
        <v>1979</v>
      </c>
      <c r="BC238" s="7" t="s">
        <v>707</v>
      </c>
      <c r="BD238" s="7" t="s">
        <v>220</v>
      </c>
      <c r="BE238" s="7" t="s">
        <v>127</v>
      </c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</row>
    <row r="239" customFormat="false" ht="15" hidden="false" customHeight="false" outlineLevel="0" collapsed="false">
      <c r="A239" s="7" t="s">
        <v>1980</v>
      </c>
      <c r="B239" s="7" t="s">
        <v>1981</v>
      </c>
      <c r="C239" s="7" t="s">
        <v>1982</v>
      </c>
      <c r="D239" s="7" t="s">
        <v>1983</v>
      </c>
      <c r="E239" s="7" t="s">
        <v>82</v>
      </c>
      <c r="F239" s="7" t="s">
        <v>82</v>
      </c>
      <c r="G239" s="7"/>
      <c r="H239" s="7" t="s">
        <v>207</v>
      </c>
      <c r="I239" s="7" t="s">
        <v>208</v>
      </c>
      <c r="J239" s="7" t="s">
        <v>104</v>
      </c>
      <c r="K239" s="7" t="s">
        <v>105</v>
      </c>
      <c r="L239" s="7" t="s">
        <v>106</v>
      </c>
      <c r="M239" s="7"/>
      <c r="N239" s="7" t="s">
        <v>1984</v>
      </c>
      <c r="O239" s="7" t="s">
        <v>1984</v>
      </c>
      <c r="P239" s="7" t="s">
        <v>84</v>
      </c>
      <c r="Q239" s="7"/>
      <c r="R239" s="7" t="s">
        <v>109</v>
      </c>
      <c r="S239" s="7" t="s">
        <v>110</v>
      </c>
      <c r="T239" s="7" t="n">
        <v>0.365</v>
      </c>
      <c r="U239" s="7" t="n">
        <v>4</v>
      </c>
      <c r="V239" s="7" t="s">
        <v>1985</v>
      </c>
      <c r="W239" s="7"/>
      <c r="X239" s="7"/>
      <c r="Y239" s="7"/>
      <c r="Z239" s="7"/>
      <c r="AA239" s="7"/>
      <c r="AB239" s="7"/>
      <c r="AC239" s="7" t="n">
        <v>0</v>
      </c>
      <c r="AD239" s="7" t="s">
        <v>388</v>
      </c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 t="s">
        <v>1986</v>
      </c>
      <c r="BE239" s="7" t="s">
        <v>127</v>
      </c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</row>
    <row r="240" customFormat="false" ht="15" hidden="false" customHeight="false" outlineLevel="0" collapsed="false">
      <c r="A240" s="7" t="s">
        <v>1987</v>
      </c>
      <c r="B240" s="7" t="s">
        <v>1988</v>
      </c>
      <c r="C240" s="7" t="s">
        <v>1989</v>
      </c>
      <c r="D240" s="7" t="s">
        <v>1927</v>
      </c>
      <c r="E240" s="7" t="s">
        <v>101</v>
      </c>
      <c r="F240" s="7" t="s">
        <v>82</v>
      </c>
      <c r="G240" s="7"/>
      <c r="H240" s="7" t="s">
        <v>102</v>
      </c>
      <c r="I240" s="7" t="s">
        <v>132</v>
      </c>
      <c r="J240" s="7" t="s">
        <v>104</v>
      </c>
      <c r="K240" s="7" t="s">
        <v>105</v>
      </c>
      <c r="L240" s="7" t="s">
        <v>106</v>
      </c>
      <c r="M240" s="7"/>
      <c r="N240" s="7" t="s">
        <v>1990</v>
      </c>
      <c r="O240" s="7"/>
      <c r="P240" s="7" t="s">
        <v>84</v>
      </c>
      <c r="Q240" s="7"/>
      <c r="R240" s="7"/>
      <c r="S240" s="7"/>
      <c r="T240" s="7" t="n">
        <v>0.734</v>
      </c>
      <c r="U240" s="7" t="n">
        <v>4</v>
      </c>
      <c r="V240" s="7" t="s">
        <v>161</v>
      </c>
      <c r="W240" s="7"/>
      <c r="X240" s="7"/>
      <c r="Y240" s="7" t="s">
        <v>1990</v>
      </c>
      <c r="Z240" s="7"/>
      <c r="AA240" s="7"/>
      <c r="AB240" s="7"/>
      <c r="AC240" s="7"/>
      <c r="AD240" s="7"/>
      <c r="AE240" s="7" t="s">
        <v>248</v>
      </c>
      <c r="AF240" s="7" t="s">
        <v>1991</v>
      </c>
      <c r="AG240" s="7"/>
      <c r="AH240" s="7"/>
      <c r="AI240" s="7"/>
      <c r="AJ240" s="7"/>
      <c r="AK240" s="7"/>
      <c r="AL240" s="7"/>
      <c r="AM240" s="7"/>
      <c r="AN240" s="7"/>
      <c r="AO240" s="7" t="s">
        <v>779</v>
      </c>
      <c r="AP240" s="7" t="s">
        <v>1927</v>
      </c>
      <c r="AQ240" s="7" t="s">
        <v>779</v>
      </c>
      <c r="AR240" s="7" t="s">
        <v>82</v>
      </c>
      <c r="AS240" s="7" t="s">
        <v>779</v>
      </c>
      <c r="AT240" s="7" t="s">
        <v>122</v>
      </c>
      <c r="AU240" s="7"/>
      <c r="AV240" s="7"/>
      <c r="AW240" s="7" t="s">
        <v>779</v>
      </c>
      <c r="AX240" s="7" t="s">
        <v>326</v>
      </c>
      <c r="AY240" s="7" t="s">
        <v>779</v>
      </c>
      <c r="AZ240" s="7" t="s">
        <v>295</v>
      </c>
      <c r="BA240" s="7"/>
      <c r="BB240" s="7"/>
      <c r="BC240" s="7"/>
      <c r="BD240" s="7" t="s">
        <v>1466</v>
      </c>
      <c r="BE240" s="7" t="s">
        <v>127</v>
      </c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</row>
    <row r="241" customFormat="false" ht="15" hidden="false" customHeight="false" outlineLevel="0" collapsed="false">
      <c r="A241" s="7" t="s">
        <v>1992</v>
      </c>
      <c r="B241" s="7" t="s">
        <v>1993</v>
      </c>
      <c r="C241" s="7" t="s">
        <v>1994</v>
      </c>
      <c r="D241" s="7" t="s">
        <v>1921</v>
      </c>
      <c r="E241" s="7" t="s">
        <v>82</v>
      </c>
      <c r="F241" s="7" t="s">
        <v>82</v>
      </c>
      <c r="G241" s="7"/>
      <c r="H241" s="7" t="s">
        <v>207</v>
      </c>
      <c r="I241" s="7" t="s">
        <v>158</v>
      </c>
      <c r="J241" s="7" t="s">
        <v>104</v>
      </c>
      <c r="K241" s="7" t="s">
        <v>105</v>
      </c>
      <c r="L241" s="7" t="s">
        <v>353</v>
      </c>
      <c r="M241" s="7"/>
      <c r="N241" s="7" t="s">
        <v>1995</v>
      </c>
      <c r="O241" s="7" t="s">
        <v>1995</v>
      </c>
      <c r="P241" s="7" t="s">
        <v>84</v>
      </c>
      <c r="Q241" s="7"/>
      <c r="R241" s="7" t="s">
        <v>109</v>
      </c>
      <c r="S241" s="7" t="s">
        <v>110</v>
      </c>
      <c r="T241" s="7" t="n">
        <v>0.536</v>
      </c>
      <c r="U241" s="7" t="n">
        <v>4</v>
      </c>
      <c r="V241" s="7" t="s">
        <v>1465</v>
      </c>
      <c r="W241" s="7"/>
      <c r="X241" s="7"/>
      <c r="Y241" s="7" t="s">
        <v>1995</v>
      </c>
      <c r="Z241" s="7"/>
      <c r="AA241" s="7"/>
      <c r="AB241" s="7"/>
      <c r="AC241" s="7" t="n">
        <v>0</v>
      </c>
      <c r="AD241" s="7" t="s">
        <v>388</v>
      </c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 t="s">
        <v>1923</v>
      </c>
      <c r="BE241" s="7" t="s">
        <v>127</v>
      </c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</row>
    <row r="242" customFormat="false" ht="15" hidden="false" customHeight="false" outlineLevel="0" collapsed="false">
      <c r="A242" s="7" t="s">
        <v>1996</v>
      </c>
      <c r="B242" s="7" t="s">
        <v>1997</v>
      </c>
      <c r="C242" s="7" t="s">
        <v>1998</v>
      </c>
      <c r="D242" s="7" t="s">
        <v>1900</v>
      </c>
      <c r="E242" s="7" t="s">
        <v>101</v>
      </c>
      <c r="F242" s="7" t="s">
        <v>101</v>
      </c>
      <c r="G242" s="7"/>
      <c r="H242" s="7" t="s">
        <v>102</v>
      </c>
      <c r="I242" s="7" t="s">
        <v>1726</v>
      </c>
      <c r="J242" s="7" t="s">
        <v>104</v>
      </c>
      <c r="K242" s="7" t="s">
        <v>105</v>
      </c>
      <c r="L242" s="7" t="s">
        <v>106</v>
      </c>
      <c r="M242" s="7" t="s">
        <v>1999</v>
      </c>
      <c r="N242" s="7" t="s">
        <v>199</v>
      </c>
      <c r="O242" s="7"/>
      <c r="P242" s="7" t="s">
        <v>84</v>
      </c>
      <c r="Q242" s="7"/>
      <c r="R242" s="7" t="s">
        <v>135</v>
      </c>
      <c r="S242" s="7" t="s">
        <v>136</v>
      </c>
      <c r="T242" s="7" t="n">
        <v>0.613</v>
      </c>
      <c r="U242" s="7" t="n">
        <v>4</v>
      </c>
      <c r="V242" s="7" t="s">
        <v>111</v>
      </c>
      <c r="W242" s="7"/>
      <c r="X242" s="7"/>
      <c r="Y242" s="7" t="s">
        <v>199</v>
      </c>
      <c r="Z242" s="7"/>
      <c r="AA242" s="7"/>
      <c r="AB242" s="7"/>
      <c r="AC242" s="7" t="n">
        <v>5</v>
      </c>
      <c r="AD242" s="7" t="s">
        <v>1897</v>
      </c>
      <c r="AE242" s="7" t="s">
        <v>744</v>
      </c>
      <c r="AF242" s="7" t="s">
        <v>190</v>
      </c>
      <c r="AG242" s="7" t="s">
        <v>744</v>
      </c>
      <c r="AH242" s="7" t="s">
        <v>191</v>
      </c>
      <c r="AI242" s="7"/>
      <c r="AJ242" s="7"/>
      <c r="AK242" s="7"/>
      <c r="AL242" s="7"/>
      <c r="AM242" s="7" t="s">
        <v>744</v>
      </c>
      <c r="AN242" s="7" t="s">
        <v>194</v>
      </c>
      <c r="AO242" s="7" t="s">
        <v>744</v>
      </c>
      <c r="AP242" s="7" t="s">
        <v>195</v>
      </c>
      <c r="AQ242" s="7"/>
      <c r="AR242" s="7"/>
      <c r="AS242" s="7"/>
      <c r="AT242" s="7"/>
      <c r="AU242" s="7"/>
      <c r="AV242" s="7"/>
      <c r="AW242" s="7" t="s">
        <v>744</v>
      </c>
      <c r="AX242" s="7" t="s">
        <v>199</v>
      </c>
      <c r="AY242" s="7"/>
      <c r="AZ242" s="7"/>
      <c r="BA242" s="7"/>
      <c r="BB242" s="7"/>
      <c r="BC242" s="7" t="s">
        <v>125</v>
      </c>
      <c r="BD242" s="7" t="s">
        <v>2000</v>
      </c>
      <c r="BE242" s="7" t="s">
        <v>127</v>
      </c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</row>
    <row r="243" customFormat="false" ht="15" hidden="false" customHeight="false" outlineLevel="0" collapsed="false">
      <c r="A243" s="7" t="s">
        <v>2001</v>
      </c>
      <c r="B243" s="7" t="s">
        <v>2002</v>
      </c>
      <c r="C243" s="7" t="s">
        <v>1462</v>
      </c>
      <c r="D243" s="7" t="s">
        <v>2003</v>
      </c>
      <c r="E243" s="7" t="s">
        <v>101</v>
      </c>
      <c r="F243" s="7" t="s">
        <v>82</v>
      </c>
      <c r="G243" s="7"/>
      <c r="H243" s="7" t="s">
        <v>102</v>
      </c>
      <c r="I243" s="7" t="s">
        <v>132</v>
      </c>
      <c r="J243" s="7" t="s">
        <v>104</v>
      </c>
      <c r="K243" s="7" t="s">
        <v>105</v>
      </c>
      <c r="L243" s="7" t="s">
        <v>106</v>
      </c>
      <c r="M243" s="7"/>
      <c r="N243" s="7" t="s">
        <v>2004</v>
      </c>
      <c r="O243" s="7"/>
      <c r="P243" s="7" t="s">
        <v>84</v>
      </c>
      <c r="Q243" s="7"/>
      <c r="R243" s="7"/>
      <c r="S243" s="7"/>
      <c r="T243" s="7" t="n">
        <v>0.404</v>
      </c>
      <c r="U243" s="7" t="n">
        <v>4</v>
      </c>
      <c r="V243" s="7" t="s">
        <v>1465</v>
      </c>
      <c r="W243" s="7"/>
      <c r="X243" s="7"/>
      <c r="Y243" s="7" t="s">
        <v>2004</v>
      </c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 t="s">
        <v>248</v>
      </c>
      <c r="AP243" s="7" t="s">
        <v>1484</v>
      </c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 t="s">
        <v>1466</v>
      </c>
      <c r="BE243" s="7" t="s">
        <v>127</v>
      </c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</row>
    <row r="244" customFormat="false" ht="15" hidden="false" customHeight="false" outlineLevel="0" collapsed="false">
      <c r="A244" s="7" t="s">
        <v>2005</v>
      </c>
      <c r="B244" s="7" t="s">
        <v>2006</v>
      </c>
      <c r="C244" s="7" t="s">
        <v>2007</v>
      </c>
      <c r="D244" s="7" t="s">
        <v>2008</v>
      </c>
      <c r="E244" s="7" t="s">
        <v>101</v>
      </c>
      <c r="F244" s="7" t="s">
        <v>156</v>
      </c>
      <c r="G244" s="7"/>
      <c r="H244" s="7" t="s">
        <v>157</v>
      </c>
      <c r="I244" s="7" t="s">
        <v>132</v>
      </c>
      <c r="J244" s="7" t="s">
        <v>159</v>
      </c>
      <c r="K244" s="7" t="s">
        <v>105</v>
      </c>
      <c r="L244" s="7" t="s">
        <v>106</v>
      </c>
      <c r="M244" s="7" t="s">
        <v>2009</v>
      </c>
      <c r="N244" s="7" t="s">
        <v>2010</v>
      </c>
      <c r="O244" s="7"/>
      <c r="P244" s="7" t="s">
        <v>84</v>
      </c>
      <c r="Q244" s="7"/>
      <c r="R244" s="7" t="s">
        <v>135</v>
      </c>
      <c r="S244" s="7" t="s">
        <v>136</v>
      </c>
      <c r="T244" s="7" t="n">
        <v>0.661</v>
      </c>
      <c r="U244" s="7" t="n">
        <v>4</v>
      </c>
      <c r="V244" s="7" t="s">
        <v>1465</v>
      </c>
      <c r="W244" s="7" t="s">
        <v>2011</v>
      </c>
      <c r="X244" s="7" t="s">
        <v>924</v>
      </c>
      <c r="Y244" s="7" t="s">
        <v>2010</v>
      </c>
      <c r="Z244" s="7" t="s">
        <v>2012</v>
      </c>
      <c r="AA244" s="7"/>
      <c r="AB244" s="7"/>
      <c r="AC244" s="7" t="n">
        <v>12</v>
      </c>
      <c r="AD244" s="7"/>
      <c r="AE244" s="7" t="s">
        <v>166</v>
      </c>
      <c r="AF244" s="7" t="s">
        <v>2013</v>
      </c>
      <c r="AG244" s="7" t="s">
        <v>166</v>
      </c>
      <c r="AH244" s="7" t="s">
        <v>2014</v>
      </c>
      <c r="AI244" s="7" t="s">
        <v>166</v>
      </c>
      <c r="AJ244" s="7" t="s">
        <v>2015</v>
      </c>
      <c r="AK244" s="7" t="s">
        <v>115</v>
      </c>
      <c r="AL244" s="7" t="s">
        <v>116</v>
      </c>
      <c r="AM244" s="7" t="s">
        <v>166</v>
      </c>
      <c r="AN244" s="7" t="s">
        <v>2016</v>
      </c>
      <c r="AO244" s="7" t="s">
        <v>166</v>
      </c>
      <c r="AP244" s="7" t="s">
        <v>2017</v>
      </c>
      <c r="AQ244" s="7" t="s">
        <v>166</v>
      </c>
      <c r="AR244" s="7" t="s">
        <v>2018</v>
      </c>
      <c r="AS244" s="7" t="s">
        <v>166</v>
      </c>
      <c r="AT244" s="7" t="s">
        <v>2019</v>
      </c>
      <c r="AU244" s="7" t="s">
        <v>166</v>
      </c>
      <c r="AV244" s="7" t="s">
        <v>2020</v>
      </c>
      <c r="AW244" s="7" t="s">
        <v>166</v>
      </c>
      <c r="AX244" s="7" t="s">
        <v>2021</v>
      </c>
      <c r="AY244" s="7" t="s">
        <v>166</v>
      </c>
      <c r="AZ244" s="7" t="s">
        <v>2022</v>
      </c>
      <c r="BA244" s="7" t="s">
        <v>166</v>
      </c>
      <c r="BB244" s="7" t="s">
        <v>2023</v>
      </c>
      <c r="BC244" s="7" t="s">
        <v>178</v>
      </c>
      <c r="BD244" s="7" t="s">
        <v>2024</v>
      </c>
      <c r="BE244" s="7" t="s">
        <v>127</v>
      </c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</row>
    <row r="245" customFormat="false" ht="15" hidden="false" customHeight="false" outlineLevel="0" collapsed="false">
      <c r="A245" s="7" t="s">
        <v>2025</v>
      </c>
      <c r="B245" s="7" t="s">
        <v>2026</v>
      </c>
      <c r="C245" s="7" t="s">
        <v>2027</v>
      </c>
      <c r="D245" s="7" t="s">
        <v>2028</v>
      </c>
      <c r="E245" s="7" t="s">
        <v>82</v>
      </c>
      <c r="F245" s="7" t="s">
        <v>82</v>
      </c>
      <c r="G245" s="7"/>
      <c r="H245" s="7"/>
      <c r="I245" s="7" t="s">
        <v>158</v>
      </c>
      <c r="J245" s="7" t="s">
        <v>104</v>
      </c>
      <c r="K245" s="7" t="s">
        <v>105</v>
      </c>
      <c r="L245" s="7" t="s">
        <v>106</v>
      </c>
      <c r="M245" s="7"/>
      <c r="N245" s="7" t="s">
        <v>2029</v>
      </c>
      <c r="O245" s="7" t="s">
        <v>2030</v>
      </c>
      <c r="P245" s="7" t="s">
        <v>84</v>
      </c>
      <c r="Q245" s="7"/>
      <c r="R245" s="7" t="s">
        <v>109</v>
      </c>
      <c r="S245" s="7" t="s">
        <v>110</v>
      </c>
      <c r="T245" s="7" t="n">
        <v>0.434</v>
      </c>
      <c r="U245" s="7" t="n">
        <v>4</v>
      </c>
      <c r="V245" s="7" t="s">
        <v>1985</v>
      </c>
      <c r="W245" s="7"/>
      <c r="X245" s="7"/>
      <c r="Y245" s="7" t="s">
        <v>2029</v>
      </c>
      <c r="Z245" s="7"/>
      <c r="AA245" s="7"/>
      <c r="AB245" s="7"/>
      <c r="AC245" s="7" t="n">
        <v>7</v>
      </c>
      <c r="AD245" s="7" t="s">
        <v>1538</v>
      </c>
      <c r="AE245" s="7" t="s">
        <v>248</v>
      </c>
      <c r="AF245" s="7" t="s">
        <v>2031</v>
      </c>
      <c r="AG245" s="7"/>
      <c r="AH245" s="7"/>
      <c r="AI245" s="7"/>
      <c r="AJ245" s="7"/>
      <c r="AK245" s="7"/>
      <c r="AL245" s="7"/>
      <c r="AM245" s="7"/>
      <c r="AN245" s="7"/>
      <c r="AO245" s="7" t="s">
        <v>248</v>
      </c>
      <c r="AP245" s="7" t="s">
        <v>900</v>
      </c>
      <c r="AQ245" s="7" t="s">
        <v>2032</v>
      </c>
      <c r="AR245" s="7" t="s">
        <v>82</v>
      </c>
      <c r="AS245" s="7" t="s">
        <v>248</v>
      </c>
      <c r="AT245" s="7" t="s">
        <v>122</v>
      </c>
      <c r="AU245" s="7" t="s">
        <v>248</v>
      </c>
      <c r="AV245" s="7" t="s">
        <v>314</v>
      </c>
      <c r="AW245" s="7" t="s">
        <v>248</v>
      </c>
      <c r="AX245" s="7" t="s">
        <v>273</v>
      </c>
      <c r="AY245" s="7" t="s">
        <v>248</v>
      </c>
      <c r="AZ245" s="7" t="s">
        <v>274</v>
      </c>
      <c r="BA245" s="7"/>
      <c r="BB245" s="7"/>
      <c r="BC245" s="7"/>
      <c r="BD245" s="7" t="s">
        <v>2033</v>
      </c>
      <c r="BE245" s="7" t="s">
        <v>127</v>
      </c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</row>
    <row r="246" customFormat="false" ht="15" hidden="false" customHeight="false" outlineLevel="0" collapsed="false">
      <c r="A246" s="7" t="s">
        <v>2034</v>
      </c>
      <c r="B246" s="7" t="s">
        <v>2035</v>
      </c>
      <c r="C246" s="7" t="s">
        <v>2036</v>
      </c>
      <c r="D246" s="7" t="s">
        <v>2037</v>
      </c>
      <c r="E246" s="7" t="s">
        <v>101</v>
      </c>
      <c r="F246" s="7" t="s">
        <v>101</v>
      </c>
      <c r="G246" s="7"/>
      <c r="H246" s="7" t="s">
        <v>102</v>
      </c>
      <c r="I246" s="7" t="s">
        <v>158</v>
      </c>
      <c r="J246" s="7" t="s">
        <v>104</v>
      </c>
      <c r="K246" s="7" t="s">
        <v>105</v>
      </c>
      <c r="L246" s="7" t="s">
        <v>106</v>
      </c>
      <c r="M246" s="7" t="s">
        <v>2038</v>
      </c>
      <c r="N246" s="7" t="s">
        <v>2039</v>
      </c>
      <c r="O246" s="7" t="s">
        <v>2039</v>
      </c>
      <c r="P246" s="7" t="s">
        <v>84</v>
      </c>
      <c r="Q246" s="7"/>
      <c r="R246" s="7" t="s">
        <v>84</v>
      </c>
      <c r="S246" s="7" t="s">
        <v>238</v>
      </c>
      <c r="T246" s="7" t="n">
        <v>0.66</v>
      </c>
      <c r="U246" s="7" t="n">
        <v>4</v>
      </c>
      <c r="V246" s="7" t="s">
        <v>2040</v>
      </c>
      <c r="W246" s="7" t="s">
        <v>2041</v>
      </c>
      <c r="X246" s="7" t="s">
        <v>139</v>
      </c>
      <c r="Y246" s="7" t="s">
        <v>2039</v>
      </c>
      <c r="Z246" s="7" t="s">
        <v>2042</v>
      </c>
      <c r="AA246" s="7"/>
      <c r="AB246" s="7"/>
      <c r="AC246" s="7" t="n">
        <v>12</v>
      </c>
      <c r="AD246" s="7"/>
      <c r="AE246" s="7" t="s">
        <v>189</v>
      </c>
      <c r="AF246" s="7" t="s">
        <v>2043</v>
      </c>
      <c r="AG246" s="7" t="s">
        <v>115</v>
      </c>
      <c r="AH246" s="7" t="s">
        <v>116</v>
      </c>
      <c r="AI246" s="7" t="s">
        <v>2044</v>
      </c>
      <c r="AJ246" s="7" t="s">
        <v>145</v>
      </c>
      <c r="AK246" s="7" t="s">
        <v>2044</v>
      </c>
      <c r="AL246" s="7" t="s">
        <v>145</v>
      </c>
      <c r="AM246" s="7" t="s">
        <v>2044</v>
      </c>
      <c r="AN246" s="7" t="s">
        <v>145</v>
      </c>
      <c r="AO246" s="7" t="s">
        <v>189</v>
      </c>
      <c r="AP246" s="7" t="s">
        <v>2037</v>
      </c>
      <c r="AQ246" s="7" t="s">
        <v>189</v>
      </c>
      <c r="AR246" s="7" t="s">
        <v>2045</v>
      </c>
      <c r="AS246" s="7" t="s">
        <v>2046</v>
      </c>
      <c r="AT246" s="7" t="s">
        <v>2047</v>
      </c>
      <c r="AU246" s="7" t="s">
        <v>2044</v>
      </c>
      <c r="AV246" s="7" t="s">
        <v>145</v>
      </c>
      <c r="AW246" s="7" t="s">
        <v>189</v>
      </c>
      <c r="AX246" s="7" t="s">
        <v>2039</v>
      </c>
      <c r="AY246" s="7" t="s">
        <v>2044</v>
      </c>
      <c r="AZ246" s="7" t="s">
        <v>2048</v>
      </c>
      <c r="BA246" s="7" t="s">
        <v>2044</v>
      </c>
      <c r="BB246" s="7" t="s">
        <v>2049</v>
      </c>
      <c r="BC246" s="7" t="s">
        <v>151</v>
      </c>
      <c r="BD246" s="7" t="s">
        <v>563</v>
      </c>
      <c r="BE246" s="7" t="s">
        <v>127</v>
      </c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</row>
    <row r="247" customFormat="false" ht="15" hidden="false" customHeight="false" outlineLevel="0" collapsed="false">
      <c r="A247" s="7" t="s">
        <v>2050</v>
      </c>
      <c r="B247" s="7" t="s">
        <v>2051</v>
      </c>
      <c r="C247" s="7" t="s">
        <v>2052</v>
      </c>
      <c r="D247" s="7" t="s">
        <v>2037</v>
      </c>
      <c r="E247" s="7" t="s">
        <v>101</v>
      </c>
      <c r="F247" s="7" t="s">
        <v>101</v>
      </c>
      <c r="G247" s="7"/>
      <c r="H247" s="7" t="s">
        <v>102</v>
      </c>
      <c r="I247" s="7" t="s">
        <v>158</v>
      </c>
      <c r="J247" s="7" t="s">
        <v>104</v>
      </c>
      <c r="K247" s="7" t="s">
        <v>105</v>
      </c>
      <c r="L247" s="7" t="s">
        <v>106</v>
      </c>
      <c r="M247" s="7" t="s">
        <v>2053</v>
      </c>
      <c r="N247" s="7" t="s">
        <v>2054</v>
      </c>
      <c r="O247" s="7" t="s">
        <v>2054</v>
      </c>
      <c r="P247" s="7" t="s">
        <v>84</v>
      </c>
      <c r="Q247" s="7"/>
      <c r="R247" s="7" t="s">
        <v>109</v>
      </c>
      <c r="S247" s="7" t="s">
        <v>110</v>
      </c>
      <c r="T247" s="7" t="n">
        <v>0.599</v>
      </c>
      <c r="U247" s="7" t="n">
        <v>4</v>
      </c>
      <c r="V247" s="7" t="s">
        <v>1728</v>
      </c>
      <c r="W247" s="7"/>
      <c r="X247" s="7"/>
      <c r="Y247" s="7" t="s">
        <v>2054</v>
      </c>
      <c r="Z247" s="7"/>
      <c r="AA247" s="7"/>
      <c r="AB247" s="7"/>
      <c r="AC247" s="7" t="n">
        <v>3</v>
      </c>
      <c r="AD247" s="7" t="s">
        <v>1492</v>
      </c>
      <c r="AE247" s="7" t="s">
        <v>189</v>
      </c>
      <c r="AF247" s="7" t="s">
        <v>2052</v>
      </c>
      <c r="AG247" s="7"/>
      <c r="AH247" s="7"/>
      <c r="AI247" s="7"/>
      <c r="AJ247" s="7"/>
      <c r="AK247" s="7"/>
      <c r="AL247" s="7"/>
      <c r="AM247" s="7"/>
      <c r="AN247" s="7"/>
      <c r="AO247" s="7" t="s">
        <v>744</v>
      </c>
      <c r="AP247" s="7" t="s">
        <v>2055</v>
      </c>
      <c r="AQ247" s="7"/>
      <c r="AR247" s="7"/>
      <c r="AS247" s="7"/>
      <c r="AT247" s="7"/>
      <c r="AU247" s="7"/>
      <c r="AV247" s="7"/>
      <c r="AW247" s="7" t="s">
        <v>189</v>
      </c>
      <c r="AX247" s="7" t="s">
        <v>2054</v>
      </c>
      <c r="AY247" s="7"/>
      <c r="AZ247" s="7"/>
      <c r="BA247" s="7"/>
      <c r="BB247" s="7"/>
      <c r="BC247" s="7" t="s">
        <v>125</v>
      </c>
      <c r="BD247" s="7" t="s">
        <v>563</v>
      </c>
      <c r="BE247" s="7" t="s">
        <v>127</v>
      </c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</row>
    <row r="248" customFormat="false" ht="15" hidden="false" customHeight="false" outlineLevel="0" collapsed="false">
      <c r="A248" s="7" t="s">
        <v>2056</v>
      </c>
      <c r="B248" s="7" t="s">
        <v>2057</v>
      </c>
      <c r="C248" s="7" t="s">
        <v>2058</v>
      </c>
      <c r="D248" s="7"/>
      <c r="E248" s="7"/>
      <c r="F248" s="7" t="s">
        <v>156</v>
      </c>
      <c r="G248" s="7"/>
      <c r="H248" s="7" t="s">
        <v>157</v>
      </c>
      <c r="I248" s="7" t="s">
        <v>234</v>
      </c>
      <c r="J248" s="7" t="s">
        <v>159</v>
      </c>
      <c r="K248" s="7" t="s">
        <v>105</v>
      </c>
      <c r="L248" s="7" t="s">
        <v>235</v>
      </c>
      <c r="M248" s="7"/>
      <c r="N248" s="7" t="s">
        <v>2059</v>
      </c>
      <c r="O248" s="7"/>
      <c r="P248" s="7" t="s">
        <v>84</v>
      </c>
      <c r="Q248" s="7"/>
      <c r="R248" s="7" t="s">
        <v>135</v>
      </c>
      <c r="S248" s="7" t="s">
        <v>136</v>
      </c>
      <c r="T248" s="7" t="n">
        <v>0.898</v>
      </c>
      <c r="U248" s="7" t="n">
        <v>4</v>
      </c>
      <c r="V248" s="7" t="s">
        <v>1985</v>
      </c>
      <c r="W248" s="7" t="s">
        <v>332</v>
      </c>
      <c r="X248" s="7" t="s">
        <v>2060</v>
      </c>
      <c r="Y248" s="7" t="s">
        <v>2059</v>
      </c>
      <c r="Z248" s="7"/>
      <c r="AA248" s="7"/>
      <c r="AB248" s="7"/>
      <c r="AC248" s="7" t="n">
        <v>12</v>
      </c>
      <c r="AD248" s="7"/>
      <c r="AE248" s="7" t="s">
        <v>166</v>
      </c>
      <c r="AF248" s="7" t="s">
        <v>2061</v>
      </c>
      <c r="AG248" s="7" t="s">
        <v>166</v>
      </c>
      <c r="AH248" s="7" t="s">
        <v>2062</v>
      </c>
      <c r="AI248" s="7" t="s">
        <v>166</v>
      </c>
      <c r="AJ248" s="7" t="s">
        <v>2063</v>
      </c>
      <c r="AK248" s="7" t="s">
        <v>115</v>
      </c>
      <c r="AL248" s="7"/>
      <c r="AM248" s="7" t="s">
        <v>166</v>
      </c>
      <c r="AN248" s="7" t="s">
        <v>2064</v>
      </c>
      <c r="AO248" s="7" t="s">
        <v>166</v>
      </c>
      <c r="AP248" s="7" t="s">
        <v>2065</v>
      </c>
      <c r="AQ248" s="7" t="s">
        <v>166</v>
      </c>
      <c r="AR248" s="7" t="s">
        <v>2066</v>
      </c>
      <c r="AS248" s="7" t="s">
        <v>166</v>
      </c>
      <c r="AT248" s="7" t="s">
        <v>2067</v>
      </c>
      <c r="AU248" s="7" t="s">
        <v>166</v>
      </c>
      <c r="AV248" s="7" t="s">
        <v>2068</v>
      </c>
      <c r="AW248" s="7" t="s">
        <v>166</v>
      </c>
      <c r="AX248" s="7" t="s">
        <v>2069</v>
      </c>
      <c r="AY248" s="7" t="s">
        <v>166</v>
      </c>
      <c r="AZ248" s="7" t="s">
        <v>2070</v>
      </c>
      <c r="BA248" s="7" t="s">
        <v>166</v>
      </c>
      <c r="BB248" s="7" t="s">
        <v>2071</v>
      </c>
      <c r="BC248" s="7" t="s">
        <v>707</v>
      </c>
      <c r="BD248" s="7" t="s">
        <v>2072</v>
      </c>
      <c r="BE248" s="7" t="s">
        <v>127</v>
      </c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</row>
    <row r="249" customFormat="false" ht="15" hidden="false" customHeight="false" outlineLevel="0" collapsed="false">
      <c r="A249" s="7" t="s">
        <v>2073</v>
      </c>
      <c r="B249" s="7" t="s">
        <v>2074</v>
      </c>
      <c r="C249" s="7" t="s">
        <v>2075</v>
      </c>
      <c r="D249" s="7" t="s">
        <v>2076</v>
      </c>
      <c r="E249" s="7" t="s">
        <v>101</v>
      </c>
      <c r="F249" s="7" t="s">
        <v>82</v>
      </c>
      <c r="G249" s="7"/>
      <c r="H249" s="7" t="s">
        <v>102</v>
      </c>
      <c r="I249" s="7" t="s">
        <v>132</v>
      </c>
      <c r="J249" s="7" t="s">
        <v>104</v>
      </c>
      <c r="K249" s="7" t="s">
        <v>105</v>
      </c>
      <c r="L249" s="7" t="s">
        <v>106</v>
      </c>
      <c r="M249" s="7" t="s">
        <v>2077</v>
      </c>
      <c r="N249" s="7" t="s">
        <v>2078</v>
      </c>
      <c r="O249" s="7" t="s">
        <v>2078</v>
      </c>
      <c r="P249" s="7" t="s">
        <v>84</v>
      </c>
      <c r="Q249" s="7"/>
      <c r="R249" s="7" t="s">
        <v>109</v>
      </c>
      <c r="S249" s="7" t="s">
        <v>110</v>
      </c>
      <c r="T249" s="7" t="n">
        <v>0.65</v>
      </c>
      <c r="U249" s="7" t="n">
        <v>4</v>
      </c>
      <c r="V249" s="7" t="s">
        <v>161</v>
      </c>
      <c r="W249" s="7" t="s">
        <v>1974</v>
      </c>
      <c r="X249" s="7"/>
      <c r="Y249" s="7" t="s">
        <v>2079</v>
      </c>
      <c r="Z249" s="7"/>
      <c r="AA249" s="7"/>
      <c r="AB249" s="7"/>
      <c r="AC249" s="7" t="n">
        <v>7</v>
      </c>
      <c r="AD249" s="7" t="s">
        <v>1538</v>
      </c>
      <c r="AE249" s="7" t="s">
        <v>119</v>
      </c>
      <c r="AF249" s="7" t="s">
        <v>2080</v>
      </c>
      <c r="AG249" s="7"/>
      <c r="AH249" s="7"/>
      <c r="AI249" s="7"/>
      <c r="AJ249" s="7"/>
      <c r="AK249" s="7"/>
      <c r="AL249" s="7"/>
      <c r="AM249" s="7"/>
      <c r="AN249" s="7"/>
      <c r="AO249" s="7" t="s">
        <v>119</v>
      </c>
      <c r="AP249" s="7" t="s">
        <v>2076</v>
      </c>
      <c r="AQ249" s="7" t="s">
        <v>265</v>
      </c>
      <c r="AR249" s="7" t="s">
        <v>82</v>
      </c>
      <c r="AS249" s="7" t="s">
        <v>265</v>
      </c>
      <c r="AT249" s="7" t="s">
        <v>122</v>
      </c>
      <c r="AU249" s="7" t="s">
        <v>265</v>
      </c>
      <c r="AV249" s="7" t="s">
        <v>2081</v>
      </c>
      <c r="AW249" s="7" t="s">
        <v>119</v>
      </c>
      <c r="AX249" s="7" t="s">
        <v>2078</v>
      </c>
      <c r="AY249" s="7" t="s">
        <v>265</v>
      </c>
      <c r="AZ249" s="7" t="s">
        <v>124</v>
      </c>
      <c r="BA249" s="7"/>
      <c r="BB249" s="7"/>
      <c r="BC249" s="7" t="s">
        <v>125</v>
      </c>
      <c r="BD249" s="7" t="s">
        <v>220</v>
      </c>
      <c r="BE249" s="7" t="s">
        <v>127</v>
      </c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</row>
    <row r="250" customFormat="false" ht="15" hidden="false" customHeight="false" outlineLevel="0" collapsed="false">
      <c r="A250" s="7" t="s">
        <v>2082</v>
      </c>
      <c r="B250" s="7" t="s">
        <v>2083</v>
      </c>
      <c r="C250" s="7" t="s">
        <v>2084</v>
      </c>
      <c r="D250" s="7" t="s">
        <v>2028</v>
      </c>
      <c r="E250" s="7" t="s">
        <v>82</v>
      </c>
      <c r="F250" s="7" t="s">
        <v>82</v>
      </c>
      <c r="G250" s="7"/>
      <c r="H250" s="7"/>
      <c r="I250" s="7" t="s">
        <v>158</v>
      </c>
      <c r="J250" s="7" t="s">
        <v>104</v>
      </c>
      <c r="K250" s="7" t="s">
        <v>105</v>
      </c>
      <c r="L250" s="7" t="s">
        <v>106</v>
      </c>
      <c r="M250" s="7"/>
      <c r="N250" s="7" t="s">
        <v>2085</v>
      </c>
      <c r="O250" s="7" t="s">
        <v>2086</v>
      </c>
      <c r="P250" s="7" t="s">
        <v>84</v>
      </c>
      <c r="Q250" s="7"/>
      <c r="R250" s="7" t="s">
        <v>109</v>
      </c>
      <c r="S250" s="7" t="s">
        <v>110</v>
      </c>
      <c r="T250" s="7" t="n">
        <v>0.456</v>
      </c>
      <c r="U250" s="7" t="n">
        <v>4</v>
      </c>
      <c r="V250" s="7" t="s">
        <v>161</v>
      </c>
      <c r="W250" s="7"/>
      <c r="X250" s="7"/>
      <c r="Y250" s="7" t="s">
        <v>2085</v>
      </c>
      <c r="Z250" s="7"/>
      <c r="AA250" s="7"/>
      <c r="AB250" s="7"/>
      <c r="AC250" s="7" t="n">
        <v>5</v>
      </c>
      <c r="AD250" s="7" t="s">
        <v>2087</v>
      </c>
      <c r="AE250" s="7" t="s">
        <v>2032</v>
      </c>
      <c r="AF250" s="7" t="s">
        <v>2084</v>
      </c>
      <c r="AG250" s="7"/>
      <c r="AH250" s="7"/>
      <c r="AI250" s="7"/>
      <c r="AJ250" s="7"/>
      <c r="AK250" s="7"/>
      <c r="AL250" s="7"/>
      <c r="AM250" s="7"/>
      <c r="AN250" s="7"/>
      <c r="AO250" s="7" t="s">
        <v>2032</v>
      </c>
      <c r="AP250" s="7" t="s">
        <v>2028</v>
      </c>
      <c r="AQ250" s="7" t="s">
        <v>2032</v>
      </c>
      <c r="AR250" s="7" t="s">
        <v>82</v>
      </c>
      <c r="AS250" s="7"/>
      <c r="AT250" s="7"/>
      <c r="AU250" s="7"/>
      <c r="AV250" s="7"/>
      <c r="AW250" s="7" t="s">
        <v>248</v>
      </c>
      <c r="AX250" s="7" t="s">
        <v>273</v>
      </c>
      <c r="AY250" s="7"/>
      <c r="AZ250" s="7"/>
      <c r="BA250" s="7" t="s">
        <v>248</v>
      </c>
      <c r="BB250" s="7" t="s">
        <v>369</v>
      </c>
      <c r="BC250" s="7"/>
      <c r="BD250" s="7" t="s">
        <v>1196</v>
      </c>
      <c r="BE250" s="7" t="s">
        <v>127</v>
      </c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</row>
    <row r="251" customFormat="false" ht="15" hidden="false" customHeight="false" outlineLevel="0" collapsed="false">
      <c r="A251" s="7" t="s">
        <v>2088</v>
      </c>
      <c r="B251" s="7" t="s">
        <v>2089</v>
      </c>
      <c r="C251" s="7" t="s">
        <v>2090</v>
      </c>
      <c r="D251" s="7" t="s">
        <v>2028</v>
      </c>
      <c r="E251" s="7" t="s">
        <v>82</v>
      </c>
      <c r="F251" s="7" t="s">
        <v>82</v>
      </c>
      <c r="G251" s="7"/>
      <c r="H251" s="7"/>
      <c r="I251" s="7" t="s">
        <v>158</v>
      </c>
      <c r="J251" s="7" t="s">
        <v>104</v>
      </c>
      <c r="K251" s="7" t="s">
        <v>105</v>
      </c>
      <c r="L251" s="7" t="s">
        <v>106</v>
      </c>
      <c r="M251" s="7"/>
      <c r="N251" s="7" t="s">
        <v>2091</v>
      </c>
      <c r="O251" s="7" t="s">
        <v>2091</v>
      </c>
      <c r="P251" s="7" t="s">
        <v>84</v>
      </c>
      <c r="Q251" s="7"/>
      <c r="R251" s="7" t="s">
        <v>109</v>
      </c>
      <c r="S251" s="7" t="s">
        <v>110</v>
      </c>
      <c r="T251" s="7" t="n">
        <v>0.703</v>
      </c>
      <c r="U251" s="7" t="n">
        <v>4</v>
      </c>
      <c r="V251" s="7" t="s">
        <v>2092</v>
      </c>
      <c r="W251" s="7"/>
      <c r="X251" s="7"/>
      <c r="Y251" s="7" t="s">
        <v>2091</v>
      </c>
      <c r="Z251" s="7"/>
      <c r="AA251" s="7"/>
      <c r="AB251" s="7"/>
      <c r="AC251" s="7" t="n">
        <v>6</v>
      </c>
      <c r="AD251" s="7" t="s">
        <v>1235</v>
      </c>
      <c r="AE251" s="7" t="s">
        <v>2032</v>
      </c>
      <c r="AF251" s="7" t="s">
        <v>2090</v>
      </c>
      <c r="AG251" s="7" t="s">
        <v>2032</v>
      </c>
      <c r="AH251" s="7" t="s">
        <v>2093</v>
      </c>
      <c r="AI251" s="7"/>
      <c r="AJ251" s="7"/>
      <c r="AK251" s="7"/>
      <c r="AL251" s="7"/>
      <c r="AM251" s="7" t="s">
        <v>248</v>
      </c>
      <c r="AN251" s="7" t="s">
        <v>2094</v>
      </c>
      <c r="AO251" s="7" t="s">
        <v>2032</v>
      </c>
      <c r="AP251" s="7" t="s">
        <v>2028</v>
      </c>
      <c r="AQ251" s="7" t="s">
        <v>2032</v>
      </c>
      <c r="AR251" s="7" t="s">
        <v>82</v>
      </c>
      <c r="AS251" s="7"/>
      <c r="AT251" s="7"/>
      <c r="AU251" s="7"/>
      <c r="AV251" s="7"/>
      <c r="AW251" s="7" t="s">
        <v>2032</v>
      </c>
      <c r="AX251" s="7" t="s">
        <v>2091</v>
      </c>
      <c r="AY251" s="7"/>
      <c r="AZ251" s="7"/>
      <c r="BA251" s="7"/>
      <c r="BB251" s="7"/>
      <c r="BC251" s="7"/>
      <c r="BD251" s="7" t="s">
        <v>1196</v>
      </c>
      <c r="BE251" s="7" t="s">
        <v>127</v>
      </c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</row>
    <row r="252" customFormat="false" ht="15" hidden="false" customHeight="false" outlineLevel="0" collapsed="false">
      <c r="A252" s="7" t="s">
        <v>2095</v>
      </c>
      <c r="B252" s="7" t="s">
        <v>2096</v>
      </c>
      <c r="C252" s="7" t="s">
        <v>2097</v>
      </c>
      <c r="D252" s="7" t="s">
        <v>2028</v>
      </c>
      <c r="E252" s="7" t="s">
        <v>82</v>
      </c>
      <c r="F252" s="7" t="s">
        <v>82</v>
      </c>
      <c r="G252" s="7"/>
      <c r="H252" s="7"/>
      <c r="I252" s="7" t="s">
        <v>158</v>
      </c>
      <c r="J252" s="7" t="s">
        <v>104</v>
      </c>
      <c r="K252" s="7" t="s">
        <v>105</v>
      </c>
      <c r="L252" s="7" t="s">
        <v>106</v>
      </c>
      <c r="M252" s="7"/>
      <c r="N252" s="7" t="s">
        <v>1195</v>
      </c>
      <c r="O252" s="7" t="s">
        <v>1195</v>
      </c>
      <c r="P252" s="7" t="s">
        <v>84</v>
      </c>
      <c r="Q252" s="7"/>
      <c r="R252" s="7" t="s">
        <v>109</v>
      </c>
      <c r="S252" s="7" t="s">
        <v>110</v>
      </c>
      <c r="T252" s="7" t="n">
        <v>0.885</v>
      </c>
      <c r="U252" s="7" t="n">
        <v>4</v>
      </c>
      <c r="V252" s="7" t="s">
        <v>161</v>
      </c>
      <c r="W252" s="7"/>
      <c r="X252" s="7"/>
      <c r="Y252" s="7" t="s">
        <v>1195</v>
      </c>
      <c r="Z252" s="7"/>
      <c r="AA252" s="7"/>
      <c r="AB252" s="7"/>
      <c r="AC252" s="7" t="n">
        <v>5</v>
      </c>
      <c r="AD252" s="7" t="s">
        <v>743</v>
      </c>
      <c r="AE252" s="7" t="s">
        <v>2032</v>
      </c>
      <c r="AF252" s="7" t="s">
        <v>2097</v>
      </c>
      <c r="AG252" s="7" t="s">
        <v>2032</v>
      </c>
      <c r="AH252" s="7" t="s">
        <v>1194</v>
      </c>
      <c r="AI252" s="7"/>
      <c r="AJ252" s="7"/>
      <c r="AK252" s="7"/>
      <c r="AL252" s="7"/>
      <c r="AM252" s="7"/>
      <c r="AN252" s="7"/>
      <c r="AO252" s="7" t="s">
        <v>2032</v>
      </c>
      <c r="AP252" s="7" t="s">
        <v>2028</v>
      </c>
      <c r="AQ252" s="7" t="s">
        <v>2032</v>
      </c>
      <c r="AR252" s="7" t="s">
        <v>82</v>
      </c>
      <c r="AS252" s="7"/>
      <c r="AT252" s="7"/>
      <c r="AU252" s="7"/>
      <c r="AV252" s="7"/>
      <c r="AW252" s="7" t="s">
        <v>2032</v>
      </c>
      <c r="AX252" s="7" t="s">
        <v>1195</v>
      </c>
      <c r="AY252" s="7"/>
      <c r="AZ252" s="7"/>
      <c r="BA252" s="7"/>
      <c r="BB252" s="7"/>
      <c r="BC252" s="7"/>
      <c r="BD252" s="7" t="s">
        <v>1196</v>
      </c>
      <c r="BE252" s="7" t="s">
        <v>127</v>
      </c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</row>
    <row r="253" customFormat="false" ht="15" hidden="false" customHeight="false" outlineLevel="0" collapsed="false">
      <c r="A253" s="7" t="s">
        <v>2098</v>
      </c>
      <c r="B253" s="7" t="s">
        <v>2099</v>
      </c>
      <c r="C253" s="7" t="s">
        <v>2100</v>
      </c>
      <c r="D253" s="7" t="s">
        <v>2028</v>
      </c>
      <c r="E253" s="7" t="s">
        <v>82</v>
      </c>
      <c r="F253" s="7" t="s">
        <v>82</v>
      </c>
      <c r="G253" s="7"/>
      <c r="H253" s="7"/>
      <c r="I253" s="7" t="s">
        <v>158</v>
      </c>
      <c r="J253" s="7" t="s">
        <v>104</v>
      </c>
      <c r="K253" s="7" t="s">
        <v>105</v>
      </c>
      <c r="L253" s="7" t="s">
        <v>106</v>
      </c>
      <c r="M253" s="7"/>
      <c r="N253" s="7" t="s">
        <v>2101</v>
      </c>
      <c r="O253" s="7" t="s">
        <v>2101</v>
      </c>
      <c r="P253" s="7" t="s">
        <v>84</v>
      </c>
      <c r="Q253" s="7"/>
      <c r="R253" s="7" t="s">
        <v>109</v>
      </c>
      <c r="S253" s="7" t="s">
        <v>110</v>
      </c>
      <c r="T253" s="7" t="n">
        <v>0.416</v>
      </c>
      <c r="U253" s="7" t="n">
        <v>4</v>
      </c>
      <c r="V253" s="7" t="s">
        <v>161</v>
      </c>
      <c r="W253" s="7"/>
      <c r="X253" s="7"/>
      <c r="Y253" s="7" t="s">
        <v>2101</v>
      </c>
      <c r="Z253" s="7"/>
      <c r="AA253" s="7"/>
      <c r="AB253" s="7"/>
      <c r="AC253" s="7" t="n">
        <v>6</v>
      </c>
      <c r="AD253" s="7" t="s">
        <v>2102</v>
      </c>
      <c r="AE253" s="7" t="s">
        <v>2103</v>
      </c>
      <c r="AF253" s="7" t="s">
        <v>2104</v>
      </c>
      <c r="AG253" s="7" t="s">
        <v>2032</v>
      </c>
      <c r="AH253" s="7" t="s">
        <v>2105</v>
      </c>
      <c r="AI253" s="7"/>
      <c r="AJ253" s="7"/>
      <c r="AK253" s="7"/>
      <c r="AL253" s="7"/>
      <c r="AM253" s="7"/>
      <c r="AN253" s="7"/>
      <c r="AO253" s="7" t="s">
        <v>2032</v>
      </c>
      <c r="AP253" s="7" t="s">
        <v>2028</v>
      </c>
      <c r="AQ253" s="7" t="s">
        <v>2032</v>
      </c>
      <c r="AR253" s="7" t="s">
        <v>82</v>
      </c>
      <c r="AS253" s="7"/>
      <c r="AT253" s="7"/>
      <c r="AU253" s="7"/>
      <c r="AV253" s="7"/>
      <c r="AW253" s="7" t="s">
        <v>2032</v>
      </c>
      <c r="AX253" s="7" t="s">
        <v>2101</v>
      </c>
      <c r="AY253" s="7"/>
      <c r="AZ253" s="7"/>
      <c r="BA253" s="7" t="s">
        <v>2103</v>
      </c>
      <c r="BB253" s="7" t="s">
        <v>369</v>
      </c>
      <c r="BC253" s="7"/>
      <c r="BD253" s="7" t="s">
        <v>2106</v>
      </c>
      <c r="BE253" s="7" t="s">
        <v>127</v>
      </c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</row>
    <row r="254" customFormat="false" ht="15" hidden="false" customHeight="false" outlineLevel="0" collapsed="false">
      <c r="A254" s="7" t="s">
        <v>2107</v>
      </c>
      <c r="B254" s="7" t="s">
        <v>2108</v>
      </c>
      <c r="C254" s="7" t="s">
        <v>2109</v>
      </c>
      <c r="D254" s="7" t="s">
        <v>2028</v>
      </c>
      <c r="E254" s="7" t="s">
        <v>82</v>
      </c>
      <c r="F254" s="7" t="s">
        <v>82</v>
      </c>
      <c r="G254" s="7"/>
      <c r="H254" s="7"/>
      <c r="I254" s="7" t="s">
        <v>158</v>
      </c>
      <c r="J254" s="7" t="s">
        <v>104</v>
      </c>
      <c r="K254" s="7" t="s">
        <v>105</v>
      </c>
      <c r="L254" s="7" t="s">
        <v>106</v>
      </c>
      <c r="M254" s="7"/>
      <c r="N254" s="7" t="s">
        <v>2110</v>
      </c>
      <c r="O254" s="7" t="s">
        <v>2111</v>
      </c>
      <c r="P254" s="7" t="s">
        <v>84</v>
      </c>
      <c r="Q254" s="7"/>
      <c r="R254" s="7" t="s">
        <v>109</v>
      </c>
      <c r="S254" s="7" t="s">
        <v>110</v>
      </c>
      <c r="T254" s="7" t="n">
        <v>0.293</v>
      </c>
      <c r="U254" s="7" t="n">
        <v>4</v>
      </c>
      <c r="V254" s="7" t="s">
        <v>161</v>
      </c>
      <c r="W254" s="7"/>
      <c r="X254" s="7"/>
      <c r="Y254" s="7" t="s">
        <v>2110</v>
      </c>
      <c r="Z254" s="7"/>
      <c r="AA254" s="7"/>
      <c r="AB254" s="7"/>
      <c r="AC254" s="7" t="n">
        <v>5</v>
      </c>
      <c r="AD254" s="7" t="s">
        <v>743</v>
      </c>
      <c r="AE254" s="7" t="s">
        <v>2103</v>
      </c>
      <c r="AF254" s="7" t="s">
        <v>2112</v>
      </c>
      <c r="AG254" s="7" t="s">
        <v>2032</v>
      </c>
      <c r="AH254" s="7" t="s">
        <v>2113</v>
      </c>
      <c r="AI254" s="7"/>
      <c r="AJ254" s="7"/>
      <c r="AK254" s="7"/>
      <c r="AL254" s="7"/>
      <c r="AM254" s="7"/>
      <c r="AN254" s="7"/>
      <c r="AO254" s="7" t="s">
        <v>2103</v>
      </c>
      <c r="AP254" s="7" t="s">
        <v>1289</v>
      </c>
      <c r="AQ254" s="7" t="s">
        <v>2032</v>
      </c>
      <c r="AR254" s="7" t="s">
        <v>82</v>
      </c>
      <c r="AS254" s="7"/>
      <c r="AT254" s="7"/>
      <c r="AU254" s="7"/>
      <c r="AV254" s="7"/>
      <c r="AW254" s="7" t="s">
        <v>2103</v>
      </c>
      <c r="AX254" s="7" t="s">
        <v>326</v>
      </c>
      <c r="AY254" s="7"/>
      <c r="AZ254" s="7"/>
      <c r="BA254" s="7"/>
      <c r="BB254" s="7"/>
      <c r="BC254" s="7"/>
      <c r="BD254" s="7" t="s">
        <v>2106</v>
      </c>
      <c r="BE254" s="7" t="s">
        <v>127</v>
      </c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</row>
    <row r="255" customFormat="false" ht="15" hidden="false" customHeight="false" outlineLevel="0" collapsed="false">
      <c r="A255" s="7" t="s">
        <v>2114</v>
      </c>
      <c r="B255" s="7" t="s">
        <v>2115</v>
      </c>
      <c r="C255" s="7" t="s">
        <v>2116</v>
      </c>
      <c r="D255" s="7" t="s">
        <v>2028</v>
      </c>
      <c r="E255" s="7" t="s">
        <v>82</v>
      </c>
      <c r="F255" s="7" t="s">
        <v>82</v>
      </c>
      <c r="G255" s="7"/>
      <c r="H255" s="7"/>
      <c r="I255" s="7" t="s">
        <v>158</v>
      </c>
      <c r="J255" s="7" t="s">
        <v>104</v>
      </c>
      <c r="K255" s="7" t="s">
        <v>105</v>
      </c>
      <c r="L255" s="7" t="s">
        <v>106</v>
      </c>
      <c r="M255" s="7"/>
      <c r="N255" s="7" t="s">
        <v>2117</v>
      </c>
      <c r="O255" s="7" t="s">
        <v>2117</v>
      </c>
      <c r="P255" s="7" t="s">
        <v>84</v>
      </c>
      <c r="Q255" s="7"/>
      <c r="R255" s="7" t="s">
        <v>109</v>
      </c>
      <c r="S255" s="7" t="s">
        <v>110</v>
      </c>
      <c r="T255" s="7" t="n">
        <v>0.529</v>
      </c>
      <c r="U255" s="7" t="n">
        <v>4</v>
      </c>
      <c r="V255" s="7" t="s">
        <v>1465</v>
      </c>
      <c r="W255" s="7"/>
      <c r="X255" s="7"/>
      <c r="Y255" s="7" t="s">
        <v>2117</v>
      </c>
      <c r="Z255" s="7"/>
      <c r="AA255" s="7"/>
      <c r="AB255" s="7"/>
      <c r="AC255" s="7" t="n">
        <v>7</v>
      </c>
      <c r="AD255" s="7" t="s">
        <v>2118</v>
      </c>
      <c r="AE255" s="7" t="s">
        <v>2103</v>
      </c>
      <c r="AF255" s="7" t="s">
        <v>2119</v>
      </c>
      <c r="AG255" s="7" t="s">
        <v>2032</v>
      </c>
      <c r="AH255" s="7" t="s">
        <v>2120</v>
      </c>
      <c r="AI255" s="7"/>
      <c r="AJ255" s="7"/>
      <c r="AK255" s="7"/>
      <c r="AL255" s="7"/>
      <c r="AM255" s="7"/>
      <c r="AN255" s="7"/>
      <c r="AO255" s="7" t="s">
        <v>2032</v>
      </c>
      <c r="AP255" s="7" t="s">
        <v>2028</v>
      </c>
      <c r="AQ255" s="7" t="s">
        <v>2032</v>
      </c>
      <c r="AR255" s="7" t="s">
        <v>82</v>
      </c>
      <c r="AS255" s="7"/>
      <c r="AT255" s="7"/>
      <c r="AU255" s="7"/>
      <c r="AV255" s="7"/>
      <c r="AW255" s="7" t="s">
        <v>2032</v>
      </c>
      <c r="AX255" s="7" t="s">
        <v>2117</v>
      </c>
      <c r="AY255" s="7" t="s">
        <v>2103</v>
      </c>
      <c r="AZ255" s="7" t="s">
        <v>124</v>
      </c>
      <c r="BA255" s="7" t="s">
        <v>2103</v>
      </c>
      <c r="BB255" s="7" t="s">
        <v>369</v>
      </c>
      <c r="BC255" s="7"/>
      <c r="BD255" s="7" t="s">
        <v>2033</v>
      </c>
      <c r="BE255" s="7" t="s">
        <v>127</v>
      </c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</row>
    <row r="256" customFormat="false" ht="15" hidden="false" customHeight="false" outlineLevel="0" collapsed="false">
      <c r="A256" s="7" t="s">
        <v>2121</v>
      </c>
      <c r="B256" s="7" t="s">
        <v>2122</v>
      </c>
      <c r="C256" s="7" t="s">
        <v>2123</v>
      </c>
      <c r="D256" s="7" t="s">
        <v>2028</v>
      </c>
      <c r="E256" s="7" t="s">
        <v>82</v>
      </c>
      <c r="F256" s="7" t="s">
        <v>82</v>
      </c>
      <c r="G256" s="7"/>
      <c r="H256" s="7"/>
      <c r="I256" s="7" t="s">
        <v>158</v>
      </c>
      <c r="J256" s="7" t="s">
        <v>104</v>
      </c>
      <c r="K256" s="7" t="s">
        <v>105</v>
      </c>
      <c r="L256" s="7" t="s">
        <v>106</v>
      </c>
      <c r="M256" s="7"/>
      <c r="N256" s="7" t="s">
        <v>2124</v>
      </c>
      <c r="O256" s="7" t="s">
        <v>2124</v>
      </c>
      <c r="P256" s="7" t="s">
        <v>84</v>
      </c>
      <c r="Q256" s="7"/>
      <c r="R256" s="7" t="s">
        <v>109</v>
      </c>
      <c r="S256" s="7" t="s">
        <v>110</v>
      </c>
      <c r="T256" s="7" t="n">
        <v>0.691</v>
      </c>
      <c r="U256" s="7" t="n">
        <v>4</v>
      </c>
      <c r="V256" s="7" t="s">
        <v>1985</v>
      </c>
      <c r="W256" s="7"/>
      <c r="X256" s="7"/>
      <c r="Y256" s="7" t="s">
        <v>2124</v>
      </c>
      <c r="Z256" s="7"/>
      <c r="AA256" s="7"/>
      <c r="AB256" s="7"/>
      <c r="AC256" s="7" t="n">
        <v>7</v>
      </c>
      <c r="AD256" s="7" t="s">
        <v>2118</v>
      </c>
      <c r="AE256" s="7" t="s">
        <v>2103</v>
      </c>
      <c r="AF256" s="7" t="s">
        <v>2125</v>
      </c>
      <c r="AG256" s="7" t="s">
        <v>2032</v>
      </c>
      <c r="AH256" s="7" t="s">
        <v>2126</v>
      </c>
      <c r="AI256" s="7"/>
      <c r="AJ256" s="7"/>
      <c r="AK256" s="7"/>
      <c r="AL256" s="7"/>
      <c r="AM256" s="7"/>
      <c r="AN256" s="7"/>
      <c r="AO256" s="7" t="s">
        <v>2032</v>
      </c>
      <c r="AP256" s="7" t="s">
        <v>2028</v>
      </c>
      <c r="AQ256" s="7" t="s">
        <v>2032</v>
      </c>
      <c r="AR256" s="7" t="s">
        <v>82</v>
      </c>
      <c r="AS256" s="7"/>
      <c r="AT256" s="7"/>
      <c r="AU256" s="7"/>
      <c r="AV256" s="7"/>
      <c r="AW256" s="7" t="s">
        <v>2032</v>
      </c>
      <c r="AX256" s="7" t="s">
        <v>2124</v>
      </c>
      <c r="AY256" s="7" t="s">
        <v>2103</v>
      </c>
      <c r="AZ256" s="7" t="s">
        <v>124</v>
      </c>
      <c r="BA256" s="7" t="s">
        <v>2103</v>
      </c>
      <c r="BB256" s="7" t="s">
        <v>369</v>
      </c>
      <c r="BC256" s="7"/>
      <c r="BD256" s="7" t="s">
        <v>2033</v>
      </c>
      <c r="BE256" s="7" t="s">
        <v>127</v>
      </c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</row>
    <row r="257" customFormat="false" ht="15" hidden="false" customHeight="false" outlineLevel="0" collapsed="false">
      <c r="A257" s="7" t="s">
        <v>2127</v>
      </c>
      <c r="B257" s="7" t="s">
        <v>2128</v>
      </c>
      <c r="C257" s="7" t="s">
        <v>2129</v>
      </c>
      <c r="D257" s="7" t="s">
        <v>100</v>
      </c>
      <c r="E257" s="7" t="s">
        <v>101</v>
      </c>
      <c r="F257" s="7" t="s">
        <v>101</v>
      </c>
      <c r="G257" s="7"/>
      <c r="H257" s="7" t="s">
        <v>102</v>
      </c>
      <c r="I257" s="7" t="s">
        <v>300</v>
      </c>
      <c r="J257" s="7" t="s">
        <v>104</v>
      </c>
      <c r="K257" s="7" t="s">
        <v>105</v>
      </c>
      <c r="L257" s="7" t="s">
        <v>106</v>
      </c>
      <c r="M257" s="7"/>
      <c r="N257" s="7" t="s">
        <v>2130</v>
      </c>
      <c r="O257" s="7"/>
      <c r="P257" s="7" t="s">
        <v>135</v>
      </c>
      <c r="Q257" s="7"/>
      <c r="R257" s="7" t="s">
        <v>135</v>
      </c>
      <c r="S257" s="7" t="s">
        <v>136</v>
      </c>
      <c r="T257" s="7" t="n">
        <v>0.851</v>
      </c>
      <c r="U257" s="7" t="n">
        <v>3</v>
      </c>
      <c r="V257" s="7" t="s">
        <v>90</v>
      </c>
      <c r="W257" s="7"/>
      <c r="X257" s="7"/>
      <c r="Y257" s="7" t="s">
        <v>2130</v>
      </c>
      <c r="Z257" s="7"/>
      <c r="AA257" s="7"/>
      <c r="AB257" s="7"/>
      <c r="AC257" s="7" t="n">
        <v>0</v>
      </c>
      <c r="AD257" s="7" t="s">
        <v>388</v>
      </c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 t="s">
        <v>127</v>
      </c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</row>
    <row r="258" customFormat="false" ht="15" hidden="false" customHeight="false" outlineLevel="0" collapsed="false">
      <c r="A258" s="7" t="s">
        <v>2131</v>
      </c>
      <c r="B258" s="7" t="s">
        <v>2132</v>
      </c>
      <c r="C258" s="7" t="s">
        <v>2133</v>
      </c>
      <c r="D258" s="7" t="s">
        <v>1921</v>
      </c>
      <c r="E258" s="7" t="s">
        <v>82</v>
      </c>
      <c r="F258" s="7" t="s">
        <v>82</v>
      </c>
      <c r="G258" s="7"/>
      <c r="H258" s="7" t="s">
        <v>207</v>
      </c>
      <c r="I258" s="7" t="s">
        <v>158</v>
      </c>
      <c r="J258" s="7" t="s">
        <v>104</v>
      </c>
      <c r="K258" s="7" t="s">
        <v>105</v>
      </c>
      <c r="L258" s="7" t="s">
        <v>106</v>
      </c>
      <c r="M258" s="7"/>
      <c r="N258" s="7" t="s">
        <v>2134</v>
      </c>
      <c r="O258" s="7" t="s">
        <v>2134</v>
      </c>
      <c r="P258" s="7" t="s">
        <v>84</v>
      </c>
      <c r="Q258" s="7"/>
      <c r="R258" s="7" t="s">
        <v>109</v>
      </c>
      <c r="S258" s="7" t="s">
        <v>110</v>
      </c>
      <c r="T258" s="7" t="n">
        <v>0.319</v>
      </c>
      <c r="U258" s="7" t="n">
        <v>3</v>
      </c>
      <c r="V258" s="7" t="s">
        <v>161</v>
      </c>
      <c r="W258" s="7"/>
      <c r="X258" s="7"/>
      <c r="Y258" s="7" t="s">
        <v>2134</v>
      </c>
      <c r="Z258" s="7"/>
      <c r="AA258" s="7"/>
      <c r="AB258" s="7"/>
      <c r="AC258" s="7" t="n">
        <v>0</v>
      </c>
      <c r="AD258" s="7" t="s">
        <v>388</v>
      </c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 t="s">
        <v>2135</v>
      </c>
      <c r="BE258" s="7" t="s">
        <v>127</v>
      </c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</row>
    <row r="259" customFormat="false" ht="15" hidden="false" customHeight="false" outlineLevel="0" collapsed="false">
      <c r="A259" s="7" t="s">
        <v>2136</v>
      </c>
      <c r="B259" s="7" t="s">
        <v>2137</v>
      </c>
      <c r="C259" s="7" t="s">
        <v>2138</v>
      </c>
      <c r="D259" s="7" t="s">
        <v>2139</v>
      </c>
      <c r="E259" s="7" t="s">
        <v>82</v>
      </c>
      <c r="F259" s="7" t="s">
        <v>82</v>
      </c>
      <c r="G259" s="7"/>
      <c r="H259" s="7" t="s">
        <v>207</v>
      </c>
      <c r="I259" s="7" t="s">
        <v>158</v>
      </c>
      <c r="J259" s="7" t="s">
        <v>104</v>
      </c>
      <c r="K259" s="7" t="s">
        <v>105</v>
      </c>
      <c r="L259" s="7" t="s">
        <v>106</v>
      </c>
      <c r="M259" s="7"/>
      <c r="N259" s="7" t="s">
        <v>2140</v>
      </c>
      <c r="O259" s="7" t="s">
        <v>2140</v>
      </c>
      <c r="P259" s="7" t="s">
        <v>84</v>
      </c>
      <c r="Q259" s="7"/>
      <c r="R259" s="7" t="s">
        <v>109</v>
      </c>
      <c r="S259" s="7" t="s">
        <v>110</v>
      </c>
      <c r="T259" s="7" t="n">
        <v>0.698</v>
      </c>
      <c r="U259" s="7" t="n">
        <v>3</v>
      </c>
      <c r="V259" s="7" t="s">
        <v>479</v>
      </c>
      <c r="W259" s="7"/>
      <c r="X259" s="7"/>
      <c r="Y259" s="7" t="s">
        <v>2140</v>
      </c>
      <c r="Z259" s="7"/>
      <c r="AA259" s="7"/>
      <c r="AB259" s="7"/>
      <c r="AC259" s="7" t="n">
        <v>3</v>
      </c>
      <c r="AD259" s="7" t="s">
        <v>2141</v>
      </c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 t="s">
        <v>113</v>
      </c>
      <c r="AP259" s="7" t="s">
        <v>2142</v>
      </c>
      <c r="AQ259" s="7" t="s">
        <v>113</v>
      </c>
      <c r="AR259" s="7" t="s">
        <v>82</v>
      </c>
      <c r="AS259" s="7" t="s">
        <v>113</v>
      </c>
      <c r="AT259" s="7" t="s">
        <v>216</v>
      </c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 t="s">
        <v>127</v>
      </c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</row>
    <row r="260" customFormat="false" ht="15" hidden="false" customHeight="false" outlineLevel="0" collapsed="false">
      <c r="A260" s="7" t="s">
        <v>2143</v>
      </c>
      <c r="B260" s="7" t="s">
        <v>2144</v>
      </c>
      <c r="C260" s="7" t="s">
        <v>2145</v>
      </c>
      <c r="D260" s="7" t="s">
        <v>2146</v>
      </c>
      <c r="E260" s="7" t="s">
        <v>1966</v>
      </c>
      <c r="F260" s="7" t="s">
        <v>1966</v>
      </c>
      <c r="G260" s="7"/>
      <c r="H260" s="7" t="s">
        <v>207</v>
      </c>
      <c r="I260" s="7" t="s">
        <v>208</v>
      </c>
      <c r="J260" s="7" t="s">
        <v>104</v>
      </c>
      <c r="K260" s="7" t="s">
        <v>105</v>
      </c>
      <c r="L260" s="7" t="s">
        <v>106</v>
      </c>
      <c r="M260" s="7"/>
      <c r="N260" s="7" t="s">
        <v>2147</v>
      </c>
      <c r="O260" s="7" t="s">
        <v>2147</v>
      </c>
      <c r="P260" s="7" t="s">
        <v>135</v>
      </c>
      <c r="Q260" s="7"/>
      <c r="R260" s="7" t="s">
        <v>109</v>
      </c>
      <c r="S260" s="7" t="s">
        <v>110</v>
      </c>
      <c r="T260" s="7" t="n">
        <v>0.563</v>
      </c>
      <c r="U260" s="7" t="n">
        <v>3</v>
      </c>
      <c r="V260" s="7" t="s">
        <v>90</v>
      </c>
      <c r="W260" s="7"/>
      <c r="X260" s="7"/>
      <c r="Y260" s="7" t="s">
        <v>2148</v>
      </c>
      <c r="Z260" s="7"/>
      <c r="AA260" s="7"/>
      <c r="AB260" s="7"/>
      <c r="AC260" s="7" t="n">
        <v>0</v>
      </c>
      <c r="AD260" s="7" t="s">
        <v>388</v>
      </c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 t="s">
        <v>440</v>
      </c>
      <c r="BE260" s="7" t="s">
        <v>127</v>
      </c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</row>
    <row r="261" customFormat="false" ht="15" hidden="false" customHeight="false" outlineLevel="0" collapsed="false">
      <c r="A261" s="7" t="s">
        <v>2149</v>
      </c>
      <c r="B261" s="7" t="s">
        <v>2150</v>
      </c>
      <c r="C261" s="7" t="s">
        <v>2151</v>
      </c>
      <c r="D261" s="7" t="s">
        <v>2152</v>
      </c>
      <c r="E261" s="7" t="s">
        <v>101</v>
      </c>
      <c r="F261" s="7" t="s">
        <v>101</v>
      </c>
      <c r="G261" s="7"/>
      <c r="H261" s="7" t="s">
        <v>102</v>
      </c>
      <c r="I261" s="7" t="s">
        <v>132</v>
      </c>
      <c r="J261" s="7" t="s">
        <v>104</v>
      </c>
      <c r="K261" s="7" t="s">
        <v>105</v>
      </c>
      <c r="L261" s="7" t="s">
        <v>106</v>
      </c>
      <c r="M261" s="7"/>
      <c r="N261" s="7" t="s">
        <v>2153</v>
      </c>
      <c r="O261" s="7" t="s">
        <v>2153</v>
      </c>
      <c r="P261" s="7" t="s">
        <v>109</v>
      </c>
      <c r="Q261" s="7"/>
      <c r="R261" s="7" t="s">
        <v>109</v>
      </c>
      <c r="S261" s="7" t="s">
        <v>110</v>
      </c>
      <c r="T261" s="7" t="n">
        <v>0.595</v>
      </c>
      <c r="U261" s="7" t="n">
        <v>3</v>
      </c>
      <c r="V261" s="7" t="s">
        <v>2154</v>
      </c>
      <c r="W261" s="7"/>
      <c r="X261" s="7" t="s">
        <v>2155</v>
      </c>
      <c r="Y261" s="7"/>
      <c r="Z261" s="7" t="s">
        <v>2156</v>
      </c>
      <c r="AA261" s="7"/>
      <c r="AB261" s="7"/>
      <c r="AC261" s="7" t="n">
        <v>0</v>
      </c>
      <c r="AD261" s="7" t="s">
        <v>388</v>
      </c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 t="s">
        <v>127</v>
      </c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</row>
    <row r="262" customFormat="false" ht="15" hidden="false" customHeight="false" outlineLevel="0" collapsed="false">
      <c r="A262" s="7" t="s">
        <v>2157</v>
      </c>
      <c r="B262" s="7" t="s">
        <v>2158</v>
      </c>
      <c r="C262" s="7" t="s">
        <v>2159</v>
      </c>
      <c r="D262" s="7"/>
      <c r="E262" s="7" t="s">
        <v>101</v>
      </c>
      <c r="F262" s="7" t="s">
        <v>101</v>
      </c>
      <c r="G262" s="7"/>
      <c r="H262" s="7" t="s">
        <v>102</v>
      </c>
      <c r="I262" s="7" t="s">
        <v>132</v>
      </c>
      <c r="J262" s="7" t="s">
        <v>104</v>
      </c>
      <c r="K262" s="7" t="s">
        <v>105</v>
      </c>
      <c r="L262" s="7" t="s">
        <v>106</v>
      </c>
      <c r="M262" s="7"/>
      <c r="N262" s="7" t="s">
        <v>2160</v>
      </c>
      <c r="O262" s="7"/>
      <c r="P262" s="7" t="s">
        <v>135</v>
      </c>
      <c r="Q262" s="7"/>
      <c r="R262" s="7" t="s">
        <v>135</v>
      </c>
      <c r="S262" s="7" t="s">
        <v>136</v>
      </c>
      <c r="T262" s="7" t="n">
        <v>0.208</v>
      </c>
      <c r="U262" s="7" t="n">
        <v>3</v>
      </c>
      <c r="V262" s="7" t="s">
        <v>90</v>
      </c>
      <c r="W262" s="7"/>
      <c r="X262" s="7"/>
      <c r="Y262" s="7" t="s">
        <v>2161</v>
      </c>
      <c r="Z262" s="7"/>
      <c r="AA262" s="7"/>
      <c r="AB262" s="7"/>
      <c r="AC262" s="7" t="n">
        <v>0</v>
      </c>
      <c r="AD262" s="7" t="s">
        <v>388</v>
      </c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 t="s">
        <v>127</v>
      </c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</row>
    <row r="263" customFormat="false" ht="15" hidden="false" customHeight="false" outlineLevel="0" collapsed="false">
      <c r="A263" s="7" t="s">
        <v>2162</v>
      </c>
      <c r="B263" s="7" t="s">
        <v>2163</v>
      </c>
      <c r="C263" s="7" t="s">
        <v>2164</v>
      </c>
      <c r="D263" s="7"/>
      <c r="E263" s="7" t="s">
        <v>101</v>
      </c>
      <c r="F263" s="7" t="s">
        <v>101</v>
      </c>
      <c r="G263" s="7"/>
      <c r="H263" s="7" t="s">
        <v>102</v>
      </c>
      <c r="I263" s="7" t="s">
        <v>132</v>
      </c>
      <c r="J263" s="7" t="s">
        <v>104</v>
      </c>
      <c r="K263" s="7" t="s">
        <v>105</v>
      </c>
      <c r="L263" s="7" t="s">
        <v>106</v>
      </c>
      <c r="M263" s="7" t="s">
        <v>2165</v>
      </c>
      <c r="N263" s="7" t="s">
        <v>2166</v>
      </c>
      <c r="O263" s="7" t="s">
        <v>2167</v>
      </c>
      <c r="P263" s="7" t="s">
        <v>135</v>
      </c>
      <c r="Q263" s="7"/>
      <c r="R263" s="7" t="s">
        <v>109</v>
      </c>
      <c r="S263" s="7" t="s">
        <v>110</v>
      </c>
      <c r="T263" s="7" t="n">
        <v>0.369</v>
      </c>
      <c r="U263" s="7" t="n">
        <v>3</v>
      </c>
      <c r="V263" s="7" t="s">
        <v>90</v>
      </c>
      <c r="W263" s="7"/>
      <c r="X263" s="7"/>
      <c r="Y263" s="7" t="s">
        <v>2167</v>
      </c>
      <c r="Z263" s="7"/>
      <c r="AA263" s="7"/>
      <c r="AB263" s="7"/>
      <c r="AC263" s="7" t="n">
        <v>0</v>
      </c>
      <c r="AD263" s="7" t="s">
        <v>388</v>
      </c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 t="s">
        <v>219</v>
      </c>
      <c r="BD263" s="7"/>
      <c r="BE263" s="7" t="s">
        <v>127</v>
      </c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</row>
    <row r="264" customFormat="false" ht="15" hidden="false" customHeight="false" outlineLevel="0" collapsed="false">
      <c r="A264" s="7" t="s">
        <v>2168</v>
      </c>
      <c r="B264" s="7" t="s">
        <v>2169</v>
      </c>
      <c r="C264" s="7" t="s">
        <v>2170</v>
      </c>
      <c r="D264" s="7" t="s">
        <v>1803</v>
      </c>
      <c r="E264" s="7" t="s">
        <v>101</v>
      </c>
      <c r="F264" s="7" t="s">
        <v>101</v>
      </c>
      <c r="G264" s="7"/>
      <c r="H264" s="7" t="s">
        <v>102</v>
      </c>
      <c r="I264" s="7" t="s">
        <v>132</v>
      </c>
      <c r="J264" s="7" t="s">
        <v>104</v>
      </c>
      <c r="K264" s="7" t="s">
        <v>105</v>
      </c>
      <c r="L264" s="7" t="s">
        <v>106</v>
      </c>
      <c r="M264" s="7"/>
      <c r="N264" s="7" t="s">
        <v>2171</v>
      </c>
      <c r="O264" s="7"/>
      <c r="P264" s="7" t="s">
        <v>135</v>
      </c>
      <c r="Q264" s="7"/>
      <c r="R264" s="7" t="s">
        <v>135</v>
      </c>
      <c r="S264" s="7" t="s">
        <v>136</v>
      </c>
      <c r="T264" s="7" t="n">
        <v>0.178</v>
      </c>
      <c r="U264" s="7" t="n">
        <v>3</v>
      </c>
      <c r="V264" s="7" t="s">
        <v>90</v>
      </c>
      <c r="W264" s="7"/>
      <c r="X264" s="7" t="s">
        <v>1810</v>
      </c>
      <c r="Y264" s="7" t="s">
        <v>2171</v>
      </c>
      <c r="Z264" s="7" t="s">
        <v>2172</v>
      </c>
      <c r="AA264" s="7"/>
      <c r="AB264" s="7"/>
      <c r="AC264" s="7" t="n">
        <v>7</v>
      </c>
      <c r="AD264" s="7" t="s">
        <v>2173</v>
      </c>
      <c r="AE264" s="7" t="s">
        <v>1812</v>
      </c>
      <c r="AF264" s="7" t="s">
        <v>2174</v>
      </c>
      <c r="AG264" s="7"/>
      <c r="AH264" s="7"/>
      <c r="AI264" s="7"/>
      <c r="AJ264" s="7"/>
      <c r="AK264" s="7"/>
      <c r="AL264" s="7"/>
      <c r="AM264" s="7"/>
      <c r="AN264" s="7"/>
      <c r="AO264" s="7" t="s">
        <v>1812</v>
      </c>
      <c r="AP264" s="7" t="s">
        <v>2175</v>
      </c>
      <c r="AQ264" s="7" t="s">
        <v>1812</v>
      </c>
      <c r="AR264" s="7" t="s">
        <v>82</v>
      </c>
      <c r="AS264" s="7" t="s">
        <v>1812</v>
      </c>
      <c r="AT264" s="7" t="s">
        <v>216</v>
      </c>
      <c r="AU264" s="7"/>
      <c r="AV264" s="7"/>
      <c r="AW264" s="7" t="s">
        <v>1812</v>
      </c>
      <c r="AX264" s="7" t="s">
        <v>326</v>
      </c>
      <c r="AY264" s="7" t="s">
        <v>1812</v>
      </c>
      <c r="AZ264" s="7" t="s">
        <v>666</v>
      </c>
      <c r="BA264" s="7" t="s">
        <v>115</v>
      </c>
      <c r="BB264" s="7" t="s">
        <v>116</v>
      </c>
      <c r="BC264" s="7"/>
      <c r="BD264" s="7"/>
      <c r="BE264" s="7" t="s">
        <v>127</v>
      </c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</row>
    <row r="265" customFormat="false" ht="15" hidden="false" customHeight="false" outlineLevel="0" collapsed="false">
      <c r="A265" s="7" t="s">
        <v>2176</v>
      </c>
      <c r="B265" s="7" t="s">
        <v>2177</v>
      </c>
      <c r="C265" s="7" t="s">
        <v>2178</v>
      </c>
      <c r="D265" s="7" t="s">
        <v>2179</v>
      </c>
      <c r="E265" s="7" t="s">
        <v>82</v>
      </c>
      <c r="F265" s="7" t="s">
        <v>82</v>
      </c>
      <c r="G265" s="7"/>
      <c r="H265" s="7"/>
      <c r="I265" s="7" t="s">
        <v>132</v>
      </c>
      <c r="J265" s="7" t="s">
        <v>104</v>
      </c>
      <c r="K265" s="7" t="s">
        <v>105</v>
      </c>
      <c r="L265" s="7" t="s">
        <v>106</v>
      </c>
      <c r="M265" s="7"/>
      <c r="N265" s="7" t="s">
        <v>2180</v>
      </c>
      <c r="O265" s="7" t="s">
        <v>2180</v>
      </c>
      <c r="P265" s="7" t="s">
        <v>135</v>
      </c>
      <c r="Q265" s="7"/>
      <c r="R265" s="7" t="s">
        <v>109</v>
      </c>
      <c r="S265" s="7" t="s">
        <v>110</v>
      </c>
      <c r="T265" s="7" t="n">
        <v>0.599</v>
      </c>
      <c r="U265" s="7" t="n">
        <v>3</v>
      </c>
      <c r="V265" s="7"/>
      <c r="W265" s="7"/>
      <c r="X265" s="7"/>
      <c r="Y265" s="7" t="s">
        <v>2180</v>
      </c>
      <c r="Z265" s="7"/>
      <c r="AA265" s="7"/>
      <c r="AB265" s="7"/>
      <c r="AC265" s="7" t="n">
        <v>4</v>
      </c>
      <c r="AD265" s="7" t="s">
        <v>1376</v>
      </c>
      <c r="AE265" s="7" t="s">
        <v>2181</v>
      </c>
      <c r="AF265" s="7" t="s">
        <v>2182</v>
      </c>
      <c r="AG265" s="7"/>
      <c r="AH265" s="7"/>
      <c r="AI265" s="7"/>
      <c r="AJ265" s="7"/>
      <c r="AK265" s="7"/>
      <c r="AL265" s="7"/>
      <c r="AM265" s="7"/>
      <c r="AN265" s="7"/>
      <c r="AO265" s="7" t="s">
        <v>2181</v>
      </c>
      <c r="AP265" s="7" t="s">
        <v>2179</v>
      </c>
      <c r="AQ265" s="7" t="s">
        <v>2181</v>
      </c>
      <c r="AR265" s="7" t="s">
        <v>82</v>
      </c>
      <c r="AS265" s="7"/>
      <c r="AT265" s="7"/>
      <c r="AU265" s="7"/>
      <c r="AV265" s="7"/>
      <c r="AW265" s="7" t="s">
        <v>2181</v>
      </c>
      <c r="AX265" s="7" t="s">
        <v>2183</v>
      </c>
      <c r="AY265" s="7"/>
      <c r="AZ265" s="7"/>
      <c r="BA265" s="7"/>
      <c r="BB265" s="7"/>
      <c r="BC265" s="7"/>
      <c r="BD265" s="7" t="s">
        <v>220</v>
      </c>
      <c r="BE265" s="7" t="s">
        <v>127</v>
      </c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</row>
    <row r="266" customFormat="false" ht="15" hidden="false" customHeight="false" outlineLevel="0" collapsed="false">
      <c r="A266" s="7" t="s">
        <v>2184</v>
      </c>
      <c r="B266" s="7" t="s">
        <v>2185</v>
      </c>
      <c r="C266" s="7" t="s">
        <v>2186</v>
      </c>
      <c r="D266" s="7" t="s">
        <v>2028</v>
      </c>
      <c r="E266" s="7" t="s">
        <v>82</v>
      </c>
      <c r="F266" s="7" t="s">
        <v>82</v>
      </c>
      <c r="G266" s="7"/>
      <c r="H266" s="7"/>
      <c r="I266" s="7" t="s">
        <v>158</v>
      </c>
      <c r="J266" s="7" t="s">
        <v>104</v>
      </c>
      <c r="K266" s="7" t="s">
        <v>105</v>
      </c>
      <c r="L266" s="7" t="s">
        <v>353</v>
      </c>
      <c r="M266" s="7"/>
      <c r="N266" s="7" t="s">
        <v>2187</v>
      </c>
      <c r="O266" s="7" t="s">
        <v>2187</v>
      </c>
      <c r="P266" s="7" t="s">
        <v>109</v>
      </c>
      <c r="Q266" s="7"/>
      <c r="R266" s="7" t="s">
        <v>109</v>
      </c>
      <c r="S266" s="7" t="s">
        <v>2188</v>
      </c>
      <c r="T266" s="7" t="n">
        <v>0.712</v>
      </c>
      <c r="U266" s="7" t="n">
        <v>3</v>
      </c>
      <c r="V266" s="7" t="s">
        <v>2189</v>
      </c>
      <c r="W266" s="7"/>
      <c r="X266" s="7"/>
      <c r="Y266" s="7" t="s">
        <v>2187</v>
      </c>
      <c r="Z266" s="7"/>
      <c r="AA266" s="7"/>
      <c r="AB266" s="7"/>
      <c r="AC266" s="7" t="n">
        <v>4</v>
      </c>
      <c r="AD266" s="7" t="s">
        <v>1376</v>
      </c>
      <c r="AE266" s="7" t="s">
        <v>2032</v>
      </c>
      <c r="AF266" s="7" t="s">
        <v>2186</v>
      </c>
      <c r="AG266" s="7"/>
      <c r="AH266" s="7"/>
      <c r="AI266" s="7"/>
      <c r="AJ266" s="7"/>
      <c r="AK266" s="7"/>
      <c r="AL266" s="7"/>
      <c r="AM266" s="7"/>
      <c r="AN266" s="7"/>
      <c r="AO266" s="7" t="s">
        <v>2032</v>
      </c>
      <c r="AP266" s="7" t="s">
        <v>2028</v>
      </c>
      <c r="AQ266" s="7" t="s">
        <v>2032</v>
      </c>
      <c r="AR266" s="7" t="s">
        <v>82</v>
      </c>
      <c r="AS266" s="7"/>
      <c r="AT266" s="7"/>
      <c r="AU266" s="7"/>
      <c r="AV266" s="7"/>
      <c r="AW266" s="7" t="s">
        <v>2032</v>
      </c>
      <c r="AX266" s="7" t="s">
        <v>2187</v>
      </c>
      <c r="AY266" s="7"/>
      <c r="AZ266" s="7"/>
      <c r="BA266" s="7"/>
      <c r="BB266" s="7"/>
      <c r="BC266" s="7" t="s">
        <v>125</v>
      </c>
      <c r="BD266" s="7" t="s">
        <v>220</v>
      </c>
      <c r="BE266" s="7" t="s">
        <v>127</v>
      </c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</row>
    <row r="267" customFormat="false" ht="15" hidden="false" customHeight="false" outlineLevel="0" collapsed="false">
      <c r="A267" s="7" t="s">
        <v>2190</v>
      </c>
      <c r="B267" s="7" t="s">
        <v>2191</v>
      </c>
      <c r="C267" s="7" t="s">
        <v>2192</v>
      </c>
      <c r="D267" s="7" t="s">
        <v>2193</v>
      </c>
      <c r="E267" s="7" t="s">
        <v>82</v>
      </c>
      <c r="F267" s="7" t="s">
        <v>82</v>
      </c>
      <c r="G267" s="7"/>
      <c r="H267" s="7"/>
      <c r="I267" s="7" t="s">
        <v>234</v>
      </c>
      <c r="J267" s="7" t="s">
        <v>104</v>
      </c>
      <c r="K267" s="7" t="s">
        <v>105</v>
      </c>
      <c r="L267" s="7" t="s">
        <v>106</v>
      </c>
      <c r="M267" s="7"/>
      <c r="N267" s="7" t="s">
        <v>2194</v>
      </c>
      <c r="O267" s="7" t="s">
        <v>2194</v>
      </c>
      <c r="P267" s="7" t="s">
        <v>84</v>
      </c>
      <c r="Q267" s="7"/>
      <c r="R267" s="7" t="s">
        <v>109</v>
      </c>
      <c r="S267" s="7" t="s">
        <v>110</v>
      </c>
      <c r="T267" s="7" t="n">
        <v>0.401</v>
      </c>
      <c r="U267" s="7" t="n">
        <v>3</v>
      </c>
      <c r="V267" s="7" t="s">
        <v>90</v>
      </c>
      <c r="W267" s="7"/>
      <c r="X267" s="7"/>
      <c r="Y267" s="7" t="s">
        <v>2194</v>
      </c>
      <c r="Z267" s="7"/>
      <c r="AA267" s="7"/>
      <c r="AB267" s="7"/>
      <c r="AC267" s="7" t="n">
        <v>4</v>
      </c>
      <c r="AD267" s="7" t="s">
        <v>1376</v>
      </c>
      <c r="AE267" s="7" t="s">
        <v>1809</v>
      </c>
      <c r="AF267" s="7" t="s">
        <v>2195</v>
      </c>
      <c r="AG267" s="7"/>
      <c r="AH267" s="7"/>
      <c r="AI267" s="7"/>
      <c r="AJ267" s="7"/>
      <c r="AK267" s="7"/>
      <c r="AL267" s="7"/>
      <c r="AM267" s="7"/>
      <c r="AN267" s="7"/>
      <c r="AO267" s="7" t="s">
        <v>1809</v>
      </c>
      <c r="AP267" s="7" t="s">
        <v>2193</v>
      </c>
      <c r="AQ267" s="7" t="s">
        <v>1809</v>
      </c>
      <c r="AR267" s="7" t="s">
        <v>82</v>
      </c>
      <c r="AS267" s="7"/>
      <c r="AT267" s="7"/>
      <c r="AU267" s="7"/>
      <c r="AV267" s="7"/>
      <c r="AW267" s="7" t="s">
        <v>1809</v>
      </c>
      <c r="AX267" s="7" t="s">
        <v>2194</v>
      </c>
      <c r="AY267" s="7"/>
      <c r="AZ267" s="7"/>
      <c r="BA267" s="7"/>
      <c r="BB267" s="7"/>
      <c r="BC267" s="7"/>
      <c r="BD267" s="7"/>
      <c r="BE267" s="7" t="s">
        <v>127</v>
      </c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</row>
    <row r="268" customFormat="false" ht="15" hidden="false" customHeight="false" outlineLevel="0" collapsed="false">
      <c r="A268" s="7" t="s">
        <v>2196</v>
      </c>
      <c r="B268" s="7" t="s">
        <v>2197</v>
      </c>
      <c r="C268" s="7" t="s">
        <v>2198</v>
      </c>
      <c r="D268" s="7" t="s">
        <v>2199</v>
      </c>
      <c r="E268" s="7" t="s">
        <v>101</v>
      </c>
      <c r="F268" s="7" t="s">
        <v>82</v>
      </c>
      <c r="G268" s="7" t="s">
        <v>2200</v>
      </c>
      <c r="H268" s="7" t="s">
        <v>102</v>
      </c>
      <c r="I268" s="7" t="s">
        <v>158</v>
      </c>
      <c r="J268" s="7" t="s">
        <v>104</v>
      </c>
      <c r="K268" s="7" t="s">
        <v>105</v>
      </c>
      <c r="L268" s="7" t="s">
        <v>106</v>
      </c>
      <c r="M268" s="7"/>
      <c r="N268" s="7" t="s">
        <v>2201</v>
      </c>
      <c r="O268" s="7" t="s">
        <v>2202</v>
      </c>
      <c r="P268" s="7" t="s">
        <v>135</v>
      </c>
      <c r="Q268" s="7"/>
      <c r="R268" s="7" t="s">
        <v>109</v>
      </c>
      <c r="S268" s="7" t="s">
        <v>110</v>
      </c>
      <c r="T268" s="7" t="n">
        <v>0.293</v>
      </c>
      <c r="U268" s="7" t="n">
        <v>3</v>
      </c>
      <c r="V268" s="7" t="s">
        <v>90</v>
      </c>
      <c r="W268" s="7"/>
      <c r="X268" s="7"/>
      <c r="Y268" s="7" t="s">
        <v>2085</v>
      </c>
      <c r="Z268" s="7"/>
      <c r="AA268" s="7"/>
      <c r="AB268" s="7"/>
      <c r="AC268" s="7" t="n">
        <v>5</v>
      </c>
      <c r="AD268" s="7" t="s">
        <v>2203</v>
      </c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 t="s">
        <v>265</v>
      </c>
      <c r="AP268" s="7" t="s">
        <v>900</v>
      </c>
      <c r="AQ268" s="7" t="s">
        <v>248</v>
      </c>
      <c r="AR268" s="7" t="s">
        <v>82</v>
      </c>
      <c r="AS268" s="7" t="s">
        <v>265</v>
      </c>
      <c r="AT268" s="7" t="s">
        <v>122</v>
      </c>
      <c r="AU268" s="7"/>
      <c r="AV268" s="7"/>
      <c r="AW268" s="7" t="s">
        <v>248</v>
      </c>
      <c r="AX268" s="7" t="s">
        <v>273</v>
      </c>
      <c r="AY268" s="7"/>
      <c r="AZ268" s="7"/>
      <c r="BA268" s="7" t="s">
        <v>248</v>
      </c>
      <c r="BB268" s="7" t="s">
        <v>369</v>
      </c>
      <c r="BC268" s="7"/>
      <c r="BD268" s="7" t="s">
        <v>220</v>
      </c>
      <c r="BE268" s="7" t="s">
        <v>127</v>
      </c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</row>
    <row r="269" customFormat="false" ht="15" hidden="false" customHeight="false" outlineLevel="0" collapsed="false">
      <c r="A269" s="7" t="s">
        <v>2204</v>
      </c>
      <c r="B269" s="7" t="s">
        <v>2205</v>
      </c>
      <c r="C269" s="7" t="s">
        <v>2206</v>
      </c>
      <c r="D269" s="7" t="s">
        <v>2207</v>
      </c>
      <c r="E269" s="7" t="s">
        <v>82</v>
      </c>
      <c r="F269" s="7" t="s">
        <v>82</v>
      </c>
      <c r="G269" s="7"/>
      <c r="H269" s="7" t="s">
        <v>207</v>
      </c>
      <c r="I269" s="7" t="s">
        <v>158</v>
      </c>
      <c r="J269" s="7" t="s">
        <v>104</v>
      </c>
      <c r="K269" s="7" t="s">
        <v>105</v>
      </c>
      <c r="L269" s="7" t="s">
        <v>106</v>
      </c>
      <c r="M269" s="7"/>
      <c r="N269" s="7" t="s">
        <v>2208</v>
      </c>
      <c r="O269" s="7" t="s">
        <v>2208</v>
      </c>
      <c r="P269" s="7" t="s">
        <v>84</v>
      </c>
      <c r="Q269" s="7"/>
      <c r="R269" s="7" t="s">
        <v>109</v>
      </c>
      <c r="S269" s="7" t="s">
        <v>110</v>
      </c>
      <c r="T269" s="7" t="n">
        <v>0.448</v>
      </c>
      <c r="U269" s="7" t="n">
        <v>3</v>
      </c>
      <c r="V269" s="7" t="s">
        <v>552</v>
      </c>
      <c r="W269" s="7"/>
      <c r="X269" s="7"/>
      <c r="Y269" s="7" t="s">
        <v>2209</v>
      </c>
      <c r="Z269" s="7"/>
      <c r="AA269" s="7"/>
      <c r="AB269" s="7"/>
      <c r="AC269" s="7" t="n">
        <v>0</v>
      </c>
      <c r="AD269" s="7" t="s">
        <v>388</v>
      </c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 t="s">
        <v>2210</v>
      </c>
      <c r="BE269" s="7" t="s">
        <v>127</v>
      </c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</row>
    <row r="270" customFormat="false" ht="15" hidden="false" customHeight="false" outlineLevel="0" collapsed="false">
      <c r="A270" s="7" t="s">
        <v>2211</v>
      </c>
      <c r="B270" s="7" t="s">
        <v>2212</v>
      </c>
      <c r="C270" s="7" t="s">
        <v>2213</v>
      </c>
      <c r="D270" s="7" t="s">
        <v>2214</v>
      </c>
      <c r="E270" s="7" t="s">
        <v>82</v>
      </c>
      <c r="F270" s="7" t="s">
        <v>82</v>
      </c>
      <c r="G270" s="7"/>
      <c r="H270" s="7" t="s">
        <v>207</v>
      </c>
      <c r="I270" s="7" t="s">
        <v>158</v>
      </c>
      <c r="J270" s="7" t="s">
        <v>104</v>
      </c>
      <c r="K270" s="7" t="s">
        <v>105</v>
      </c>
      <c r="L270" s="7" t="s">
        <v>235</v>
      </c>
      <c r="M270" s="7"/>
      <c r="N270" s="7" t="s">
        <v>2215</v>
      </c>
      <c r="O270" s="7" t="s">
        <v>2215</v>
      </c>
      <c r="P270" s="7" t="s">
        <v>84</v>
      </c>
      <c r="Q270" s="7"/>
      <c r="R270" s="7" t="s">
        <v>109</v>
      </c>
      <c r="S270" s="7" t="s">
        <v>110</v>
      </c>
      <c r="T270" s="7" t="n">
        <v>0.784</v>
      </c>
      <c r="U270" s="7" t="n">
        <v>3</v>
      </c>
      <c r="V270" s="7" t="s">
        <v>479</v>
      </c>
      <c r="W270" s="7"/>
      <c r="X270" s="7"/>
      <c r="Y270" s="7" t="s">
        <v>2215</v>
      </c>
      <c r="Z270" s="7"/>
      <c r="AA270" s="7"/>
      <c r="AB270" s="7"/>
      <c r="AC270" s="7" t="n">
        <v>0</v>
      </c>
      <c r="AD270" s="7" t="s">
        <v>388</v>
      </c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 t="s">
        <v>1186</v>
      </c>
      <c r="BE270" s="7" t="s">
        <v>127</v>
      </c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</row>
    <row r="271" customFormat="false" ht="15" hidden="false" customHeight="false" outlineLevel="0" collapsed="false">
      <c r="A271" s="7" t="s">
        <v>2216</v>
      </c>
      <c r="B271" s="7" t="s">
        <v>2217</v>
      </c>
      <c r="C271" s="7" t="s">
        <v>2218</v>
      </c>
      <c r="D271" s="7" t="s">
        <v>1374</v>
      </c>
      <c r="E271" s="7" t="s">
        <v>82</v>
      </c>
      <c r="F271" s="7" t="s">
        <v>82</v>
      </c>
      <c r="G271" s="7"/>
      <c r="H271" s="7" t="s">
        <v>207</v>
      </c>
      <c r="I271" s="7" t="s">
        <v>1104</v>
      </c>
      <c r="J271" s="7" t="s">
        <v>104</v>
      </c>
      <c r="K271" s="7" t="s">
        <v>105</v>
      </c>
      <c r="L271" s="7" t="s">
        <v>235</v>
      </c>
      <c r="M271" s="7"/>
      <c r="N271" s="7" t="s">
        <v>2219</v>
      </c>
      <c r="O271" s="7" t="s">
        <v>2220</v>
      </c>
      <c r="P271" s="7" t="s">
        <v>84</v>
      </c>
      <c r="Q271" s="7"/>
      <c r="R271" s="7" t="s">
        <v>109</v>
      </c>
      <c r="S271" s="7" t="s">
        <v>110</v>
      </c>
      <c r="T271" s="7" t="n">
        <v>0.36</v>
      </c>
      <c r="U271" s="7" t="n">
        <v>3</v>
      </c>
      <c r="V271" s="7" t="s">
        <v>479</v>
      </c>
      <c r="W271" s="7"/>
      <c r="X271" s="7"/>
      <c r="Y271" s="7"/>
      <c r="Z271" s="7"/>
      <c r="AA271" s="7"/>
      <c r="AB271" s="7"/>
      <c r="AC271" s="7" t="n">
        <v>0</v>
      </c>
      <c r="AD271" s="7" t="s">
        <v>388</v>
      </c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 t="s">
        <v>2221</v>
      </c>
      <c r="BE271" s="7" t="s">
        <v>127</v>
      </c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</row>
    <row r="272" customFormat="false" ht="15" hidden="false" customHeight="false" outlineLevel="0" collapsed="false">
      <c r="A272" s="7" t="s">
        <v>2222</v>
      </c>
      <c r="B272" s="7" t="s">
        <v>2223</v>
      </c>
      <c r="C272" s="7" t="s">
        <v>2224</v>
      </c>
      <c r="D272" s="7" t="s">
        <v>1921</v>
      </c>
      <c r="E272" s="7" t="s">
        <v>82</v>
      </c>
      <c r="F272" s="7" t="s">
        <v>82</v>
      </c>
      <c r="G272" s="7"/>
      <c r="H272" s="7" t="s">
        <v>207</v>
      </c>
      <c r="I272" s="7" t="s">
        <v>158</v>
      </c>
      <c r="J272" s="7" t="s">
        <v>104</v>
      </c>
      <c r="K272" s="7" t="s">
        <v>105</v>
      </c>
      <c r="L272" s="7" t="s">
        <v>106</v>
      </c>
      <c r="M272" s="7"/>
      <c r="N272" s="7" t="s">
        <v>2225</v>
      </c>
      <c r="O272" s="7" t="s">
        <v>2225</v>
      </c>
      <c r="P272" s="7" t="s">
        <v>84</v>
      </c>
      <c r="Q272" s="7"/>
      <c r="R272" s="7" t="s">
        <v>109</v>
      </c>
      <c r="S272" s="7" t="s">
        <v>110</v>
      </c>
      <c r="T272" s="7" t="n">
        <v>0.466</v>
      </c>
      <c r="U272" s="7" t="n">
        <v>3</v>
      </c>
      <c r="V272" s="7" t="s">
        <v>161</v>
      </c>
      <c r="W272" s="7"/>
      <c r="X272" s="7"/>
      <c r="Y272" s="7" t="s">
        <v>2225</v>
      </c>
      <c r="Z272" s="7"/>
      <c r="AA272" s="7"/>
      <c r="AB272" s="7"/>
      <c r="AC272" s="7" t="n">
        <v>0</v>
      </c>
      <c r="AD272" s="7" t="s">
        <v>388</v>
      </c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 t="s">
        <v>1186</v>
      </c>
      <c r="BE272" s="7" t="s">
        <v>127</v>
      </c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</row>
    <row r="273" customFormat="false" ht="15" hidden="false" customHeight="false" outlineLevel="0" collapsed="false">
      <c r="A273" s="7" t="s">
        <v>2226</v>
      </c>
      <c r="B273" s="7" t="s">
        <v>2227</v>
      </c>
      <c r="C273" s="7" t="s">
        <v>2228</v>
      </c>
      <c r="D273" s="7" t="s">
        <v>2229</v>
      </c>
      <c r="E273" s="7" t="s">
        <v>82</v>
      </c>
      <c r="F273" s="7" t="s">
        <v>82</v>
      </c>
      <c r="G273" s="7"/>
      <c r="H273" s="7" t="s">
        <v>207</v>
      </c>
      <c r="I273" s="7" t="s">
        <v>208</v>
      </c>
      <c r="J273" s="7" t="s">
        <v>104</v>
      </c>
      <c r="K273" s="7" t="s">
        <v>105</v>
      </c>
      <c r="L273" s="7" t="s">
        <v>106</v>
      </c>
      <c r="M273" s="7"/>
      <c r="N273" s="7" t="s">
        <v>2230</v>
      </c>
      <c r="O273" s="7" t="s">
        <v>2230</v>
      </c>
      <c r="P273" s="7" t="s">
        <v>84</v>
      </c>
      <c r="Q273" s="7"/>
      <c r="R273" s="7" t="s">
        <v>109</v>
      </c>
      <c r="S273" s="7" t="s">
        <v>110</v>
      </c>
      <c r="T273" s="7" t="n">
        <v>0.551</v>
      </c>
      <c r="U273" s="7" t="n">
        <v>3</v>
      </c>
      <c r="V273" s="7" t="s">
        <v>161</v>
      </c>
      <c r="W273" s="7"/>
      <c r="X273" s="7"/>
      <c r="Y273" s="7" t="s">
        <v>2230</v>
      </c>
      <c r="Z273" s="7"/>
      <c r="AA273" s="7"/>
      <c r="AB273" s="7"/>
      <c r="AC273" s="7" t="n">
        <v>4</v>
      </c>
      <c r="AD273" s="7" t="s">
        <v>2231</v>
      </c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 t="s">
        <v>213</v>
      </c>
      <c r="AP273" s="7" t="s">
        <v>2232</v>
      </c>
      <c r="AQ273" s="7" t="s">
        <v>213</v>
      </c>
      <c r="AR273" s="7" t="s">
        <v>516</v>
      </c>
      <c r="AS273" s="7" t="s">
        <v>213</v>
      </c>
      <c r="AT273" s="7" t="s">
        <v>122</v>
      </c>
      <c r="AU273" s="7"/>
      <c r="AV273" s="7"/>
      <c r="AW273" s="7" t="s">
        <v>213</v>
      </c>
      <c r="AX273" s="7" t="s">
        <v>326</v>
      </c>
      <c r="AY273" s="7"/>
      <c r="AZ273" s="7"/>
      <c r="BA273" s="7"/>
      <c r="BB273" s="7"/>
      <c r="BC273" s="7"/>
      <c r="BD273" s="7" t="s">
        <v>2210</v>
      </c>
      <c r="BE273" s="7" t="s">
        <v>127</v>
      </c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</row>
    <row r="274" customFormat="false" ht="15" hidden="false" customHeight="false" outlineLevel="0" collapsed="false">
      <c r="A274" s="7" t="s">
        <v>2233</v>
      </c>
      <c r="B274" s="7" t="s">
        <v>2234</v>
      </c>
      <c r="C274" s="7" t="s">
        <v>2235</v>
      </c>
      <c r="D274" s="7" t="s">
        <v>2236</v>
      </c>
      <c r="E274" s="7" t="s">
        <v>82</v>
      </c>
      <c r="F274" s="7" t="s">
        <v>82</v>
      </c>
      <c r="G274" s="7" t="s">
        <v>2237</v>
      </c>
      <c r="H274" s="7" t="s">
        <v>207</v>
      </c>
      <c r="I274" s="7" t="s">
        <v>158</v>
      </c>
      <c r="J274" s="7" t="s">
        <v>104</v>
      </c>
      <c r="K274" s="7" t="s">
        <v>105</v>
      </c>
      <c r="L274" s="7" t="s">
        <v>353</v>
      </c>
      <c r="M274" s="7"/>
      <c r="N274" s="7" t="s">
        <v>2238</v>
      </c>
      <c r="O274" s="7" t="s">
        <v>2238</v>
      </c>
      <c r="P274" s="7" t="s">
        <v>84</v>
      </c>
      <c r="Q274" s="7"/>
      <c r="R274" s="7" t="s">
        <v>109</v>
      </c>
      <c r="S274" s="7" t="s">
        <v>110</v>
      </c>
      <c r="T274" s="7" t="n">
        <v>0.659</v>
      </c>
      <c r="U274" s="7" t="n">
        <v>3</v>
      </c>
      <c r="V274" s="7" t="s">
        <v>2239</v>
      </c>
      <c r="W274" s="7" t="s">
        <v>2240</v>
      </c>
      <c r="X274" s="7" t="s">
        <v>2241</v>
      </c>
      <c r="Y274" s="7" t="s">
        <v>2242</v>
      </c>
      <c r="Z274" s="7"/>
      <c r="AA274" s="7"/>
      <c r="AB274" s="7"/>
      <c r="AC274" s="7" t="n">
        <v>0</v>
      </c>
      <c r="AD274" s="7" t="s">
        <v>388</v>
      </c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 t="s">
        <v>2210</v>
      </c>
      <c r="BE274" s="7" t="s">
        <v>127</v>
      </c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</row>
    <row r="275" customFormat="false" ht="15" hidden="false" customHeight="false" outlineLevel="0" collapsed="false">
      <c r="A275" s="7" t="s">
        <v>2243</v>
      </c>
      <c r="B275" s="7" t="s">
        <v>2244</v>
      </c>
      <c r="C275" s="7" t="s">
        <v>2245</v>
      </c>
      <c r="D275" s="7" t="s">
        <v>1877</v>
      </c>
      <c r="E275" s="7" t="s">
        <v>82</v>
      </c>
      <c r="F275" s="7" t="s">
        <v>82</v>
      </c>
      <c r="G275" s="7" t="s">
        <v>1878</v>
      </c>
      <c r="H275" s="7"/>
      <c r="I275" s="7" t="s">
        <v>103</v>
      </c>
      <c r="J275" s="7" t="s">
        <v>104</v>
      </c>
      <c r="K275" s="7" t="s">
        <v>105</v>
      </c>
      <c r="L275" s="7" t="s">
        <v>106</v>
      </c>
      <c r="M275" s="7"/>
      <c r="N275" s="7" t="s">
        <v>2246</v>
      </c>
      <c r="O275" s="7" t="s">
        <v>2246</v>
      </c>
      <c r="P275" s="7" t="s">
        <v>84</v>
      </c>
      <c r="Q275" s="7"/>
      <c r="R275" s="7" t="s">
        <v>109</v>
      </c>
      <c r="S275" s="7" t="s">
        <v>110</v>
      </c>
      <c r="T275" s="7" t="n">
        <v>0.488</v>
      </c>
      <c r="U275" s="7" t="n">
        <v>3</v>
      </c>
      <c r="V275" s="7" t="s">
        <v>1112</v>
      </c>
      <c r="W275" s="7" t="s">
        <v>2247</v>
      </c>
      <c r="X275" s="7" t="s">
        <v>2248</v>
      </c>
      <c r="Y275" s="7" t="s">
        <v>2249</v>
      </c>
      <c r="Z275" s="7"/>
      <c r="AA275" s="7"/>
      <c r="AB275" s="7"/>
      <c r="AC275" s="7" t="n">
        <v>4</v>
      </c>
      <c r="AD275" s="7" t="s">
        <v>1376</v>
      </c>
      <c r="AE275" s="7" t="s">
        <v>1809</v>
      </c>
      <c r="AF275" s="7" t="s">
        <v>2245</v>
      </c>
      <c r="AG275" s="7"/>
      <c r="AH275" s="7"/>
      <c r="AI275" s="7"/>
      <c r="AJ275" s="7"/>
      <c r="AK275" s="7"/>
      <c r="AL275" s="7"/>
      <c r="AM275" s="7"/>
      <c r="AN275" s="7"/>
      <c r="AO275" s="7" t="s">
        <v>1809</v>
      </c>
      <c r="AP275" s="7" t="s">
        <v>1877</v>
      </c>
      <c r="AQ275" s="7" t="s">
        <v>1809</v>
      </c>
      <c r="AR275" s="7" t="s">
        <v>82</v>
      </c>
      <c r="AS275" s="7"/>
      <c r="AT275" s="7"/>
      <c r="AU275" s="7"/>
      <c r="AV275" s="7"/>
      <c r="AW275" s="7" t="s">
        <v>1809</v>
      </c>
      <c r="AX275" s="7" t="s">
        <v>2246</v>
      </c>
      <c r="AY275" s="7"/>
      <c r="AZ275" s="7"/>
      <c r="BA275" s="7"/>
      <c r="BB275" s="7"/>
      <c r="BC275" s="7"/>
      <c r="BD275" s="7" t="s">
        <v>1885</v>
      </c>
      <c r="BE275" s="7" t="s">
        <v>127</v>
      </c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</row>
    <row r="276" customFormat="false" ht="15" hidden="false" customHeight="false" outlineLevel="0" collapsed="false">
      <c r="A276" s="7" t="s">
        <v>2250</v>
      </c>
      <c r="B276" s="7" t="s">
        <v>2251</v>
      </c>
      <c r="C276" s="7" t="s">
        <v>2252</v>
      </c>
      <c r="D276" s="7" t="s">
        <v>1877</v>
      </c>
      <c r="E276" s="7" t="s">
        <v>82</v>
      </c>
      <c r="F276" s="7" t="s">
        <v>82</v>
      </c>
      <c r="G276" s="7" t="s">
        <v>1878</v>
      </c>
      <c r="H276" s="7"/>
      <c r="I276" s="7" t="s">
        <v>158</v>
      </c>
      <c r="J276" s="7" t="s">
        <v>104</v>
      </c>
      <c r="K276" s="7" t="s">
        <v>105</v>
      </c>
      <c r="L276" s="7" t="s">
        <v>106</v>
      </c>
      <c r="M276" s="7"/>
      <c r="N276" s="7" t="s">
        <v>2253</v>
      </c>
      <c r="O276" s="7" t="s">
        <v>2253</v>
      </c>
      <c r="P276" s="7" t="s">
        <v>84</v>
      </c>
      <c r="Q276" s="7"/>
      <c r="R276" s="7" t="s">
        <v>109</v>
      </c>
      <c r="S276" s="7" t="s">
        <v>110</v>
      </c>
      <c r="T276" s="7" t="n">
        <v>0.558</v>
      </c>
      <c r="U276" s="7" t="n">
        <v>3</v>
      </c>
      <c r="V276" s="7" t="s">
        <v>1112</v>
      </c>
      <c r="W276" s="7" t="s">
        <v>2247</v>
      </c>
      <c r="X276" s="7" t="s">
        <v>2248</v>
      </c>
      <c r="Y276" s="7" t="s">
        <v>2249</v>
      </c>
      <c r="Z276" s="7"/>
      <c r="AA276" s="7"/>
      <c r="AB276" s="7"/>
      <c r="AC276" s="7" t="n">
        <v>4</v>
      </c>
      <c r="AD276" s="7" t="s">
        <v>1376</v>
      </c>
      <c r="AE276" s="7" t="s">
        <v>1809</v>
      </c>
      <c r="AF276" s="7" t="s">
        <v>2252</v>
      </c>
      <c r="AG276" s="7"/>
      <c r="AH276" s="7"/>
      <c r="AI276" s="7"/>
      <c r="AJ276" s="7"/>
      <c r="AK276" s="7"/>
      <c r="AL276" s="7"/>
      <c r="AM276" s="7"/>
      <c r="AN276" s="7"/>
      <c r="AO276" s="7" t="s">
        <v>1809</v>
      </c>
      <c r="AP276" s="7" t="s">
        <v>1877</v>
      </c>
      <c r="AQ276" s="7" t="s">
        <v>1809</v>
      </c>
      <c r="AR276" s="7" t="s">
        <v>82</v>
      </c>
      <c r="AS276" s="7"/>
      <c r="AT276" s="7"/>
      <c r="AU276" s="7"/>
      <c r="AV276" s="7"/>
      <c r="AW276" s="7" t="s">
        <v>1809</v>
      </c>
      <c r="AX276" s="7" t="s">
        <v>2253</v>
      </c>
      <c r="AY276" s="7"/>
      <c r="AZ276" s="7"/>
      <c r="BA276" s="7"/>
      <c r="BB276" s="7"/>
      <c r="BC276" s="7"/>
      <c r="BD276" s="7" t="s">
        <v>1885</v>
      </c>
      <c r="BE276" s="7" t="s">
        <v>127</v>
      </c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</row>
    <row r="277" customFormat="false" ht="15" hidden="false" customHeight="false" outlineLevel="0" collapsed="false">
      <c r="A277" s="7" t="s">
        <v>2254</v>
      </c>
      <c r="B277" s="7" t="s">
        <v>2255</v>
      </c>
      <c r="C277" s="7" t="s">
        <v>2256</v>
      </c>
      <c r="D277" s="7" t="s">
        <v>1877</v>
      </c>
      <c r="E277" s="7" t="s">
        <v>82</v>
      </c>
      <c r="F277" s="7" t="s">
        <v>82</v>
      </c>
      <c r="G277" s="7" t="s">
        <v>1878</v>
      </c>
      <c r="H277" s="7"/>
      <c r="I277" s="7" t="s">
        <v>158</v>
      </c>
      <c r="J277" s="7" t="s">
        <v>104</v>
      </c>
      <c r="K277" s="7" t="s">
        <v>105</v>
      </c>
      <c r="L277" s="7" t="s">
        <v>106</v>
      </c>
      <c r="M277" s="7"/>
      <c r="N277" s="7" t="s">
        <v>2257</v>
      </c>
      <c r="O277" s="7" t="s">
        <v>2257</v>
      </c>
      <c r="P277" s="7" t="s">
        <v>84</v>
      </c>
      <c r="Q277" s="7"/>
      <c r="R277" s="7" t="s">
        <v>109</v>
      </c>
      <c r="S277" s="7" t="s">
        <v>110</v>
      </c>
      <c r="T277" s="7" t="n">
        <v>0.606</v>
      </c>
      <c r="U277" s="7" t="n">
        <v>3</v>
      </c>
      <c r="V277" s="7" t="s">
        <v>1112</v>
      </c>
      <c r="W277" s="7" t="s">
        <v>2247</v>
      </c>
      <c r="X277" s="7" t="s">
        <v>2248</v>
      </c>
      <c r="Y277" s="7" t="s">
        <v>2249</v>
      </c>
      <c r="Z277" s="7"/>
      <c r="AA277" s="7"/>
      <c r="AB277" s="7"/>
      <c r="AC277" s="7" t="n">
        <v>4</v>
      </c>
      <c r="AD277" s="7" t="s">
        <v>1376</v>
      </c>
      <c r="AE277" s="7" t="s">
        <v>1809</v>
      </c>
      <c r="AF277" s="7" t="s">
        <v>2256</v>
      </c>
      <c r="AG277" s="7"/>
      <c r="AH277" s="7"/>
      <c r="AI277" s="7"/>
      <c r="AJ277" s="7"/>
      <c r="AK277" s="7"/>
      <c r="AL277" s="7"/>
      <c r="AM277" s="7"/>
      <c r="AN277" s="7"/>
      <c r="AO277" s="7" t="s">
        <v>1809</v>
      </c>
      <c r="AP277" s="7" t="s">
        <v>1877</v>
      </c>
      <c r="AQ277" s="7" t="s">
        <v>1809</v>
      </c>
      <c r="AR277" s="7" t="s">
        <v>82</v>
      </c>
      <c r="AS277" s="7"/>
      <c r="AT277" s="7"/>
      <c r="AU277" s="7"/>
      <c r="AV277" s="7"/>
      <c r="AW277" s="7" t="s">
        <v>1809</v>
      </c>
      <c r="AX277" s="7" t="s">
        <v>2257</v>
      </c>
      <c r="AY277" s="7"/>
      <c r="AZ277" s="7"/>
      <c r="BA277" s="7"/>
      <c r="BB277" s="7"/>
      <c r="BC277" s="7"/>
      <c r="BD277" s="7" t="s">
        <v>1885</v>
      </c>
      <c r="BE277" s="7" t="s">
        <v>127</v>
      </c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</row>
    <row r="278" customFormat="false" ht="15" hidden="false" customHeight="false" outlineLevel="0" collapsed="false">
      <c r="A278" s="7" t="s">
        <v>2258</v>
      </c>
      <c r="B278" s="7" t="s">
        <v>2259</v>
      </c>
      <c r="C278" s="7" t="s">
        <v>2260</v>
      </c>
      <c r="D278" s="7" t="s">
        <v>1877</v>
      </c>
      <c r="E278" s="7" t="s">
        <v>82</v>
      </c>
      <c r="F278" s="7" t="s">
        <v>82</v>
      </c>
      <c r="G278" s="7" t="s">
        <v>1878</v>
      </c>
      <c r="H278" s="7"/>
      <c r="I278" s="7" t="s">
        <v>158</v>
      </c>
      <c r="J278" s="7" t="s">
        <v>104</v>
      </c>
      <c r="K278" s="7" t="s">
        <v>105</v>
      </c>
      <c r="L278" s="7" t="s">
        <v>106</v>
      </c>
      <c r="M278" s="7"/>
      <c r="N278" s="7" t="s">
        <v>2261</v>
      </c>
      <c r="O278" s="7" t="s">
        <v>2261</v>
      </c>
      <c r="P278" s="7" t="s">
        <v>84</v>
      </c>
      <c r="Q278" s="7"/>
      <c r="R278" s="7" t="s">
        <v>109</v>
      </c>
      <c r="S278" s="7" t="s">
        <v>110</v>
      </c>
      <c r="T278" s="7" t="n">
        <v>0.486</v>
      </c>
      <c r="U278" s="7" t="n">
        <v>3</v>
      </c>
      <c r="V278" s="7" t="s">
        <v>1112</v>
      </c>
      <c r="W278" s="7" t="s">
        <v>2247</v>
      </c>
      <c r="X278" s="7" t="s">
        <v>2248</v>
      </c>
      <c r="Y278" s="7" t="s">
        <v>2249</v>
      </c>
      <c r="Z278" s="7"/>
      <c r="AA278" s="7"/>
      <c r="AB278" s="7"/>
      <c r="AC278" s="7" t="n">
        <v>4</v>
      </c>
      <c r="AD278" s="7" t="s">
        <v>1376</v>
      </c>
      <c r="AE278" s="7" t="s">
        <v>1809</v>
      </c>
      <c r="AF278" s="7" t="s">
        <v>2260</v>
      </c>
      <c r="AG278" s="7"/>
      <c r="AH278" s="7"/>
      <c r="AI278" s="7"/>
      <c r="AJ278" s="7"/>
      <c r="AK278" s="7"/>
      <c r="AL278" s="7"/>
      <c r="AM278" s="7"/>
      <c r="AN278" s="7"/>
      <c r="AO278" s="7" t="s">
        <v>1809</v>
      </c>
      <c r="AP278" s="7" t="s">
        <v>1877</v>
      </c>
      <c r="AQ278" s="7" t="s">
        <v>1809</v>
      </c>
      <c r="AR278" s="7" t="s">
        <v>82</v>
      </c>
      <c r="AS278" s="7"/>
      <c r="AT278" s="7"/>
      <c r="AU278" s="7"/>
      <c r="AV278" s="7"/>
      <c r="AW278" s="7" t="s">
        <v>1809</v>
      </c>
      <c r="AX278" s="7" t="s">
        <v>2261</v>
      </c>
      <c r="AY278" s="7"/>
      <c r="AZ278" s="7"/>
      <c r="BA278" s="7"/>
      <c r="BB278" s="7"/>
      <c r="BC278" s="7"/>
      <c r="BD278" s="7" t="s">
        <v>1885</v>
      </c>
      <c r="BE278" s="7" t="s">
        <v>127</v>
      </c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</row>
    <row r="279" customFormat="false" ht="15" hidden="false" customHeight="false" outlineLevel="0" collapsed="false">
      <c r="A279" s="7" t="s">
        <v>2262</v>
      </c>
      <c r="B279" s="7" t="s">
        <v>2263</v>
      </c>
      <c r="C279" s="7" t="s">
        <v>2264</v>
      </c>
      <c r="D279" s="7" t="s">
        <v>1877</v>
      </c>
      <c r="E279" s="7" t="s">
        <v>82</v>
      </c>
      <c r="F279" s="7" t="s">
        <v>82</v>
      </c>
      <c r="G279" s="7" t="s">
        <v>1878</v>
      </c>
      <c r="H279" s="7"/>
      <c r="I279" s="7" t="s">
        <v>103</v>
      </c>
      <c r="J279" s="7" t="s">
        <v>104</v>
      </c>
      <c r="K279" s="7" t="s">
        <v>105</v>
      </c>
      <c r="L279" s="7" t="s">
        <v>106</v>
      </c>
      <c r="M279" s="7"/>
      <c r="N279" s="7" t="s">
        <v>2265</v>
      </c>
      <c r="O279" s="7" t="s">
        <v>2265</v>
      </c>
      <c r="P279" s="7" t="s">
        <v>84</v>
      </c>
      <c r="Q279" s="7"/>
      <c r="R279" s="7" t="s">
        <v>109</v>
      </c>
      <c r="S279" s="7" t="s">
        <v>110</v>
      </c>
      <c r="T279" s="7" t="n">
        <v>0.495</v>
      </c>
      <c r="U279" s="7" t="n">
        <v>3</v>
      </c>
      <c r="V279" s="7" t="s">
        <v>1112</v>
      </c>
      <c r="W279" s="7" t="s">
        <v>2247</v>
      </c>
      <c r="X279" s="7" t="s">
        <v>2248</v>
      </c>
      <c r="Y279" s="7" t="s">
        <v>2249</v>
      </c>
      <c r="Z279" s="7"/>
      <c r="AA279" s="7"/>
      <c r="AB279" s="7"/>
      <c r="AC279" s="7" t="n">
        <v>4</v>
      </c>
      <c r="AD279" s="7" t="s">
        <v>1376</v>
      </c>
      <c r="AE279" s="7" t="s">
        <v>1809</v>
      </c>
      <c r="AF279" s="7" t="s">
        <v>2264</v>
      </c>
      <c r="AG279" s="7"/>
      <c r="AH279" s="7"/>
      <c r="AI279" s="7"/>
      <c r="AJ279" s="7"/>
      <c r="AK279" s="7"/>
      <c r="AL279" s="7"/>
      <c r="AM279" s="7"/>
      <c r="AN279" s="7"/>
      <c r="AO279" s="7" t="s">
        <v>1809</v>
      </c>
      <c r="AP279" s="7" t="s">
        <v>1877</v>
      </c>
      <c r="AQ279" s="7" t="s">
        <v>1809</v>
      </c>
      <c r="AR279" s="7" t="s">
        <v>82</v>
      </c>
      <c r="AS279" s="7"/>
      <c r="AT279" s="7"/>
      <c r="AU279" s="7"/>
      <c r="AV279" s="7"/>
      <c r="AW279" s="7" t="s">
        <v>1809</v>
      </c>
      <c r="AX279" s="7" t="s">
        <v>2265</v>
      </c>
      <c r="AY279" s="7"/>
      <c r="AZ279" s="7"/>
      <c r="BA279" s="7"/>
      <c r="BB279" s="7"/>
      <c r="BC279" s="7"/>
      <c r="BD279" s="7" t="s">
        <v>1885</v>
      </c>
      <c r="BE279" s="7" t="s">
        <v>127</v>
      </c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</row>
    <row r="280" customFormat="false" ht="15" hidden="false" customHeight="false" outlineLevel="0" collapsed="false">
      <c r="A280" s="7" t="s">
        <v>2266</v>
      </c>
      <c r="B280" s="7" t="s">
        <v>2267</v>
      </c>
      <c r="C280" s="7" t="s">
        <v>2268</v>
      </c>
      <c r="D280" s="7" t="s">
        <v>1877</v>
      </c>
      <c r="E280" s="7" t="s">
        <v>82</v>
      </c>
      <c r="F280" s="7" t="s">
        <v>82</v>
      </c>
      <c r="G280" s="7" t="s">
        <v>1878</v>
      </c>
      <c r="H280" s="7"/>
      <c r="I280" s="7" t="s">
        <v>158</v>
      </c>
      <c r="J280" s="7" t="s">
        <v>104</v>
      </c>
      <c r="K280" s="7" t="s">
        <v>105</v>
      </c>
      <c r="L280" s="7" t="s">
        <v>106</v>
      </c>
      <c r="M280" s="7"/>
      <c r="N280" s="7" t="s">
        <v>2269</v>
      </c>
      <c r="O280" s="7" t="s">
        <v>2269</v>
      </c>
      <c r="P280" s="7" t="s">
        <v>84</v>
      </c>
      <c r="Q280" s="7"/>
      <c r="R280" s="7" t="s">
        <v>109</v>
      </c>
      <c r="S280" s="7" t="s">
        <v>110</v>
      </c>
      <c r="T280" s="7" t="n">
        <v>0.605</v>
      </c>
      <c r="U280" s="7" t="n">
        <v>3</v>
      </c>
      <c r="V280" s="7" t="s">
        <v>1112</v>
      </c>
      <c r="W280" s="7" t="s">
        <v>2247</v>
      </c>
      <c r="X280" s="7" t="s">
        <v>2248</v>
      </c>
      <c r="Y280" s="7" t="s">
        <v>2249</v>
      </c>
      <c r="Z280" s="7"/>
      <c r="AA280" s="7"/>
      <c r="AB280" s="7"/>
      <c r="AC280" s="7" t="n">
        <v>4</v>
      </c>
      <c r="AD280" s="7" t="s">
        <v>1376</v>
      </c>
      <c r="AE280" s="7" t="s">
        <v>1809</v>
      </c>
      <c r="AF280" s="7" t="s">
        <v>2268</v>
      </c>
      <c r="AG280" s="7"/>
      <c r="AH280" s="7"/>
      <c r="AI280" s="7"/>
      <c r="AJ280" s="7"/>
      <c r="AK280" s="7"/>
      <c r="AL280" s="7"/>
      <c r="AM280" s="7"/>
      <c r="AN280" s="7"/>
      <c r="AO280" s="7" t="s">
        <v>1809</v>
      </c>
      <c r="AP280" s="7" t="s">
        <v>1877</v>
      </c>
      <c r="AQ280" s="7" t="s">
        <v>1809</v>
      </c>
      <c r="AR280" s="7" t="s">
        <v>82</v>
      </c>
      <c r="AS280" s="7"/>
      <c r="AT280" s="7"/>
      <c r="AU280" s="7"/>
      <c r="AV280" s="7"/>
      <c r="AW280" s="7" t="s">
        <v>1809</v>
      </c>
      <c r="AX280" s="7" t="s">
        <v>2269</v>
      </c>
      <c r="AY280" s="7"/>
      <c r="AZ280" s="7"/>
      <c r="BA280" s="7"/>
      <c r="BB280" s="7"/>
      <c r="BC280" s="7"/>
      <c r="BD280" s="7" t="s">
        <v>1885</v>
      </c>
      <c r="BE280" s="7" t="s">
        <v>127</v>
      </c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</row>
    <row r="281" customFormat="false" ht="15" hidden="false" customHeight="false" outlineLevel="0" collapsed="false">
      <c r="A281" s="7" t="s">
        <v>2270</v>
      </c>
      <c r="B281" s="7" t="s">
        <v>2271</v>
      </c>
      <c r="C281" s="7" t="s">
        <v>2272</v>
      </c>
      <c r="D281" s="7" t="s">
        <v>1877</v>
      </c>
      <c r="E281" s="7" t="s">
        <v>82</v>
      </c>
      <c r="F281" s="7" t="s">
        <v>82</v>
      </c>
      <c r="G281" s="7" t="s">
        <v>1878</v>
      </c>
      <c r="H281" s="7"/>
      <c r="I281" s="7" t="s">
        <v>158</v>
      </c>
      <c r="J281" s="7" t="s">
        <v>104</v>
      </c>
      <c r="K281" s="7" t="s">
        <v>105</v>
      </c>
      <c r="L281" s="7" t="s">
        <v>106</v>
      </c>
      <c r="M281" s="7"/>
      <c r="N281" s="7" t="s">
        <v>2249</v>
      </c>
      <c r="O281" s="7" t="s">
        <v>2249</v>
      </c>
      <c r="P281" s="7" t="s">
        <v>84</v>
      </c>
      <c r="Q281" s="7"/>
      <c r="R281" s="7" t="s">
        <v>109</v>
      </c>
      <c r="S281" s="7" t="s">
        <v>110</v>
      </c>
      <c r="T281" s="7" t="n">
        <v>0.602</v>
      </c>
      <c r="U281" s="7" t="n">
        <v>3</v>
      </c>
      <c r="V281" s="7" t="s">
        <v>1112</v>
      </c>
      <c r="W281" s="7" t="s">
        <v>2247</v>
      </c>
      <c r="X281" s="7" t="s">
        <v>2248</v>
      </c>
      <c r="Y281" s="7" t="s">
        <v>2249</v>
      </c>
      <c r="Z281" s="7"/>
      <c r="AA281" s="7"/>
      <c r="AB281" s="7"/>
      <c r="AC281" s="7" t="n">
        <v>5</v>
      </c>
      <c r="AD281" s="7" t="s">
        <v>743</v>
      </c>
      <c r="AE281" s="7" t="s">
        <v>1809</v>
      </c>
      <c r="AF281" s="7" t="s">
        <v>2272</v>
      </c>
      <c r="AG281" s="7" t="s">
        <v>1809</v>
      </c>
      <c r="AH281" s="7" t="s">
        <v>2248</v>
      </c>
      <c r="AI281" s="7"/>
      <c r="AJ281" s="7"/>
      <c r="AK281" s="7"/>
      <c r="AL281" s="7"/>
      <c r="AM281" s="7"/>
      <c r="AN281" s="7"/>
      <c r="AO281" s="7" t="s">
        <v>1809</v>
      </c>
      <c r="AP281" s="7" t="s">
        <v>1877</v>
      </c>
      <c r="AQ281" s="7" t="s">
        <v>1809</v>
      </c>
      <c r="AR281" s="7" t="s">
        <v>82</v>
      </c>
      <c r="AS281" s="7"/>
      <c r="AT281" s="7"/>
      <c r="AU281" s="7"/>
      <c r="AV281" s="7"/>
      <c r="AW281" s="7" t="s">
        <v>1809</v>
      </c>
      <c r="AX281" s="7" t="s">
        <v>2249</v>
      </c>
      <c r="AY281" s="7"/>
      <c r="AZ281" s="7"/>
      <c r="BA281" s="7"/>
      <c r="BB281" s="7"/>
      <c r="BC281" s="7"/>
      <c r="BD281" s="7" t="s">
        <v>1885</v>
      </c>
      <c r="BE281" s="7" t="s">
        <v>127</v>
      </c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</row>
    <row r="282" customFormat="false" ht="15" hidden="false" customHeight="false" outlineLevel="0" collapsed="false">
      <c r="A282" s="7" t="s">
        <v>2273</v>
      </c>
      <c r="B282" s="7" t="s">
        <v>2274</v>
      </c>
      <c r="C282" s="7" t="s">
        <v>2275</v>
      </c>
      <c r="D282" s="7" t="s">
        <v>2276</v>
      </c>
      <c r="E282" s="7" t="s">
        <v>101</v>
      </c>
      <c r="F282" s="7" t="s">
        <v>156</v>
      </c>
      <c r="G282" s="7"/>
      <c r="H282" s="7" t="s">
        <v>157</v>
      </c>
      <c r="I282" s="7" t="s">
        <v>158</v>
      </c>
      <c r="J282" s="7" t="s">
        <v>159</v>
      </c>
      <c r="K282" s="7" t="s">
        <v>105</v>
      </c>
      <c r="L282" s="7" t="s">
        <v>106</v>
      </c>
      <c r="M282" s="7" t="s">
        <v>2277</v>
      </c>
      <c r="N282" s="7" t="s">
        <v>2278</v>
      </c>
      <c r="O282" s="7"/>
      <c r="P282" s="7" t="s">
        <v>84</v>
      </c>
      <c r="Q282" s="7"/>
      <c r="R282" s="7" t="s">
        <v>135</v>
      </c>
      <c r="S282" s="7" t="s">
        <v>136</v>
      </c>
      <c r="T282" s="7" t="n">
        <v>0.724</v>
      </c>
      <c r="U282" s="7" t="n">
        <v>3</v>
      </c>
      <c r="V282" s="7" t="s">
        <v>111</v>
      </c>
      <c r="W282" s="7" t="s">
        <v>2279</v>
      </c>
      <c r="X282" s="7" t="s">
        <v>2280</v>
      </c>
      <c r="Y282" s="7" t="s">
        <v>2281</v>
      </c>
      <c r="Z282" s="7" t="s">
        <v>2282</v>
      </c>
      <c r="AA282" s="7"/>
      <c r="AB282" s="7"/>
      <c r="AC282" s="7" t="n">
        <v>12</v>
      </c>
      <c r="AD282" s="7"/>
      <c r="AE282" s="7" t="s">
        <v>166</v>
      </c>
      <c r="AF282" s="7" t="s">
        <v>2283</v>
      </c>
      <c r="AG282" s="7" t="s">
        <v>166</v>
      </c>
      <c r="AH282" s="7" t="s">
        <v>2284</v>
      </c>
      <c r="AI282" s="7" t="s">
        <v>619</v>
      </c>
      <c r="AJ282" s="7" t="s">
        <v>145</v>
      </c>
      <c r="AK282" s="7" t="s">
        <v>115</v>
      </c>
      <c r="AL282" s="7" t="s">
        <v>116</v>
      </c>
      <c r="AM282" s="7" t="s">
        <v>166</v>
      </c>
      <c r="AN282" s="7" t="s">
        <v>2285</v>
      </c>
      <c r="AO282" s="7" t="s">
        <v>166</v>
      </c>
      <c r="AP282" s="7" t="s">
        <v>2286</v>
      </c>
      <c r="AQ282" s="7" t="s">
        <v>166</v>
      </c>
      <c r="AR282" s="7" t="s">
        <v>2287</v>
      </c>
      <c r="AS282" s="7" t="s">
        <v>166</v>
      </c>
      <c r="AT282" s="7" t="s">
        <v>343</v>
      </c>
      <c r="AU282" s="7" t="s">
        <v>166</v>
      </c>
      <c r="AV282" s="7" t="s">
        <v>2288</v>
      </c>
      <c r="AW282" s="7" t="s">
        <v>166</v>
      </c>
      <c r="AX282" s="7" t="s">
        <v>2289</v>
      </c>
      <c r="AY282" s="7" t="s">
        <v>166</v>
      </c>
      <c r="AZ282" s="7" t="s">
        <v>2290</v>
      </c>
      <c r="BA282" s="7" t="s">
        <v>166</v>
      </c>
      <c r="BB282" s="7" t="s">
        <v>2291</v>
      </c>
      <c r="BC282" s="7" t="s">
        <v>178</v>
      </c>
      <c r="BD282" s="7" t="s">
        <v>2292</v>
      </c>
      <c r="BE282" s="7" t="s">
        <v>127</v>
      </c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</row>
    <row r="283" customFormat="false" ht="15" hidden="false" customHeight="false" outlineLevel="0" collapsed="false">
      <c r="A283" s="7" t="s">
        <v>2293</v>
      </c>
      <c r="B283" s="7" t="s">
        <v>2294</v>
      </c>
      <c r="C283" s="7" t="s">
        <v>2295</v>
      </c>
      <c r="D283" s="7"/>
      <c r="E283" s="7" t="s">
        <v>2296</v>
      </c>
      <c r="F283" s="7" t="s">
        <v>2296</v>
      </c>
      <c r="G283" s="7"/>
      <c r="H283" s="7" t="s">
        <v>102</v>
      </c>
      <c r="I283" s="7" t="s">
        <v>132</v>
      </c>
      <c r="J283" s="7" t="s">
        <v>104</v>
      </c>
      <c r="K283" s="7" t="s">
        <v>105</v>
      </c>
      <c r="L283" s="7" t="s">
        <v>106</v>
      </c>
      <c r="M283" s="7" t="s">
        <v>419</v>
      </c>
      <c r="N283" s="7" t="s">
        <v>2297</v>
      </c>
      <c r="O283" s="7" t="s">
        <v>2297</v>
      </c>
      <c r="P283" s="7" t="s">
        <v>84</v>
      </c>
      <c r="Q283" s="7"/>
      <c r="R283" s="7" t="s">
        <v>109</v>
      </c>
      <c r="S283" s="7" t="s">
        <v>110</v>
      </c>
      <c r="T283" s="7" t="n">
        <v>0.681</v>
      </c>
      <c r="U283" s="7" t="n">
        <v>3</v>
      </c>
      <c r="V283" s="7" t="s">
        <v>111</v>
      </c>
      <c r="W283" s="7"/>
      <c r="X283" s="7" t="s">
        <v>2298</v>
      </c>
      <c r="Y283" s="7" t="s">
        <v>2297</v>
      </c>
      <c r="Z283" s="7"/>
      <c r="AA283" s="7"/>
      <c r="AB283" s="7"/>
      <c r="AC283" s="7" t="n">
        <v>4</v>
      </c>
      <c r="AD283" s="7" t="s">
        <v>2299</v>
      </c>
      <c r="AE283" s="7" t="s">
        <v>435</v>
      </c>
      <c r="AF283" s="7" t="s">
        <v>2300</v>
      </c>
      <c r="AG283" s="7" t="s">
        <v>435</v>
      </c>
      <c r="AH283" s="7" t="s">
        <v>2298</v>
      </c>
      <c r="AI283" s="7"/>
      <c r="AJ283" s="7"/>
      <c r="AK283" s="7"/>
      <c r="AL283" s="7"/>
      <c r="AM283" s="7"/>
      <c r="AN283" s="7"/>
      <c r="AO283" s="7"/>
      <c r="AP283" s="7"/>
      <c r="AQ283" s="7" t="s">
        <v>435</v>
      </c>
      <c r="AR283" s="7" t="s">
        <v>2296</v>
      </c>
      <c r="AS283" s="7"/>
      <c r="AT283" s="7"/>
      <c r="AU283" s="7"/>
      <c r="AV283" s="7"/>
      <c r="AW283" s="7" t="s">
        <v>435</v>
      </c>
      <c r="AX283" s="7" t="s">
        <v>2297</v>
      </c>
      <c r="AY283" s="7"/>
      <c r="AZ283" s="7"/>
      <c r="BA283" s="7"/>
      <c r="BB283" s="7"/>
      <c r="BC283" s="7" t="s">
        <v>427</v>
      </c>
      <c r="BD283" s="7" t="s">
        <v>1861</v>
      </c>
      <c r="BE283" s="7" t="s">
        <v>127</v>
      </c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</row>
    <row r="284" customFormat="false" ht="15" hidden="false" customHeight="false" outlineLevel="0" collapsed="false">
      <c r="A284" s="7" t="s">
        <v>2301</v>
      </c>
      <c r="B284" s="7" t="s">
        <v>2302</v>
      </c>
      <c r="C284" s="7" t="s">
        <v>2303</v>
      </c>
      <c r="D284" s="7" t="s">
        <v>2037</v>
      </c>
      <c r="E284" s="7" t="s">
        <v>101</v>
      </c>
      <c r="F284" s="7" t="s">
        <v>101</v>
      </c>
      <c r="G284" s="7"/>
      <c r="H284" s="7" t="s">
        <v>102</v>
      </c>
      <c r="I284" s="7" t="s">
        <v>158</v>
      </c>
      <c r="J284" s="7" t="s">
        <v>104</v>
      </c>
      <c r="K284" s="7" t="s">
        <v>105</v>
      </c>
      <c r="L284" s="7" t="s">
        <v>106</v>
      </c>
      <c r="M284" s="7" t="s">
        <v>2304</v>
      </c>
      <c r="N284" s="7" t="s">
        <v>2305</v>
      </c>
      <c r="O284" s="7" t="s">
        <v>2305</v>
      </c>
      <c r="P284" s="7" t="s">
        <v>135</v>
      </c>
      <c r="Q284" s="7"/>
      <c r="R284" s="7" t="s">
        <v>109</v>
      </c>
      <c r="S284" s="7" t="s">
        <v>110</v>
      </c>
      <c r="T284" s="7" t="n">
        <v>0.574</v>
      </c>
      <c r="U284" s="7" t="n">
        <v>3</v>
      </c>
      <c r="V284" s="7" t="s">
        <v>552</v>
      </c>
      <c r="W284" s="7"/>
      <c r="X284" s="7"/>
      <c r="Y284" s="7" t="s">
        <v>2305</v>
      </c>
      <c r="Z284" s="7"/>
      <c r="AA284" s="7"/>
      <c r="AB284" s="7"/>
      <c r="AC284" s="7" t="n">
        <v>3</v>
      </c>
      <c r="AD284" s="7" t="s">
        <v>1492</v>
      </c>
      <c r="AE284" s="7" t="s">
        <v>189</v>
      </c>
      <c r="AF284" s="7" t="s">
        <v>2303</v>
      </c>
      <c r="AG284" s="7"/>
      <c r="AH284" s="7"/>
      <c r="AI284" s="7"/>
      <c r="AJ284" s="7"/>
      <c r="AK284" s="7"/>
      <c r="AL284" s="7"/>
      <c r="AM284" s="7"/>
      <c r="AN284" s="7"/>
      <c r="AO284" s="7" t="s">
        <v>744</v>
      </c>
      <c r="AP284" s="7" t="s">
        <v>2306</v>
      </c>
      <c r="AQ284" s="7"/>
      <c r="AR284" s="7"/>
      <c r="AS284" s="7"/>
      <c r="AT284" s="7"/>
      <c r="AU284" s="7"/>
      <c r="AV284" s="7"/>
      <c r="AW284" s="7" t="s">
        <v>189</v>
      </c>
      <c r="AX284" s="7" t="s">
        <v>2307</v>
      </c>
      <c r="AY284" s="7"/>
      <c r="AZ284" s="7"/>
      <c r="BA284" s="7"/>
      <c r="BB284" s="7"/>
      <c r="BC284" s="7" t="s">
        <v>125</v>
      </c>
      <c r="BD284" s="7" t="s">
        <v>563</v>
      </c>
      <c r="BE284" s="7" t="s">
        <v>127</v>
      </c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</row>
    <row r="285" customFormat="false" ht="15" hidden="false" customHeight="false" outlineLevel="0" collapsed="false">
      <c r="A285" s="7" t="s">
        <v>2308</v>
      </c>
      <c r="B285" s="7" t="s">
        <v>2309</v>
      </c>
      <c r="C285" s="7" t="s">
        <v>2310</v>
      </c>
      <c r="D285" s="7" t="s">
        <v>2311</v>
      </c>
      <c r="E285" s="7" t="s">
        <v>507</v>
      </c>
      <c r="F285" s="7" t="s">
        <v>507</v>
      </c>
      <c r="G285" s="7"/>
      <c r="H285" s="7" t="s">
        <v>207</v>
      </c>
      <c r="I285" s="7" t="s">
        <v>208</v>
      </c>
      <c r="J285" s="7" t="s">
        <v>104</v>
      </c>
      <c r="K285" s="7" t="s">
        <v>105</v>
      </c>
      <c r="L285" s="7" t="s">
        <v>106</v>
      </c>
      <c r="M285" s="7"/>
      <c r="N285" s="7" t="s">
        <v>2312</v>
      </c>
      <c r="O285" s="7" t="s">
        <v>2312</v>
      </c>
      <c r="P285" s="7" t="s">
        <v>84</v>
      </c>
      <c r="Q285" s="7"/>
      <c r="R285" s="7" t="s">
        <v>109</v>
      </c>
      <c r="S285" s="7" t="s">
        <v>110</v>
      </c>
      <c r="T285" s="7" t="n">
        <v>0.786</v>
      </c>
      <c r="U285" s="7" t="n">
        <v>3</v>
      </c>
      <c r="V285" s="7" t="s">
        <v>479</v>
      </c>
      <c r="W285" s="7"/>
      <c r="X285" s="7"/>
      <c r="Y285" s="7" t="s">
        <v>2312</v>
      </c>
      <c r="Z285" s="7"/>
      <c r="AA285" s="7"/>
      <c r="AB285" s="7"/>
      <c r="AC285" s="7" t="n">
        <v>0</v>
      </c>
      <c r="AD285" s="7" t="s">
        <v>388</v>
      </c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 t="s">
        <v>1861</v>
      </c>
      <c r="BE285" s="7" t="s">
        <v>127</v>
      </c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</row>
    <row r="286" customFormat="false" ht="15" hidden="false" customHeight="false" outlineLevel="0" collapsed="false">
      <c r="A286" s="7" t="s">
        <v>2313</v>
      </c>
      <c r="B286" s="7" t="s">
        <v>2314</v>
      </c>
      <c r="C286" s="7" t="s">
        <v>2315</v>
      </c>
      <c r="D286" s="7" t="s">
        <v>2316</v>
      </c>
      <c r="E286" s="7" t="s">
        <v>101</v>
      </c>
      <c r="F286" s="7" t="s">
        <v>101</v>
      </c>
      <c r="G286" s="7"/>
      <c r="H286" s="7" t="s">
        <v>102</v>
      </c>
      <c r="I286" s="7" t="s">
        <v>158</v>
      </c>
      <c r="J286" s="7" t="s">
        <v>104</v>
      </c>
      <c r="K286" s="7" t="s">
        <v>105</v>
      </c>
      <c r="L286" s="7" t="s">
        <v>353</v>
      </c>
      <c r="M286" s="7" t="s">
        <v>2317</v>
      </c>
      <c r="N286" s="7" t="s">
        <v>2318</v>
      </c>
      <c r="O286" s="7" t="s">
        <v>2318</v>
      </c>
      <c r="P286" s="7" t="s">
        <v>84</v>
      </c>
      <c r="Q286" s="7"/>
      <c r="R286" s="7" t="s">
        <v>84</v>
      </c>
      <c r="S286" s="7" t="s">
        <v>238</v>
      </c>
      <c r="T286" s="7" t="n">
        <v>0.664</v>
      </c>
      <c r="U286" s="7" t="n">
        <v>3</v>
      </c>
      <c r="V286" s="7" t="s">
        <v>2319</v>
      </c>
      <c r="W286" s="7" t="s">
        <v>2320</v>
      </c>
      <c r="X286" s="7" t="s">
        <v>2321</v>
      </c>
      <c r="Y286" s="7" t="s">
        <v>2318</v>
      </c>
      <c r="Z286" s="7" t="s">
        <v>2322</v>
      </c>
      <c r="AA286" s="7"/>
      <c r="AB286" s="7"/>
      <c r="AC286" s="7" t="n">
        <v>12</v>
      </c>
      <c r="AD286" s="7"/>
      <c r="AE286" s="7" t="s">
        <v>1848</v>
      </c>
      <c r="AF286" s="7" t="s">
        <v>2323</v>
      </c>
      <c r="AG286" s="7" t="s">
        <v>1848</v>
      </c>
      <c r="AH286" s="7" t="s">
        <v>2324</v>
      </c>
      <c r="AI286" s="7" t="s">
        <v>1848</v>
      </c>
      <c r="AJ286" s="7" t="s">
        <v>2325</v>
      </c>
      <c r="AK286" s="7" t="s">
        <v>1848</v>
      </c>
      <c r="AL286" s="7" t="s">
        <v>2326</v>
      </c>
      <c r="AM286" s="7" t="s">
        <v>1848</v>
      </c>
      <c r="AN286" s="7" t="s">
        <v>2327</v>
      </c>
      <c r="AO286" s="7" t="s">
        <v>1848</v>
      </c>
      <c r="AP286" s="7" t="s">
        <v>2328</v>
      </c>
      <c r="AQ286" s="7" t="s">
        <v>1848</v>
      </c>
      <c r="AR286" s="7" t="s">
        <v>2329</v>
      </c>
      <c r="AS286" s="7" t="s">
        <v>1848</v>
      </c>
      <c r="AT286" s="7" t="s">
        <v>1856</v>
      </c>
      <c r="AU286" s="7" t="s">
        <v>1848</v>
      </c>
      <c r="AV286" s="7" t="s">
        <v>2330</v>
      </c>
      <c r="AW286" s="7" t="s">
        <v>1848</v>
      </c>
      <c r="AX286" s="7" t="s">
        <v>2331</v>
      </c>
      <c r="AY286" s="7" t="s">
        <v>1848</v>
      </c>
      <c r="AZ286" s="7" t="s">
        <v>2332</v>
      </c>
      <c r="BA286" s="7" t="s">
        <v>1848</v>
      </c>
      <c r="BB286" s="7" t="s">
        <v>1860</v>
      </c>
      <c r="BC286" s="7" t="s">
        <v>413</v>
      </c>
      <c r="BD286" s="7" t="s">
        <v>1861</v>
      </c>
      <c r="BE286" s="7" t="s">
        <v>127</v>
      </c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</row>
    <row r="287" customFormat="false" ht="15" hidden="false" customHeight="false" outlineLevel="0" collapsed="false">
      <c r="A287" s="7" t="s">
        <v>2333</v>
      </c>
      <c r="B287" s="7" t="s">
        <v>2334</v>
      </c>
      <c r="C287" s="7" t="s">
        <v>2335</v>
      </c>
      <c r="D287" s="7" t="s">
        <v>2336</v>
      </c>
      <c r="E287" s="7" t="s">
        <v>101</v>
      </c>
      <c r="F287" s="7" t="s">
        <v>101</v>
      </c>
      <c r="G287" s="7"/>
      <c r="H287" s="7" t="s">
        <v>102</v>
      </c>
      <c r="I287" s="7" t="s">
        <v>158</v>
      </c>
      <c r="J287" s="7" t="s">
        <v>104</v>
      </c>
      <c r="K287" s="7" t="s">
        <v>105</v>
      </c>
      <c r="L287" s="7" t="s">
        <v>353</v>
      </c>
      <c r="M287" s="7" t="s">
        <v>2337</v>
      </c>
      <c r="N287" s="7" t="s">
        <v>2338</v>
      </c>
      <c r="O287" s="7"/>
      <c r="P287" s="7" t="s">
        <v>84</v>
      </c>
      <c r="Q287" s="7"/>
      <c r="R287" s="7"/>
      <c r="S287" s="7"/>
      <c r="T287" s="7" t="n">
        <v>0.764</v>
      </c>
      <c r="U287" s="7" t="n">
        <v>3</v>
      </c>
      <c r="V287" s="7" t="s">
        <v>1844</v>
      </c>
      <c r="W287" s="7" t="s">
        <v>2339</v>
      </c>
      <c r="X287" s="7" t="s">
        <v>2340</v>
      </c>
      <c r="Y287" s="7" t="s">
        <v>2338</v>
      </c>
      <c r="Z287" s="7" t="s">
        <v>2341</v>
      </c>
      <c r="AA287" s="7"/>
      <c r="AB287" s="7"/>
      <c r="AC287" s="7"/>
      <c r="AD287" s="7"/>
      <c r="AE287" s="7" t="s">
        <v>1848</v>
      </c>
      <c r="AF287" s="7" t="s">
        <v>2342</v>
      </c>
      <c r="AG287" s="7" t="s">
        <v>115</v>
      </c>
      <c r="AH287" s="7" t="s">
        <v>2343</v>
      </c>
      <c r="AI287" s="7" t="s">
        <v>1848</v>
      </c>
      <c r="AJ287" s="7" t="s">
        <v>2344</v>
      </c>
      <c r="AK287" s="7" t="s">
        <v>1848</v>
      </c>
      <c r="AL287" s="7" t="s">
        <v>2345</v>
      </c>
      <c r="AM287" s="7" t="s">
        <v>1848</v>
      </c>
      <c r="AN287" s="7" t="s">
        <v>2346</v>
      </c>
      <c r="AO287" s="7" t="s">
        <v>1848</v>
      </c>
      <c r="AP287" s="7" t="s">
        <v>2347</v>
      </c>
      <c r="AQ287" s="7" t="s">
        <v>1848</v>
      </c>
      <c r="AR287" s="7" t="s">
        <v>2348</v>
      </c>
      <c r="AS287" s="7" t="s">
        <v>1848</v>
      </c>
      <c r="AT287" s="7" t="s">
        <v>1856</v>
      </c>
      <c r="AU287" s="7" t="s">
        <v>1848</v>
      </c>
      <c r="AV287" s="7" t="s">
        <v>2349</v>
      </c>
      <c r="AW287" s="7" t="s">
        <v>1848</v>
      </c>
      <c r="AX287" s="7" t="s">
        <v>2350</v>
      </c>
      <c r="AY287" s="7" t="s">
        <v>1848</v>
      </c>
      <c r="AZ287" s="7" t="s">
        <v>2351</v>
      </c>
      <c r="BA287" s="7" t="s">
        <v>1848</v>
      </c>
      <c r="BB287" s="7" t="s">
        <v>2352</v>
      </c>
      <c r="BC287" s="7" t="s">
        <v>413</v>
      </c>
      <c r="BD287" s="7" t="s">
        <v>1861</v>
      </c>
      <c r="BE287" s="7" t="s">
        <v>127</v>
      </c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</row>
    <row r="288" customFormat="false" ht="15" hidden="false" customHeight="false" outlineLevel="0" collapsed="false">
      <c r="A288" s="7" t="s">
        <v>2353</v>
      </c>
      <c r="B288" s="7" t="s">
        <v>2354</v>
      </c>
      <c r="C288" s="7" t="s">
        <v>2355</v>
      </c>
      <c r="D288" s="7" t="s">
        <v>2037</v>
      </c>
      <c r="E288" s="7" t="s">
        <v>101</v>
      </c>
      <c r="F288" s="7" t="s">
        <v>101</v>
      </c>
      <c r="G288" s="7"/>
      <c r="H288" s="7" t="s">
        <v>102</v>
      </c>
      <c r="I288" s="7" t="s">
        <v>374</v>
      </c>
      <c r="J288" s="7" t="s">
        <v>104</v>
      </c>
      <c r="K288" s="7" t="s">
        <v>105</v>
      </c>
      <c r="L288" s="7" t="s">
        <v>106</v>
      </c>
      <c r="M288" s="7" t="s">
        <v>2356</v>
      </c>
      <c r="N288" s="7" t="s">
        <v>2357</v>
      </c>
      <c r="O288" s="7" t="s">
        <v>2357</v>
      </c>
      <c r="P288" s="7" t="s">
        <v>84</v>
      </c>
      <c r="Q288" s="7"/>
      <c r="R288" s="7" t="s">
        <v>109</v>
      </c>
      <c r="S288" s="7" t="s">
        <v>110</v>
      </c>
      <c r="T288" s="7" t="n">
        <v>0.759</v>
      </c>
      <c r="U288" s="7" t="n">
        <v>3</v>
      </c>
      <c r="V288" s="7" t="s">
        <v>1985</v>
      </c>
      <c r="W288" s="7"/>
      <c r="X288" s="7"/>
      <c r="Y288" s="7" t="s">
        <v>2357</v>
      </c>
      <c r="Z288" s="7"/>
      <c r="AA288" s="7"/>
      <c r="AB288" s="7"/>
      <c r="AC288" s="7" t="n">
        <v>5</v>
      </c>
      <c r="AD288" s="7" t="s">
        <v>1897</v>
      </c>
      <c r="AE288" s="7" t="s">
        <v>744</v>
      </c>
      <c r="AF288" s="7" t="s">
        <v>2355</v>
      </c>
      <c r="AG288" s="7" t="s">
        <v>744</v>
      </c>
      <c r="AH288" s="7" t="s">
        <v>2358</v>
      </c>
      <c r="AI288" s="7"/>
      <c r="AJ288" s="7"/>
      <c r="AK288" s="7"/>
      <c r="AL288" s="7"/>
      <c r="AM288" s="7" t="s">
        <v>744</v>
      </c>
      <c r="AN288" s="7" t="s">
        <v>2359</v>
      </c>
      <c r="AO288" s="7" t="s">
        <v>744</v>
      </c>
      <c r="AP288" s="7" t="s">
        <v>2055</v>
      </c>
      <c r="AQ288" s="7"/>
      <c r="AR288" s="7"/>
      <c r="AS288" s="7"/>
      <c r="AT288" s="7"/>
      <c r="AU288" s="7"/>
      <c r="AV288" s="7"/>
      <c r="AW288" s="7" t="s">
        <v>744</v>
      </c>
      <c r="AX288" s="7" t="s">
        <v>2357</v>
      </c>
      <c r="AY288" s="7"/>
      <c r="AZ288" s="7"/>
      <c r="BA288" s="7"/>
      <c r="BB288" s="7"/>
      <c r="BC288" s="7" t="s">
        <v>125</v>
      </c>
      <c r="BD288" s="7" t="s">
        <v>563</v>
      </c>
      <c r="BE288" s="7" t="s">
        <v>127</v>
      </c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</row>
    <row r="289" customFormat="false" ht="15" hidden="false" customHeight="false" outlineLevel="0" collapsed="false">
      <c r="A289" s="7" t="s">
        <v>2360</v>
      </c>
      <c r="B289" s="7" t="s">
        <v>2361</v>
      </c>
      <c r="C289" s="7" t="s">
        <v>2362</v>
      </c>
      <c r="D289" s="7" t="s">
        <v>2363</v>
      </c>
      <c r="E289" s="7" t="s">
        <v>101</v>
      </c>
      <c r="F289" s="7" t="s">
        <v>101</v>
      </c>
      <c r="G289" s="7"/>
      <c r="H289" s="7" t="s">
        <v>102</v>
      </c>
      <c r="I289" s="7" t="s">
        <v>158</v>
      </c>
      <c r="J289" s="7" t="s">
        <v>104</v>
      </c>
      <c r="K289" s="7" t="s">
        <v>105</v>
      </c>
      <c r="L289" s="7" t="s">
        <v>353</v>
      </c>
      <c r="M289" s="7" t="s">
        <v>419</v>
      </c>
      <c r="N289" s="7" t="s">
        <v>2364</v>
      </c>
      <c r="O289" s="7" t="s">
        <v>2364</v>
      </c>
      <c r="P289" s="7" t="s">
        <v>84</v>
      </c>
      <c r="Q289" s="7"/>
      <c r="R289" s="7" t="s">
        <v>109</v>
      </c>
      <c r="S289" s="7" t="s">
        <v>110</v>
      </c>
      <c r="T289" s="7" t="n">
        <v>0.537</v>
      </c>
      <c r="U289" s="7" t="n">
        <v>3</v>
      </c>
      <c r="V289" s="7" t="s">
        <v>111</v>
      </c>
      <c r="W289" s="7" t="s">
        <v>2365</v>
      </c>
      <c r="X289" s="7" t="s">
        <v>2366</v>
      </c>
      <c r="Y289" s="7" t="s">
        <v>2367</v>
      </c>
      <c r="Z289" s="7"/>
      <c r="AA289" s="7"/>
      <c r="AB289" s="7"/>
      <c r="AC289" s="7" t="n">
        <v>2</v>
      </c>
      <c r="AD289" s="7" t="s">
        <v>1954</v>
      </c>
      <c r="AE289" s="7"/>
      <c r="AF289" s="7"/>
      <c r="AG289" s="7" t="s">
        <v>1848</v>
      </c>
      <c r="AH289" s="7" t="s">
        <v>1956</v>
      </c>
      <c r="AI289" s="7"/>
      <c r="AJ289" s="7"/>
      <c r="AK289" s="7"/>
      <c r="AL289" s="7"/>
      <c r="AM289" s="7" t="s">
        <v>1848</v>
      </c>
      <c r="AN289" s="7" t="s">
        <v>1957</v>
      </c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 t="s">
        <v>427</v>
      </c>
      <c r="BD289" s="7" t="s">
        <v>1861</v>
      </c>
      <c r="BE289" s="7" t="s">
        <v>127</v>
      </c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</row>
    <row r="290" customFormat="false" ht="15" hidden="false" customHeight="false" outlineLevel="0" collapsed="false">
      <c r="A290" s="7" t="s">
        <v>2368</v>
      </c>
      <c r="B290" s="7" t="s">
        <v>2369</v>
      </c>
      <c r="C290" s="7" t="s">
        <v>2370</v>
      </c>
      <c r="D290" s="7"/>
      <c r="E290" s="7" t="s">
        <v>101</v>
      </c>
      <c r="F290" s="7" t="s">
        <v>741</v>
      </c>
      <c r="G290" s="7"/>
      <c r="H290" s="7" t="s">
        <v>102</v>
      </c>
      <c r="I290" s="7" t="s">
        <v>158</v>
      </c>
      <c r="J290" s="7" t="s">
        <v>104</v>
      </c>
      <c r="K290" s="7" t="s">
        <v>105</v>
      </c>
      <c r="L290" s="7" t="s">
        <v>106</v>
      </c>
      <c r="M290" s="7" t="s">
        <v>419</v>
      </c>
      <c r="N290" s="7" t="s">
        <v>2371</v>
      </c>
      <c r="O290" s="7"/>
      <c r="P290" s="7" t="s">
        <v>84</v>
      </c>
      <c r="Q290" s="7"/>
      <c r="R290" s="7"/>
      <c r="S290" s="7"/>
      <c r="T290" s="7" t="n">
        <v>0.217</v>
      </c>
      <c r="U290" s="7" t="n">
        <v>3</v>
      </c>
      <c r="V290" s="7" t="s">
        <v>1728</v>
      </c>
      <c r="W290" s="7"/>
      <c r="X290" s="7"/>
      <c r="Y290" s="7" t="s">
        <v>2371</v>
      </c>
      <c r="Z290" s="7"/>
      <c r="AA290" s="7"/>
      <c r="AB290" s="7"/>
      <c r="AC290" s="7"/>
      <c r="AD290" s="7"/>
      <c r="AE290" s="7"/>
      <c r="AF290" s="7"/>
      <c r="AG290" s="7" t="s">
        <v>1848</v>
      </c>
      <c r="AH290" s="7" t="s">
        <v>1956</v>
      </c>
      <c r="AI290" s="7"/>
      <c r="AJ290" s="7"/>
      <c r="AK290" s="7"/>
      <c r="AL290" s="7"/>
      <c r="AM290" s="7" t="s">
        <v>1848</v>
      </c>
      <c r="AN290" s="7" t="s">
        <v>1957</v>
      </c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 t="s">
        <v>427</v>
      </c>
      <c r="BD290" s="7" t="s">
        <v>2372</v>
      </c>
      <c r="BE290" s="7" t="s">
        <v>127</v>
      </c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</row>
    <row r="291" customFormat="false" ht="15" hidden="false" customHeight="false" outlineLevel="0" collapsed="false">
      <c r="A291" s="7" t="s">
        <v>2373</v>
      </c>
      <c r="B291" s="7" t="s">
        <v>2374</v>
      </c>
      <c r="C291" s="7" t="s">
        <v>2375</v>
      </c>
      <c r="D291" s="7"/>
      <c r="E291" s="7" t="s">
        <v>101</v>
      </c>
      <c r="F291" s="7" t="s">
        <v>741</v>
      </c>
      <c r="G291" s="7"/>
      <c r="H291" s="7" t="s">
        <v>102</v>
      </c>
      <c r="I291" s="7" t="s">
        <v>132</v>
      </c>
      <c r="J291" s="7" t="s">
        <v>104</v>
      </c>
      <c r="K291" s="7" t="s">
        <v>105</v>
      </c>
      <c r="L291" s="7" t="s">
        <v>106</v>
      </c>
      <c r="M291" s="7" t="s">
        <v>419</v>
      </c>
      <c r="N291" s="7" t="s">
        <v>2376</v>
      </c>
      <c r="O291" s="7" t="s">
        <v>2376</v>
      </c>
      <c r="P291" s="7" t="s">
        <v>84</v>
      </c>
      <c r="Q291" s="7"/>
      <c r="R291" s="7" t="s">
        <v>84</v>
      </c>
      <c r="S291" s="7" t="s">
        <v>238</v>
      </c>
      <c r="T291" s="7" t="n">
        <v>0.761</v>
      </c>
      <c r="U291" s="7" t="n">
        <v>3</v>
      </c>
      <c r="V291" s="7" t="s">
        <v>161</v>
      </c>
      <c r="W291" s="7" t="s">
        <v>2377</v>
      </c>
      <c r="X291" s="7" t="s">
        <v>924</v>
      </c>
      <c r="Y291" s="7" t="s">
        <v>2376</v>
      </c>
      <c r="Z291" s="7" t="s">
        <v>2378</v>
      </c>
      <c r="AA291" s="7"/>
      <c r="AB291" s="7"/>
      <c r="AC291" s="7" t="n">
        <v>12</v>
      </c>
      <c r="AD291" s="7"/>
      <c r="AE291" s="7" t="s">
        <v>619</v>
      </c>
      <c r="AF291" s="7" t="s">
        <v>2379</v>
      </c>
      <c r="AG291" s="7" t="s">
        <v>619</v>
      </c>
      <c r="AH291" s="7" t="s">
        <v>2380</v>
      </c>
      <c r="AI291" s="7" t="s">
        <v>619</v>
      </c>
      <c r="AJ291" s="7" t="s">
        <v>2381</v>
      </c>
      <c r="AK291" s="7" t="s">
        <v>619</v>
      </c>
      <c r="AL291" s="7" t="s">
        <v>2382</v>
      </c>
      <c r="AM291" s="7" t="s">
        <v>619</v>
      </c>
      <c r="AN291" s="7" t="s">
        <v>2383</v>
      </c>
      <c r="AO291" s="7" t="s">
        <v>619</v>
      </c>
      <c r="AP291" s="7" t="s">
        <v>2384</v>
      </c>
      <c r="AQ291" s="7" t="s">
        <v>619</v>
      </c>
      <c r="AR291" s="7" t="s">
        <v>2385</v>
      </c>
      <c r="AS291" s="7" t="s">
        <v>619</v>
      </c>
      <c r="AT291" s="7" t="s">
        <v>122</v>
      </c>
      <c r="AU291" s="7" t="s">
        <v>619</v>
      </c>
      <c r="AV291" s="7" t="s">
        <v>2386</v>
      </c>
      <c r="AW291" s="7" t="s">
        <v>619</v>
      </c>
      <c r="AX291" s="7" t="s">
        <v>2387</v>
      </c>
      <c r="AY291" s="7" t="s">
        <v>619</v>
      </c>
      <c r="AZ291" s="7" t="s">
        <v>2388</v>
      </c>
      <c r="BA291" s="7" t="s">
        <v>619</v>
      </c>
      <c r="BB291" s="7" t="s">
        <v>158</v>
      </c>
      <c r="BC291" s="7" t="s">
        <v>427</v>
      </c>
      <c r="BD291" s="7" t="s">
        <v>2372</v>
      </c>
      <c r="BE291" s="7" t="s">
        <v>127</v>
      </c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</row>
    <row r="292" customFormat="false" ht="15" hidden="false" customHeight="false" outlineLevel="0" collapsed="false">
      <c r="A292" s="7" t="s">
        <v>2389</v>
      </c>
      <c r="B292" s="7" t="s">
        <v>2390</v>
      </c>
      <c r="C292" s="7" t="s">
        <v>2391</v>
      </c>
      <c r="D292" s="7" t="s">
        <v>2392</v>
      </c>
      <c r="E292" s="7" t="s">
        <v>101</v>
      </c>
      <c r="F292" s="7" t="s">
        <v>101</v>
      </c>
      <c r="G292" s="7"/>
      <c r="H292" s="7" t="s">
        <v>102</v>
      </c>
      <c r="I292" s="7" t="s">
        <v>158</v>
      </c>
      <c r="J292" s="7" t="s">
        <v>104</v>
      </c>
      <c r="K292" s="7" t="s">
        <v>105</v>
      </c>
      <c r="L292" s="7" t="s">
        <v>353</v>
      </c>
      <c r="M292" s="7" t="s">
        <v>419</v>
      </c>
      <c r="N292" s="7" t="s">
        <v>2393</v>
      </c>
      <c r="O292" s="7"/>
      <c r="P292" s="7" t="s">
        <v>84</v>
      </c>
      <c r="Q292" s="7"/>
      <c r="R292" s="7"/>
      <c r="S292" s="7"/>
      <c r="T292" s="7" t="n">
        <v>0.369</v>
      </c>
      <c r="U292" s="7" t="n">
        <v>3</v>
      </c>
      <c r="V292" s="7" t="s">
        <v>161</v>
      </c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 t="s">
        <v>1848</v>
      </c>
      <c r="AH292" s="7" t="s">
        <v>1956</v>
      </c>
      <c r="AI292" s="7"/>
      <c r="AJ292" s="7"/>
      <c r="AK292" s="7"/>
      <c r="AL292" s="7"/>
      <c r="AM292" s="7" t="s">
        <v>1848</v>
      </c>
      <c r="AN292" s="7" t="s">
        <v>1957</v>
      </c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 t="s">
        <v>427</v>
      </c>
      <c r="BD292" s="7" t="s">
        <v>1861</v>
      </c>
      <c r="BE292" s="7" t="s">
        <v>127</v>
      </c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</row>
    <row r="293" customFormat="false" ht="15" hidden="false" customHeight="false" outlineLevel="0" collapsed="false">
      <c r="A293" s="7" t="s">
        <v>2394</v>
      </c>
      <c r="B293" s="7" t="s">
        <v>2395</v>
      </c>
      <c r="C293" s="7" t="s">
        <v>2396</v>
      </c>
      <c r="D293" s="7" t="s">
        <v>2397</v>
      </c>
      <c r="E293" s="7" t="s">
        <v>101</v>
      </c>
      <c r="F293" s="7" t="s">
        <v>101</v>
      </c>
      <c r="G293" s="7"/>
      <c r="H293" s="7" t="s">
        <v>102</v>
      </c>
      <c r="I293" s="7" t="s">
        <v>158</v>
      </c>
      <c r="J293" s="7" t="s">
        <v>104</v>
      </c>
      <c r="K293" s="7" t="s">
        <v>105</v>
      </c>
      <c r="L293" s="7" t="s">
        <v>353</v>
      </c>
      <c r="M293" s="7" t="s">
        <v>419</v>
      </c>
      <c r="N293" s="7" t="s">
        <v>2398</v>
      </c>
      <c r="O293" s="7"/>
      <c r="P293" s="7" t="s">
        <v>84</v>
      </c>
      <c r="Q293" s="7"/>
      <c r="R293" s="7"/>
      <c r="S293" s="7"/>
      <c r="T293" s="7" t="n">
        <v>0.291</v>
      </c>
      <c r="U293" s="7" t="n">
        <v>3</v>
      </c>
      <c r="V293" s="7" t="s">
        <v>479</v>
      </c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 t="s">
        <v>1848</v>
      </c>
      <c r="AH293" s="7" t="s">
        <v>1956</v>
      </c>
      <c r="AI293" s="7"/>
      <c r="AJ293" s="7"/>
      <c r="AK293" s="7"/>
      <c r="AL293" s="7"/>
      <c r="AM293" s="7" t="s">
        <v>1848</v>
      </c>
      <c r="AN293" s="7" t="s">
        <v>1957</v>
      </c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 t="s">
        <v>427</v>
      </c>
      <c r="BD293" s="7" t="s">
        <v>1861</v>
      </c>
      <c r="BE293" s="7" t="s">
        <v>127</v>
      </c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</row>
    <row r="294" customFormat="false" ht="15" hidden="false" customHeight="false" outlineLevel="0" collapsed="false">
      <c r="A294" s="7" t="s">
        <v>2399</v>
      </c>
      <c r="B294" s="7" t="s">
        <v>2400</v>
      </c>
      <c r="C294" s="7" t="s">
        <v>2401</v>
      </c>
      <c r="D294" s="7" t="s">
        <v>2402</v>
      </c>
      <c r="E294" s="7" t="s">
        <v>101</v>
      </c>
      <c r="F294" s="7" t="s">
        <v>101</v>
      </c>
      <c r="G294" s="7"/>
      <c r="H294" s="7" t="s">
        <v>102</v>
      </c>
      <c r="I294" s="7" t="s">
        <v>158</v>
      </c>
      <c r="J294" s="7" t="s">
        <v>104</v>
      </c>
      <c r="K294" s="7" t="s">
        <v>105</v>
      </c>
      <c r="L294" s="7" t="s">
        <v>353</v>
      </c>
      <c r="M294" s="7" t="s">
        <v>419</v>
      </c>
      <c r="N294" s="7" t="s">
        <v>2403</v>
      </c>
      <c r="O294" s="7" t="s">
        <v>2403</v>
      </c>
      <c r="P294" s="7" t="s">
        <v>84</v>
      </c>
      <c r="Q294" s="7"/>
      <c r="R294" s="7" t="s">
        <v>109</v>
      </c>
      <c r="S294" s="7" t="s">
        <v>110</v>
      </c>
      <c r="T294" s="7" t="n">
        <v>0.13</v>
      </c>
      <c r="U294" s="7" t="n">
        <v>3</v>
      </c>
      <c r="V294" s="7" t="s">
        <v>161</v>
      </c>
      <c r="W294" s="7" t="s">
        <v>2404</v>
      </c>
      <c r="X294" s="7" t="s">
        <v>2405</v>
      </c>
      <c r="Y294" s="7" t="s">
        <v>2406</v>
      </c>
      <c r="Z294" s="7"/>
      <c r="AA294" s="7"/>
      <c r="AB294" s="7"/>
      <c r="AC294" s="7" t="n">
        <v>2</v>
      </c>
      <c r="AD294" s="7" t="s">
        <v>1954</v>
      </c>
      <c r="AE294" s="7"/>
      <c r="AF294" s="7"/>
      <c r="AG294" s="7" t="s">
        <v>1848</v>
      </c>
      <c r="AH294" s="7" t="s">
        <v>1956</v>
      </c>
      <c r="AI294" s="7"/>
      <c r="AJ294" s="7"/>
      <c r="AK294" s="7"/>
      <c r="AL294" s="7"/>
      <c r="AM294" s="7" t="s">
        <v>1848</v>
      </c>
      <c r="AN294" s="7" t="s">
        <v>1957</v>
      </c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 t="s">
        <v>427</v>
      </c>
      <c r="BD294" s="7" t="s">
        <v>1861</v>
      </c>
      <c r="BE294" s="7" t="s">
        <v>127</v>
      </c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</row>
    <row r="295" customFormat="false" ht="15" hidden="false" customHeight="false" outlineLevel="0" collapsed="false">
      <c r="A295" s="7" t="s">
        <v>2407</v>
      </c>
      <c r="B295" s="7" t="s">
        <v>2408</v>
      </c>
      <c r="C295" s="7" t="s">
        <v>2409</v>
      </c>
      <c r="D295" s="7" t="s">
        <v>2410</v>
      </c>
      <c r="E295" s="7" t="s">
        <v>101</v>
      </c>
      <c r="F295" s="7" t="s">
        <v>101</v>
      </c>
      <c r="G295" s="7"/>
      <c r="H295" s="7" t="s">
        <v>102</v>
      </c>
      <c r="I295" s="7" t="s">
        <v>158</v>
      </c>
      <c r="J295" s="7" t="s">
        <v>104</v>
      </c>
      <c r="K295" s="7" t="s">
        <v>105</v>
      </c>
      <c r="L295" s="7" t="s">
        <v>106</v>
      </c>
      <c r="M295" s="7" t="s">
        <v>419</v>
      </c>
      <c r="N295" s="7" t="s">
        <v>2411</v>
      </c>
      <c r="O295" s="7" t="s">
        <v>2411</v>
      </c>
      <c r="P295" s="7" t="s">
        <v>84</v>
      </c>
      <c r="Q295" s="7"/>
      <c r="R295" s="7" t="s">
        <v>109</v>
      </c>
      <c r="S295" s="7" t="s">
        <v>110</v>
      </c>
      <c r="T295" s="7" t="n">
        <v>0.321</v>
      </c>
      <c r="U295" s="7" t="n">
        <v>3</v>
      </c>
      <c r="V295" s="7" t="s">
        <v>2412</v>
      </c>
      <c r="W295" s="7" t="s">
        <v>2041</v>
      </c>
      <c r="X295" s="7" t="s">
        <v>2413</v>
      </c>
      <c r="Y295" s="7" t="s">
        <v>2411</v>
      </c>
      <c r="Z295" s="7" t="s">
        <v>2414</v>
      </c>
      <c r="AA295" s="7"/>
      <c r="AB295" s="7"/>
      <c r="AC295" s="7" t="n">
        <v>0</v>
      </c>
      <c r="AD295" s="7" t="s">
        <v>388</v>
      </c>
      <c r="AE295" s="7" t="s">
        <v>619</v>
      </c>
      <c r="AF295" s="7" t="s">
        <v>2415</v>
      </c>
      <c r="AG295" s="7" t="s">
        <v>619</v>
      </c>
      <c r="AH295" s="7" t="s">
        <v>2416</v>
      </c>
      <c r="AI295" s="7" t="s">
        <v>619</v>
      </c>
      <c r="AJ295" s="7" t="s">
        <v>2417</v>
      </c>
      <c r="AK295" s="7"/>
      <c r="AL295" s="7"/>
      <c r="AM295" s="7" t="s">
        <v>115</v>
      </c>
      <c r="AN295" s="7" t="s">
        <v>116</v>
      </c>
      <c r="AO295" s="7" t="s">
        <v>619</v>
      </c>
      <c r="AP295" s="7" t="s">
        <v>2410</v>
      </c>
      <c r="AQ295" s="7" t="s">
        <v>619</v>
      </c>
      <c r="AR295" s="7" t="s">
        <v>2418</v>
      </c>
      <c r="AS295" s="7" t="s">
        <v>619</v>
      </c>
      <c r="AT295" s="7" t="s">
        <v>2047</v>
      </c>
      <c r="AU295" s="7" t="s">
        <v>619</v>
      </c>
      <c r="AV295" s="7" t="s">
        <v>2419</v>
      </c>
      <c r="AW295" s="7" t="s">
        <v>619</v>
      </c>
      <c r="AX295" s="7" t="s">
        <v>2420</v>
      </c>
      <c r="AY295" s="7" t="s">
        <v>619</v>
      </c>
      <c r="AZ295" s="7" t="s">
        <v>2421</v>
      </c>
      <c r="BA295" s="7" t="s">
        <v>619</v>
      </c>
      <c r="BB295" s="7" t="s">
        <v>2422</v>
      </c>
      <c r="BC295" s="7" t="s">
        <v>427</v>
      </c>
      <c r="BD295" s="7" t="s">
        <v>563</v>
      </c>
      <c r="BE295" s="7" t="s">
        <v>127</v>
      </c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</row>
    <row r="296" customFormat="false" ht="15" hidden="false" customHeight="false" outlineLevel="0" collapsed="false">
      <c r="A296" s="7" t="s">
        <v>2423</v>
      </c>
      <c r="B296" s="7" t="s">
        <v>2424</v>
      </c>
      <c r="C296" s="7" t="s">
        <v>2425</v>
      </c>
      <c r="D296" s="7" t="s">
        <v>2410</v>
      </c>
      <c r="E296" s="7" t="s">
        <v>101</v>
      </c>
      <c r="F296" s="7" t="s">
        <v>101</v>
      </c>
      <c r="G296" s="7"/>
      <c r="H296" s="7" t="s">
        <v>102</v>
      </c>
      <c r="I296" s="7" t="s">
        <v>158</v>
      </c>
      <c r="J296" s="7" t="s">
        <v>104</v>
      </c>
      <c r="K296" s="7" t="s">
        <v>105</v>
      </c>
      <c r="L296" s="7" t="s">
        <v>106</v>
      </c>
      <c r="M296" s="7" t="s">
        <v>419</v>
      </c>
      <c r="N296" s="7" t="s">
        <v>2426</v>
      </c>
      <c r="O296" s="7" t="s">
        <v>2426</v>
      </c>
      <c r="P296" s="7" t="s">
        <v>84</v>
      </c>
      <c r="Q296" s="7"/>
      <c r="R296" s="7" t="s">
        <v>109</v>
      </c>
      <c r="S296" s="7" t="s">
        <v>110</v>
      </c>
      <c r="T296" s="7" t="n">
        <v>0.238</v>
      </c>
      <c r="U296" s="7" t="n">
        <v>3</v>
      </c>
      <c r="V296" s="7" t="s">
        <v>2412</v>
      </c>
      <c r="W296" s="7" t="s">
        <v>2041</v>
      </c>
      <c r="X296" s="7" t="s">
        <v>2413</v>
      </c>
      <c r="Y296" s="7" t="s">
        <v>2426</v>
      </c>
      <c r="Z296" s="7" t="s">
        <v>2414</v>
      </c>
      <c r="AA296" s="7"/>
      <c r="AB296" s="7"/>
      <c r="AC296" s="7" t="n">
        <v>0</v>
      </c>
      <c r="AD296" s="7" t="s">
        <v>388</v>
      </c>
      <c r="AE296" s="7" t="s">
        <v>619</v>
      </c>
      <c r="AF296" s="7" t="s">
        <v>2427</v>
      </c>
      <c r="AG296" s="7" t="s">
        <v>619</v>
      </c>
      <c r="AH296" s="7" t="s">
        <v>2416</v>
      </c>
      <c r="AI296" s="7" t="s">
        <v>619</v>
      </c>
      <c r="AJ296" s="7" t="s">
        <v>2417</v>
      </c>
      <c r="AK296" s="7"/>
      <c r="AL296" s="7"/>
      <c r="AM296" s="7" t="s">
        <v>115</v>
      </c>
      <c r="AN296" s="7" t="s">
        <v>116</v>
      </c>
      <c r="AO296" s="7" t="s">
        <v>619</v>
      </c>
      <c r="AP296" s="7" t="s">
        <v>2410</v>
      </c>
      <c r="AQ296" s="7" t="s">
        <v>619</v>
      </c>
      <c r="AR296" s="7" t="s">
        <v>2428</v>
      </c>
      <c r="AS296" s="7" t="s">
        <v>619</v>
      </c>
      <c r="AT296" s="7" t="s">
        <v>2047</v>
      </c>
      <c r="AU296" s="7" t="s">
        <v>619</v>
      </c>
      <c r="AV296" s="7" t="s">
        <v>2419</v>
      </c>
      <c r="AW296" s="7" t="s">
        <v>619</v>
      </c>
      <c r="AX296" s="7" t="s">
        <v>2420</v>
      </c>
      <c r="AY296" s="7" t="s">
        <v>619</v>
      </c>
      <c r="AZ296" s="7" t="s">
        <v>2421</v>
      </c>
      <c r="BA296" s="7" t="s">
        <v>619</v>
      </c>
      <c r="BB296" s="7" t="s">
        <v>2422</v>
      </c>
      <c r="BC296" s="7" t="s">
        <v>427</v>
      </c>
      <c r="BD296" s="7" t="s">
        <v>563</v>
      </c>
      <c r="BE296" s="7" t="s">
        <v>127</v>
      </c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</row>
    <row r="297" customFormat="false" ht="15" hidden="false" customHeight="false" outlineLevel="0" collapsed="false">
      <c r="A297" s="7" t="s">
        <v>2429</v>
      </c>
      <c r="B297" s="7" t="s">
        <v>2430</v>
      </c>
      <c r="C297" s="7" t="s">
        <v>2431</v>
      </c>
      <c r="D297" s="7" t="s">
        <v>2432</v>
      </c>
      <c r="E297" s="7" t="s">
        <v>101</v>
      </c>
      <c r="F297" s="7" t="s">
        <v>101</v>
      </c>
      <c r="G297" s="7"/>
      <c r="H297" s="7" t="s">
        <v>102</v>
      </c>
      <c r="I297" s="7" t="s">
        <v>103</v>
      </c>
      <c r="J297" s="7" t="s">
        <v>104</v>
      </c>
      <c r="K297" s="7" t="s">
        <v>105</v>
      </c>
      <c r="L297" s="7" t="s">
        <v>106</v>
      </c>
      <c r="M297" s="7" t="s">
        <v>419</v>
      </c>
      <c r="N297" s="7" t="s">
        <v>2433</v>
      </c>
      <c r="O297" s="7" t="s">
        <v>2434</v>
      </c>
      <c r="P297" s="7" t="s">
        <v>84</v>
      </c>
      <c r="Q297" s="7"/>
      <c r="R297" s="7" t="s">
        <v>109</v>
      </c>
      <c r="S297" s="7" t="s">
        <v>110</v>
      </c>
      <c r="T297" s="7" t="n">
        <v>0.865</v>
      </c>
      <c r="U297" s="7" t="n">
        <v>3</v>
      </c>
      <c r="V297" s="7" t="s">
        <v>2435</v>
      </c>
      <c r="W297" s="7" t="s">
        <v>2436</v>
      </c>
      <c r="X297" s="7" t="s">
        <v>2437</v>
      </c>
      <c r="Y297" s="7" t="s">
        <v>2433</v>
      </c>
      <c r="Z297" s="7" t="s">
        <v>2438</v>
      </c>
      <c r="AA297" s="7"/>
      <c r="AB297" s="7"/>
      <c r="AC297" s="7" t="n">
        <v>7</v>
      </c>
      <c r="AD297" s="7" t="s">
        <v>2439</v>
      </c>
      <c r="AE297" s="7" t="s">
        <v>1065</v>
      </c>
      <c r="AF297" s="7" t="s">
        <v>2440</v>
      </c>
      <c r="AG297" s="7" t="s">
        <v>1065</v>
      </c>
      <c r="AH297" s="7" t="s">
        <v>2441</v>
      </c>
      <c r="AI297" s="7"/>
      <c r="AJ297" s="7"/>
      <c r="AK297" s="7"/>
      <c r="AL297" s="7"/>
      <c r="AM297" s="7" t="s">
        <v>1065</v>
      </c>
      <c r="AN297" s="7" t="s">
        <v>2442</v>
      </c>
      <c r="AO297" s="7" t="s">
        <v>1065</v>
      </c>
      <c r="AP297" s="7" t="s">
        <v>2432</v>
      </c>
      <c r="AQ297" s="7" t="s">
        <v>1065</v>
      </c>
      <c r="AR297" s="7" t="s">
        <v>819</v>
      </c>
      <c r="AS297" s="7" t="s">
        <v>1065</v>
      </c>
      <c r="AT297" s="7" t="s">
        <v>1856</v>
      </c>
      <c r="AU297" s="7"/>
      <c r="AV297" s="7"/>
      <c r="AW297" s="7"/>
      <c r="AX297" s="7"/>
      <c r="AY297" s="7"/>
      <c r="AZ297" s="7"/>
      <c r="BA297" s="7" t="s">
        <v>1065</v>
      </c>
      <c r="BB297" s="7" t="s">
        <v>2443</v>
      </c>
      <c r="BC297" s="7" t="s">
        <v>427</v>
      </c>
      <c r="BD297" s="7" t="s">
        <v>1861</v>
      </c>
      <c r="BE297" s="7" t="s">
        <v>127</v>
      </c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</row>
    <row r="298" customFormat="false" ht="15" hidden="false" customHeight="false" outlineLevel="0" collapsed="false">
      <c r="A298" s="7" t="s">
        <v>2444</v>
      </c>
      <c r="B298" s="7" t="s">
        <v>2445</v>
      </c>
      <c r="C298" s="7" t="s">
        <v>2446</v>
      </c>
      <c r="D298" s="7" t="s">
        <v>2037</v>
      </c>
      <c r="E298" s="7" t="s">
        <v>101</v>
      </c>
      <c r="F298" s="7" t="s">
        <v>101</v>
      </c>
      <c r="G298" s="7"/>
      <c r="H298" s="7" t="s">
        <v>102</v>
      </c>
      <c r="I298" s="7" t="s">
        <v>158</v>
      </c>
      <c r="J298" s="7" t="s">
        <v>104</v>
      </c>
      <c r="K298" s="7" t="s">
        <v>105</v>
      </c>
      <c r="L298" s="7" t="s">
        <v>106</v>
      </c>
      <c r="M298" s="7"/>
      <c r="N298" s="7" t="s">
        <v>2447</v>
      </c>
      <c r="O298" s="7" t="s">
        <v>2447</v>
      </c>
      <c r="P298" s="7" t="s">
        <v>84</v>
      </c>
      <c r="Q298" s="7"/>
      <c r="R298" s="7" t="s">
        <v>109</v>
      </c>
      <c r="S298" s="7" t="s">
        <v>110</v>
      </c>
      <c r="T298" s="7" t="n">
        <v>0.914</v>
      </c>
      <c r="U298" s="7" t="n">
        <v>3</v>
      </c>
      <c r="V298" s="7" t="s">
        <v>1728</v>
      </c>
      <c r="W298" s="7"/>
      <c r="X298" s="7"/>
      <c r="Y298" s="7" t="s">
        <v>2447</v>
      </c>
      <c r="Z298" s="7"/>
      <c r="AA298" s="7"/>
      <c r="AB298" s="7"/>
      <c r="AC298" s="7" t="n">
        <v>6</v>
      </c>
      <c r="AD298" s="7" t="s">
        <v>1235</v>
      </c>
      <c r="AE298" s="7" t="s">
        <v>744</v>
      </c>
      <c r="AF298" s="7" t="s">
        <v>2448</v>
      </c>
      <c r="AG298" s="7" t="s">
        <v>744</v>
      </c>
      <c r="AH298" s="7" t="s">
        <v>2449</v>
      </c>
      <c r="AI298" s="7"/>
      <c r="AJ298" s="7"/>
      <c r="AK298" s="7"/>
      <c r="AL298" s="7"/>
      <c r="AM298" s="7" t="s">
        <v>744</v>
      </c>
      <c r="AN298" s="7" t="s">
        <v>2450</v>
      </c>
      <c r="AO298" s="7" t="s">
        <v>744</v>
      </c>
      <c r="AP298" s="7" t="s">
        <v>2037</v>
      </c>
      <c r="AQ298" s="7" t="s">
        <v>744</v>
      </c>
      <c r="AR298" s="7" t="s">
        <v>2451</v>
      </c>
      <c r="AS298" s="7"/>
      <c r="AT298" s="7"/>
      <c r="AU298" s="7"/>
      <c r="AV298" s="7"/>
      <c r="AW298" s="7" t="s">
        <v>744</v>
      </c>
      <c r="AX298" s="7" t="s">
        <v>2447</v>
      </c>
      <c r="AY298" s="7"/>
      <c r="AZ298" s="7"/>
      <c r="BA298" s="7"/>
      <c r="BB298" s="7"/>
      <c r="BC298" s="7"/>
      <c r="BD298" s="7" t="s">
        <v>563</v>
      </c>
      <c r="BE298" s="7" t="s">
        <v>127</v>
      </c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</row>
    <row r="299" customFormat="false" ht="15" hidden="false" customHeight="false" outlineLevel="0" collapsed="false">
      <c r="A299" s="7" t="s">
        <v>2452</v>
      </c>
      <c r="B299" s="7" t="s">
        <v>2453</v>
      </c>
      <c r="C299" s="7" t="s">
        <v>2454</v>
      </c>
      <c r="D299" s="7" t="s">
        <v>2037</v>
      </c>
      <c r="E299" s="7" t="s">
        <v>516</v>
      </c>
      <c r="F299" s="7" t="s">
        <v>516</v>
      </c>
      <c r="G299" s="7" t="s">
        <v>2455</v>
      </c>
      <c r="H299" s="7" t="s">
        <v>102</v>
      </c>
      <c r="I299" s="7" t="s">
        <v>158</v>
      </c>
      <c r="J299" s="7" t="s">
        <v>104</v>
      </c>
      <c r="K299" s="7" t="s">
        <v>105</v>
      </c>
      <c r="L299" s="7" t="s">
        <v>106</v>
      </c>
      <c r="M299" s="7"/>
      <c r="N299" s="7" t="s">
        <v>2456</v>
      </c>
      <c r="O299" s="7" t="s">
        <v>2456</v>
      </c>
      <c r="P299" s="7" t="s">
        <v>84</v>
      </c>
      <c r="Q299" s="7"/>
      <c r="R299" s="7" t="s">
        <v>109</v>
      </c>
      <c r="S299" s="7" t="s">
        <v>110</v>
      </c>
      <c r="T299" s="7" t="n">
        <v>0.904</v>
      </c>
      <c r="U299" s="7" t="n">
        <v>3</v>
      </c>
      <c r="V299" s="7" t="s">
        <v>1728</v>
      </c>
      <c r="W299" s="7"/>
      <c r="X299" s="7"/>
      <c r="Y299" s="7" t="s">
        <v>2456</v>
      </c>
      <c r="Z299" s="7"/>
      <c r="AA299" s="7"/>
      <c r="AB299" s="7"/>
      <c r="AC299" s="7" t="n">
        <v>6</v>
      </c>
      <c r="AD299" s="7" t="s">
        <v>1235</v>
      </c>
      <c r="AE299" s="7" t="s">
        <v>744</v>
      </c>
      <c r="AF299" s="7" t="s">
        <v>2454</v>
      </c>
      <c r="AG299" s="7" t="s">
        <v>744</v>
      </c>
      <c r="AH299" s="7" t="s">
        <v>2457</v>
      </c>
      <c r="AI299" s="7"/>
      <c r="AJ299" s="7"/>
      <c r="AK299" s="7"/>
      <c r="AL299" s="7"/>
      <c r="AM299" s="7" t="s">
        <v>744</v>
      </c>
      <c r="AN299" s="7" t="s">
        <v>2450</v>
      </c>
      <c r="AO299" s="7" t="s">
        <v>744</v>
      </c>
      <c r="AP299" s="7" t="s">
        <v>2037</v>
      </c>
      <c r="AQ299" s="7" t="s">
        <v>744</v>
      </c>
      <c r="AR299" s="7" t="s">
        <v>516</v>
      </c>
      <c r="AS299" s="7"/>
      <c r="AT299" s="7"/>
      <c r="AU299" s="7"/>
      <c r="AV299" s="7"/>
      <c r="AW299" s="7" t="s">
        <v>744</v>
      </c>
      <c r="AX299" s="7" t="s">
        <v>2456</v>
      </c>
      <c r="AY299" s="7"/>
      <c r="AZ299" s="7"/>
      <c r="BA299" s="7"/>
      <c r="BB299" s="7"/>
      <c r="BC299" s="7"/>
      <c r="BD299" s="7" t="s">
        <v>563</v>
      </c>
      <c r="BE299" s="7" t="s">
        <v>127</v>
      </c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</row>
    <row r="300" customFormat="false" ht="15" hidden="false" customHeight="false" outlineLevel="0" collapsed="false">
      <c r="A300" s="7" t="s">
        <v>2458</v>
      </c>
      <c r="B300" s="7" t="s">
        <v>2459</v>
      </c>
      <c r="C300" s="7" t="s">
        <v>2460</v>
      </c>
      <c r="D300" s="7" t="s">
        <v>2461</v>
      </c>
      <c r="E300" s="7" t="s">
        <v>101</v>
      </c>
      <c r="F300" s="7" t="s">
        <v>101</v>
      </c>
      <c r="G300" s="7"/>
      <c r="H300" s="7" t="s">
        <v>102</v>
      </c>
      <c r="I300" s="7" t="s">
        <v>158</v>
      </c>
      <c r="J300" s="7" t="s">
        <v>104</v>
      </c>
      <c r="K300" s="7" t="s">
        <v>105</v>
      </c>
      <c r="L300" s="7" t="s">
        <v>106</v>
      </c>
      <c r="M300" s="7"/>
      <c r="N300" s="7" t="s">
        <v>2462</v>
      </c>
      <c r="O300" s="7" t="s">
        <v>2462</v>
      </c>
      <c r="P300" s="7" t="s">
        <v>84</v>
      </c>
      <c r="Q300" s="7"/>
      <c r="R300" s="7" t="s">
        <v>109</v>
      </c>
      <c r="S300" s="7" t="s">
        <v>110</v>
      </c>
      <c r="T300" s="7" t="n">
        <v>0.533</v>
      </c>
      <c r="U300" s="7" t="n">
        <v>3</v>
      </c>
      <c r="V300" s="7" t="s">
        <v>161</v>
      </c>
      <c r="W300" s="7" t="s">
        <v>2463</v>
      </c>
      <c r="X300" s="7" t="s">
        <v>2298</v>
      </c>
      <c r="Y300" s="7" t="s">
        <v>2464</v>
      </c>
      <c r="Z300" s="7"/>
      <c r="AA300" s="7"/>
      <c r="AB300" s="7"/>
      <c r="AC300" s="7" t="n">
        <v>0</v>
      </c>
      <c r="AD300" s="7" t="s">
        <v>388</v>
      </c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 t="s">
        <v>1861</v>
      </c>
      <c r="BE300" s="7" t="s">
        <v>127</v>
      </c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</row>
    <row r="301" customFormat="false" ht="15" hidden="false" customHeight="false" outlineLevel="0" collapsed="false">
      <c r="A301" s="7" t="s">
        <v>2465</v>
      </c>
      <c r="B301" s="7" t="s">
        <v>2466</v>
      </c>
      <c r="C301" s="7" t="s">
        <v>2467</v>
      </c>
      <c r="D301" s="7" t="s">
        <v>2468</v>
      </c>
      <c r="E301" s="7" t="s">
        <v>2469</v>
      </c>
      <c r="F301" s="7" t="s">
        <v>101</v>
      </c>
      <c r="G301" s="7"/>
      <c r="H301" s="7"/>
      <c r="I301" s="7" t="s">
        <v>300</v>
      </c>
      <c r="J301" s="7" t="s">
        <v>104</v>
      </c>
      <c r="K301" s="7" t="s">
        <v>105</v>
      </c>
      <c r="L301" s="7" t="s">
        <v>2470</v>
      </c>
      <c r="M301" s="7"/>
      <c r="N301" s="7" t="s">
        <v>2471</v>
      </c>
      <c r="O301" s="7"/>
      <c r="P301" s="7" t="s">
        <v>84</v>
      </c>
      <c r="Q301" s="7"/>
      <c r="R301" s="7" t="s">
        <v>135</v>
      </c>
      <c r="S301" s="7" t="s">
        <v>136</v>
      </c>
      <c r="T301" s="7" t="n">
        <v>0.287</v>
      </c>
      <c r="U301" s="7" t="n">
        <v>3</v>
      </c>
      <c r="V301" s="7" t="s">
        <v>2472</v>
      </c>
      <c r="W301" s="7" t="s">
        <v>2473</v>
      </c>
      <c r="X301" s="7"/>
      <c r="Y301" s="7" t="s">
        <v>2474</v>
      </c>
      <c r="Z301" s="7"/>
      <c r="AA301" s="7"/>
      <c r="AB301" s="7"/>
      <c r="AC301" s="7" t="n">
        <v>6</v>
      </c>
      <c r="AD301" s="7" t="s">
        <v>1235</v>
      </c>
      <c r="AE301" s="7" t="s">
        <v>189</v>
      </c>
      <c r="AF301" s="7" t="s">
        <v>2475</v>
      </c>
      <c r="AG301" s="7" t="s">
        <v>189</v>
      </c>
      <c r="AH301" s="7" t="s">
        <v>2476</v>
      </c>
      <c r="AI301" s="7"/>
      <c r="AJ301" s="7"/>
      <c r="AK301" s="7"/>
      <c r="AL301" s="7"/>
      <c r="AM301" s="7" t="s">
        <v>189</v>
      </c>
      <c r="AN301" s="7" t="s">
        <v>2477</v>
      </c>
      <c r="AO301" s="7" t="s">
        <v>189</v>
      </c>
      <c r="AP301" s="7" t="s">
        <v>2478</v>
      </c>
      <c r="AQ301" s="7" t="s">
        <v>744</v>
      </c>
      <c r="AR301" s="7" t="s">
        <v>2469</v>
      </c>
      <c r="AS301" s="7"/>
      <c r="AT301" s="7"/>
      <c r="AU301" s="7"/>
      <c r="AV301" s="7"/>
      <c r="AW301" s="7" t="s">
        <v>189</v>
      </c>
      <c r="AX301" s="7" t="s">
        <v>2474</v>
      </c>
      <c r="AY301" s="7"/>
      <c r="AZ301" s="7"/>
      <c r="BA301" s="7"/>
      <c r="BB301" s="7"/>
      <c r="BC301" s="7"/>
      <c r="BD301" s="7" t="s">
        <v>2479</v>
      </c>
      <c r="BE301" s="7" t="s">
        <v>127</v>
      </c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</row>
    <row r="302" customFormat="false" ht="15" hidden="false" customHeight="false" outlineLevel="0" collapsed="false">
      <c r="A302" s="7" t="s">
        <v>2480</v>
      </c>
      <c r="B302" s="7" t="s">
        <v>2481</v>
      </c>
      <c r="C302" s="7" t="s">
        <v>2482</v>
      </c>
      <c r="D302" s="7" t="s">
        <v>2483</v>
      </c>
      <c r="E302" s="7" t="s">
        <v>101</v>
      </c>
      <c r="F302" s="7" t="s">
        <v>101</v>
      </c>
      <c r="G302" s="7"/>
      <c r="H302" s="7"/>
      <c r="I302" s="7" t="s">
        <v>300</v>
      </c>
      <c r="J302" s="7" t="s">
        <v>104</v>
      </c>
      <c r="K302" s="7" t="s">
        <v>105</v>
      </c>
      <c r="L302" s="7" t="s">
        <v>106</v>
      </c>
      <c r="M302" s="7"/>
      <c r="N302" s="7" t="s">
        <v>2484</v>
      </c>
      <c r="O302" s="7"/>
      <c r="P302" s="7" t="s">
        <v>84</v>
      </c>
      <c r="Q302" s="7"/>
      <c r="R302" s="7" t="s">
        <v>135</v>
      </c>
      <c r="S302" s="7" t="s">
        <v>136</v>
      </c>
      <c r="T302" s="7" t="n">
        <v>0.56</v>
      </c>
      <c r="U302" s="7" t="n">
        <v>3</v>
      </c>
      <c r="V302" s="7" t="s">
        <v>1728</v>
      </c>
      <c r="W302" s="7" t="s">
        <v>2485</v>
      </c>
      <c r="X302" s="7"/>
      <c r="Y302" s="7" t="s">
        <v>2486</v>
      </c>
      <c r="Z302" s="7"/>
      <c r="AA302" s="7"/>
      <c r="AB302" s="7"/>
      <c r="AC302" s="7" t="n">
        <v>6</v>
      </c>
      <c r="AD302" s="7" t="s">
        <v>1235</v>
      </c>
      <c r="AE302" s="7" t="s">
        <v>744</v>
      </c>
      <c r="AF302" s="7" t="s">
        <v>2482</v>
      </c>
      <c r="AG302" s="7" t="s">
        <v>744</v>
      </c>
      <c r="AH302" s="7" t="s">
        <v>2487</v>
      </c>
      <c r="AI302" s="7"/>
      <c r="AJ302" s="7"/>
      <c r="AK302" s="7"/>
      <c r="AL302" s="7"/>
      <c r="AM302" s="7" t="s">
        <v>744</v>
      </c>
      <c r="AN302" s="7" t="s">
        <v>2488</v>
      </c>
      <c r="AO302" s="7" t="s">
        <v>744</v>
      </c>
      <c r="AP302" s="7" t="s">
        <v>2483</v>
      </c>
      <c r="AQ302" s="7" t="s">
        <v>744</v>
      </c>
      <c r="AR302" s="7" t="s">
        <v>101</v>
      </c>
      <c r="AS302" s="7"/>
      <c r="AT302" s="7"/>
      <c r="AU302" s="7"/>
      <c r="AV302" s="7"/>
      <c r="AW302" s="7" t="s">
        <v>744</v>
      </c>
      <c r="AX302" s="7" t="s">
        <v>2484</v>
      </c>
      <c r="AY302" s="7"/>
      <c r="AZ302" s="7"/>
      <c r="BA302" s="7"/>
      <c r="BB302" s="7"/>
      <c r="BC302" s="7"/>
      <c r="BD302" s="7" t="s">
        <v>2479</v>
      </c>
      <c r="BE302" s="7" t="s">
        <v>127</v>
      </c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</row>
    <row r="303" customFormat="false" ht="15" hidden="false" customHeight="false" outlineLevel="0" collapsed="false">
      <c r="A303" s="7" t="s">
        <v>2489</v>
      </c>
      <c r="B303" s="7" t="s">
        <v>2490</v>
      </c>
      <c r="C303" s="7" t="s">
        <v>2491</v>
      </c>
      <c r="D303" s="7" t="s">
        <v>2492</v>
      </c>
      <c r="E303" s="7" t="s">
        <v>101</v>
      </c>
      <c r="F303" s="7" t="s">
        <v>82</v>
      </c>
      <c r="G303" s="7" t="s">
        <v>83</v>
      </c>
      <c r="H303" s="7" t="s">
        <v>102</v>
      </c>
      <c r="I303" s="7" t="s">
        <v>158</v>
      </c>
      <c r="J303" s="7" t="s">
        <v>104</v>
      </c>
      <c r="K303" s="7" t="s">
        <v>105</v>
      </c>
      <c r="L303" s="7" t="s">
        <v>106</v>
      </c>
      <c r="M303" s="7"/>
      <c r="N303" s="7" t="s">
        <v>2493</v>
      </c>
      <c r="O303" s="7" t="s">
        <v>2493</v>
      </c>
      <c r="P303" s="7" t="s">
        <v>135</v>
      </c>
      <c r="Q303" s="7"/>
      <c r="R303" s="7" t="s">
        <v>109</v>
      </c>
      <c r="S303" s="7" t="s">
        <v>110</v>
      </c>
      <c r="T303" s="7" t="n">
        <v>0.406</v>
      </c>
      <c r="U303" s="7" t="n">
        <v>3</v>
      </c>
      <c r="V303" s="7" t="s">
        <v>90</v>
      </c>
      <c r="W303" s="7"/>
      <c r="X303" s="7"/>
      <c r="Y303" s="7" t="s">
        <v>2493</v>
      </c>
      <c r="Z303" s="7"/>
      <c r="AA303" s="7"/>
      <c r="AB303" s="7"/>
      <c r="AC303" s="7" t="n">
        <v>8</v>
      </c>
      <c r="AD303" s="7" t="s">
        <v>541</v>
      </c>
      <c r="AE303" s="7" t="s">
        <v>2103</v>
      </c>
      <c r="AF303" s="7" t="s">
        <v>2494</v>
      </c>
      <c r="AG303" s="7"/>
      <c r="AH303" s="7"/>
      <c r="AI303" s="7"/>
      <c r="AJ303" s="7"/>
      <c r="AK303" s="7"/>
      <c r="AL303" s="7"/>
      <c r="AM303" s="7"/>
      <c r="AN303" s="7"/>
      <c r="AO303" s="7" t="s">
        <v>2103</v>
      </c>
      <c r="AP303" s="7" t="s">
        <v>2495</v>
      </c>
      <c r="AQ303" s="7" t="s">
        <v>2103</v>
      </c>
      <c r="AR303" s="7" t="s">
        <v>82</v>
      </c>
      <c r="AS303" s="7" t="s">
        <v>2103</v>
      </c>
      <c r="AT303" s="7" t="s">
        <v>216</v>
      </c>
      <c r="AU303" s="7" t="s">
        <v>2103</v>
      </c>
      <c r="AV303" s="7" t="s">
        <v>314</v>
      </c>
      <c r="AW303" s="7" t="s">
        <v>2103</v>
      </c>
      <c r="AX303" s="7" t="s">
        <v>273</v>
      </c>
      <c r="AY303" s="7" t="s">
        <v>2103</v>
      </c>
      <c r="AZ303" s="7" t="s">
        <v>124</v>
      </c>
      <c r="BA303" s="7" t="s">
        <v>2103</v>
      </c>
      <c r="BB303" s="7" t="s">
        <v>369</v>
      </c>
      <c r="BC303" s="7"/>
      <c r="BD303" s="7"/>
      <c r="BE303" s="7" t="s">
        <v>127</v>
      </c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</row>
    <row r="304" customFormat="false" ht="15" hidden="false" customHeight="false" outlineLevel="0" collapsed="false">
      <c r="A304" s="7" t="s">
        <v>2496</v>
      </c>
      <c r="B304" s="7" t="s">
        <v>2497</v>
      </c>
      <c r="C304" s="7" t="s">
        <v>2498</v>
      </c>
      <c r="D304" s="7" t="s">
        <v>100</v>
      </c>
      <c r="E304" s="7" t="s">
        <v>101</v>
      </c>
      <c r="F304" s="7" t="s">
        <v>101</v>
      </c>
      <c r="G304" s="7"/>
      <c r="H304" s="7" t="s">
        <v>102</v>
      </c>
      <c r="I304" s="7" t="s">
        <v>208</v>
      </c>
      <c r="J304" s="7" t="s">
        <v>104</v>
      </c>
      <c r="K304" s="7" t="s">
        <v>105</v>
      </c>
      <c r="L304" s="7" t="s">
        <v>106</v>
      </c>
      <c r="M304" s="7"/>
      <c r="N304" s="7" t="s">
        <v>2499</v>
      </c>
      <c r="O304" s="7"/>
      <c r="P304" s="7" t="s">
        <v>135</v>
      </c>
      <c r="Q304" s="7"/>
      <c r="R304" s="7" t="s">
        <v>135</v>
      </c>
      <c r="S304" s="7" t="s">
        <v>136</v>
      </c>
      <c r="T304" s="7" t="n">
        <v>0.695</v>
      </c>
      <c r="U304" s="7" t="n">
        <v>2</v>
      </c>
      <c r="V304" s="7" t="s">
        <v>90</v>
      </c>
      <c r="W304" s="7" t="s">
        <v>282</v>
      </c>
      <c r="X304" s="7" t="s">
        <v>283</v>
      </c>
      <c r="Y304" s="7" t="s">
        <v>284</v>
      </c>
      <c r="Z304" s="7"/>
      <c r="AA304" s="7"/>
      <c r="AB304" s="7"/>
      <c r="AC304" s="7" t="n">
        <v>0</v>
      </c>
      <c r="AD304" s="7" t="s">
        <v>388</v>
      </c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 t="s">
        <v>1826</v>
      </c>
      <c r="BE304" s="7" t="s">
        <v>127</v>
      </c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</row>
    <row r="305" customFormat="false" ht="15" hidden="false" customHeight="false" outlineLevel="0" collapsed="false">
      <c r="A305" s="7" t="s">
        <v>2500</v>
      </c>
      <c r="B305" s="7" t="s">
        <v>2501</v>
      </c>
      <c r="C305" s="7" t="s">
        <v>2502</v>
      </c>
      <c r="D305" s="7" t="s">
        <v>206</v>
      </c>
      <c r="E305" s="7" t="s">
        <v>82</v>
      </c>
      <c r="F305" s="7" t="s">
        <v>82</v>
      </c>
      <c r="G305" s="7" t="s">
        <v>83</v>
      </c>
      <c r="H305" s="7" t="s">
        <v>207</v>
      </c>
      <c r="I305" s="7" t="s">
        <v>208</v>
      </c>
      <c r="J305" s="7" t="s">
        <v>104</v>
      </c>
      <c r="K305" s="7" t="s">
        <v>105</v>
      </c>
      <c r="L305" s="7" t="s">
        <v>106</v>
      </c>
      <c r="M305" s="7" t="s">
        <v>2503</v>
      </c>
      <c r="N305" s="7" t="s">
        <v>2504</v>
      </c>
      <c r="O305" s="7" t="s">
        <v>2504</v>
      </c>
      <c r="P305" s="7" t="s">
        <v>135</v>
      </c>
      <c r="Q305" s="7"/>
      <c r="R305" s="7" t="s">
        <v>109</v>
      </c>
      <c r="S305" s="7" t="s">
        <v>110</v>
      </c>
      <c r="T305" s="7" t="n">
        <v>0.327</v>
      </c>
      <c r="U305" s="7" t="n">
        <v>2</v>
      </c>
      <c r="V305" s="7" t="s">
        <v>90</v>
      </c>
      <c r="W305" s="7"/>
      <c r="X305" s="7"/>
      <c r="Y305" s="7" t="s">
        <v>2504</v>
      </c>
      <c r="Z305" s="7"/>
      <c r="AA305" s="7"/>
      <c r="AB305" s="7"/>
      <c r="AC305" s="7" t="n">
        <v>5</v>
      </c>
      <c r="AD305" s="7" t="s">
        <v>2505</v>
      </c>
      <c r="AE305" s="7" t="s">
        <v>119</v>
      </c>
      <c r="AF305" s="7" t="s">
        <v>2506</v>
      </c>
      <c r="AG305" s="7"/>
      <c r="AH305" s="7"/>
      <c r="AI305" s="7"/>
      <c r="AJ305" s="7"/>
      <c r="AK305" s="7"/>
      <c r="AL305" s="7"/>
      <c r="AM305" s="7"/>
      <c r="AN305" s="7"/>
      <c r="AO305" s="7" t="s">
        <v>265</v>
      </c>
      <c r="AP305" s="7" t="s">
        <v>215</v>
      </c>
      <c r="AQ305" s="7" t="s">
        <v>265</v>
      </c>
      <c r="AR305" s="7" t="s">
        <v>82</v>
      </c>
      <c r="AS305" s="7" t="s">
        <v>265</v>
      </c>
      <c r="AT305" s="7" t="s">
        <v>216</v>
      </c>
      <c r="AU305" s="7"/>
      <c r="AV305" s="7"/>
      <c r="AW305" s="7" t="s">
        <v>435</v>
      </c>
      <c r="AX305" s="7" t="s">
        <v>2504</v>
      </c>
      <c r="AY305" s="7"/>
      <c r="AZ305" s="7"/>
      <c r="BA305" s="7"/>
      <c r="BB305" s="7"/>
      <c r="BC305" s="7" t="s">
        <v>219</v>
      </c>
      <c r="BD305" s="7" t="s">
        <v>220</v>
      </c>
      <c r="BE305" s="7" t="s">
        <v>127</v>
      </c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</row>
    <row r="306" customFormat="false" ht="15" hidden="false" customHeight="false" outlineLevel="0" collapsed="false">
      <c r="A306" s="7" t="s">
        <v>2507</v>
      </c>
      <c r="B306" s="7" t="s">
        <v>2508</v>
      </c>
      <c r="C306" s="7" t="s">
        <v>2509</v>
      </c>
      <c r="D306" s="7" t="s">
        <v>206</v>
      </c>
      <c r="E306" s="7" t="s">
        <v>82</v>
      </c>
      <c r="F306" s="7" t="s">
        <v>82</v>
      </c>
      <c r="G306" s="7" t="s">
        <v>83</v>
      </c>
      <c r="H306" s="7" t="s">
        <v>207</v>
      </c>
      <c r="I306" s="7" t="s">
        <v>208</v>
      </c>
      <c r="J306" s="7" t="s">
        <v>104</v>
      </c>
      <c r="K306" s="7" t="s">
        <v>105</v>
      </c>
      <c r="L306" s="7" t="s">
        <v>106</v>
      </c>
      <c r="M306" s="7"/>
      <c r="N306" s="7" t="s">
        <v>2510</v>
      </c>
      <c r="O306" s="7" t="s">
        <v>2510</v>
      </c>
      <c r="P306" s="7" t="s">
        <v>135</v>
      </c>
      <c r="Q306" s="7"/>
      <c r="R306" s="7" t="s">
        <v>109</v>
      </c>
      <c r="S306" s="7" t="s">
        <v>110</v>
      </c>
      <c r="T306" s="7" t="n">
        <v>0.745</v>
      </c>
      <c r="U306" s="7" t="n">
        <v>2</v>
      </c>
      <c r="V306" s="7" t="s">
        <v>90</v>
      </c>
      <c r="W306" s="7"/>
      <c r="X306" s="7"/>
      <c r="Y306" s="7" t="s">
        <v>2510</v>
      </c>
      <c r="Z306" s="7"/>
      <c r="AA306" s="7"/>
      <c r="AB306" s="7"/>
      <c r="AC306" s="7" t="n">
        <v>6</v>
      </c>
      <c r="AD306" s="7" t="s">
        <v>2511</v>
      </c>
      <c r="AE306" s="7" t="s">
        <v>265</v>
      </c>
      <c r="AF306" s="7" t="s">
        <v>2512</v>
      </c>
      <c r="AG306" s="7"/>
      <c r="AH306" s="7"/>
      <c r="AI306" s="7"/>
      <c r="AJ306" s="7"/>
      <c r="AK306" s="7"/>
      <c r="AL306" s="7"/>
      <c r="AM306" s="7"/>
      <c r="AN306" s="7"/>
      <c r="AO306" s="7" t="s">
        <v>265</v>
      </c>
      <c r="AP306" s="7" t="s">
        <v>215</v>
      </c>
      <c r="AQ306" s="7" t="s">
        <v>265</v>
      </c>
      <c r="AR306" s="7" t="s">
        <v>82</v>
      </c>
      <c r="AS306" s="7" t="s">
        <v>265</v>
      </c>
      <c r="AT306" s="7" t="s">
        <v>216</v>
      </c>
      <c r="AU306" s="7" t="s">
        <v>265</v>
      </c>
      <c r="AV306" s="7" t="s">
        <v>2513</v>
      </c>
      <c r="AW306" s="7" t="s">
        <v>265</v>
      </c>
      <c r="AX306" s="7" t="s">
        <v>326</v>
      </c>
      <c r="AY306" s="7"/>
      <c r="AZ306" s="7"/>
      <c r="BA306" s="7"/>
      <c r="BB306" s="7"/>
      <c r="BC306" s="7"/>
      <c r="BD306" s="7" t="s">
        <v>220</v>
      </c>
      <c r="BE306" s="7" t="s">
        <v>127</v>
      </c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</row>
    <row r="307" customFormat="false" ht="15" hidden="false" customHeight="false" outlineLevel="0" collapsed="false">
      <c r="A307" s="7" t="s">
        <v>2514</v>
      </c>
      <c r="B307" s="7" t="s">
        <v>2515</v>
      </c>
      <c r="C307" s="7" t="s">
        <v>2516</v>
      </c>
      <c r="D307" s="7" t="s">
        <v>206</v>
      </c>
      <c r="E307" s="7" t="s">
        <v>82</v>
      </c>
      <c r="F307" s="7" t="s">
        <v>82</v>
      </c>
      <c r="G307" s="7" t="s">
        <v>83</v>
      </c>
      <c r="H307" s="7" t="s">
        <v>207</v>
      </c>
      <c r="I307" s="7" t="s">
        <v>208</v>
      </c>
      <c r="J307" s="7" t="s">
        <v>104</v>
      </c>
      <c r="K307" s="7" t="s">
        <v>105</v>
      </c>
      <c r="L307" s="7" t="s">
        <v>106</v>
      </c>
      <c r="M307" s="7" t="s">
        <v>2503</v>
      </c>
      <c r="N307" s="7" t="s">
        <v>2517</v>
      </c>
      <c r="O307" s="7" t="s">
        <v>2517</v>
      </c>
      <c r="P307" s="7" t="s">
        <v>135</v>
      </c>
      <c r="Q307" s="7"/>
      <c r="R307" s="7" t="s">
        <v>109</v>
      </c>
      <c r="S307" s="7" t="s">
        <v>110</v>
      </c>
      <c r="T307" s="7" t="n">
        <v>0.355</v>
      </c>
      <c r="U307" s="7" t="n">
        <v>2</v>
      </c>
      <c r="V307" s="7" t="s">
        <v>90</v>
      </c>
      <c r="W307" s="7"/>
      <c r="X307" s="7"/>
      <c r="Y307" s="7" t="s">
        <v>2517</v>
      </c>
      <c r="Z307" s="7"/>
      <c r="AA307" s="7"/>
      <c r="AB307" s="7"/>
      <c r="AC307" s="7" t="n">
        <v>9</v>
      </c>
      <c r="AD307" s="7" t="s">
        <v>847</v>
      </c>
      <c r="AE307" s="7" t="s">
        <v>113</v>
      </c>
      <c r="AF307" s="7" t="s">
        <v>2518</v>
      </c>
      <c r="AG307" s="7" t="s">
        <v>115</v>
      </c>
      <c r="AH307" s="7" t="s">
        <v>116</v>
      </c>
      <c r="AI307" s="7"/>
      <c r="AJ307" s="7"/>
      <c r="AK307" s="7"/>
      <c r="AL307" s="7"/>
      <c r="AM307" s="7"/>
      <c r="AN307" s="7"/>
      <c r="AO307" s="7" t="s">
        <v>113</v>
      </c>
      <c r="AP307" s="7" t="s">
        <v>2519</v>
      </c>
      <c r="AQ307" s="7" t="s">
        <v>113</v>
      </c>
      <c r="AR307" s="7" t="s">
        <v>82</v>
      </c>
      <c r="AS307" s="7" t="s">
        <v>113</v>
      </c>
      <c r="AT307" s="7" t="s">
        <v>216</v>
      </c>
      <c r="AU307" s="7" t="s">
        <v>113</v>
      </c>
      <c r="AV307" s="7" t="s">
        <v>2520</v>
      </c>
      <c r="AW307" s="7" t="s">
        <v>113</v>
      </c>
      <c r="AX307" s="7" t="s">
        <v>273</v>
      </c>
      <c r="AY307" s="7" t="s">
        <v>113</v>
      </c>
      <c r="AZ307" s="7" t="s">
        <v>217</v>
      </c>
      <c r="BA307" s="7" t="s">
        <v>113</v>
      </c>
      <c r="BB307" s="7" t="s">
        <v>218</v>
      </c>
      <c r="BC307" s="7" t="s">
        <v>219</v>
      </c>
      <c r="BD307" s="7" t="s">
        <v>220</v>
      </c>
      <c r="BE307" s="7" t="s">
        <v>127</v>
      </c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</row>
    <row r="308" customFormat="false" ht="15" hidden="false" customHeight="false" outlineLevel="0" collapsed="false">
      <c r="A308" s="7" t="s">
        <v>2521</v>
      </c>
      <c r="B308" s="7" t="s">
        <v>2522</v>
      </c>
      <c r="C308" s="7" t="s">
        <v>2523</v>
      </c>
      <c r="D308" s="7" t="s">
        <v>2276</v>
      </c>
      <c r="E308" s="7" t="s">
        <v>101</v>
      </c>
      <c r="F308" s="7" t="s">
        <v>156</v>
      </c>
      <c r="G308" s="7"/>
      <c r="H308" s="7" t="s">
        <v>157</v>
      </c>
      <c r="I308" s="7" t="s">
        <v>158</v>
      </c>
      <c r="J308" s="7" t="s">
        <v>159</v>
      </c>
      <c r="K308" s="7" t="s">
        <v>105</v>
      </c>
      <c r="L308" s="7" t="s">
        <v>106</v>
      </c>
      <c r="M308" s="7" t="s">
        <v>2524</v>
      </c>
      <c r="N308" s="7" t="s">
        <v>2525</v>
      </c>
      <c r="O308" s="7"/>
      <c r="P308" s="7" t="s">
        <v>135</v>
      </c>
      <c r="Q308" s="7"/>
      <c r="R308" s="7" t="s">
        <v>135</v>
      </c>
      <c r="S308" s="7" t="s">
        <v>136</v>
      </c>
      <c r="T308" s="7" t="n">
        <v>0.837</v>
      </c>
      <c r="U308" s="7" t="n">
        <v>2</v>
      </c>
      <c r="V308" s="7" t="s">
        <v>90</v>
      </c>
      <c r="W308" s="7" t="s">
        <v>2526</v>
      </c>
      <c r="X308" s="7" t="s">
        <v>2298</v>
      </c>
      <c r="Y308" s="7" t="s">
        <v>2527</v>
      </c>
      <c r="Z308" s="7" t="s">
        <v>2528</v>
      </c>
      <c r="AA308" s="7"/>
      <c r="AB308" s="7"/>
      <c r="AC308" s="7" t="n">
        <v>12</v>
      </c>
      <c r="AD308" s="7"/>
      <c r="AE308" s="7" t="s">
        <v>166</v>
      </c>
      <c r="AF308" s="7" t="s">
        <v>2529</v>
      </c>
      <c r="AG308" s="7" t="s">
        <v>166</v>
      </c>
      <c r="AH308" s="7" t="s">
        <v>2530</v>
      </c>
      <c r="AI308" s="7" t="s">
        <v>619</v>
      </c>
      <c r="AJ308" s="7" t="s">
        <v>2531</v>
      </c>
      <c r="AK308" s="7" t="s">
        <v>115</v>
      </c>
      <c r="AL308" s="7" t="s">
        <v>116</v>
      </c>
      <c r="AM308" s="7" t="s">
        <v>166</v>
      </c>
      <c r="AN308" s="7" t="s">
        <v>2532</v>
      </c>
      <c r="AO308" s="7" t="s">
        <v>166</v>
      </c>
      <c r="AP308" s="7" t="s">
        <v>2533</v>
      </c>
      <c r="AQ308" s="7" t="s">
        <v>166</v>
      </c>
      <c r="AR308" s="7" t="s">
        <v>2534</v>
      </c>
      <c r="AS308" s="7" t="s">
        <v>166</v>
      </c>
      <c r="AT308" s="7" t="s">
        <v>2535</v>
      </c>
      <c r="AU308" s="7" t="s">
        <v>166</v>
      </c>
      <c r="AV308" s="7" t="s">
        <v>2536</v>
      </c>
      <c r="AW308" s="7" t="s">
        <v>166</v>
      </c>
      <c r="AX308" s="7" t="s">
        <v>2537</v>
      </c>
      <c r="AY308" s="7" t="s">
        <v>166</v>
      </c>
      <c r="AZ308" s="7" t="s">
        <v>2538</v>
      </c>
      <c r="BA308" s="7" t="s">
        <v>166</v>
      </c>
      <c r="BB308" s="7" t="s">
        <v>2539</v>
      </c>
      <c r="BC308" s="7" t="s">
        <v>178</v>
      </c>
      <c r="BD308" s="7" t="s">
        <v>2540</v>
      </c>
      <c r="BE308" s="7" t="s">
        <v>127</v>
      </c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</row>
    <row r="309" customFormat="false" ht="15" hidden="false" customHeight="false" outlineLevel="0" collapsed="false">
      <c r="A309" s="7" t="s">
        <v>2541</v>
      </c>
      <c r="B309" s="7" t="s">
        <v>2542</v>
      </c>
      <c r="C309" s="7" t="s">
        <v>2543</v>
      </c>
      <c r="D309" s="7" t="s">
        <v>2544</v>
      </c>
      <c r="E309" s="7" t="s">
        <v>82</v>
      </c>
      <c r="F309" s="7" t="s">
        <v>82</v>
      </c>
      <c r="G309" s="7" t="s">
        <v>2545</v>
      </c>
      <c r="H309" s="7" t="s">
        <v>207</v>
      </c>
      <c r="I309" s="7" t="s">
        <v>132</v>
      </c>
      <c r="J309" s="7" t="s">
        <v>104</v>
      </c>
      <c r="K309" s="7" t="s">
        <v>105</v>
      </c>
      <c r="L309" s="7" t="s">
        <v>106</v>
      </c>
      <c r="M309" s="7"/>
      <c r="N309" s="7" t="s">
        <v>2546</v>
      </c>
      <c r="O309" s="7" t="s">
        <v>2546</v>
      </c>
      <c r="P309" s="7" t="s">
        <v>135</v>
      </c>
      <c r="Q309" s="7"/>
      <c r="R309" s="7" t="s">
        <v>109</v>
      </c>
      <c r="S309" s="7" t="s">
        <v>110</v>
      </c>
      <c r="T309" s="7" t="n">
        <v>0.337</v>
      </c>
      <c r="U309" s="7" t="n">
        <v>2</v>
      </c>
      <c r="V309" s="7" t="s">
        <v>90</v>
      </c>
      <c r="W309" s="7"/>
      <c r="X309" s="7"/>
      <c r="Y309" s="7"/>
      <c r="Z309" s="7"/>
      <c r="AA309" s="7"/>
      <c r="AB309" s="7"/>
      <c r="AC309" s="7" t="n">
        <v>0</v>
      </c>
      <c r="AD309" s="7" t="s">
        <v>388</v>
      </c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 t="s">
        <v>220</v>
      </c>
      <c r="BE309" s="7" t="s">
        <v>127</v>
      </c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</row>
    <row r="310" customFormat="false" ht="15" hidden="false" customHeight="false" outlineLevel="0" collapsed="false">
      <c r="A310" s="7" t="s">
        <v>2547</v>
      </c>
      <c r="B310" s="7" t="s">
        <v>2548</v>
      </c>
      <c r="C310" s="7" t="s">
        <v>2549</v>
      </c>
      <c r="D310" s="7" t="s">
        <v>2550</v>
      </c>
      <c r="E310" s="7" t="s">
        <v>82</v>
      </c>
      <c r="F310" s="7" t="s">
        <v>82</v>
      </c>
      <c r="G310" s="7"/>
      <c r="H310" s="7" t="s">
        <v>207</v>
      </c>
      <c r="I310" s="7" t="s">
        <v>158</v>
      </c>
      <c r="J310" s="7" t="s">
        <v>104</v>
      </c>
      <c r="K310" s="7" t="s">
        <v>105</v>
      </c>
      <c r="L310" s="7" t="s">
        <v>106</v>
      </c>
      <c r="M310" s="7"/>
      <c r="N310" s="7" t="s">
        <v>2551</v>
      </c>
      <c r="O310" s="7"/>
      <c r="P310" s="7" t="s">
        <v>135</v>
      </c>
      <c r="Q310" s="7"/>
      <c r="R310" s="7"/>
      <c r="S310" s="7"/>
      <c r="T310" s="7" t="n">
        <v>0.278</v>
      </c>
      <c r="U310" s="7" t="n">
        <v>2</v>
      </c>
      <c r="V310" s="7" t="s">
        <v>90</v>
      </c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 t="s">
        <v>220</v>
      </c>
      <c r="BE310" s="7" t="s">
        <v>127</v>
      </c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</row>
    <row r="311" customFormat="false" ht="15" hidden="false" customHeight="false" outlineLevel="0" collapsed="false">
      <c r="A311" s="7" t="s">
        <v>2552</v>
      </c>
      <c r="B311" s="7" t="s">
        <v>2553</v>
      </c>
      <c r="C311" s="7" t="s">
        <v>652</v>
      </c>
      <c r="D311" s="7" t="s">
        <v>654</v>
      </c>
      <c r="E311" s="7" t="s">
        <v>101</v>
      </c>
      <c r="F311" s="7" t="s">
        <v>82</v>
      </c>
      <c r="G311" s="7" t="s">
        <v>83</v>
      </c>
      <c r="H311" s="7" t="s">
        <v>102</v>
      </c>
      <c r="I311" s="7" t="s">
        <v>132</v>
      </c>
      <c r="J311" s="7" t="s">
        <v>104</v>
      </c>
      <c r="K311" s="7" t="s">
        <v>105</v>
      </c>
      <c r="L311" s="7" t="s">
        <v>106</v>
      </c>
      <c r="M311" s="7" t="s">
        <v>2554</v>
      </c>
      <c r="N311" s="7" t="s">
        <v>656</v>
      </c>
      <c r="O311" s="7" t="s">
        <v>2555</v>
      </c>
      <c r="P311" s="7" t="s">
        <v>135</v>
      </c>
      <c r="Q311" s="7"/>
      <c r="R311" s="7" t="s">
        <v>84</v>
      </c>
      <c r="S311" s="7" t="s">
        <v>238</v>
      </c>
      <c r="T311" s="7" t="n">
        <v>0.717</v>
      </c>
      <c r="U311" s="7" t="n">
        <v>2</v>
      </c>
      <c r="V311" s="7" t="s">
        <v>90</v>
      </c>
      <c r="W311" s="7" t="s">
        <v>657</v>
      </c>
      <c r="X311" s="7" t="s">
        <v>658</v>
      </c>
      <c r="Y311" s="7" t="s">
        <v>656</v>
      </c>
      <c r="Z311" s="7" t="s">
        <v>659</v>
      </c>
      <c r="AA311" s="7"/>
      <c r="AB311" s="7"/>
      <c r="AC311" s="7" t="n">
        <v>12</v>
      </c>
      <c r="AD311" s="7"/>
      <c r="AE311" s="7" t="s">
        <v>2103</v>
      </c>
      <c r="AF311" s="7" t="s">
        <v>2556</v>
      </c>
      <c r="AG311" s="7" t="s">
        <v>2103</v>
      </c>
      <c r="AH311" s="7" t="s">
        <v>2557</v>
      </c>
      <c r="AI311" s="7" t="s">
        <v>2103</v>
      </c>
      <c r="AJ311" s="7" t="s">
        <v>2558</v>
      </c>
      <c r="AK311" s="7" t="s">
        <v>2103</v>
      </c>
      <c r="AL311" s="7" t="s">
        <v>2559</v>
      </c>
      <c r="AM311" s="7" t="s">
        <v>113</v>
      </c>
      <c r="AN311" s="7" t="s">
        <v>2560</v>
      </c>
      <c r="AO311" s="7" t="s">
        <v>113</v>
      </c>
      <c r="AP311" s="7" t="s">
        <v>654</v>
      </c>
      <c r="AQ311" s="7" t="s">
        <v>113</v>
      </c>
      <c r="AR311" s="7" t="s">
        <v>82</v>
      </c>
      <c r="AS311" s="7" t="s">
        <v>113</v>
      </c>
      <c r="AT311" s="7" t="s">
        <v>216</v>
      </c>
      <c r="AU311" s="7" t="s">
        <v>2103</v>
      </c>
      <c r="AV311" s="7" t="s">
        <v>2561</v>
      </c>
      <c r="AW311" s="7" t="s">
        <v>248</v>
      </c>
      <c r="AX311" s="7" t="s">
        <v>294</v>
      </c>
      <c r="AY311" s="7" t="s">
        <v>2103</v>
      </c>
      <c r="AZ311" s="7" t="s">
        <v>2562</v>
      </c>
      <c r="BA311" s="7" t="s">
        <v>2103</v>
      </c>
      <c r="BB311" s="7" t="s">
        <v>2563</v>
      </c>
      <c r="BC311" s="7" t="s">
        <v>219</v>
      </c>
      <c r="BD311" s="7" t="s">
        <v>220</v>
      </c>
      <c r="BE311" s="7" t="s">
        <v>127</v>
      </c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</row>
    <row r="312" customFormat="false" ht="15" hidden="false" customHeight="false" outlineLevel="0" collapsed="false">
      <c r="A312" s="7" t="s">
        <v>2564</v>
      </c>
      <c r="B312" s="7" t="s">
        <v>2565</v>
      </c>
      <c r="C312" s="7" t="s">
        <v>2566</v>
      </c>
      <c r="D312" s="7" t="s">
        <v>671</v>
      </c>
      <c r="E312" s="7" t="s">
        <v>101</v>
      </c>
      <c r="F312" s="7" t="s">
        <v>101</v>
      </c>
      <c r="G312" s="7"/>
      <c r="H312" s="7" t="s">
        <v>102</v>
      </c>
      <c r="I312" s="7" t="s">
        <v>132</v>
      </c>
      <c r="J312" s="7" t="s">
        <v>104</v>
      </c>
      <c r="K312" s="7" t="s">
        <v>105</v>
      </c>
      <c r="L312" s="7" t="s">
        <v>106</v>
      </c>
      <c r="M312" s="7"/>
      <c r="N312" s="7" t="s">
        <v>2567</v>
      </c>
      <c r="O312" s="7"/>
      <c r="P312" s="7" t="s">
        <v>135</v>
      </c>
      <c r="Q312" s="7"/>
      <c r="R312" s="7" t="s">
        <v>135</v>
      </c>
      <c r="S312" s="7" t="s">
        <v>136</v>
      </c>
      <c r="T312" s="7" t="n">
        <v>0.662</v>
      </c>
      <c r="U312" s="7" t="n">
        <v>2</v>
      </c>
      <c r="V312" s="7" t="s">
        <v>90</v>
      </c>
      <c r="W312" s="7"/>
      <c r="X312" s="7"/>
      <c r="Y312" s="7" t="s">
        <v>2567</v>
      </c>
      <c r="Z312" s="7"/>
      <c r="AA312" s="7"/>
      <c r="AB312" s="7"/>
      <c r="AC312" s="7" t="n">
        <v>0</v>
      </c>
      <c r="AD312" s="7" t="s">
        <v>388</v>
      </c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 t="s">
        <v>127</v>
      </c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</row>
    <row r="313" customFormat="false" ht="15" hidden="false" customHeight="false" outlineLevel="0" collapsed="false">
      <c r="A313" s="7" t="s">
        <v>2568</v>
      </c>
      <c r="B313" s="7" t="s">
        <v>2569</v>
      </c>
      <c r="C313" s="7" t="s">
        <v>2570</v>
      </c>
      <c r="D313" s="7" t="s">
        <v>671</v>
      </c>
      <c r="E313" s="7" t="s">
        <v>101</v>
      </c>
      <c r="F313" s="7" t="s">
        <v>101</v>
      </c>
      <c r="G313" s="7"/>
      <c r="H313" s="7" t="s">
        <v>102</v>
      </c>
      <c r="I313" s="7" t="s">
        <v>132</v>
      </c>
      <c r="J313" s="7" t="s">
        <v>104</v>
      </c>
      <c r="K313" s="7" t="s">
        <v>105</v>
      </c>
      <c r="L313" s="7" t="s">
        <v>106</v>
      </c>
      <c r="M313" s="7"/>
      <c r="N313" s="7" t="s">
        <v>2571</v>
      </c>
      <c r="O313" s="7"/>
      <c r="P313" s="7" t="s">
        <v>135</v>
      </c>
      <c r="Q313" s="7"/>
      <c r="R313" s="7" t="s">
        <v>135</v>
      </c>
      <c r="S313" s="7" t="s">
        <v>136</v>
      </c>
      <c r="T313" s="7" t="n">
        <v>0.823</v>
      </c>
      <c r="U313" s="7" t="n">
        <v>2</v>
      </c>
      <c r="V313" s="7" t="s">
        <v>90</v>
      </c>
      <c r="W313" s="7"/>
      <c r="X313" s="7"/>
      <c r="Y313" s="7" t="s">
        <v>2571</v>
      </c>
      <c r="Z313" s="7"/>
      <c r="AA313" s="7"/>
      <c r="AB313" s="7"/>
      <c r="AC313" s="7" t="n">
        <v>0</v>
      </c>
      <c r="AD313" s="7" t="s">
        <v>388</v>
      </c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 t="s">
        <v>127</v>
      </c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</row>
    <row r="314" customFormat="false" ht="15" hidden="false" customHeight="false" outlineLevel="0" collapsed="false">
      <c r="A314" s="7" t="s">
        <v>2572</v>
      </c>
      <c r="B314" s="7" t="s">
        <v>2573</v>
      </c>
      <c r="C314" s="7" t="s">
        <v>2574</v>
      </c>
      <c r="D314" s="7" t="s">
        <v>671</v>
      </c>
      <c r="E314" s="7" t="s">
        <v>101</v>
      </c>
      <c r="F314" s="7" t="s">
        <v>101</v>
      </c>
      <c r="G314" s="7"/>
      <c r="H314" s="7" t="s">
        <v>102</v>
      </c>
      <c r="I314" s="7" t="s">
        <v>132</v>
      </c>
      <c r="J314" s="7" t="s">
        <v>104</v>
      </c>
      <c r="K314" s="7" t="s">
        <v>105</v>
      </c>
      <c r="L314" s="7" t="s">
        <v>106</v>
      </c>
      <c r="M314" s="7"/>
      <c r="N314" s="7" t="s">
        <v>2575</v>
      </c>
      <c r="O314" s="7"/>
      <c r="P314" s="7" t="s">
        <v>135</v>
      </c>
      <c r="Q314" s="7"/>
      <c r="R314" s="7" t="s">
        <v>135</v>
      </c>
      <c r="S314" s="7" t="s">
        <v>136</v>
      </c>
      <c r="T314" s="7" t="n">
        <v>0.811</v>
      </c>
      <c r="U314" s="7" t="n">
        <v>2</v>
      </c>
      <c r="V314" s="7" t="s">
        <v>90</v>
      </c>
      <c r="W314" s="7"/>
      <c r="X314" s="7"/>
      <c r="Y314" s="7" t="s">
        <v>2575</v>
      </c>
      <c r="Z314" s="7"/>
      <c r="AA314" s="7"/>
      <c r="AB314" s="7"/>
      <c r="AC314" s="7" t="n">
        <v>0</v>
      </c>
      <c r="AD314" s="7" t="s">
        <v>388</v>
      </c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 t="s">
        <v>127</v>
      </c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</row>
    <row r="315" customFormat="false" ht="15" hidden="false" customHeight="false" outlineLevel="0" collapsed="false">
      <c r="A315" s="7" t="s">
        <v>2576</v>
      </c>
      <c r="B315" s="7" t="s">
        <v>2577</v>
      </c>
      <c r="C315" s="7" t="s">
        <v>2578</v>
      </c>
      <c r="D315" s="7" t="s">
        <v>2579</v>
      </c>
      <c r="E315" s="7" t="s">
        <v>101</v>
      </c>
      <c r="F315" s="7" t="s">
        <v>819</v>
      </c>
      <c r="G315" s="7"/>
      <c r="H315" s="7" t="s">
        <v>102</v>
      </c>
      <c r="I315" s="7" t="s">
        <v>158</v>
      </c>
      <c r="J315" s="7" t="s">
        <v>104</v>
      </c>
      <c r="K315" s="7" t="s">
        <v>105</v>
      </c>
      <c r="L315" s="7" t="s">
        <v>106</v>
      </c>
      <c r="M315" s="7" t="s">
        <v>2580</v>
      </c>
      <c r="N315" s="7" t="s">
        <v>404</v>
      </c>
      <c r="O315" s="7" t="s">
        <v>2581</v>
      </c>
      <c r="P315" s="7" t="s">
        <v>84</v>
      </c>
      <c r="Q315" s="7"/>
      <c r="R315" s="7" t="s">
        <v>109</v>
      </c>
      <c r="S315" s="7" t="s">
        <v>110</v>
      </c>
      <c r="T315" s="7" t="n">
        <v>0.762</v>
      </c>
      <c r="U315" s="7" t="n">
        <v>2</v>
      </c>
      <c r="V315" s="7" t="s">
        <v>479</v>
      </c>
      <c r="W315" s="7"/>
      <c r="X315" s="7"/>
      <c r="Y315" s="7" t="s">
        <v>404</v>
      </c>
      <c r="Z315" s="7"/>
      <c r="AA315" s="7"/>
      <c r="AB315" s="7"/>
      <c r="AC315" s="7" t="n">
        <v>10</v>
      </c>
      <c r="AD315" s="7" t="s">
        <v>359</v>
      </c>
      <c r="AE315" s="7" t="s">
        <v>119</v>
      </c>
      <c r="AF315" s="7" t="s">
        <v>2582</v>
      </c>
      <c r="AG315" s="7" t="s">
        <v>435</v>
      </c>
      <c r="AH315" s="7" t="s">
        <v>356</v>
      </c>
      <c r="AI315" s="7"/>
      <c r="AJ315" s="7"/>
      <c r="AK315" s="7"/>
      <c r="AL315" s="7"/>
      <c r="AM315" s="7" t="s">
        <v>113</v>
      </c>
      <c r="AN315" s="7" t="s">
        <v>408</v>
      </c>
      <c r="AO315" s="7" t="s">
        <v>119</v>
      </c>
      <c r="AP315" s="7" t="s">
        <v>2579</v>
      </c>
      <c r="AQ315" s="7" t="s">
        <v>113</v>
      </c>
      <c r="AR315" s="7" t="s">
        <v>410</v>
      </c>
      <c r="AS315" s="7" t="s">
        <v>113</v>
      </c>
      <c r="AT315" s="7" t="s">
        <v>216</v>
      </c>
      <c r="AU315" s="7" t="s">
        <v>113</v>
      </c>
      <c r="AV315" s="7" t="s">
        <v>411</v>
      </c>
      <c r="AW315" s="7" t="s">
        <v>119</v>
      </c>
      <c r="AX315" s="7" t="s">
        <v>404</v>
      </c>
      <c r="AY315" s="7" t="s">
        <v>113</v>
      </c>
      <c r="AZ315" s="7" t="s">
        <v>295</v>
      </c>
      <c r="BA315" s="7" t="s">
        <v>113</v>
      </c>
      <c r="BB315" s="7" t="s">
        <v>369</v>
      </c>
      <c r="BC315" s="7" t="s">
        <v>125</v>
      </c>
      <c r="BD315" s="7"/>
      <c r="BE315" s="7" t="s">
        <v>127</v>
      </c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</row>
    <row r="316" customFormat="false" ht="15" hidden="false" customHeight="false" outlineLevel="0" collapsed="false">
      <c r="A316" s="7" t="s">
        <v>2583</v>
      </c>
      <c r="B316" s="7" t="s">
        <v>1372</v>
      </c>
      <c r="C316" s="7" t="s">
        <v>1373</v>
      </c>
      <c r="D316" s="7" t="s">
        <v>2584</v>
      </c>
      <c r="E316" s="7" t="s">
        <v>82</v>
      </c>
      <c r="F316" s="7" t="s">
        <v>82</v>
      </c>
      <c r="G316" s="7"/>
      <c r="H316" s="7" t="s">
        <v>207</v>
      </c>
      <c r="I316" s="7" t="s">
        <v>234</v>
      </c>
      <c r="J316" s="7" t="s">
        <v>104</v>
      </c>
      <c r="K316" s="7" t="s">
        <v>105</v>
      </c>
      <c r="L316" s="7" t="s">
        <v>235</v>
      </c>
      <c r="M316" s="7" t="s">
        <v>260</v>
      </c>
      <c r="N316" s="7" t="s">
        <v>1375</v>
      </c>
      <c r="O316" s="7" t="s">
        <v>1375</v>
      </c>
      <c r="P316" s="7" t="s">
        <v>135</v>
      </c>
      <c r="Q316" s="7"/>
      <c r="R316" s="7" t="s">
        <v>109</v>
      </c>
      <c r="S316" s="7" t="s">
        <v>110</v>
      </c>
      <c r="T316" s="7" t="n">
        <v>0.46</v>
      </c>
      <c r="U316" s="7" t="n">
        <v>2</v>
      </c>
      <c r="V316" s="7" t="s">
        <v>90</v>
      </c>
      <c r="W316" s="7"/>
      <c r="X316" s="7"/>
      <c r="Y316" s="7" t="s">
        <v>1375</v>
      </c>
      <c r="Z316" s="7"/>
      <c r="AA316" s="7"/>
      <c r="AB316" s="7"/>
      <c r="AC316" s="7" t="n">
        <v>7</v>
      </c>
      <c r="AD316" s="7" t="s">
        <v>2173</v>
      </c>
      <c r="AE316" s="7" t="s">
        <v>265</v>
      </c>
      <c r="AF316" s="7" t="s">
        <v>266</v>
      </c>
      <c r="AG316" s="7"/>
      <c r="AH316" s="7"/>
      <c r="AI316" s="7"/>
      <c r="AJ316" s="7"/>
      <c r="AK316" s="7"/>
      <c r="AL316" s="7"/>
      <c r="AM316" s="7"/>
      <c r="AN316" s="7"/>
      <c r="AO316" s="7" t="s">
        <v>265</v>
      </c>
      <c r="AP316" s="7" t="s">
        <v>271</v>
      </c>
      <c r="AQ316" s="7" t="s">
        <v>265</v>
      </c>
      <c r="AR316" s="7" t="s">
        <v>82</v>
      </c>
      <c r="AS316" s="7" t="s">
        <v>265</v>
      </c>
      <c r="AT316" s="7" t="s">
        <v>122</v>
      </c>
      <c r="AU316" s="7"/>
      <c r="AV316" s="7"/>
      <c r="AW316" s="7" t="s">
        <v>265</v>
      </c>
      <c r="AX316" s="7" t="s">
        <v>273</v>
      </c>
      <c r="AY316" s="7" t="s">
        <v>265</v>
      </c>
      <c r="AZ316" s="7" t="s">
        <v>274</v>
      </c>
      <c r="BA316" s="7" t="s">
        <v>265</v>
      </c>
      <c r="BB316" s="7" t="s">
        <v>275</v>
      </c>
      <c r="BC316" s="7" t="s">
        <v>151</v>
      </c>
      <c r="BD316" s="7" t="s">
        <v>220</v>
      </c>
      <c r="BE316" s="7" t="s">
        <v>127</v>
      </c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</row>
    <row r="317" customFormat="false" ht="15" hidden="false" customHeight="false" outlineLevel="0" collapsed="false">
      <c r="A317" s="7" t="s">
        <v>2585</v>
      </c>
      <c r="B317" s="7" t="s">
        <v>2586</v>
      </c>
      <c r="C317" s="7" t="s">
        <v>2587</v>
      </c>
      <c r="D317" s="7" t="s">
        <v>2588</v>
      </c>
      <c r="E317" s="7" t="s">
        <v>101</v>
      </c>
      <c r="F317" s="7" t="s">
        <v>101</v>
      </c>
      <c r="G317" s="7"/>
      <c r="H317" s="7" t="s">
        <v>102</v>
      </c>
      <c r="I317" s="7" t="s">
        <v>132</v>
      </c>
      <c r="J317" s="7" t="s">
        <v>104</v>
      </c>
      <c r="K317" s="7" t="s">
        <v>105</v>
      </c>
      <c r="L317" s="7" t="s">
        <v>106</v>
      </c>
      <c r="M317" s="7"/>
      <c r="N317" s="7" t="s">
        <v>2589</v>
      </c>
      <c r="O317" s="7" t="s">
        <v>2589</v>
      </c>
      <c r="P317" s="7" t="s">
        <v>109</v>
      </c>
      <c r="Q317" s="7"/>
      <c r="R317" s="7" t="s">
        <v>109</v>
      </c>
      <c r="S317" s="7" t="s">
        <v>110</v>
      </c>
      <c r="T317" s="7" t="n">
        <v>0.432</v>
      </c>
      <c r="U317" s="7" t="n">
        <v>2</v>
      </c>
      <c r="V317" s="7" t="s">
        <v>2590</v>
      </c>
      <c r="W317" s="7"/>
      <c r="X317" s="7" t="s">
        <v>2591</v>
      </c>
      <c r="Y317" s="7"/>
      <c r="Z317" s="7" t="s">
        <v>2592</v>
      </c>
      <c r="AA317" s="7"/>
      <c r="AB317" s="7"/>
      <c r="AC317" s="7" t="n">
        <v>0</v>
      </c>
      <c r="AD317" s="7" t="s">
        <v>388</v>
      </c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 t="s">
        <v>127</v>
      </c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</row>
    <row r="318" customFormat="false" ht="15" hidden="false" customHeight="false" outlineLevel="0" collapsed="false">
      <c r="A318" s="7" t="s">
        <v>2593</v>
      </c>
      <c r="B318" s="7" t="s">
        <v>2594</v>
      </c>
      <c r="C318" s="7" t="s">
        <v>2595</v>
      </c>
      <c r="D318" s="7" t="s">
        <v>2596</v>
      </c>
      <c r="E318" s="7" t="s">
        <v>101</v>
      </c>
      <c r="F318" s="7" t="s">
        <v>1966</v>
      </c>
      <c r="G318" s="7"/>
      <c r="H318" s="7" t="s">
        <v>102</v>
      </c>
      <c r="I318" s="7" t="s">
        <v>103</v>
      </c>
      <c r="J318" s="7" t="s">
        <v>104</v>
      </c>
      <c r="K318" s="7" t="s">
        <v>105</v>
      </c>
      <c r="L318" s="7" t="s">
        <v>106</v>
      </c>
      <c r="M318" s="7"/>
      <c r="N318" s="7" t="s">
        <v>2597</v>
      </c>
      <c r="O318" s="7"/>
      <c r="P318" s="7" t="s">
        <v>109</v>
      </c>
      <c r="Q318" s="7"/>
      <c r="R318" s="7"/>
      <c r="S318" s="7"/>
      <c r="T318" s="7" t="n">
        <v>0.224</v>
      </c>
      <c r="U318" s="7" t="n">
        <v>2</v>
      </c>
      <c r="V318" s="7" t="s">
        <v>2598</v>
      </c>
      <c r="W318" s="7"/>
      <c r="X318" s="7" t="s">
        <v>2599</v>
      </c>
      <c r="Y318" s="7" t="s">
        <v>2600</v>
      </c>
      <c r="Z318" s="7" t="s">
        <v>2601</v>
      </c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 t="s">
        <v>127</v>
      </c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</row>
    <row r="319" customFormat="false" ht="15" hidden="false" customHeight="false" outlineLevel="0" collapsed="false">
      <c r="A319" s="7" t="s">
        <v>2602</v>
      </c>
      <c r="B319" s="7" t="s">
        <v>2603</v>
      </c>
      <c r="C319" s="7" t="s">
        <v>2604</v>
      </c>
      <c r="D319" s="7" t="s">
        <v>2605</v>
      </c>
      <c r="E319" s="7" t="s">
        <v>101</v>
      </c>
      <c r="F319" s="7" t="s">
        <v>819</v>
      </c>
      <c r="G319" s="7"/>
      <c r="H319" s="7" t="s">
        <v>102</v>
      </c>
      <c r="I319" s="7" t="s">
        <v>1639</v>
      </c>
      <c r="J319" s="7" t="s">
        <v>104</v>
      </c>
      <c r="K319" s="7" t="s">
        <v>105</v>
      </c>
      <c r="L319" s="7" t="s">
        <v>106</v>
      </c>
      <c r="M319" s="7"/>
      <c r="N319" s="7" t="s">
        <v>2606</v>
      </c>
      <c r="O319" s="7" t="s">
        <v>2606</v>
      </c>
      <c r="P319" s="7" t="s">
        <v>109</v>
      </c>
      <c r="Q319" s="7"/>
      <c r="R319" s="7" t="s">
        <v>109</v>
      </c>
      <c r="S319" s="7" t="s">
        <v>110</v>
      </c>
      <c r="T319" s="7" t="n">
        <v>0.293</v>
      </c>
      <c r="U319" s="7" t="n">
        <v>2</v>
      </c>
      <c r="V319" s="7" t="s">
        <v>1973</v>
      </c>
      <c r="W319" s="7"/>
      <c r="X319" s="7" t="s">
        <v>2607</v>
      </c>
      <c r="Y319" s="7" t="s">
        <v>2608</v>
      </c>
      <c r="Z319" s="7" t="s">
        <v>2609</v>
      </c>
      <c r="AA319" s="7"/>
      <c r="AB319" s="7"/>
      <c r="AC319" s="7" t="n">
        <v>0</v>
      </c>
      <c r="AD319" s="7" t="s">
        <v>388</v>
      </c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 t="s">
        <v>127</v>
      </c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</row>
    <row r="320" customFormat="false" ht="15" hidden="false" customHeight="false" outlineLevel="0" collapsed="false">
      <c r="A320" s="7" t="s">
        <v>2610</v>
      </c>
      <c r="B320" s="7" t="s">
        <v>2611</v>
      </c>
      <c r="C320" s="7" t="s">
        <v>2612</v>
      </c>
      <c r="D320" s="7" t="s">
        <v>2613</v>
      </c>
      <c r="E320" s="7" t="s">
        <v>101</v>
      </c>
      <c r="F320" s="7" t="s">
        <v>819</v>
      </c>
      <c r="G320" s="7"/>
      <c r="H320" s="7" t="s">
        <v>102</v>
      </c>
      <c r="I320" s="7" t="s">
        <v>103</v>
      </c>
      <c r="J320" s="7" t="s">
        <v>104</v>
      </c>
      <c r="K320" s="7" t="s">
        <v>105</v>
      </c>
      <c r="L320" s="7" t="s">
        <v>106</v>
      </c>
      <c r="M320" s="7"/>
      <c r="N320" s="7" t="s">
        <v>2614</v>
      </c>
      <c r="O320" s="7" t="s">
        <v>2614</v>
      </c>
      <c r="P320" s="7" t="s">
        <v>109</v>
      </c>
      <c r="Q320" s="7"/>
      <c r="R320" s="7" t="s">
        <v>109</v>
      </c>
      <c r="S320" s="7" t="s">
        <v>110</v>
      </c>
      <c r="T320" s="7" t="n">
        <v>0.714</v>
      </c>
      <c r="U320" s="7" t="n">
        <v>2</v>
      </c>
      <c r="V320" s="7" t="s">
        <v>1973</v>
      </c>
      <c r="W320" s="7"/>
      <c r="X320" s="7" t="s">
        <v>2615</v>
      </c>
      <c r="Y320" s="7" t="s">
        <v>2616</v>
      </c>
      <c r="Z320" s="7" t="s">
        <v>2617</v>
      </c>
      <c r="AA320" s="7"/>
      <c r="AB320" s="7"/>
      <c r="AC320" s="7" t="n">
        <v>0</v>
      </c>
      <c r="AD320" s="7" t="s">
        <v>388</v>
      </c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 t="s">
        <v>127</v>
      </c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</row>
    <row r="321" customFormat="false" ht="15" hidden="false" customHeight="false" outlineLevel="0" collapsed="false">
      <c r="A321" s="7" t="s">
        <v>2618</v>
      </c>
      <c r="B321" s="7" t="s">
        <v>2619</v>
      </c>
      <c r="C321" s="7" t="s">
        <v>2620</v>
      </c>
      <c r="D321" s="7" t="s">
        <v>2621</v>
      </c>
      <c r="E321" s="7" t="s">
        <v>101</v>
      </c>
      <c r="F321" s="7" t="s">
        <v>156</v>
      </c>
      <c r="G321" s="7"/>
      <c r="H321" s="7" t="s">
        <v>157</v>
      </c>
      <c r="I321" s="7" t="s">
        <v>158</v>
      </c>
      <c r="J321" s="7" t="s">
        <v>159</v>
      </c>
      <c r="K321" s="7" t="s">
        <v>105</v>
      </c>
      <c r="L321" s="7" t="s">
        <v>106</v>
      </c>
      <c r="M321" s="7"/>
      <c r="N321" s="7" t="s">
        <v>2622</v>
      </c>
      <c r="O321" s="7" t="s">
        <v>2622</v>
      </c>
      <c r="P321" s="7" t="s">
        <v>109</v>
      </c>
      <c r="Q321" s="7"/>
      <c r="R321" s="7" t="s">
        <v>84</v>
      </c>
      <c r="S321" s="7" t="s">
        <v>238</v>
      </c>
      <c r="T321" s="7" t="n">
        <v>0.395</v>
      </c>
      <c r="U321" s="7" t="n">
        <v>2</v>
      </c>
      <c r="V321" s="7" t="s">
        <v>2623</v>
      </c>
      <c r="W321" s="7"/>
      <c r="X321" s="7" t="s">
        <v>2624</v>
      </c>
      <c r="Y321" s="7"/>
      <c r="Z321" s="7" t="s">
        <v>2625</v>
      </c>
      <c r="AA321" s="7"/>
      <c r="AB321" s="7"/>
      <c r="AC321" s="7" t="n">
        <v>12</v>
      </c>
      <c r="AD321" s="7"/>
      <c r="AE321" s="7" t="s">
        <v>115</v>
      </c>
      <c r="AF321" s="7"/>
      <c r="AG321" s="7" t="s">
        <v>115</v>
      </c>
      <c r="AH321" s="7"/>
      <c r="AI321" s="7" t="s">
        <v>115</v>
      </c>
      <c r="AJ321" s="7"/>
      <c r="AK321" s="7" t="s">
        <v>115</v>
      </c>
      <c r="AL321" s="7"/>
      <c r="AM321" s="7" t="s">
        <v>115</v>
      </c>
      <c r="AN321" s="7"/>
      <c r="AO321" s="7" t="s">
        <v>115</v>
      </c>
      <c r="AP321" s="7"/>
      <c r="AQ321" s="7" t="s">
        <v>115</v>
      </c>
      <c r="AR321" s="7"/>
      <c r="AS321" s="7" t="s">
        <v>115</v>
      </c>
      <c r="AT321" s="7"/>
      <c r="AU321" s="7" t="s">
        <v>115</v>
      </c>
      <c r="AV321" s="7"/>
      <c r="AW321" s="7" t="s">
        <v>115</v>
      </c>
      <c r="AX321" s="7"/>
      <c r="AY321" s="7" t="s">
        <v>115</v>
      </c>
      <c r="AZ321" s="7"/>
      <c r="BA321" s="7" t="s">
        <v>115</v>
      </c>
      <c r="BB321" s="7"/>
      <c r="BC321" s="7" t="s">
        <v>178</v>
      </c>
      <c r="BD321" s="7" t="s">
        <v>2626</v>
      </c>
      <c r="BE321" s="7" t="s">
        <v>127</v>
      </c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</row>
    <row r="322" customFormat="false" ht="15" hidden="false" customHeight="false" outlineLevel="0" collapsed="false">
      <c r="A322" s="7" t="s">
        <v>2627</v>
      </c>
      <c r="B322" s="7" t="s">
        <v>2628</v>
      </c>
      <c r="C322" s="7" t="s">
        <v>2629</v>
      </c>
      <c r="D322" s="7" t="s">
        <v>2630</v>
      </c>
      <c r="E322" s="7" t="s">
        <v>101</v>
      </c>
      <c r="F322" s="7" t="s">
        <v>101</v>
      </c>
      <c r="G322" s="7"/>
      <c r="H322" s="7" t="s">
        <v>102</v>
      </c>
      <c r="I322" s="7" t="s">
        <v>208</v>
      </c>
      <c r="J322" s="7" t="s">
        <v>104</v>
      </c>
      <c r="K322" s="7" t="s">
        <v>105</v>
      </c>
      <c r="L322" s="7" t="s">
        <v>106</v>
      </c>
      <c r="M322" s="7" t="s">
        <v>419</v>
      </c>
      <c r="N322" s="7" t="s">
        <v>2631</v>
      </c>
      <c r="O322" s="7" t="s">
        <v>2631</v>
      </c>
      <c r="P322" s="7" t="s">
        <v>135</v>
      </c>
      <c r="Q322" s="7"/>
      <c r="R322" s="7" t="s">
        <v>109</v>
      </c>
      <c r="S322" s="7" t="s">
        <v>110</v>
      </c>
      <c r="T322" s="7" t="n">
        <v>0.155</v>
      </c>
      <c r="U322" s="7" t="n">
        <v>2</v>
      </c>
      <c r="V322" s="7" t="s">
        <v>90</v>
      </c>
      <c r="W322" s="7"/>
      <c r="X322" s="7" t="s">
        <v>1952</v>
      </c>
      <c r="Y322" s="7"/>
      <c r="Z322" s="7" t="s">
        <v>1953</v>
      </c>
      <c r="AA322" s="7"/>
      <c r="AB322" s="7"/>
      <c r="AC322" s="7" t="n">
        <v>0</v>
      </c>
      <c r="AD322" s="7" t="s">
        <v>388</v>
      </c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 t="s">
        <v>427</v>
      </c>
      <c r="BD322" s="7" t="s">
        <v>440</v>
      </c>
      <c r="BE322" s="7" t="s">
        <v>127</v>
      </c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</row>
    <row r="323" customFormat="false" ht="15" hidden="false" customHeight="false" outlineLevel="0" collapsed="false">
      <c r="A323" s="7" t="s">
        <v>2632</v>
      </c>
      <c r="B323" s="7" t="s">
        <v>2633</v>
      </c>
      <c r="C323" s="7" t="s">
        <v>2634</v>
      </c>
      <c r="D323" s="7" t="s">
        <v>2635</v>
      </c>
      <c r="E323" s="7" t="s">
        <v>101</v>
      </c>
      <c r="F323" s="7" t="s">
        <v>101</v>
      </c>
      <c r="G323" s="7"/>
      <c r="H323" s="7" t="s">
        <v>102</v>
      </c>
      <c r="I323" s="7" t="s">
        <v>132</v>
      </c>
      <c r="J323" s="7" t="s">
        <v>104</v>
      </c>
      <c r="K323" s="7" t="s">
        <v>105</v>
      </c>
      <c r="L323" s="7" t="s">
        <v>106</v>
      </c>
      <c r="M323" s="7" t="s">
        <v>419</v>
      </c>
      <c r="N323" s="7" t="s">
        <v>2636</v>
      </c>
      <c r="O323" s="7" t="s">
        <v>2636</v>
      </c>
      <c r="P323" s="7" t="s">
        <v>135</v>
      </c>
      <c r="Q323" s="7"/>
      <c r="R323" s="7" t="s">
        <v>109</v>
      </c>
      <c r="S323" s="7" t="s">
        <v>110</v>
      </c>
      <c r="T323" s="7" t="n">
        <v>0.331</v>
      </c>
      <c r="U323" s="7" t="n">
        <v>2</v>
      </c>
      <c r="V323" s="7" t="s">
        <v>90</v>
      </c>
      <c r="W323" s="7"/>
      <c r="X323" s="7" t="s">
        <v>239</v>
      </c>
      <c r="Y323" s="7"/>
      <c r="Z323" s="7" t="s">
        <v>241</v>
      </c>
      <c r="AA323" s="7"/>
      <c r="AB323" s="7"/>
      <c r="AC323" s="7" t="n">
        <v>0</v>
      </c>
      <c r="AD323" s="7" t="s">
        <v>388</v>
      </c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 t="s">
        <v>427</v>
      </c>
      <c r="BD323" s="7" t="s">
        <v>440</v>
      </c>
      <c r="BE323" s="7" t="s">
        <v>127</v>
      </c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</row>
    <row r="324" customFormat="false" ht="15" hidden="false" customHeight="false" outlineLevel="0" collapsed="false">
      <c r="A324" s="7" t="s">
        <v>2637</v>
      </c>
      <c r="B324" s="7" t="s">
        <v>2638</v>
      </c>
      <c r="C324" s="7" t="s">
        <v>2639</v>
      </c>
      <c r="D324" s="7" t="s">
        <v>1927</v>
      </c>
      <c r="E324" s="7" t="s">
        <v>82</v>
      </c>
      <c r="F324" s="7" t="s">
        <v>82</v>
      </c>
      <c r="G324" s="7"/>
      <c r="H324" s="7"/>
      <c r="I324" s="7" t="s">
        <v>208</v>
      </c>
      <c r="J324" s="7" t="s">
        <v>104</v>
      </c>
      <c r="K324" s="7" t="s">
        <v>105</v>
      </c>
      <c r="L324" s="7" t="s">
        <v>106</v>
      </c>
      <c r="M324" s="7"/>
      <c r="N324" s="7" t="s">
        <v>2640</v>
      </c>
      <c r="O324" s="7"/>
      <c r="P324" s="7" t="s">
        <v>84</v>
      </c>
      <c r="Q324" s="7"/>
      <c r="R324" s="7"/>
      <c r="S324" s="7"/>
      <c r="T324" s="7" t="n">
        <v>0.81</v>
      </c>
      <c r="U324" s="7" t="n">
        <v>2</v>
      </c>
      <c r="V324" s="7" t="s">
        <v>90</v>
      </c>
      <c r="W324" s="7"/>
      <c r="X324" s="7"/>
      <c r="Y324" s="7" t="s">
        <v>2640</v>
      </c>
      <c r="Z324" s="7"/>
      <c r="AA324" s="7"/>
      <c r="AB324" s="7"/>
      <c r="AC324" s="7"/>
      <c r="AD324" s="7"/>
      <c r="AE324" s="7" t="s">
        <v>265</v>
      </c>
      <c r="AF324" s="7" t="s">
        <v>2641</v>
      </c>
      <c r="AG324" s="7"/>
      <c r="AH324" s="7"/>
      <c r="AI324" s="7" t="s">
        <v>265</v>
      </c>
      <c r="AJ324" s="7" t="s">
        <v>2642</v>
      </c>
      <c r="AK324" s="7"/>
      <c r="AL324" s="7"/>
      <c r="AM324" s="7" t="s">
        <v>265</v>
      </c>
      <c r="AN324" s="7" t="s">
        <v>2643</v>
      </c>
      <c r="AO324" s="7" t="s">
        <v>265</v>
      </c>
      <c r="AP324" s="7" t="s">
        <v>2644</v>
      </c>
      <c r="AQ324" s="7" t="s">
        <v>2032</v>
      </c>
      <c r="AR324" s="7" t="s">
        <v>82</v>
      </c>
      <c r="AS324" s="7" t="s">
        <v>265</v>
      </c>
      <c r="AT324" s="7" t="s">
        <v>122</v>
      </c>
      <c r="AU324" s="7" t="s">
        <v>265</v>
      </c>
      <c r="AV324" s="7" t="s">
        <v>2645</v>
      </c>
      <c r="AW324" s="7" t="s">
        <v>265</v>
      </c>
      <c r="AX324" s="7" t="s">
        <v>273</v>
      </c>
      <c r="AY324" s="7" t="s">
        <v>265</v>
      </c>
      <c r="AZ324" s="7" t="s">
        <v>124</v>
      </c>
      <c r="BA324" s="7" t="s">
        <v>265</v>
      </c>
      <c r="BB324" s="7" t="s">
        <v>218</v>
      </c>
      <c r="BC324" s="7"/>
      <c r="BD324" s="7"/>
      <c r="BE324" s="7" t="s">
        <v>127</v>
      </c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</row>
    <row r="325" customFormat="false" ht="15" hidden="false" customHeight="false" outlineLevel="0" collapsed="false">
      <c r="A325" s="7" t="s">
        <v>2646</v>
      </c>
      <c r="B325" s="7" t="s">
        <v>2647</v>
      </c>
      <c r="C325" s="7" t="s">
        <v>2648</v>
      </c>
      <c r="D325" s="7" t="s">
        <v>1927</v>
      </c>
      <c r="E325" s="7" t="s">
        <v>82</v>
      </c>
      <c r="F325" s="7" t="s">
        <v>82</v>
      </c>
      <c r="G325" s="7"/>
      <c r="H325" s="7"/>
      <c r="I325" s="7" t="s">
        <v>208</v>
      </c>
      <c r="J325" s="7" t="s">
        <v>104</v>
      </c>
      <c r="K325" s="7" t="s">
        <v>105</v>
      </c>
      <c r="L325" s="7" t="s">
        <v>106</v>
      </c>
      <c r="M325" s="7"/>
      <c r="N325" s="7" t="s">
        <v>2649</v>
      </c>
      <c r="O325" s="7"/>
      <c r="P325" s="7" t="s">
        <v>84</v>
      </c>
      <c r="Q325" s="7"/>
      <c r="R325" s="7"/>
      <c r="S325" s="7"/>
      <c r="T325" s="7" t="n">
        <v>0.781</v>
      </c>
      <c r="U325" s="7" t="n">
        <v>2</v>
      </c>
      <c r="V325" s="7" t="s">
        <v>90</v>
      </c>
      <c r="W325" s="7"/>
      <c r="X325" s="7"/>
      <c r="Y325" s="7" t="s">
        <v>2649</v>
      </c>
      <c r="Z325" s="7"/>
      <c r="AA325" s="7"/>
      <c r="AB325" s="7"/>
      <c r="AC325" s="7"/>
      <c r="AD325" s="7"/>
      <c r="AE325" s="7" t="s">
        <v>265</v>
      </c>
      <c r="AF325" s="7" t="s">
        <v>2650</v>
      </c>
      <c r="AG325" s="7"/>
      <c r="AH325" s="7"/>
      <c r="AI325" s="7" t="s">
        <v>265</v>
      </c>
      <c r="AJ325" s="7" t="s">
        <v>2651</v>
      </c>
      <c r="AK325" s="7"/>
      <c r="AL325" s="7"/>
      <c r="AM325" s="7" t="s">
        <v>265</v>
      </c>
      <c r="AN325" s="7" t="s">
        <v>2652</v>
      </c>
      <c r="AO325" s="7" t="s">
        <v>2032</v>
      </c>
      <c r="AP325" s="7" t="s">
        <v>1927</v>
      </c>
      <c r="AQ325" s="7" t="s">
        <v>2032</v>
      </c>
      <c r="AR325" s="7" t="s">
        <v>82</v>
      </c>
      <c r="AS325" s="7" t="s">
        <v>265</v>
      </c>
      <c r="AT325" s="7" t="s">
        <v>122</v>
      </c>
      <c r="AU325" s="7"/>
      <c r="AV325" s="7"/>
      <c r="AW325" s="7" t="s">
        <v>265</v>
      </c>
      <c r="AX325" s="7" t="s">
        <v>273</v>
      </c>
      <c r="AY325" s="7" t="s">
        <v>265</v>
      </c>
      <c r="AZ325" s="7" t="s">
        <v>295</v>
      </c>
      <c r="BA325" s="7"/>
      <c r="BB325" s="7"/>
      <c r="BC325" s="7"/>
      <c r="BD325" s="7"/>
      <c r="BE325" s="7" t="s">
        <v>127</v>
      </c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</row>
    <row r="326" customFormat="false" ht="15" hidden="false" customHeight="false" outlineLevel="0" collapsed="false">
      <c r="A326" s="7" t="s">
        <v>2653</v>
      </c>
      <c r="B326" s="7" t="s">
        <v>2654</v>
      </c>
      <c r="C326" s="7" t="s">
        <v>2655</v>
      </c>
      <c r="D326" s="7" t="s">
        <v>1927</v>
      </c>
      <c r="E326" s="7" t="s">
        <v>82</v>
      </c>
      <c r="F326" s="7" t="s">
        <v>82</v>
      </c>
      <c r="G326" s="7"/>
      <c r="H326" s="7"/>
      <c r="I326" s="7" t="s">
        <v>374</v>
      </c>
      <c r="J326" s="7" t="s">
        <v>104</v>
      </c>
      <c r="K326" s="7" t="s">
        <v>105</v>
      </c>
      <c r="L326" s="7" t="s">
        <v>2656</v>
      </c>
      <c r="M326" s="7"/>
      <c r="N326" s="7" t="s">
        <v>2657</v>
      </c>
      <c r="O326" s="7"/>
      <c r="P326" s="7" t="s">
        <v>84</v>
      </c>
      <c r="Q326" s="7"/>
      <c r="R326" s="7"/>
      <c r="S326" s="7"/>
      <c r="T326" s="7" t="n">
        <v>0.579</v>
      </c>
      <c r="U326" s="7" t="n">
        <v>2</v>
      </c>
      <c r="V326" s="7" t="s">
        <v>90</v>
      </c>
      <c r="W326" s="7"/>
      <c r="X326" s="7"/>
      <c r="Y326" s="7" t="s">
        <v>2657</v>
      </c>
      <c r="Z326" s="7"/>
      <c r="AA326" s="7"/>
      <c r="AB326" s="7"/>
      <c r="AC326" s="7"/>
      <c r="AD326" s="7"/>
      <c r="AE326" s="7" t="s">
        <v>265</v>
      </c>
      <c r="AF326" s="7" t="s">
        <v>2658</v>
      </c>
      <c r="AG326" s="7"/>
      <c r="AH326" s="7"/>
      <c r="AI326" s="7"/>
      <c r="AJ326" s="7"/>
      <c r="AK326" s="7"/>
      <c r="AL326" s="7"/>
      <c r="AM326" s="7" t="s">
        <v>265</v>
      </c>
      <c r="AN326" s="7" t="s">
        <v>2659</v>
      </c>
      <c r="AO326" s="7" t="s">
        <v>2032</v>
      </c>
      <c r="AP326" s="7" t="s">
        <v>1927</v>
      </c>
      <c r="AQ326" s="7" t="s">
        <v>2032</v>
      </c>
      <c r="AR326" s="7" t="s">
        <v>82</v>
      </c>
      <c r="AS326" s="7" t="s">
        <v>265</v>
      </c>
      <c r="AT326" s="7" t="s">
        <v>122</v>
      </c>
      <c r="AU326" s="7"/>
      <c r="AV326" s="7"/>
      <c r="AW326" s="7" t="s">
        <v>265</v>
      </c>
      <c r="AX326" s="7" t="s">
        <v>273</v>
      </c>
      <c r="AY326" s="7"/>
      <c r="AZ326" s="7"/>
      <c r="BA326" s="7"/>
      <c r="BB326" s="7"/>
      <c r="BC326" s="7"/>
      <c r="BD326" s="7"/>
      <c r="BE326" s="7" t="s">
        <v>127</v>
      </c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</row>
    <row r="327" customFormat="false" ht="15" hidden="false" customHeight="false" outlineLevel="0" collapsed="false">
      <c r="A327" s="7" t="s">
        <v>2660</v>
      </c>
      <c r="B327" s="7" t="s">
        <v>2661</v>
      </c>
      <c r="C327" s="7" t="s">
        <v>2662</v>
      </c>
      <c r="D327" s="7" t="s">
        <v>1927</v>
      </c>
      <c r="E327" s="7" t="s">
        <v>82</v>
      </c>
      <c r="F327" s="7" t="s">
        <v>82</v>
      </c>
      <c r="G327" s="7"/>
      <c r="H327" s="7"/>
      <c r="I327" s="7" t="s">
        <v>103</v>
      </c>
      <c r="J327" s="7" t="s">
        <v>104</v>
      </c>
      <c r="K327" s="7" t="s">
        <v>105</v>
      </c>
      <c r="L327" s="7" t="s">
        <v>106</v>
      </c>
      <c r="M327" s="7" t="s">
        <v>2663</v>
      </c>
      <c r="N327" s="7" t="s">
        <v>2664</v>
      </c>
      <c r="O327" s="7"/>
      <c r="P327" s="7" t="s">
        <v>84</v>
      </c>
      <c r="Q327" s="7"/>
      <c r="R327" s="7"/>
      <c r="S327" s="7"/>
      <c r="T327" s="7" t="n">
        <v>0.534</v>
      </c>
      <c r="U327" s="7" t="n">
        <v>2</v>
      </c>
      <c r="V327" s="7" t="s">
        <v>90</v>
      </c>
      <c r="W327" s="7"/>
      <c r="X327" s="7"/>
      <c r="Y327" s="7" t="s">
        <v>2664</v>
      </c>
      <c r="Z327" s="7"/>
      <c r="AA327" s="7"/>
      <c r="AB327" s="7"/>
      <c r="AC327" s="7"/>
      <c r="AD327" s="7"/>
      <c r="AE327" s="7" t="s">
        <v>2032</v>
      </c>
      <c r="AF327" s="7" t="s">
        <v>2662</v>
      </c>
      <c r="AG327" s="7"/>
      <c r="AH327" s="7"/>
      <c r="AI327" s="7"/>
      <c r="AJ327" s="7"/>
      <c r="AK327" s="7"/>
      <c r="AL327" s="7"/>
      <c r="AM327" s="7"/>
      <c r="AN327" s="7"/>
      <c r="AO327" s="7" t="s">
        <v>265</v>
      </c>
      <c r="AP327" s="7" t="s">
        <v>2644</v>
      </c>
      <c r="AQ327" s="7" t="s">
        <v>2032</v>
      </c>
      <c r="AR327" s="7" t="s">
        <v>82</v>
      </c>
      <c r="AS327" s="7" t="s">
        <v>265</v>
      </c>
      <c r="AT327" s="7" t="s">
        <v>122</v>
      </c>
      <c r="AU327" s="7"/>
      <c r="AV327" s="7"/>
      <c r="AW327" s="7" t="s">
        <v>2032</v>
      </c>
      <c r="AX327" s="7" t="s">
        <v>2665</v>
      </c>
      <c r="AY327" s="7"/>
      <c r="AZ327" s="7"/>
      <c r="BA327" s="7"/>
      <c r="BB327" s="7"/>
      <c r="BC327" s="7" t="s">
        <v>125</v>
      </c>
      <c r="BD327" s="7"/>
      <c r="BE327" s="7" t="s">
        <v>127</v>
      </c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</row>
    <row r="328" customFormat="false" ht="15" hidden="false" customHeight="false" outlineLevel="0" collapsed="false">
      <c r="A328" s="7" t="s">
        <v>2666</v>
      </c>
      <c r="B328" s="7" t="s">
        <v>2667</v>
      </c>
      <c r="C328" s="7" t="s">
        <v>2668</v>
      </c>
      <c r="D328" s="7" t="s">
        <v>1927</v>
      </c>
      <c r="E328" s="7" t="s">
        <v>82</v>
      </c>
      <c r="F328" s="7" t="s">
        <v>82</v>
      </c>
      <c r="G328" s="7"/>
      <c r="H328" s="7"/>
      <c r="I328" s="7" t="s">
        <v>132</v>
      </c>
      <c r="J328" s="7" t="s">
        <v>104</v>
      </c>
      <c r="K328" s="7" t="s">
        <v>105</v>
      </c>
      <c r="L328" s="7" t="s">
        <v>106</v>
      </c>
      <c r="M328" s="7" t="s">
        <v>2669</v>
      </c>
      <c r="N328" s="7" t="s">
        <v>2670</v>
      </c>
      <c r="O328" s="7"/>
      <c r="P328" s="7" t="s">
        <v>135</v>
      </c>
      <c r="Q328" s="7"/>
      <c r="R328" s="7"/>
      <c r="S328" s="7"/>
      <c r="T328" s="7" t="n">
        <v>0.572</v>
      </c>
      <c r="U328" s="7" t="n">
        <v>2</v>
      </c>
      <c r="V328" s="7" t="s">
        <v>90</v>
      </c>
      <c r="W328" s="7"/>
      <c r="X328" s="7"/>
      <c r="Y328" s="7" t="s">
        <v>2670</v>
      </c>
      <c r="Z328" s="7"/>
      <c r="AA328" s="7"/>
      <c r="AB328" s="7"/>
      <c r="AC328" s="7"/>
      <c r="AD328" s="7"/>
      <c r="AE328" s="7" t="s">
        <v>265</v>
      </c>
      <c r="AF328" s="7" t="s">
        <v>2671</v>
      </c>
      <c r="AG328" s="7"/>
      <c r="AH328" s="7"/>
      <c r="AI328" s="7"/>
      <c r="AJ328" s="7"/>
      <c r="AK328" s="7"/>
      <c r="AL328" s="7"/>
      <c r="AM328" s="7" t="s">
        <v>265</v>
      </c>
      <c r="AN328" s="7" t="s">
        <v>2672</v>
      </c>
      <c r="AO328" s="7" t="s">
        <v>265</v>
      </c>
      <c r="AP328" s="7" t="s">
        <v>2673</v>
      </c>
      <c r="AQ328" s="7" t="s">
        <v>2032</v>
      </c>
      <c r="AR328" s="7" t="s">
        <v>82</v>
      </c>
      <c r="AS328" s="7" t="s">
        <v>265</v>
      </c>
      <c r="AT328" s="7" t="s">
        <v>122</v>
      </c>
      <c r="AU328" s="7" t="s">
        <v>265</v>
      </c>
      <c r="AV328" s="7" t="s">
        <v>2674</v>
      </c>
      <c r="AW328" s="7" t="s">
        <v>265</v>
      </c>
      <c r="AX328" s="7" t="s">
        <v>326</v>
      </c>
      <c r="AY328" s="7" t="s">
        <v>265</v>
      </c>
      <c r="AZ328" s="7" t="s">
        <v>295</v>
      </c>
      <c r="BA328" s="7"/>
      <c r="BB328" s="7"/>
      <c r="BC328" s="7" t="s">
        <v>125</v>
      </c>
      <c r="BD328" s="7" t="s">
        <v>220</v>
      </c>
      <c r="BE328" s="7" t="s">
        <v>127</v>
      </c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</row>
    <row r="329" customFormat="false" ht="15" hidden="false" customHeight="false" outlineLevel="0" collapsed="false">
      <c r="A329" s="7" t="s">
        <v>2675</v>
      </c>
      <c r="B329" s="7" t="s">
        <v>2676</v>
      </c>
      <c r="C329" s="7" t="s">
        <v>2677</v>
      </c>
      <c r="D329" s="7" t="s">
        <v>1927</v>
      </c>
      <c r="E329" s="7" t="s">
        <v>82</v>
      </c>
      <c r="F329" s="7" t="s">
        <v>82</v>
      </c>
      <c r="G329" s="7"/>
      <c r="H329" s="7"/>
      <c r="I329" s="7" t="s">
        <v>132</v>
      </c>
      <c r="J329" s="7" t="s">
        <v>104</v>
      </c>
      <c r="K329" s="7" t="s">
        <v>105</v>
      </c>
      <c r="L329" s="7" t="s">
        <v>2656</v>
      </c>
      <c r="M329" s="7" t="s">
        <v>2669</v>
      </c>
      <c r="N329" s="7" t="s">
        <v>2678</v>
      </c>
      <c r="O329" s="7"/>
      <c r="P329" s="7" t="s">
        <v>135</v>
      </c>
      <c r="Q329" s="7"/>
      <c r="R329" s="7"/>
      <c r="S329" s="7"/>
      <c r="T329" s="7" t="n">
        <v>0.646</v>
      </c>
      <c r="U329" s="7" t="n">
        <v>2</v>
      </c>
      <c r="V329" s="7" t="s">
        <v>90</v>
      </c>
      <c r="W329" s="7"/>
      <c r="X329" s="7"/>
      <c r="Y329" s="7" t="s">
        <v>2678</v>
      </c>
      <c r="Z329" s="7"/>
      <c r="AA329" s="7"/>
      <c r="AB329" s="7"/>
      <c r="AC329" s="7"/>
      <c r="AD329" s="7"/>
      <c r="AE329" s="7" t="s">
        <v>2032</v>
      </c>
      <c r="AF329" s="7" t="s">
        <v>2677</v>
      </c>
      <c r="AG329" s="7"/>
      <c r="AH329" s="7"/>
      <c r="AI329" s="7"/>
      <c r="AJ329" s="7"/>
      <c r="AK329" s="7"/>
      <c r="AL329" s="7"/>
      <c r="AM329" s="7"/>
      <c r="AN329" s="7"/>
      <c r="AO329" s="7" t="s">
        <v>2032</v>
      </c>
      <c r="AP329" s="7" t="s">
        <v>1927</v>
      </c>
      <c r="AQ329" s="7" t="s">
        <v>2032</v>
      </c>
      <c r="AR329" s="7" t="s">
        <v>82</v>
      </c>
      <c r="AS329" s="7" t="s">
        <v>265</v>
      </c>
      <c r="AT329" s="7" t="s">
        <v>122</v>
      </c>
      <c r="AU329" s="7" t="s">
        <v>265</v>
      </c>
      <c r="AV329" s="7" t="s">
        <v>2679</v>
      </c>
      <c r="AW329" s="7" t="s">
        <v>265</v>
      </c>
      <c r="AX329" s="7" t="s">
        <v>326</v>
      </c>
      <c r="AY329" s="7" t="s">
        <v>265</v>
      </c>
      <c r="AZ329" s="7" t="s">
        <v>295</v>
      </c>
      <c r="BA329" s="7"/>
      <c r="BB329" s="7"/>
      <c r="BC329" s="7" t="s">
        <v>125</v>
      </c>
      <c r="BD329" s="7" t="s">
        <v>220</v>
      </c>
      <c r="BE329" s="7" t="s">
        <v>127</v>
      </c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</row>
    <row r="330" customFormat="false" ht="15" hidden="false" customHeight="false" outlineLevel="0" collapsed="false">
      <c r="A330" s="7" t="s">
        <v>2680</v>
      </c>
      <c r="B330" s="7" t="s">
        <v>2681</v>
      </c>
      <c r="C330" s="7" t="s">
        <v>2682</v>
      </c>
      <c r="D330" s="7" t="s">
        <v>1927</v>
      </c>
      <c r="E330" s="7" t="s">
        <v>82</v>
      </c>
      <c r="F330" s="7" t="s">
        <v>82</v>
      </c>
      <c r="G330" s="7"/>
      <c r="H330" s="7"/>
      <c r="I330" s="7" t="s">
        <v>1726</v>
      </c>
      <c r="J330" s="7" t="s">
        <v>104</v>
      </c>
      <c r="K330" s="7" t="s">
        <v>105</v>
      </c>
      <c r="L330" s="7" t="s">
        <v>1447</v>
      </c>
      <c r="M330" s="7" t="s">
        <v>2683</v>
      </c>
      <c r="N330" s="7" t="s">
        <v>2684</v>
      </c>
      <c r="O330" s="7"/>
      <c r="P330" s="7" t="s">
        <v>135</v>
      </c>
      <c r="Q330" s="7"/>
      <c r="R330" s="7"/>
      <c r="S330" s="7"/>
      <c r="T330" s="7" t="n">
        <v>0.955</v>
      </c>
      <c r="U330" s="7" t="n">
        <v>2</v>
      </c>
      <c r="V330" s="7" t="s">
        <v>90</v>
      </c>
      <c r="W330" s="7"/>
      <c r="X330" s="7" t="s">
        <v>2685</v>
      </c>
      <c r="Y330" s="7" t="s">
        <v>2686</v>
      </c>
      <c r="Z330" s="7"/>
      <c r="AA330" s="7"/>
      <c r="AB330" s="7"/>
      <c r="AC330" s="7"/>
      <c r="AD330" s="7"/>
      <c r="AE330" s="7" t="s">
        <v>265</v>
      </c>
      <c r="AF330" s="7" t="s">
        <v>2687</v>
      </c>
      <c r="AG330" s="7" t="s">
        <v>2032</v>
      </c>
      <c r="AH330" s="7" t="s">
        <v>2685</v>
      </c>
      <c r="AI330" s="7" t="s">
        <v>265</v>
      </c>
      <c r="AJ330" s="7" t="s">
        <v>597</v>
      </c>
      <c r="AK330" s="7"/>
      <c r="AL330" s="7"/>
      <c r="AM330" s="7"/>
      <c r="AN330" s="7"/>
      <c r="AO330" s="7" t="s">
        <v>2032</v>
      </c>
      <c r="AP330" s="7" t="s">
        <v>1927</v>
      </c>
      <c r="AQ330" s="7" t="s">
        <v>2032</v>
      </c>
      <c r="AR330" s="7" t="s">
        <v>82</v>
      </c>
      <c r="AS330" s="7" t="s">
        <v>265</v>
      </c>
      <c r="AT330" s="7" t="s">
        <v>122</v>
      </c>
      <c r="AU330" s="7"/>
      <c r="AV330" s="7"/>
      <c r="AW330" s="7" t="s">
        <v>265</v>
      </c>
      <c r="AX330" s="7" t="s">
        <v>273</v>
      </c>
      <c r="AY330" s="7" t="s">
        <v>265</v>
      </c>
      <c r="AZ330" s="7" t="s">
        <v>295</v>
      </c>
      <c r="BA330" s="7" t="s">
        <v>265</v>
      </c>
      <c r="BB330" s="7" t="s">
        <v>230</v>
      </c>
      <c r="BC330" s="7" t="s">
        <v>125</v>
      </c>
      <c r="BD330" s="7" t="s">
        <v>220</v>
      </c>
      <c r="BE330" s="7" t="s">
        <v>127</v>
      </c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</row>
    <row r="331" customFormat="false" ht="15" hidden="false" customHeight="false" outlineLevel="0" collapsed="false">
      <c r="A331" s="7" t="s">
        <v>2688</v>
      </c>
      <c r="B331" s="7" t="s">
        <v>2689</v>
      </c>
      <c r="C331" s="7" t="s">
        <v>2690</v>
      </c>
      <c r="D331" s="7" t="s">
        <v>1927</v>
      </c>
      <c r="E331" s="7" t="s">
        <v>82</v>
      </c>
      <c r="F331" s="7" t="s">
        <v>82</v>
      </c>
      <c r="G331" s="7"/>
      <c r="H331" s="7"/>
      <c r="I331" s="7" t="s">
        <v>132</v>
      </c>
      <c r="J331" s="7" t="s">
        <v>104</v>
      </c>
      <c r="K331" s="7" t="s">
        <v>105</v>
      </c>
      <c r="L331" s="7" t="s">
        <v>106</v>
      </c>
      <c r="M331" s="7" t="s">
        <v>2691</v>
      </c>
      <c r="N331" s="7" t="s">
        <v>2692</v>
      </c>
      <c r="O331" s="7"/>
      <c r="P331" s="7" t="s">
        <v>135</v>
      </c>
      <c r="Q331" s="7"/>
      <c r="R331" s="7"/>
      <c r="S331" s="7"/>
      <c r="T331" s="7" t="n">
        <v>0.869</v>
      </c>
      <c r="U331" s="7" t="n">
        <v>2</v>
      </c>
      <c r="V331" s="7" t="s">
        <v>90</v>
      </c>
      <c r="W331" s="7"/>
      <c r="X331" s="7"/>
      <c r="Y331" s="7" t="s">
        <v>2692</v>
      </c>
      <c r="Z331" s="7"/>
      <c r="AA331" s="7"/>
      <c r="AB331" s="7"/>
      <c r="AC331" s="7"/>
      <c r="AD331" s="7"/>
      <c r="AE331" s="7" t="s">
        <v>265</v>
      </c>
      <c r="AF331" s="7" t="s">
        <v>2693</v>
      </c>
      <c r="AG331" s="7"/>
      <c r="AH331" s="7"/>
      <c r="AI331" s="7"/>
      <c r="AJ331" s="7"/>
      <c r="AK331" s="7"/>
      <c r="AL331" s="7"/>
      <c r="AM331" s="7"/>
      <c r="AN331" s="7"/>
      <c r="AO331" s="7" t="s">
        <v>265</v>
      </c>
      <c r="AP331" s="7" t="s">
        <v>2673</v>
      </c>
      <c r="AQ331" s="7" t="s">
        <v>2032</v>
      </c>
      <c r="AR331" s="7" t="s">
        <v>82</v>
      </c>
      <c r="AS331" s="7" t="s">
        <v>265</v>
      </c>
      <c r="AT331" s="7" t="s">
        <v>122</v>
      </c>
      <c r="AU331" s="7" t="s">
        <v>265</v>
      </c>
      <c r="AV331" s="7" t="s">
        <v>2694</v>
      </c>
      <c r="AW331" s="7" t="s">
        <v>265</v>
      </c>
      <c r="AX331" s="7" t="s">
        <v>326</v>
      </c>
      <c r="AY331" s="7" t="s">
        <v>265</v>
      </c>
      <c r="AZ331" s="7" t="s">
        <v>295</v>
      </c>
      <c r="BA331" s="7"/>
      <c r="BB331" s="7"/>
      <c r="BC331" s="7" t="s">
        <v>125</v>
      </c>
      <c r="BD331" s="7" t="s">
        <v>220</v>
      </c>
      <c r="BE331" s="7" t="s">
        <v>127</v>
      </c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</row>
    <row r="332" customFormat="false" ht="15" hidden="false" customHeight="false" outlineLevel="0" collapsed="false">
      <c r="A332" s="7" t="s">
        <v>2695</v>
      </c>
      <c r="B332" s="7" t="s">
        <v>2696</v>
      </c>
      <c r="C332" s="7" t="s">
        <v>2697</v>
      </c>
      <c r="D332" s="7" t="s">
        <v>258</v>
      </c>
      <c r="E332" s="7" t="s">
        <v>82</v>
      </c>
      <c r="F332" s="7" t="s">
        <v>82</v>
      </c>
      <c r="G332" s="7"/>
      <c r="H332" s="7"/>
      <c r="I332" s="7" t="s">
        <v>234</v>
      </c>
      <c r="J332" s="7" t="s">
        <v>104</v>
      </c>
      <c r="K332" s="7" t="s">
        <v>105</v>
      </c>
      <c r="L332" s="7" t="s">
        <v>235</v>
      </c>
      <c r="M332" s="7" t="s">
        <v>2698</v>
      </c>
      <c r="N332" s="7" t="s">
        <v>2220</v>
      </c>
      <c r="O332" s="7"/>
      <c r="P332" s="7" t="s">
        <v>84</v>
      </c>
      <c r="Q332" s="7"/>
      <c r="R332" s="7"/>
      <c r="S332" s="7"/>
      <c r="T332" s="7" t="n">
        <v>0.263</v>
      </c>
      <c r="U332" s="7" t="n">
        <v>2</v>
      </c>
      <c r="V332" s="7" t="s">
        <v>90</v>
      </c>
      <c r="W332" s="7"/>
      <c r="X332" s="7"/>
      <c r="Y332" s="7" t="s">
        <v>2220</v>
      </c>
      <c r="Z332" s="7"/>
      <c r="AA332" s="7"/>
      <c r="AB332" s="7"/>
      <c r="AC332" s="7"/>
      <c r="AD332" s="7"/>
      <c r="AE332" s="7" t="s">
        <v>265</v>
      </c>
      <c r="AF332" s="7" t="s">
        <v>2699</v>
      </c>
      <c r="AG332" s="7"/>
      <c r="AH332" s="7"/>
      <c r="AI332" s="7"/>
      <c r="AJ332" s="7"/>
      <c r="AK332" s="7"/>
      <c r="AL332" s="7"/>
      <c r="AM332" s="7"/>
      <c r="AN332" s="7"/>
      <c r="AO332" s="7" t="s">
        <v>2032</v>
      </c>
      <c r="AP332" s="7" t="s">
        <v>258</v>
      </c>
      <c r="AQ332" s="7" t="s">
        <v>2032</v>
      </c>
      <c r="AR332" s="7" t="s">
        <v>82</v>
      </c>
      <c r="AS332" s="7"/>
      <c r="AT332" s="7"/>
      <c r="AU332" s="7" t="s">
        <v>265</v>
      </c>
      <c r="AV332" s="7" t="s">
        <v>2700</v>
      </c>
      <c r="AW332" s="7" t="s">
        <v>2032</v>
      </c>
      <c r="AX332" s="7" t="s">
        <v>2220</v>
      </c>
      <c r="AY332" s="7" t="s">
        <v>265</v>
      </c>
      <c r="AZ332" s="7" t="s">
        <v>2701</v>
      </c>
      <c r="BA332" s="7" t="s">
        <v>265</v>
      </c>
      <c r="BB332" s="7" t="s">
        <v>380</v>
      </c>
      <c r="BC332" s="7" t="s">
        <v>219</v>
      </c>
      <c r="BD332" s="7"/>
      <c r="BE332" s="7" t="s">
        <v>127</v>
      </c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</row>
    <row r="333" customFormat="false" ht="15" hidden="false" customHeight="false" outlineLevel="0" collapsed="false">
      <c r="A333" s="7" t="s">
        <v>2702</v>
      </c>
      <c r="B333" s="7" t="s">
        <v>2703</v>
      </c>
      <c r="C333" s="7" t="s">
        <v>2704</v>
      </c>
      <c r="D333" s="7" t="s">
        <v>258</v>
      </c>
      <c r="E333" s="7" t="s">
        <v>82</v>
      </c>
      <c r="F333" s="7" t="s">
        <v>82</v>
      </c>
      <c r="G333" s="7"/>
      <c r="H333" s="7"/>
      <c r="I333" s="7" t="s">
        <v>1726</v>
      </c>
      <c r="J333" s="7" t="s">
        <v>104</v>
      </c>
      <c r="K333" s="7" t="s">
        <v>105</v>
      </c>
      <c r="L333" s="7" t="s">
        <v>106</v>
      </c>
      <c r="M333" s="7" t="s">
        <v>2698</v>
      </c>
      <c r="N333" s="7" t="s">
        <v>262</v>
      </c>
      <c r="O333" s="7" t="s">
        <v>262</v>
      </c>
      <c r="P333" s="7" t="s">
        <v>135</v>
      </c>
      <c r="Q333" s="7"/>
      <c r="R333" s="7" t="s">
        <v>109</v>
      </c>
      <c r="S333" s="7" t="s">
        <v>110</v>
      </c>
      <c r="T333" s="7" t="n">
        <v>0.234</v>
      </c>
      <c r="U333" s="7" t="n">
        <v>2</v>
      </c>
      <c r="V333" s="7" t="s">
        <v>90</v>
      </c>
      <c r="W333" s="7"/>
      <c r="X333" s="7"/>
      <c r="Y333" s="7" t="s">
        <v>262</v>
      </c>
      <c r="Z333" s="7"/>
      <c r="AA333" s="7"/>
      <c r="AB333" s="7"/>
      <c r="AC333" s="7" t="n">
        <v>7</v>
      </c>
      <c r="AD333" s="7" t="s">
        <v>2173</v>
      </c>
      <c r="AE333" s="7" t="s">
        <v>265</v>
      </c>
      <c r="AF333" s="7" t="s">
        <v>266</v>
      </c>
      <c r="AG333" s="7"/>
      <c r="AH333" s="7"/>
      <c r="AI333" s="7"/>
      <c r="AJ333" s="7"/>
      <c r="AK333" s="7"/>
      <c r="AL333" s="7"/>
      <c r="AM333" s="7"/>
      <c r="AN333" s="7"/>
      <c r="AO333" s="7" t="s">
        <v>265</v>
      </c>
      <c r="AP333" s="7" t="s">
        <v>271</v>
      </c>
      <c r="AQ333" s="7" t="s">
        <v>2032</v>
      </c>
      <c r="AR333" s="7" t="s">
        <v>82</v>
      </c>
      <c r="AS333" s="7" t="s">
        <v>265</v>
      </c>
      <c r="AT333" s="7" t="s">
        <v>122</v>
      </c>
      <c r="AU333" s="7"/>
      <c r="AV333" s="7"/>
      <c r="AW333" s="7" t="s">
        <v>265</v>
      </c>
      <c r="AX333" s="7" t="s">
        <v>273</v>
      </c>
      <c r="AY333" s="7" t="s">
        <v>265</v>
      </c>
      <c r="AZ333" s="7" t="s">
        <v>274</v>
      </c>
      <c r="BA333" s="7" t="s">
        <v>265</v>
      </c>
      <c r="BB333" s="7" t="s">
        <v>275</v>
      </c>
      <c r="BC333" s="7" t="s">
        <v>219</v>
      </c>
      <c r="BD333" s="7" t="s">
        <v>220</v>
      </c>
      <c r="BE333" s="7" t="s">
        <v>127</v>
      </c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</row>
    <row r="334" customFormat="false" ht="15" hidden="false" customHeight="false" outlineLevel="0" collapsed="false">
      <c r="A334" s="7" t="s">
        <v>2705</v>
      </c>
      <c r="B334" s="7" t="s">
        <v>2706</v>
      </c>
      <c r="C334" s="7" t="s">
        <v>2707</v>
      </c>
      <c r="D334" s="7" t="s">
        <v>258</v>
      </c>
      <c r="E334" s="7" t="s">
        <v>82</v>
      </c>
      <c r="F334" s="7" t="s">
        <v>82</v>
      </c>
      <c r="G334" s="7"/>
      <c r="H334" s="7"/>
      <c r="I334" s="7" t="s">
        <v>103</v>
      </c>
      <c r="J334" s="7" t="s">
        <v>104</v>
      </c>
      <c r="K334" s="7" t="s">
        <v>105</v>
      </c>
      <c r="L334" s="7" t="s">
        <v>106</v>
      </c>
      <c r="M334" s="7" t="s">
        <v>2708</v>
      </c>
      <c r="N334" s="7" t="s">
        <v>1158</v>
      </c>
      <c r="O334" s="7" t="s">
        <v>1158</v>
      </c>
      <c r="P334" s="7" t="s">
        <v>84</v>
      </c>
      <c r="Q334" s="7"/>
      <c r="R334" s="7" t="s">
        <v>109</v>
      </c>
      <c r="S334" s="7" t="s">
        <v>110</v>
      </c>
      <c r="T334" s="7" t="n">
        <v>0.713</v>
      </c>
      <c r="U334" s="7" t="n">
        <v>2</v>
      </c>
      <c r="V334" s="7" t="s">
        <v>90</v>
      </c>
      <c r="W334" s="7"/>
      <c r="X334" s="7"/>
      <c r="Y334" s="7" t="s">
        <v>1158</v>
      </c>
      <c r="Z334" s="7"/>
      <c r="AA334" s="7"/>
      <c r="AB334" s="7"/>
      <c r="AC334" s="7" t="n">
        <v>4</v>
      </c>
      <c r="AD334" s="7" t="s">
        <v>1376</v>
      </c>
      <c r="AE334" s="7" t="s">
        <v>2032</v>
      </c>
      <c r="AF334" s="7" t="s">
        <v>2707</v>
      </c>
      <c r="AG334" s="7"/>
      <c r="AH334" s="7"/>
      <c r="AI334" s="7"/>
      <c r="AJ334" s="7"/>
      <c r="AK334" s="7"/>
      <c r="AL334" s="7"/>
      <c r="AM334" s="7"/>
      <c r="AN334" s="7"/>
      <c r="AO334" s="7" t="s">
        <v>2032</v>
      </c>
      <c r="AP334" s="7" t="s">
        <v>258</v>
      </c>
      <c r="AQ334" s="7" t="s">
        <v>2032</v>
      </c>
      <c r="AR334" s="7" t="s">
        <v>82</v>
      </c>
      <c r="AS334" s="7"/>
      <c r="AT334" s="7"/>
      <c r="AU334" s="7"/>
      <c r="AV334" s="7"/>
      <c r="AW334" s="7" t="s">
        <v>2032</v>
      </c>
      <c r="AX334" s="7" t="s">
        <v>1158</v>
      </c>
      <c r="AY334" s="7"/>
      <c r="AZ334" s="7"/>
      <c r="BA334" s="7"/>
      <c r="BB334" s="7"/>
      <c r="BC334" s="7" t="s">
        <v>125</v>
      </c>
      <c r="BD334" s="7"/>
      <c r="BE334" s="7" t="s">
        <v>127</v>
      </c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</row>
    <row r="335" customFormat="false" ht="15" hidden="false" customHeight="false" outlineLevel="0" collapsed="false">
      <c r="A335" s="7" t="s">
        <v>2709</v>
      </c>
      <c r="B335" s="7" t="s">
        <v>2710</v>
      </c>
      <c r="C335" s="7" t="s">
        <v>2711</v>
      </c>
      <c r="D335" s="7" t="s">
        <v>258</v>
      </c>
      <c r="E335" s="7" t="s">
        <v>82</v>
      </c>
      <c r="F335" s="7" t="s">
        <v>82</v>
      </c>
      <c r="G335" s="7"/>
      <c r="H335" s="7"/>
      <c r="I335" s="7" t="s">
        <v>234</v>
      </c>
      <c r="J335" s="7" t="s">
        <v>104</v>
      </c>
      <c r="K335" s="7" t="s">
        <v>105</v>
      </c>
      <c r="L335" s="7" t="s">
        <v>259</v>
      </c>
      <c r="M335" s="7" t="s">
        <v>2712</v>
      </c>
      <c r="N335" s="7" t="s">
        <v>2713</v>
      </c>
      <c r="O335" s="7" t="s">
        <v>2713</v>
      </c>
      <c r="P335" s="7" t="s">
        <v>84</v>
      </c>
      <c r="Q335" s="7"/>
      <c r="R335" s="7" t="s">
        <v>109</v>
      </c>
      <c r="S335" s="7" t="s">
        <v>110</v>
      </c>
      <c r="T335" s="7" t="n">
        <v>0.655</v>
      </c>
      <c r="U335" s="7" t="n">
        <v>2</v>
      </c>
      <c r="V335" s="7" t="s">
        <v>90</v>
      </c>
      <c r="W335" s="7"/>
      <c r="X335" s="7"/>
      <c r="Y335" s="7" t="s">
        <v>2713</v>
      </c>
      <c r="Z335" s="7"/>
      <c r="AA335" s="7"/>
      <c r="AB335" s="7"/>
      <c r="AC335" s="7" t="n">
        <v>6</v>
      </c>
      <c r="AD335" s="7" t="s">
        <v>734</v>
      </c>
      <c r="AE335" s="7" t="s">
        <v>2181</v>
      </c>
      <c r="AF335" s="7" t="s">
        <v>2714</v>
      </c>
      <c r="AG335" s="7"/>
      <c r="AH335" s="7"/>
      <c r="AI335" s="7"/>
      <c r="AJ335" s="7"/>
      <c r="AK335" s="7"/>
      <c r="AL335" s="7"/>
      <c r="AM335" s="7"/>
      <c r="AN335" s="7"/>
      <c r="AO335" s="7" t="s">
        <v>2181</v>
      </c>
      <c r="AP335" s="7" t="s">
        <v>1869</v>
      </c>
      <c r="AQ335" s="7" t="s">
        <v>2032</v>
      </c>
      <c r="AR335" s="7" t="s">
        <v>82</v>
      </c>
      <c r="AS335" s="7" t="s">
        <v>265</v>
      </c>
      <c r="AT335" s="7" t="s">
        <v>122</v>
      </c>
      <c r="AU335" s="7"/>
      <c r="AV335" s="7"/>
      <c r="AW335" s="7" t="s">
        <v>2181</v>
      </c>
      <c r="AX335" s="7" t="s">
        <v>2713</v>
      </c>
      <c r="AY335" s="7"/>
      <c r="AZ335" s="7"/>
      <c r="BA335" s="7" t="s">
        <v>265</v>
      </c>
      <c r="BB335" s="7" t="s">
        <v>275</v>
      </c>
      <c r="BC335" s="7" t="s">
        <v>125</v>
      </c>
      <c r="BD335" s="7"/>
      <c r="BE335" s="7" t="s">
        <v>127</v>
      </c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</row>
    <row r="336" customFormat="false" ht="15" hidden="false" customHeight="false" outlineLevel="0" collapsed="false">
      <c r="A336" s="7" t="s">
        <v>2715</v>
      </c>
      <c r="B336" s="7" t="s">
        <v>2716</v>
      </c>
      <c r="C336" s="7" t="s">
        <v>2717</v>
      </c>
      <c r="D336" s="7" t="s">
        <v>258</v>
      </c>
      <c r="E336" s="7" t="s">
        <v>82</v>
      </c>
      <c r="F336" s="7" t="s">
        <v>82</v>
      </c>
      <c r="G336" s="7"/>
      <c r="H336" s="7"/>
      <c r="I336" s="7" t="s">
        <v>103</v>
      </c>
      <c r="J336" s="7" t="s">
        <v>104</v>
      </c>
      <c r="K336" s="7" t="s">
        <v>105</v>
      </c>
      <c r="L336" s="7" t="s">
        <v>106</v>
      </c>
      <c r="M336" s="7"/>
      <c r="N336" s="7" t="s">
        <v>2718</v>
      </c>
      <c r="O336" s="7" t="s">
        <v>2718</v>
      </c>
      <c r="P336" s="7" t="s">
        <v>135</v>
      </c>
      <c r="Q336" s="7"/>
      <c r="R336" s="7" t="s">
        <v>109</v>
      </c>
      <c r="S336" s="7" t="s">
        <v>110</v>
      </c>
      <c r="T336" s="7" t="n">
        <v>0.512</v>
      </c>
      <c r="U336" s="7" t="n">
        <v>2</v>
      </c>
      <c r="V336" s="7" t="s">
        <v>90</v>
      </c>
      <c r="W336" s="7"/>
      <c r="X336" s="7"/>
      <c r="Y336" s="7" t="s">
        <v>2718</v>
      </c>
      <c r="Z336" s="7"/>
      <c r="AA336" s="7"/>
      <c r="AB336" s="7"/>
      <c r="AC336" s="7" t="n">
        <v>5</v>
      </c>
      <c r="AD336" s="7" t="s">
        <v>2505</v>
      </c>
      <c r="AE336" s="7" t="s">
        <v>265</v>
      </c>
      <c r="AF336" s="7" t="s">
        <v>2719</v>
      </c>
      <c r="AG336" s="7"/>
      <c r="AH336" s="7"/>
      <c r="AI336" s="7"/>
      <c r="AJ336" s="7"/>
      <c r="AK336" s="7"/>
      <c r="AL336" s="7"/>
      <c r="AM336" s="7"/>
      <c r="AN336" s="7"/>
      <c r="AO336" s="7" t="s">
        <v>265</v>
      </c>
      <c r="AP336" s="7" t="s">
        <v>2720</v>
      </c>
      <c r="AQ336" s="7" t="s">
        <v>2032</v>
      </c>
      <c r="AR336" s="7" t="s">
        <v>82</v>
      </c>
      <c r="AS336" s="7" t="s">
        <v>265</v>
      </c>
      <c r="AT336" s="7" t="s">
        <v>122</v>
      </c>
      <c r="AU336" s="7"/>
      <c r="AV336" s="7"/>
      <c r="AW336" s="7" t="s">
        <v>2032</v>
      </c>
      <c r="AX336" s="7" t="s">
        <v>2718</v>
      </c>
      <c r="AY336" s="7"/>
      <c r="AZ336" s="7"/>
      <c r="BA336" s="7"/>
      <c r="BB336" s="7"/>
      <c r="BC336" s="7"/>
      <c r="BD336" s="7" t="s">
        <v>220</v>
      </c>
      <c r="BE336" s="7" t="s">
        <v>127</v>
      </c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</row>
    <row r="337" customFormat="false" ht="15" hidden="false" customHeight="false" outlineLevel="0" collapsed="false">
      <c r="A337" s="7" t="s">
        <v>2721</v>
      </c>
      <c r="B337" s="7" t="s">
        <v>2722</v>
      </c>
      <c r="C337" s="7" t="s">
        <v>2723</v>
      </c>
      <c r="D337" s="7" t="s">
        <v>2724</v>
      </c>
      <c r="E337" s="7" t="s">
        <v>82</v>
      </c>
      <c r="F337" s="7" t="s">
        <v>82</v>
      </c>
      <c r="G337" s="7"/>
      <c r="H337" s="7"/>
      <c r="I337" s="7" t="s">
        <v>132</v>
      </c>
      <c r="J337" s="7" t="s">
        <v>104</v>
      </c>
      <c r="K337" s="7" t="s">
        <v>105</v>
      </c>
      <c r="L337" s="7" t="s">
        <v>106</v>
      </c>
      <c r="M337" s="7" t="s">
        <v>2725</v>
      </c>
      <c r="N337" s="7" t="s">
        <v>2726</v>
      </c>
      <c r="O337" s="7" t="s">
        <v>2726</v>
      </c>
      <c r="P337" s="7" t="s">
        <v>84</v>
      </c>
      <c r="Q337" s="7"/>
      <c r="R337" s="7" t="s">
        <v>109</v>
      </c>
      <c r="S337" s="7" t="s">
        <v>110</v>
      </c>
      <c r="T337" s="7" t="n">
        <v>0.977</v>
      </c>
      <c r="U337" s="7" t="n">
        <v>2</v>
      </c>
      <c r="V337" s="7" t="s">
        <v>111</v>
      </c>
      <c r="W337" s="7"/>
      <c r="X337" s="7"/>
      <c r="Y337" s="7" t="s">
        <v>2726</v>
      </c>
      <c r="Z337" s="7"/>
      <c r="AA337" s="7"/>
      <c r="AB337" s="7"/>
      <c r="AC337" s="7" t="n">
        <v>11</v>
      </c>
      <c r="AD337" s="7" t="s">
        <v>165</v>
      </c>
      <c r="AE337" s="7" t="s">
        <v>265</v>
      </c>
      <c r="AF337" s="7" t="s">
        <v>2727</v>
      </c>
      <c r="AG337" s="7" t="s">
        <v>2032</v>
      </c>
      <c r="AH337" s="7" t="s">
        <v>2728</v>
      </c>
      <c r="AI337" s="7" t="s">
        <v>265</v>
      </c>
      <c r="AJ337" s="7" t="s">
        <v>2729</v>
      </c>
      <c r="AK337" s="7"/>
      <c r="AL337" s="7"/>
      <c r="AM337" s="7" t="s">
        <v>265</v>
      </c>
      <c r="AN337" s="7" t="s">
        <v>2730</v>
      </c>
      <c r="AO337" s="7" t="s">
        <v>265</v>
      </c>
      <c r="AP337" s="7" t="s">
        <v>2731</v>
      </c>
      <c r="AQ337" s="7" t="s">
        <v>2032</v>
      </c>
      <c r="AR337" s="7" t="s">
        <v>82</v>
      </c>
      <c r="AS337" s="7" t="s">
        <v>265</v>
      </c>
      <c r="AT337" s="7" t="s">
        <v>122</v>
      </c>
      <c r="AU337" s="7" t="s">
        <v>265</v>
      </c>
      <c r="AV337" s="7" t="s">
        <v>2732</v>
      </c>
      <c r="AW337" s="7" t="s">
        <v>265</v>
      </c>
      <c r="AX337" s="7" t="s">
        <v>273</v>
      </c>
      <c r="AY337" s="7" t="s">
        <v>265</v>
      </c>
      <c r="AZ337" s="7" t="s">
        <v>295</v>
      </c>
      <c r="BA337" s="7" t="s">
        <v>265</v>
      </c>
      <c r="BB337" s="7" t="s">
        <v>369</v>
      </c>
      <c r="BC337" s="7" t="s">
        <v>125</v>
      </c>
      <c r="BD337" s="7"/>
      <c r="BE337" s="7" t="s">
        <v>127</v>
      </c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</row>
    <row r="338" customFormat="false" ht="15" hidden="false" customHeight="false" outlineLevel="0" collapsed="false">
      <c r="A338" s="7" t="s">
        <v>2733</v>
      </c>
      <c r="B338" s="7" t="s">
        <v>2734</v>
      </c>
      <c r="C338" s="7" t="s">
        <v>2735</v>
      </c>
      <c r="D338" s="7" t="s">
        <v>2736</v>
      </c>
      <c r="E338" s="7" t="s">
        <v>737</v>
      </c>
      <c r="F338" s="7" t="s">
        <v>737</v>
      </c>
      <c r="G338" s="7"/>
      <c r="H338" s="7" t="s">
        <v>102</v>
      </c>
      <c r="I338" s="7" t="s">
        <v>158</v>
      </c>
      <c r="J338" s="7" t="s">
        <v>104</v>
      </c>
      <c r="K338" s="7" t="s">
        <v>105</v>
      </c>
      <c r="L338" s="7" t="s">
        <v>106</v>
      </c>
      <c r="M338" s="7" t="s">
        <v>2737</v>
      </c>
      <c r="N338" s="7" t="s">
        <v>2738</v>
      </c>
      <c r="O338" s="7" t="s">
        <v>2738</v>
      </c>
      <c r="P338" s="7" t="s">
        <v>135</v>
      </c>
      <c r="Q338" s="7"/>
      <c r="R338" s="7" t="s">
        <v>84</v>
      </c>
      <c r="S338" s="7" t="s">
        <v>238</v>
      </c>
      <c r="T338" s="7" t="n">
        <v>0.514</v>
      </c>
      <c r="U338" s="7" t="n">
        <v>2</v>
      </c>
      <c r="V338" s="7" t="s">
        <v>90</v>
      </c>
      <c r="W338" s="7"/>
      <c r="X338" s="7" t="s">
        <v>2739</v>
      </c>
      <c r="Y338" s="7" t="s">
        <v>2738</v>
      </c>
      <c r="Z338" s="7" t="s">
        <v>2740</v>
      </c>
      <c r="AA338" s="7"/>
      <c r="AB338" s="7"/>
      <c r="AC338" s="7" t="n">
        <v>12</v>
      </c>
      <c r="AD338" s="7"/>
      <c r="AE338" s="7" t="s">
        <v>448</v>
      </c>
      <c r="AF338" s="7" t="s">
        <v>2741</v>
      </c>
      <c r="AG338" s="7" t="s">
        <v>448</v>
      </c>
      <c r="AH338" s="7" t="s">
        <v>2739</v>
      </c>
      <c r="AI338" s="7" t="s">
        <v>1955</v>
      </c>
      <c r="AJ338" s="7" t="s">
        <v>2742</v>
      </c>
      <c r="AK338" s="7" t="s">
        <v>1955</v>
      </c>
      <c r="AL338" s="7" t="s">
        <v>2743</v>
      </c>
      <c r="AM338" s="7" t="s">
        <v>1955</v>
      </c>
      <c r="AN338" s="7" t="s">
        <v>2744</v>
      </c>
      <c r="AO338" s="7" t="s">
        <v>448</v>
      </c>
      <c r="AP338" s="7" t="s">
        <v>2736</v>
      </c>
      <c r="AQ338" s="7" t="s">
        <v>448</v>
      </c>
      <c r="AR338" s="7" t="s">
        <v>737</v>
      </c>
      <c r="AS338" s="7" t="s">
        <v>1955</v>
      </c>
      <c r="AT338" s="7" t="s">
        <v>455</v>
      </c>
      <c r="AU338" s="7" t="s">
        <v>1955</v>
      </c>
      <c r="AV338" s="7" t="s">
        <v>2745</v>
      </c>
      <c r="AW338" s="7" t="s">
        <v>448</v>
      </c>
      <c r="AX338" s="7" t="s">
        <v>2738</v>
      </c>
      <c r="AY338" s="7" t="s">
        <v>1955</v>
      </c>
      <c r="AZ338" s="7" t="s">
        <v>2746</v>
      </c>
      <c r="BA338" s="7" t="s">
        <v>1955</v>
      </c>
      <c r="BB338" s="7" t="s">
        <v>369</v>
      </c>
      <c r="BC338" s="7" t="s">
        <v>413</v>
      </c>
      <c r="BD338" s="7" t="s">
        <v>440</v>
      </c>
      <c r="BE338" s="7" t="s">
        <v>127</v>
      </c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</row>
    <row r="339" customFormat="false" ht="15" hidden="false" customHeight="false" outlineLevel="0" collapsed="false">
      <c r="A339" s="7" t="s">
        <v>2747</v>
      </c>
      <c r="B339" s="7" t="s">
        <v>2748</v>
      </c>
      <c r="C339" s="7" t="s">
        <v>2749</v>
      </c>
      <c r="D339" s="7" t="s">
        <v>2750</v>
      </c>
      <c r="E339" s="7" t="s">
        <v>737</v>
      </c>
      <c r="F339" s="7" t="s">
        <v>737</v>
      </c>
      <c r="G339" s="7"/>
      <c r="H339" s="7" t="s">
        <v>102</v>
      </c>
      <c r="I339" s="7" t="s">
        <v>132</v>
      </c>
      <c r="J339" s="7" t="s">
        <v>104</v>
      </c>
      <c r="K339" s="7" t="s">
        <v>105</v>
      </c>
      <c r="L339" s="7" t="s">
        <v>106</v>
      </c>
      <c r="M339" s="7" t="s">
        <v>419</v>
      </c>
      <c r="N339" s="7" t="s">
        <v>2751</v>
      </c>
      <c r="O339" s="7" t="s">
        <v>2751</v>
      </c>
      <c r="P339" s="7" t="s">
        <v>135</v>
      </c>
      <c r="Q339" s="7"/>
      <c r="R339" s="7" t="s">
        <v>109</v>
      </c>
      <c r="S339" s="7" t="s">
        <v>110</v>
      </c>
      <c r="T339" s="7" t="n">
        <v>0.751</v>
      </c>
      <c r="U339" s="7" t="n">
        <v>2</v>
      </c>
      <c r="V339" s="7" t="s">
        <v>90</v>
      </c>
      <c r="W339" s="7"/>
      <c r="X339" s="7" t="s">
        <v>2739</v>
      </c>
      <c r="Y339" s="7" t="s">
        <v>2751</v>
      </c>
      <c r="Z339" s="7" t="s">
        <v>2752</v>
      </c>
      <c r="AA339" s="7"/>
      <c r="AB339" s="7"/>
      <c r="AC339" s="7" t="n">
        <v>5</v>
      </c>
      <c r="AD339" s="7" t="s">
        <v>743</v>
      </c>
      <c r="AE339" s="7" t="s">
        <v>435</v>
      </c>
      <c r="AF339" s="7" t="s">
        <v>2753</v>
      </c>
      <c r="AG339" s="7" t="s">
        <v>435</v>
      </c>
      <c r="AH339" s="7" t="s">
        <v>2739</v>
      </c>
      <c r="AI339" s="7"/>
      <c r="AJ339" s="7"/>
      <c r="AK339" s="7"/>
      <c r="AL339" s="7"/>
      <c r="AM339" s="7"/>
      <c r="AN339" s="7"/>
      <c r="AO339" s="7" t="s">
        <v>435</v>
      </c>
      <c r="AP339" s="7" t="s">
        <v>2750</v>
      </c>
      <c r="AQ339" s="7" t="s">
        <v>435</v>
      </c>
      <c r="AR339" s="7" t="s">
        <v>737</v>
      </c>
      <c r="AS339" s="7"/>
      <c r="AT339" s="7"/>
      <c r="AU339" s="7"/>
      <c r="AV339" s="7"/>
      <c r="AW339" s="7" t="s">
        <v>435</v>
      </c>
      <c r="AX339" s="7" t="s">
        <v>2751</v>
      </c>
      <c r="AY339" s="7"/>
      <c r="AZ339" s="7"/>
      <c r="BA339" s="7"/>
      <c r="BB339" s="7"/>
      <c r="BC339" s="7" t="s">
        <v>427</v>
      </c>
      <c r="BD339" s="7" t="s">
        <v>440</v>
      </c>
      <c r="BE339" s="7" t="s">
        <v>127</v>
      </c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</row>
    <row r="340" customFormat="false" ht="15" hidden="false" customHeight="false" outlineLevel="0" collapsed="false">
      <c r="A340" s="7" t="s">
        <v>2754</v>
      </c>
      <c r="B340" s="7" t="s">
        <v>2755</v>
      </c>
      <c r="C340" s="7" t="s">
        <v>2756</v>
      </c>
      <c r="D340" s="7" t="s">
        <v>2757</v>
      </c>
      <c r="E340" s="7" t="s">
        <v>737</v>
      </c>
      <c r="F340" s="7" t="s">
        <v>737</v>
      </c>
      <c r="G340" s="7"/>
      <c r="H340" s="7" t="s">
        <v>102</v>
      </c>
      <c r="I340" s="7" t="s">
        <v>158</v>
      </c>
      <c r="J340" s="7" t="s">
        <v>104</v>
      </c>
      <c r="K340" s="7" t="s">
        <v>105</v>
      </c>
      <c r="L340" s="7" t="s">
        <v>106</v>
      </c>
      <c r="M340" s="7" t="s">
        <v>2758</v>
      </c>
      <c r="N340" s="7" t="s">
        <v>2759</v>
      </c>
      <c r="O340" s="7" t="s">
        <v>2759</v>
      </c>
      <c r="P340" s="7" t="s">
        <v>135</v>
      </c>
      <c r="Q340" s="7"/>
      <c r="R340" s="7" t="s">
        <v>84</v>
      </c>
      <c r="S340" s="7" t="s">
        <v>238</v>
      </c>
      <c r="T340" s="7" t="n">
        <v>0.763</v>
      </c>
      <c r="U340" s="7" t="n">
        <v>2</v>
      </c>
      <c r="V340" s="7" t="s">
        <v>90</v>
      </c>
      <c r="W340" s="7"/>
      <c r="X340" s="7" t="s">
        <v>1810</v>
      </c>
      <c r="Y340" s="7" t="s">
        <v>2759</v>
      </c>
      <c r="Z340" s="7" t="s">
        <v>2760</v>
      </c>
      <c r="AA340" s="7"/>
      <c r="AB340" s="7"/>
      <c r="AC340" s="7" t="n">
        <v>12</v>
      </c>
      <c r="AD340" s="7"/>
      <c r="AE340" s="7" t="s">
        <v>448</v>
      </c>
      <c r="AF340" s="7" t="s">
        <v>2761</v>
      </c>
      <c r="AG340" s="7" t="s">
        <v>448</v>
      </c>
      <c r="AH340" s="7" t="s">
        <v>1810</v>
      </c>
      <c r="AI340" s="7" t="s">
        <v>1955</v>
      </c>
      <c r="AJ340" s="7" t="s">
        <v>2762</v>
      </c>
      <c r="AK340" s="7" t="s">
        <v>1955</v>
      </c>
      <c r="AL340" s="7" t="s">
        <v>2763</v>
      </c>
      <c r="AM340" s="7" t="s">
        <v>1955</v>
      </c>
      <c r="AN340" s="7" t="s">
        <v>2764</v>
      </c>
      <c r="AO340" s="7" t="s">
        <v>448</v>
      </c>
      <c r="AP340" s="7" t="s">
        <v>2757</v>
      </c>
      <c r="AQ340" s="7" t="s">
        <v>448</v>
      </c>
      <c r="AR340" s="7" t="s">
        <v>737</v>
      </c>
      <c r="AS340" s="7" t="s">
        <v>1955</v>
      </c>
      <c r="AT340" s="7" t="s">
        <v>216</v>
      </c>
      <c r="AU340" s="7" t="s">
        <v>1955</v>
      </c>
      <c r="AV340" s="7" t="s">
        <v>2765</v>
      </c>
      <c r="AW340" s="7" t="s">
        <v>448</v>
      </c>
      <c r="AX340" s="7" t="s">
        <v>2759</v>
      </c>
      <c r="AY340" s="7" t="s">
        <v>1955</v>
      </c>
      <c r="AZ340" s="7" t="s">
        <v>2766</v>
      </c>
      <c r="BA340" s="7" t="s">
        <v>1955</v>
      </c>
      <c r="BB340" s="7" t="s">
        <v>2767</v>
      </c>
      <c r="BC340" s="7" t="s">
        <v>413</v>
      </c>
      <c r="BD340" s="7" t="s">
        <v>440</v>
      </c>
      <c r="BE340" s="7" t="s">
        <v>127</v>
      </c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</row>
    <row r="341" customFormat="false" ht="15" hidden="false" customHeight="false" outlineLevel="0" collapsed="false">
      <c r="A341" s="7" t="s">
        <v>2768</v>
      </c>
      <c r="B341" s="7" t="s">
        <v>2769</v>
      </c>
      <c r="C341" s="7" t="s">
        <v>2770</v>
      </c>
      <c r="D341" s="7" t="s">
        <v>2771</v>
      </c>
      <c r="E341" s="7" t="s">
        <v>737</v>
      </c>
      <c r="F341" s="7" t="s">
        <v>737</v>
      </c>
      <c r="G341" s="7"/>
      <c r="H341" s="7" t="s">
        <v>102</v>
      </c>
      <c r="I341" s="7" t="s">
        <v>132</v>
      </c>
      <c r="J341" s="7" t="s">
        <v>104</v>
      </c>
      <c r="K341" s="7" t="s">
        <v>105</v>
      </c>
      <c r="L341" s="7" t="s">
        <v>106</v>
      </c>
      <c r="M341" s="7" t="s">
        <v>419</v>
      </c>
      <c r="N341" s="7" t="s">
        <v>2772</v>
      </c>
      <c r="O341" s="7" t="s">
        <v>2772</v>
      </c>
      <c r="P341" s="7" t="s">
        <v>109</v>
      </c>
      <c r="Q341" s="7"/>
      <c r="R341" s="7" t="s">
        <v>109</v>
      </c>
      <c r="S341" s="7" t="s">
        <v>110</v>
      </c>
      <c r="T341" s="7" t="n">
        <v>0.512</v>
      </c>
      <c r="U341" s="7" t="n">
        <v>2</v>
      </c>
      <c r="V341" s="7" t="s">
        <v>90</v>
      </c>
      <c r="W341" s="7"/>
      <c r="X341" s="7" t="s">
        <v>2773</v>
      </c>
      <c r="Y341" s="7" t="s">
        <v>2772</v>
      </c>
      <c r="Z341" s="7" t="s">
        <v>2774</v>
      </c>
      <c r="AA341" s="7"/>
      <c r="AB341" s="7"/>
      <c r="AC341" s="7" t="n">
        <v>6</v>
      </c>
      <c r="AD341" s="7" t="s">
        <v>1235</v>
      </c>
      <c r="AE341" s="7" t="s">
        <v>435</v>
      </c>
      <c r="AF341" s="7" t="s">
        <v>2775</v>
      </c>
      <c r="AG341" s="7" t="s">
        <v>448</v>
      </c>
      <c r="AH341" s="7" t="s">
        <v>2773</v>
      </c>
      <c r="AI341" s="7"/>
      <c r="AJ341" s="7"/>
      <c r="AK341" s="7"/>
      <c r="AL341" s="7"/>
      <c r="AM341" s="7" t="s">
        <v>1955</v>
      </c>
      <c r="AN341" s="7" t="s">
        <v>1957</v>
      </c>
      <c r="AO341" s="7" t="s">
        <v>435</v>
      </c>
      <c r="AP341" s="7" t="s">
        <v>2771</v>
      </c>
      <c r="AQ341" s="7" t="s">
        <v>435</v>
      </c>
      <c r="AR341" s="7" t="s">
        <v>737</v>
      </c>
      <c r="AS341" s="7"/>
      <c r="AT341" s="7"/>
      <c r="AU341" s="7"/>
      <c r="AV341" s="7"/>
      <c r="AW341" s="7" t="s">
        <v>435</v>
      </c>
      <c r="AX341" s="7" t="s">
        <v>2772</v>
      </c>
      <c r="AY341" s="7"/>
      <c r="AZ341" s="7"/>
      <c r="BA341" s="7"/>
      <c r="BB341" s="7"/>
      <c r="BC341" s="7" t="s">
        <v>427</v>
      </c>
      <c r="BD341" s="7"/>
      <c r="BE341" s="7" t="s">
        <v>127</v>
      </c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</row>
    <row r="342" customFormat="false" ht="15" hidden="false" customHeight="false" outlineLevel="0" collapsed="false">
      <c r="A342" s="7" t="s">
        <v>2776</v>
      </c>
      <c r="B342" s="7" t="s">
        <v>2777</v>
      </c>
      <c r="C342" s="7" t="s">
        <v>2778</v>
      </c>
      <c r="D342" s="7" t="s">
        <v>2771</v>
      </c>
      <c r="E342" s="7" t="s">
        <v>737</v>
      </c>
      <c r="F342" s="7" t="s">
        <v>737</v>
      </c>
      <c r="G342" s="7"/>
      <c r="H342" s="7" t="s">
        <v>102</v>
      </c>
      <c r="I342" s="7" t="s">
        <v>1140</v>
      </c>
      <c r="J342" s="7" t="s">
        <v>104</v>
      </c>
      <c r="K342" s="7" t="s">
        <v>105</v>
      </c>
      <c r="L342" s="7" t="s">
        <v>106</v>
      </c>
      <c r="M342" s="7" t="s">
        <v>419</v>
      </c>
      <c r="N342" s="7" t="s">
        <v>2779</v>
      </c>
      <c r="O342" s="7" t="s">
        <v>2780</v>
      </c>
      <c r="P342" s="7" t="s">
        <v>135</v>
      </c>
      <c r="Q342" s="7"/>
      <c r="R342" s="7" t="s">
        <v>109</v>
      </c>
      <c r="S342" s="7" t="s">
        <v>110</v>
      </c>
      <c r="T342" s="7" t="n">
        <v>0.286</v>
      </c>
      <c r="U342" s="7" t="n">
        <v>2</v>
      </c>
      <c r="V342" s="7" t="s">
        <v>2781</v>
      </c>
      <c r="W342" s="7"/>
      <c r="X342" s="7" t="s">
        <v>2782</v>
      </c>
      <c r="Y342" s="7" t="s">
        <v>2780</v>
      </c>
      <c r="Z342" s="7" t="s">
        <v>2783</v>
      </c>
      <c r="AA342" s="7"/>
      <c r="AB342" s="7"/>
      <c r="AC342" s="7" t="n">
        <v>8</v>
      </c>
      <c r="AD342" s="7" t="s">
        <v>2784</v>
      </c>
      <c r="AE342" s="7" t="s">
        <v>448</v>
      </c>
      <c r="AF342" s="7" t="s">
        <v>2785</v>
      </c>
      <c r="AG342" s="7" t="s">
        <v>448</v>
      </c>
      <c r="AH342" s="7" t="s">
        <v>2782</v>
      </c>
      <c r="AI342" s="7"/>
      <c r="AJ342" s="7"/>
      <c r="AK342" s="7"/>
      <c r="AL342" s="7"/>
      <c r="AM342" s="7" t="s">
        <v>1065</v>
      </c>
      <c r="AN342" s="7" t="s">
        <v>2786</v>
      </c>
      <c r="AO342" s="7" t="s">
        <v>435</v>
      </c>
      <c r="AP342" s="7" t="s">
        <v>2771</v>
      </c>
      <c r="AQ342" s="7" t="s">
        <v>435</v>
      </c>
      <c r="AR342" s="7" t="s">
        <v>737</v>
      </c>
      <c r="AS342" s="7" t="s">
        <v>1065</v>
      </c>
      <c r="AT342" s="7" t="s">
        <v>1856</v>
      </c>
      <c r="AU342" s="7"/>
      <c r="AV342" s="7"/>
      <c r="AW342" s="7" t="s">
        <v>435</v>
      </c>
      <c r="AX342" s="7" t="s">
        <v>2780</v>
      </c>
      <c r="AY342" s="7"/>
      <c r="AZ342" s="7"/>
      <c r="BA342" s="7" t="s">
        <v>1065</v>
      </c>
      <c r="BB342" s="7" t="s">
        <v>2787</v>
      </c>
      <c r="BC342" s="7" t="s">
        <v>427</v>
      </c>
      <c r="BD342" s="7" t="s">
        <v>440</v>
      </c>
      <c r="BE342" s="7" t="s">
        <v>127</v>
      </c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</row>
    <row r="343" customFormat="false" ht="15" hidden="false" customHeight="false" outlineLevel="0" collapsed="false">
      <c r="A343" s="7" t="s">
        <v>2788</v>
      </c>
      <c r="B343" s="7" t="s">
        <v>2789</v>
      </c>
      <c r="C343" s="7" t="s">
        <v>2790</v>
      </c>
      <c r="D343" s="7" t="s">
        <v>2791</v>
      </c>
      <c r="E343" s="7" t="s">
        <v>737</v>
      </c>
      <c r="F343" s="7" t="s">
        <v>737</v>
      </c>
      <c r="G343" s="7"/>
      <c r="H343" s="7" t="s">
        <v>102</v>
      </c>
      <c r="I343" s="7" t="s">
        <v>132</v>
      </c>
      <c r="J343" s="7" t="s">
        <v>104</v>
      </c>
      <c r="K343" s="7" t="s">
        <v>105</v>
      </c>
      <c r="L343" s="7" t="s">
        <v>106</v>
      </c>
      <c r="M343" s="7" t="s">
        <v>419</v>
      </c>
      <c r="N343" s="7" t="s">
        <v>2792</v>
      </c>
      <c r="O343" s="7" t="s">
        <v>2792</v>
      </c>
      <c r="P343" s="7" t="s">
        <v>135</v>
      </c>
      <c r="Q343" s="7"/>
      <c r="R343" s="7" t="s">
        <v>109</v>
      </c>
      <c r="S343" s="7" t="s">
        <v>110</v>
      </c>
      <c r="T343" s="7" t="n">
        <v>0.635</v>
      </c>
      <c r="U343" s="7" t="n">
        <v>2</v>
      </c>
      <c r="V343" s="7" t="s">
        <v>2781</v>
      </c>
      <c r="W343" s="7"/>
      <c r="X343" s="7" t="s">
        <v>2793</v>
      </c>
      <c r="Y343" s="7" t="s">
        <v>2792</v>
      </c>
      <c r="Z343" s="7" t="s">
        <v>2794</v>
      </c>
      <c r="AA343" s="7"/>
      <c r="AB343" s="7"/>
      <c r="AC343" s="7" t="n">
        <v>8</v>
      </c>
      <c r="AD343" s="7" t="s">
        <v>2784</v>
      </c>
      <c r="AE343" s="7" t="s">
        <v>448</v>
      </c>
      <c r="AF343" s="7" t="s">
        <v>2795</v>
      </c>
      <c r="AG343" s="7" t="s">
        <v>448</v>
      </c>
      <c r="AH343" s="7" t="s">
        <v>2793</v>
      </c>
      <c r="AI343" s="7"/>
      <c r="AJ343" s="7"/>
      <c r="AK343" s="7"/>
      <c r="AL343" s="7"/>
      <c r="AM343" s="7" t="s">
        <v>115</v>
      </c>
      <c r="AN343" s="7" t="s">
        <v>116</v>
      </c>
      <c r="AO343" s="7" t="s">
        <v>435</v>
      </c>
      <c r="AP343" s="7" t="s">
        <v>2791</v>
      </c>
      <c r="AQ343" s="7" t="s">
        <v>448</v>
      </c>
      <c r="AR343" s="7" t="s">
        <v>737</v>
      </c>
      <c r="AS343" s="7" t="s">
        <v>1065</v>
      </c>
      <c r="AT343" s="7" t="s">
        <v>216</v>
      </c>
      <c r="AU343" s="7"/>
      <c r="AV343" s="7"/>
      <c r="AW343" s="7" t="s">
        <v>435</v>
      </c>
      <c r="AX343" s="7" t="s">
        <v>2792</v>
      </c>
      <c r="AY343" s="7"/>
      <c r="AZ343" s="7"/>
      <c r="BA343" s="7" t="s">
        <v>1065</v>
      </c>
      <c r="BB343" s="7" t="s">
        <v>2796</v>
      </c>
      <c r="BC343" s="7" t="s">
        <v>427</v>
      </c>
      <c r="BD343" s="7" t="s">
        <v>2797</v>
      </c>
      <c r="BE343" s="7" t="s">
        <v>127</v>
      </c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</row>
    <row r="344" customFormat="false" ht="15" hidden="false" customHeight="false" outlineLevel="0" collapsed="false">
      <c r="A344" s="7" t="s">
        <v>2798</v>
      </c>
      <c r="B344" s="7" t="s">
        <v>2799</v>
      </c>
      <c r="C344" s="7" t="s">
        <v>2800</v>
      </c>
      <c r="D344" s="7" t="s">
        <v>2801</v>
      </c>
      <c r="E344" s="7" t="s">
        <v>1966</v>
      </c>
      <c r="F344" s="7" t="s">
        <v>1966</v>
      </c>
      <c r="G344" s="7"/>
      <c r="H344" s="7" t="s">
        <v>102</v>
      </c>
      <c r="I344" s="7" t="s">
        <v>132</v>
      </c>
      <c r="J344" s="7" t="s">
        <v>104</v>
      </c>
      <c r="K344" s="7" t="s">
        <v>105</v>
      </c>
      <c r="L344" s="7" t="s">
        <v>106</v>
      </c>
      <c r="M344" s="7"/>
      <c r="N344" s="7" t="s">
        <v>2802</v>
      </c>
      <c r="O344" s="7" t="s">
        <v>2802</v>
      </c>
      <c r="P344" s="7" t="s">
        <v>135</v>
      </c>
      <c r="Q344" s="7"/>
      <c r="R344" s="7" t="s">
        <v>109</v>
      </c>
      <c r="S344" s="7" t="s">
        <v>110</v>
      </c>
      <c r="T344" s="7" t="n">
        <v>0.849</v>
      </c>
      <c r="U344" s="7" t="n">
        <v>2</v>
      </c>
      <c r="V344" s="7" t="s">
        <v>90</v>
      </c>
      <c r="W344" s="7"/>
      <c r="X344" s="7" t="s">
        <v>752</v>
      </c>
      <c r="Y344" s="7" t="s">
        <v>2802</v>
      </c>
      <c r="Z344" s="7" t="s">
        <v>753</v>
      </c>
      <c r="AA344" s="7"/>
      <c r="AB344" s="7"/>
      <c r="AC344" s="7" t="n">
        <v>5</v>
      </c>
      <c r="AD344" s="7" t="s">
        <v>743</v>
      </c>
      <c r="AE344" s="7" t="s">
        <v>435</v>
      </c>
      <c r="AF344" s="7" t="s">
        <v>2803</v>
      </c>
      <c r="AG344" s="7" t="s">
        <v>435</v>
      </c>
      <c r="AH344" s="7" t="s">
        <v>752</v>
      </c>
      <c r="AI344" s="7"/>
      <c r="AJ344" s="7"/>
      <c r="AK344" s="7"/>
      <c r="AL344" s="7"/>
      <c r="AM344" s="7"/>
      <c r="AN344" s="7"/>
      <c r="AO344" s="7" t="s">
        <v>435</v>
      </c>
      <c r="AP344" s="7" t="s">
        <v>2801</v>
      </c>
      <c r="AQ344" s="7" t="s">
        <v>435</v>
      </c>
      <c r="AR344" s="7" t="s">
        <v>1966</v>
      </c>
      <c r="AS344" s="7"/>
      <c r="AT344" s="7"/>
      <c r="AU344" s="7"/>
      <c r="AV344" s="7"/>
      <c r="AW344" s="7" t="s">
        <v>435</v>
      </c>
      <c r="AX344" s="7" t="s">
        <v>2802</v>
      </c>
      <c r="AY344" s="7"/>
      <c r="AZ344" s="7"/>
      <c r="BA344" s="7"/>
      <c r="BB344" s="7"/>
      <c r="BC344" s="7"/>
      <c r="BD344" s="7" t="s">
        <v>440</v>
      </c>
      <c r="BE344" s="7" t="s">
        <v>127</v>
      </c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</row>
    <row r="345" customFormat="false" ht="15" hidden="false" customHeight="false" outlineLevel="0" collapsed="false">
      <c r="A345" s="7" t="s">
        <v>2804</v>
      </c>
      <c r="B345" s="7" t="s">
        <v>2805</v>
      </c>
      <c r="C345" s="7" t="s">
        <v>2806</v>
      </c>
      <c r="D345" s="7" t="s">
        <v>2801</v>
      </c>
      <c r="E345" s="7" t="s">
        <v>1966</v>
      </c>
      <c r="F345" s="7" t="s">
        <v>1966</v>
      </c>
      <c r="G345" s="7"/>
      <c r="H345" s="7" t="s">
        <v>102</v>
      </c>
      <c r="I345" s="7" t="s">
        <v>132</v>
      </c>
      <c r="J345" s="7" t="s">
        <v>104</v>
      </c>
      <c r="K345" s="7" t="s">
        <v>105</v>
      </c>
      <c r="L345" s="7" t="s">
        <v>106</v>
      </c>
      <c r="M345" s="7" t="s">
        <v>419</v>
      </c>
      <c r="N345" s="7" t="s">
        <v>2807</v>
      </c>
      <c r="O345" s="7" t="s">
        <v>2807</v>
      </c>
      <c r="P345" s="7" t="s">
        <v>135</v>
      </c>
      <c r="Q345" s="7"/>
      <c r="R345" s="7" t="s">
        <v>109</v>
      </c>
      <c r="S345" s="7" t="s">
        <v>110</v>
      </c>
      <c r="T345" s="7" t="n">
        <v>0.857</v>
      </c>
      <c r="U345" s="7" t="n">
        <v>2</v>
      </c>
      <c r="V345" s="7" t="s">
        <v>90</v>
      </c>
      <c r="W345" s="7"/>
      <c r="X345" s="7" t="s">
        <v>187</v>
      </c>
      <c r="Y345" s="7" t="s">
        <v>2807</v>
      </c>
      <c r="Z345" s="7" t="s">
        <v>2808</v>
      </c>
      <c r="AA345" s="7"/>
      <c r="AB345" s="7"/>
      <c r="AC345" s="7" t="n">
        <v>5</v>
      </c>
      <c r="AD345" s="7" t="s">
        <v>743</v>
      </c>
      <c r="AE345" s="7" t="s">
        <v>435</v>
      </c>
      <c r="AF345" s="7" t="s">
        <v>2809</v>
      </c>
      <c r="AG345" s="7" t="s">
        <v>435</v>
      </c>
      <c r="AH345" s="7" t="s">
        <v>187</v>
      </c>
      <c r="AI345" s="7"/>
      <c r="AJ345" s="7"/>
      <c r="AK345" s="7"/>
      <c r="AL345" s="7"/>
      <c r="AM345" s="7"/>
      <c r="AN345" s="7"/>
      <c r="AO345" s="7" t="s">
        <v>435</v>
      </c>
      <c r="AP345" s="7" t="s">
        <v>2801</v>
      </c>
      <c r="AQ345" s="7" t="s">
        <v>435</v>
      </c>
      <c r="AR345" s="7" t="s">
        <v>1966</v>
      </c>
      <c r="AS345" s="7"/>
      <c r="AT345" s="7"/>
      <c r="AU345" s="7"/>
      <c r="AV345" s="7"/>
      <c r="AW345" s="7" t="s">
        <v>435</v>
      </c>
      <c r="AX345" s="7" t="s">
        <v>2807</v>
      </c>
      <c r="AY345" s="7"/>
      <c r="AZ345" s="7"/>
      <c r="BA345" s="7"/>
      <c r="BB345" s="7"/>
      <c r="BC345" s="7" t="s">
        <v>427</v>
      </c>
      <c r="BD345" s="7" t="s">
        <v>440</v>
      </c>
      <c r="BE345" s="7" t="s">
        <v>127</v>
      </c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</row>
    <row r="346" customFormat="false" ht="15" hidden="false" customHeight="false" outlineLevel="0" collapsed="false">
      <c r="A346" s="7" t="s">
        <v>2810</v>
      </c>
      <c r="B346" s="7" t="s">
        <v>2811</v>
      </c>
      <c r="C346" s="7" t="s">
        <v>2812</v>
      </c>
      <c r="D346" s="7" t="s">
        <v>2813</v>
      </c>
      <c r="E346" s="7" t="s">
        <v>1966</v>
      </c>
      <c r="F346" s="7" t="s">
        <v>1966</v>
      </c>
      <c r="G346" s="7"/>
      <c r="H346" s="7" t="s">
        <v>102</v>
      </c>
      <c r="I346" s="7" t="s">
        <v>132</v>
      </c>
      <c r="J346" s="7" t="s">
        <v>104</v>
      </c>
      <c r="K346" s="7" t="s">
        <v>105</v>
      </c>
      <c r="L346" s="7" t="s">
        <v>106</v>
      </c>
      <c r="M346" s="7" t="s">
        <v>419</v>
      </c>
      <c r="N346" s="7" t="s">
        <v>2814</v>
      </c>
      <c r="O346" s="7" t="s">
        <v>2815</v>
      </c>
      <c r="P346" s="7" t="s">
        <v>135</v>
      </c>
      <c r="Q346" s="7"/>
      <c r="R346" s="7" t="s">
        <v>109</v>
      </c>
      <c r="S346" s="7" t="s">
        <v>110</v>
      </c>
      <c r="T346" s="7" t="n">
        <v>0.363</v>
      </c>
      <c r="U346" s="7" t="n">
        <v>2</v>
      </c>
      <c r="V346" s="7" t="s">
        <v>2781</v>
      </c>
      <c r="W346" s="7"/>
      <c r="X346" s="7" t="s">
        <v>2816</v>
      </c>
      <c r="Y346" s="7" t="s">
        <v>2815</v>
      </c>
      <c r="Z346" s="7" t="s">
        <v>2817</v>
      </c>
      <c r="AA346" s="7"/>
      <c r="AB346" s="7"/>
      <c r="AC346" s="7" t="n">
        <v>8</v>
      </c>
      <c r="AD346" s="7" t="s">
        <v>2784</v>
      </c>
      <c r="AE346" s="7" t="s">
        <v>448</v>
      </c>
      <c r="AF346" s="7" t="s">
        <v>2818</v>
      </c>
      <c r="AG346" s="7" t="s">
        <v>448</v>
      </c>
      <c r="AH346" s="7" t="s">
        <v>2816</v>
      </c>
      <c r="AI346" s="7"/>
      <c r="AJ346" s="7"/>
      <c r="AK346" s="7"/>
      <c r="AL346" s="7"/>
      <c r="AM346" s="7" t="s">
        <v>1065</v>
      </c>
      <c r="AN346" s="7" t="s">
        <v>2786</v>
      </c>
      <c r="AO346" s="7" t="s">
        <v>435</v>
      </c>
      <c r="AP346" s="7" t="s">
        <v>2813</v>
      </c>
      <c r="AQ346" s="7" t="s">
        <v>435</v>
      </c>
      <c r="AR346" s="7" t="s">
        <v>1966</v>
      </c>
      <c r="AS346" s="7" t="s">
        <v>1065</v>
      </c>
      <c r="AT346" s="7" t="s">
        <v>1856</v>
      </c>
      <c r="AU346" s="7"/>
      <c r="AV346" s="7"/>
      <c r="AW346" s="7" t="s">
        <v>435</v>
      </c>
      <c r="AX346" s="7" t="s">
        <v>2815</v>
      </c>
      <c r="AY346" s="7"/>
      <c r="AZ346" s="7"/>
      <c r="BA346" s="7" t="s">
        <v>1065</v>
      </c>
      <c r="BB346" s="7" t="s">
        <v>2819</v>
      </c>
      <c r="BC346" s="7" t="s">
        <v>427</v>
      </c>
      <c r="BD346" s="7" t="s">
        <v>440</v>
      </c>
      <c r="BE346" s="7" t="s">
        <v>127</v>
      </c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</row>
    <row r="347" customFormat="false" ht="15" hidden="false" customHeight="false" outlineLevel="0" collapsed="false">
      <c r="A347" s="7" t="s">
        <v>2820</v>
      </c>
      <c r="B347" s="7" t="s">
        <v>2821</v>
      </c>
      <c r="C347" s="7" t="s">
        <v>2822</v>
      </c>
      <c r="D347" s="7" t="s">
        <v>2823</v>
      </c>
      <c r="E347" s="7" t="s">
        <v>819</v>
      </c>
      <c r="F347" s="7" t="s">
        <v>819</v>
      </c>
      <c r="G347" s="7"/>
      <c r="H347" s="7" t="s">
        <v>102</v>
      </c>
      <c r="I347" s="7" t="s">
        <v>158</v>
      </c>
      <c r="J347" s="7" t="s">
        <v>104</v>
      </c>
      <c r="K347" s="7" t="s">
        <v>105</v>
      </c>
      <c r="L347" s="7" t="s">
        <v>106</v>
      </c>
      <c r="M347" s="7" t="s">
        <v>419</v>
      </c>
      <c r="N347" s="7" t="s">
        <v>2824</v>
      </c>
      <c r="O347" s="7" t="s">
        <v>2824</v>
      </c>
      <c r="P347" s="7" t="s">
        <v>135</v>
      </c>
      <c r="Q347" s="7"/>
      <c r="R347" s="7" t="s">
        <v>109</v>
      </c>
      <c r="S347" s="7" t="s">
        <v>110</v>
      </c>
      <c r="T347" s="7" t="n">
        <v>0.85</v>
      </c>
      <c r="U347" s="7" t="n">
        <v>2</v>
      </c>
      <c r="V347" s="7" t="s">
        <v>90</v>
      </c>
      <c r="W347" s="7"/>
      <c r="X347" s="7" t="s">
        <v>2825</v>
      </c>
      <c r="Y347" s="7" t="s">
        <v>2824</v>
      </c>
      <c r="Z347" s="7" t="s">
        <v>2826</v>
      </c>
      <c r="AA347" s="7"/>
      <c r="AB347" s="7"/>
      <c r="AC347" s="7" t="n">
        <v>5</v>
      </c>
      <c r="AD347" s="7" t="s">
        <v>743</v>
      </c>
      <c r="AE347" s="7" t="s">
        <v>435</v>
      </c>
      <c r="AF347" s="7" t="s">
        <v>2827</v>
      </c>
      <c r="AG347" s="7" t="s">
        <v>435</v>
      </c>
      <c r="AH347" s="7" t="s">
        <v>2825</v>
      </c>
      <c r="AI347" s="7"/>
      <c r="AJ347" s="7"/>
      <c r="AK347" s="7"/>
      <c r="AL347" s="7"/>
      <c r="AM347" s="7"/>
      <c r="AN347" s="7"/>
      <c r="AO347" s="7" t="s">
        <v>435</v>
      </c>
      <c r="AP347" s="7" t="s">
        <v>2823</v>
      </c>
      <c r="AQ347" s="7" t="s">
        <v>435</v>
      </c>
      <c r="AR347" s="7" t="s">
        <v>819</v>
      </c>
      <c r="AS347" s="7"/>
      <c r="AT347" s="7"/>
      <c r="AU347" s="7"/>
      <c r="AV347" s="7"/>
      <c r="AW347" s="7" t="s">
        <v>435</v>
      </c>
      <c r="AX347" s="7" t="s">
        <v>2824</v>
      </c>
      <c r="AY347" s="7"/>
      <c r="AZ347" s="7"/>
      <c r="BA347" s="7"/>
      <c r="BB347" s="7"/>
      <c r="BC347" s="7" t="s">
        <v>427</v>
      </c>
      <c r="BD347" s="7" t="s">
        <v>440</v>
      </c>
      <c r="BE347" s="7" t="s">
        <v>127</v>
      </c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</row>
    <row r="348" customFormat="false" ht="15" hidden="false" customHeight="false" outlineLevel="0" collapsed="false">
      <c r="A348" s="7" t="s">
        <v>2828</v>
      </c>
      <c r="B348" s="7" t="s">
        <v>2829</v>
      </c>
      <c r="C348" s="7" t="s">
        <v>2830</v>
      </c>
      <c r="D348" s="7" t="s">
        <v>2823</v>
      </c>
      <c r="E348" s="7" t="s">
        <v>819</v>
      </c>
      <c r="F348" s="7" t="s">
        <v>819</v>
      </c>
      <c r="G348" s="7"/>
      <c r="H348" s="7" t="s">
        <v>102</v>
      </c>
      <c r="I348" s="7" t="s">
        <v>132</v>
      </c>
      <c r="J348" s="7" t="s">
        <v>104</v>
      </c>
      <c r="K348" s="7" t="s">
        <v>105</v>
      </c>
      <c r="L348" s="7" t="s">
        <v>106</v>
      </c>
      <c r="M348" s="7" t="s">
        <v>419</v>
      </c>
      <c r="N348" s="7" t="s">
        <v>2831</v>
      </c>
      <c r="O348" s="7" t="s">
        <v>2831</v>
      </c>
      <c r="P348" s="7" t="s">
        <v>135</v>
      </c>
      <c r="Q348" s="7"/>
      <c r="R348" s="7" t="s">
        <v>109</v>
      </c>
      <c r="S348" s="7" t="s">
        <v>110</v>
      </c>
      <c r="T348" s="7" t="n">
        <v>0.839</v>
      </c>
      <c r="U348" s="7" t="n">
        <v>2</v>
      </c>
      <c r="V348" s="7" t="s">
        <v>2781</v>
      </c>
      <c r="W348" s="7"/>
      <c r="X348" s="7" t="s">
        <v>2832</v>
      </c>
      <c r="Y348" s="7" t="s">
        <v>2831</v>
      </c>
      <c r="Z348" s="7" t="s">
        <v>2833</v>
      </c>
      <c r="AA348" s="7"/>
      <c r="AB348" s="7"/>
      <c r="AC348" s="7" t="n">
        <v>8</v>
      </c>
      <c r="AD348" s="7" t="s">
        <v>2784</v>
      </c>
      <c r="AE348" s="7" t="s">
        <v>448</v>
      </c>
      <c r="AF348" s="7" t="s">
        <v>2834</v>
      </c>
      <c r="AG348" s="7" t="s">
        <v>448</v>
      </c>
      <c r="AH348" s="7" t="s">
        <v>2832</v>
      </c>
      <c r="AI348" s="7"/>
      <c r="AJ348" s="7"/>
      <c r="AK348" s="7"/>
      <c r="AL348" s="7"/>
      <c r="AM348" s="7" t="s">
        <v>1065</v>
      </c>
      <c r="AN348" s="7" t="s">
        <v>2835</v>
      </c>
      <c r="AO348" s="7" t="s">
        <v>435</v>
      </c>
      <c r="AP348" s="7" t="s">
        <v>2823</v>
      </c>
      <c r="AQ348" s="7" t="s">
        <v>448</v>
      </c>
      <c r="AR348" s="7" t="s">
        <v>819</v>
      </c>
      <c r="AS348" s="7" t="s">
        <v>1065</v>
      </c>
      <c r="AT348" s="7" t="s">
        <v>216</v>
      </c>
      <c r="AU348" s="7"/>
      <c r="AV348" s="7"/>
      <c r="AW348" s="7" t="s">
        <v>435</v>
      </c>
      <c r="AX348" s="7" t="s">
        <v>2831</v>
      </c>
      <c r="AY348" s="7"/>
      <c r="AZ348" s="7"/>
      <c r="BA348" s="7" t="s">
        <v>1065</v>
      </c>
      <c r="BB348" s="7" t="s">
        <v>2836</v>
      </c>
      <c r="BC348" s="7" t="s">
        <v>427</v>
      </c>
      <c r="BD348" s="7" t="s">
        <v>440</v>
      </c>
      <c r="BE348" s="7" t="s">
        <v>127</v>
      </c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</row>
    <row r="349" customFormat="false" ht="15" hidden="false" customHeight="false" outlineLevel="0" collapsed="false">
      <c r="A349" s="7" t="s">
        <v>2837</v>
      </c>
      <c r="B349" s="7" t="s">
        <v>2838</v>
      </c>
      <c r="C349" s="7" t="s">
        <v>2839</v>
      </c>
      <c r="D349" s="7" t="s">
        <v>2840</v>
      </c>
      <c r="E349" s="7" t="s">
        <v>819</v>
      </c>
      <c r="F349" s="7" t="s">
        <v>819</v>
      </c>
      <c r="G349" s="7"/>
      <c r="H349" s="7" t="s">
        <v>102</v>
      </c>
      <c r="I349" s="7" t="s">
        <v>103</v>
      </c>
      <c r="J349" s="7" t="s">
        <v>104</v>
      </c>
      <c r="K349" s="7" t="s">
        <v>105</v>
      </c>
      <c r="L349" s="7" t="s">
        <v>259</v>
      </c>
      <c r="M349" s="7" t="s">
        <v>419</v>
      </c>
      <c r="N349" s="7" t="s">
        <v>2841</v>
      </c>
      <c r="O349" s="7" t="s">
        <v>2841</v>
      </c>
      <c r="P349" s="7" t="s">
        <v>135</v>
      </c>
      <c r="Q349" s="7"/>
      <c r="R349" s="7" t="s">
        <v>109</v>
      </c>
      <c r="S349" s="7" t="s">
        <v>110</v>
      </c>
      <c r="T349" s="7" t="n">
        <v>0.877</v>
      </c>
      <c r="U349" s="7" t="n">
        <v>2</v>
      </c>
      <c r="V349" s="7" t="s">
        <v>2842</v>
      </c>
      <c r="W349" s="7"/>
      <c r="X349" s="7" t="s">
        <v>2843</v>
      </c>
      <c r="Y349" s="7" t="s">
        <v>2841</v>
      </c>
      <c r="Z349" s="7" t="s">
        <v>2844</v>
      </c>
      <c r="AA349" s="7"/>
      <c r="AB349" s="7"/>
      <c r="AC349" s="7" t="n">
        <v>8</v>
      </c>
      <c r="AD349" s="7" t="s">
        <v>2784</v>
      </c>
      <c r="AE349" s="7" t="s">
        <v>448</v>
      </c>
      <c r="AF349" s="7" t="s">
        <v>2845</v>
      </c>
      <c r="AG349" s="7" t="s">
        <v>448</v>
      </c>
      <c r="AH349" s="7" t="s">
        <v>2843</v>
      </c>
      <c r="AI349" s="7"/>
      <c r="AJ349" s="7"/>
      <c r="AK349" s="7"/>
      <c r="AL349" s="7"/>
      <c r="AM349" s="7" t="s">
        <v>1065</v>
      </c>
      <c r="AN349" s="7" t="s">
        <v>2846</v>
      </c>
      <c r="AO349" s="7" t="s">
        <v>435</v>
      </c>
      <c r="AP349" s="7" t="s">
        <v>2840</v>
      </c>
      <c r="AQ349" s="7" t="s">
        <v>448</v>
      </c>
      <c r="AR349" s="7" t="s">
        <v>819</v>
      </c>
      <c r="AS349" s="7" t="s">
        <v>1065</v>
      </c>
      <c r="AT349" s="7" t="s">
        <v>1856</v>
      </c>
      <c r="AU349" s="7"/>
      <c r="AV349" s="7"/>
      <c r="AW349" s="7" t="s">
        <v>435</v>
      </c>
      <c r="AX349" s="7" t="s">
        <v>2841</v>
      </c>
      <c r="AY349" s="7"/>
      <c r="AZ349" s="7"/>
      <c r="BA349" s="7" t="s">
        <v>1065</v>
      </c>
      <c r="BB349" s="7" t="s">
        <v>2847</v>
      </c>
      <c r="BC349" s="7" t="s">
        <v>427</v>
      </c>
      <c r="BD349" s="7" t="s">
        <v>2797</v>
      </c>
      <c r="BE349" s="7" t="s">
        <v>127</v>
      </c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</row>
    <row r="350" customFormat="false" ht="15" hidden="false" customHeight="false" outlineLevel="0" collapsed="false">
      <c r="A350" s="7" t="s">
        <v>2848</v>
      </c>
      <c r="B350" s="7" t="s">
        <v>2849</v>
      </c>
      <c r="C350" s="7" t="s">
        <v>2850</v>
      </c>
      <c r="D350" s="7" t="s">
        <v>2840</v>
      </c>
      <c r="E350" s="7" t="s">
        <v>819</v>
      </c>
      <c r="F350" s="7" t="s">
        <v>819</v>
      </c>
      <c r="G350" s="7"/>
      <c r="H350" s="7" t="s">
        <v>102</v>
      </c>
      <c r="I350" s="7" t="s">
        <v>103</v>
      </c>
      <c r="J350" s="7" t="s">
        <v>104</v>
      </c>
      <c r="K350" s="7" t="s">
        <v>105</v>
      </c>
      <c r="L350" s="7" t="s">
        <v>106</v>
      </c>
      <c r="M350" s="7" t="s">
        <v>419</v>
      </c>
      <c r="N350" s="7" t="s">
        <v>2851</v>
      </c>
      <c r="O350" s="7" t="s">
        <v>2851</v>
      </c>
      <c r="P350" s="7" t="s">
        <v>135</v>
      </c>
      <c r="Q350" s="7"/>
      <c r="R350" s="7" t="s">
        <v>109</v>
      </c>
      <c r="S350" s="7" t="s">
        <v>110</v>
      </c>
      <c r="T350" s="7" t="n">
        <v>0.907</v>
      </c>
      <c r="U350" s="7" t="n">
        <v>2</v>
      </c>
      <c r="V350" s="7" t="s">
        <v>2842</v>
      </c>
      <c r="W350" s="7"/>
      <c r="X350" s="7" t="s">
        <v>2852</v>
      </c>
      <c r="Y350" s="7" t="s">
        <v>2851</v>
      </c>
      <c r="Z350" s="7" t="s">
        <v>2853</v>
      </c>
      <c r="AA350" s="7"/>
      <c r="AB350" s="7"/>
      <c r="AC350" s="7" t="n">
        <v>8</v>
      </c>
      <c r="AD350" s="7" t="s">
        <v>2784</v>
      </c>
      <c r="AE350" s="7" t="s">
        <v>448</v>
      </c>
      <c r="AF350" s="7" t="s">
        <v>2854</v>
      </c>
      <c r="AG350" s="7" t="s">
        <v>448</v>
      </c>
      <c r="AH350" s="7" t="s">
        <v>2852</v>
      </c>
      <c r="AI350" s="7"/>
      <c r="AJ350" s="7"/>
      <c r="AK350" s="7"/>
      <c r="AL350" s="7"/>
      <c r="AM350" s="7" t="s">
        <v>1065</v>
      </c>
      <c r="AN350" s="7" t="s">
        <v>2855</v>
      </c>
      <c r="AO350" s="7" t="s">
        <v>435</v>
      </c>
      <c r="AP350" s="7" t="s">
        <v>2840</v>
      </c>
      <c r="AQ350" s="7" t="s">
        <v>448</v>
      </c>
      <c r="AR350" s="7" t="s">
        <v>819</v>
      </c>
      <c r="AS350" s="7" t="s">
        <v>1065</v>
      </c>
      <c r="AT350" s="7" t="s">
        <v>1856</v>
      </c>
      <c r="AU350" s="7"/>
      <c r="AV350" s="7"/>
      <c r="AW350" s="7" t="s">
        <v>435</v>
      </c>
      <c r="AX350" s="7" t="s">
        <v>2851</v>
      </c>
      <c r="AY350" s="7"/>
      <c r="AZ350" s="7"/>
      <c r="BA350" s="7" t="s">
        <v>1065</v>
      </c>
      <c r="BB350" s="7" t="s">
        <v>2856</v>
      </c>
      <c r="BC350" s="7" t="s">
        <v>427</v>
      </c>
      <c r="BD350" s="7" t="s">
        <v>2797</v>
      </c>
      <c r="BE350" s="7" t="s">
        <v>127</v>
      </c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</row>
    <row r="351" customFormat="false" ht="15" hidden="false" customHeight="false" outlineLevel="0" collapsed="false">
      <c r="A351" s="7" t="s">
        <v>2857</v>
      </c>
      <c r="B351" s="7" t="s">
        <v>2858</v>
      </c>
      <c r="C351" s="7" t="s">
        <v>2859</v>
      </c>
      <c r="D351" s="7" t="s">
        <v>2860</v>
      </c>
      <c r="E351" s="7" t="s">
        <v>82</v>
      </c>
      <c r="F351" s="7" t="s">
        <v>82</v>
      </c>
      <c r="G351" s="7"/>
      <c r="H351" s="7" t="s">
        <v>102</v>
      </c>
      <c r="I351" s="7" t="s">
        <v>158</v>
      </c>
      <c r="J351" s="7" t="s">
        <v>104</v>
      </c>
      <c r="K351" s="7" t="s">
        <v>105</v>
      </c>
      <c r="L351" s="7" t="s">
        <v>106</v>
      </c>
      <c r="M351" s="7" t="s">
        <v>2861</v>
      </c>
      <c r="N351" s="7" t="s">
        <v>2862</v>
      </c>
      <c r="O351" s="7" t="s">
        <v>2862</v>
      </c>
      <c r="P351" s="7" t="s">
        <v>135</v>
      </c>
      <c r="Q351" s="7"/>
      <c r="R351" s="7" t="s">
        <v>84</v>
      </c>
      <c r="S351" s="7" t="s">
        <v>238</v>
      </c>
      <c r="T351" s="7" t="n">
        <v>0.535</v>
      </c>
      <c r="U351" s="7" t="n">
        <v>2</v>
      </c>
      <c r="V351" s="7" t="s">
        <v>90</v>
      </c>
      <c r="W351" s="7"/>
      <c r="X351" s="7" t="s">
        <v>520</v>
      </c>
      <c r="Y351" s="7" t="s">
        <v>2862</v>
      </c>
      <c r="Z351" s="7" t="s">
        <v>2863</v>
      </c>
      <c r="AA351" s="7"/>
      <c r="AB351" s="7"/>
      <c r="AC351" s="7" t="n">
        <v>12</v>
      </c>
      <c r="AD351" s="7"/>
      <c r="AE351" s="7" t="s">
        <v>448</v>
      </c>
      <c r="AF351" s="7" t="s">
        <v>2864</v>
      </c>
      <c r="AG351" s="7" t="s">
        <v>448</v>
      </c>
      <c r="AH351" s="7" t="s">
        <v>520</v>
      </c>
      <c r="AI351" s="7" t="s">
        <v>1065</v>
      </c>
      <c r="AJ351" s="7" t="s">
        <v>145</v>
      </c>
      <c r="AK351" s="7" t="s">
        <v>1065</v>
      </c>
      <c r="AL351" s="7" t="s">
        <v>2865</v>
      </c>
      <c r="AM351" s="7" t="s">
        <v>1065</v>
      </c>
      <c r="AN351" s="7" t="s">
        <v>2866</v>
      </c>
      <c r="AO351" s="7" t="s">
        <v>448</v>
      </c>
      <c r="AP351" s="7" t="s">
        <v>2860</v>
      </c>
      <c r="AQ351" s="7" t="s">
        <v>448</v>
      </c>
      <c r="AR351" s="7" t="s">
        <v>82</v>
      </c>
      <c r="AS351" s="7" t="s">
        <v>1065</v>
      </c>
      <c r="AT351" s="7" t="s">
        <v>2867</v>
      </c>
      <c r="AU351" s="7" t="s">
        <v>1065</v>
      </c>
      <c r="AV351" s="7" t="s">
        <v>2868</v>
      </c>
      <c r="AW351" s="7" t="s">
        <v>448</v>
      </c>
      <c r="AX351" s="7" t="s">
        <v>2862</v>
      </c>
      <c r="AY351" s="7" t="s">
        <v>1065</v>
      </c>
      <c r="AZ351" s="7" t="s">
        <v>2869</v>
      </c>
      <c r="BA351" s="7" t="s">
        <v>1065</v>
      </c>
      <c r="BB351" s="7" t="s">
        <v>158</v>
      </c>
      <c r="BC351" s="7" t="s">
        <v>413</v>
      </c>
      <c r="BD351" s="7" t="s">
        <v>220</v>
      </c>
      <c r="BE351" s="7" t="s">
        <v>127</v>
      </c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</row>
    <row r="352" customFormat="false" ht="15" hidden="false" customHeight="false" outlineLevel="0" collapsed="false">
      <c r="A352" s="7" t="s">
        <v>2870</v>
      </c>
      <c r="B352" s="7" t="s">
        <v>2871</v>
      </c>
      <c r="C352" s="7" t="s">
        <v>2872</v>
      </c>
      <c r="D352" s="7" t="s">
        <v>2873</v>
      </c>
      <c r="E352" s="7" t="s">
        <v>516</v>
      </c>
      <c r="F352" s="7" t="s">
        <v>516</v>
      </c>
      <c r="G352" s="7"/>
      <c r="H352" s="7" t="s">
        <v>102</v>
      </c>
      <c r="I352" s="7" t="s">
        <v>132</v>
      </c>
      <c r="J352" s="7" t="s">
        <v>104</v>
      </c>
      <c r="K352" s="7" t="s">
        <v>105</v>
      </c>
      <c r="L352" s="7" t="s">
        <v>106</v>
      </c>
      <c r="M352" s="7" t="s">
        <v>419</v>
      </c>
      <c r="N352" s="7" t="s">
        <v>2874</v>
      </c>
      <c r="O352" s="7" t="s">
        <v>2874</v>
      </c>
      <c r="P352" s="7" t="s">
        <v>135</v>
      </c>
      <c r="Q352" s="7"/>
      <c r="R352" s="7" t="s">
        <v>109</v>
      </c>
      <c r="S352" s="7" t="s">
        <v>110</v>
      </c>
      <c r="T352" s="7" t="n">
        <v>0.561</v>
      </c>
      <c r="U352" s="7" t="n">
        <v>2</v>
      </c>
      <c r="V352" s="7" t="s">
        <v>90</v>
      </c>
      <c r="W352" s="7"/>
      <c r="X352" s="7" t="s">
        <v>841</v>
      </c>
      <c r="Y352" s="7" t="s">
        <v>2874</v>
      </c>
      <c r="Z352" s="7" t="s">
        <v>842</v>
      </c>
      <c r="AA352" s="7"/>
      <c r="AB352" s="7"/>
      <c r="AC352" s="7" t="n">
        <v>5</v>
      </c>
      <c r="AD352" s="7" t="s">
        <v>743</v>
      </c>
      <c r="AE352" s="7" t="s">
        <v>435</v>
      </c>
      <c r="AF352" s="7" t="s">
        <v>2875</v>
      </c>
      <c r="AG352" s="7" t="s">
        <v>435</v>
      </c>
      <c r="AH352" s="7" t="s">
        <v>841</v>
      </c>
      <c r="AI352" s="7"/>
      <c r="AJ352" s="7"/>
      <c r="AK352" s="7"/>
      <c r="AL352" s="7"/>
      <c r="AM352" s="7"/>
      <c r="AN352" s="7"/>
      <c r="AO352" s="7" t="s">
        <v>435</v>
      </c>
      <c r="AP352" s="7" t="s">
        <v>2873</v>
      </c>
      <c r="AQ352" s="7" t="s">
        <v>435</v>
      </c>
      <c r="AR352" s="7" t="s">
        <v>516</v>
      </c>
      <c r="AS352" s="7"/>
      <c r="AT352" s="7"/>
      <c r="AU352" s="7"/>
      <c r="AV352" s="7"/>
      <c r="AW352" s="7" t="s">
        <v>435</v>
      </c>
      <c r="AX352" s="7" t="s">
        <v>2874</v>
      </c>
      <c r="AY352" s="7"/>
      <c r="AZ352" s="7"/>
      <c r="BA352" s="7"/>
      <c r="BB352" s="7"/>
      <c r="BC352" s="7" t="s">
        <v>427</v>
      </c>
      <c r="BD352" s="7" t="s">
        <v>440</v>
      </c>
      <c r="BE352" s="7" t="s">
        <v>127</v>
      </c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</row>
    <row r="353" customFormat="false" ht="15" hidden="false" customHeight="false" outlineLevel="0" collapsed="false">
      <c r="A353" s="7" t="s">
        <v>2876</v>
      </c>
      <c r="B353" s="7" t="s">
        <v>2877</v>
      </c>
      <c r="C353" s="7" t="s">
        <v>2878</v>
      </c>
      <c r="D353" s="7" t="s">
        <v>2879</v>
      </c>
      <c r="E353" s="7" t="s">
        <v>516</v>
      </c>
      <c r="F353" s="7" t="s">
        <v>516</v>
      </c>
      <c r="G353" s="7"/>
      <c r="H353" s="7" t="s">
        <v>102</v>
      </c>
      <c r="I353" s="7" t="s">
        <v>374</v>
      </c>
      <c r="J353" s="7" t="s">
        <v>104</v>
      </c>
      <c r="K353" s="7" t="s">
        <v>105</v>
      </c>
      <c r="L353" s="7" t="s">
        <v>106</v>
      </c>
      <c r="M353" s="7" t="s">
        <v>419</v>
      </c>
      <c r="N353" s="7" t="s">
        <v>2880</v>
      </c>
      <c r="O353" s="7" t="s">
        <v>2880</v>
      </c>
      <c r="P353" s="7" t="s">
        <v>135</v>
      </c>
      <c r="Q353" s="7"/>
      <c r="R353" s="7" t="s">
        <v>109</v>
      </c>
      <c r="S353" s="7" t="s">
        <v>110</v>
      </c>
      <c r="T353" s="7" t="n">
        <v>0.648</v>
      </c>
      <c r="U353" s="7" t="n">
        <v>2</v>
      </c>
      <c r="V353" s="7" t="s">
        <v>2781</v>
      </c>
      <c r="W353" s="7"/>
      <c r="X353" s="7" t="s">
        <v>2881</v>
      </c>
      <c r="Y353" s="7" t="s">
        <v>2880</v>
      </c>
      <c r="Z353" s="7" t="s">
        <v>2882</v>
      </c>
      <c r="AA353" s="7"/>
      <c r="AB353" s="7"/>
      <c r="AC353" s="7" t="n">
        <v>8</v>
      </c>
      <c r="AD353" s="7" t="s">
        <v>2784</v>
      </c>
      <c r="AE353" s="7" t="s">
        <v>448</v>
      </c>
      <c r="AF353" s="7" t="s">
        <v>2883</v>
      </c>
      <c r="AG353" s="7" t="s">
        <v>448</v>
      </c>
      <c r="AH353" s="7" t="s">
        <v>2881</v>
      </c>
      <c r="AI353" s="7"/>
      <c r="AJ353" s="7"/>
      <c r="AK353" s="7"/>
      <c r="AL353" s="7"/>
      <c r="AM353" s="7" t="s">
        <v>1065</v>
      </c>
      <c r="AN353" s="7" t="s">
        <v>145</v>
      </c>
      <c r="AO353" s="7" t="s">
        <v>435</v>
      </c>
      <c r="AP353" s="7" t="s">
        <v>2879</v>
      </c>
      <c r="AQ353" s="7" t="s">
        <v>448</v>
      </c>
      <c r="AR353" s="7" t="s">
        <v>516</v>
      </c>
      <c r="AS353" s="7" t="s">
        <v>1065</v>
      </c>
      <c r="AT353" s="7" t="s">
        <v>216</v>
      </c>
      <c r="AU353" s="7"/>
      <c r="AV353" s="7"/>
      <c r="AW353" s="7" t="s">
        <v>435</v>
      </c>
      <c r="AX353" s="7" t="s">
        <v>2880</v>
      </c>
      <c r="AY353" s="7"/>
      <c r="AZ353" s="7"/>
      <c r="BA353" s="7" t="s">
        <v>1065</v>
      </c>
      <c r="BB353" s="7" t="s">
        <v>2884</v>
      </c>
      <c r="BC353" s="7" t="s">
        <v>427</v>
      </c>
      <c r="BD353" s="7" t="s">
        <v>440</v>
      </c>
      <c r="BE353" s="7" t="s">
        <v>127</v>
      </c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</row>
    <row r="354" customFormat="false" ht="15" hidden="false" customHeight="false" outlineLevel="0" collapsed="false">
      <c r="A354" s="7" t="s">
        <v>2885</v>
      </c>
      <c r="B354" s="7" t="s">
        <v>2886</v>
      </c>
      <c r="C354" s="7" t="s">
        <v>2887</v>
      </c>
      <c r="D354" s="7" t="s">
        <v>2888</v>
      </c>
      <c r="E354" s="7" t="s">
        <v>444</v>
      </c>
      <c r="F354" s="7" t="s">
        <v>444</v>
      </c>
      <c r="G354" s="7"/>
      <c r="H354" s="7" t="s">
        <v>102</v>
      </c>
      <c r="I354" s="7" t="s">
        <v>374</v>
      </c>
      <c r="J354" s="7" t="s">
        <v>104</v>
      </c>
      <c r="K354" s="7" t="s">
        <v>105</v>
      </c>
      <c r="L354" s="7" t="s">
        <v>106</v>
      </c>
      <c r="M354" s="7" t="s">
        <v>419</v>
      </c>
      <c r="N354" s="7" t="s">
        <v>2889</v>
      </c>
      <c r="O354" s="7" t="s">
        <v>2889</v>
      </c>
      <c r="P354" s="7" t="s">
        <v>135</v>
      </c>
      <c r="Q354" s="7"/>
      <c r="R354" s="7" t="s">
        <v>109</v>
      </c>
      <c r="S354" s="7" t="s">
        <v>110</v>
      </c>
      <c r="T354" s="7" t="n">
        <v>0.926</v>
      </c>
      <c r="U354" s="7" t="n">
        <v>2</v>
      </c>
      <c r="V354" s="7" t="s">
        <v>2781</v>
      </c>
      <c r="W354" s="7"/>
      <c r="X354" s="7" t="s">
        <v>2890</v>
      </c>
      <c r="Y354" s="7" t="s">
        <v>2889</v>
      </c>
      <c r="Z354" s="7" t="s">
        <v>2891</v>
      </c>
      <c r="AA354" s="7"/>
      <c r="AB354" s="7"/>
      <c r="AC354" s="7" t="n">
        <v>8</v>
      </c>
      <c r="AD354" s="7" t="s">
        <v>2784</v>
      </c>
      <c r="AE354" s="7" t="s">
        <v>448</v>
      </c>
      <c r="AF354" s="7" t="s">
        <v>2892</v>
      </c>
      <c r="AG354" s="7" t="s">
        <v>448</v>
      </c>
      <c r="AH354" s="7" t="s">
        <v>2890</v>
      </c>
      <c r="AI354" s="7"/>
      <c r="AJ354" s="7"/>
      <c r="AK354" s="7"/>
      <c r="AL354" s="7"/>
      <c r="AM354" s="7" t="s">
        <v>1065</v>
      </c>
      <c r="AN354" s="7" t="s">
        <v>2893</v>
      </c>
      <c r="AO354" s="7" t="s">
        <v>435</v>
      </c>
      <c r="AP354" s="7" t="s">
        <v>2888</v>
      </c>
      <c r="AQ354" s="7" t="s">
        <v>448</v>
      </c>
      <c r="AR354" s="7" t="s">
        <v>444</v>
      </c>
      <c r="AS354" s="7" t="s">
        <v>1065</v>
      </c>
      <c r="AT354" s="7" t="s">
        <v>2894</v>
      </c>
      <c r="AU354" s="7"/>
      <c r="AV354" s="7"/>
      <c r="AW354" s="7" t="s">
        <v>435</v>
      </c>
      <c r="AX354" s="7" t="s">
        <v>2889</v>
      </c>
      <c r="AY354" s="7"/>
      <c r="AZ354" s="7"/>
      <c r="BA354" s="7" t="s">
        <v>1065</v>
      </c>
      <c r="BB354" s="7" t="s">
        <v>2895</v>
      </c>
      <c r="BC354" s="7" t="s">
        <v>427</v>
      </c>
      <c r="BD354" s="7" t="s">
        <v>440</v>
      </c>
      <c r="BE354" s="7" t="s">
        <v>127</v>
      </c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</row>
    <row r="355" customFormat="false" ht="15" hidden="false" customHeight="false" outlineLevel="0" collapsed="false">
      <c r="A355" s="7" t="s">
        <v>2896</v>
      </c>
      <c r="B355" s="7" t="s">
        <v>2897</v>
      </c>
      <c r="C355" s="7" t="s">
        <v>2898</v>
      </c>
      <c r="D355" s="7" t="s">
        <v>2899</v>
      </c>
      <c r="E355" s="7" t="s">
        <v>2296</v>
      </c>
      <c r="F355" s="7" t="s">
        <v>2296</v>
      </c>
      <c r="G355" s="7"/>
      <c r="H355" s="7" t="s">
        <v>102</v>
      </c>
      <c r="I355" s="7" t="s">
        <v>103</v>
      </c>
      <c r="J355" s="7" t="s">
        <v>104</v>
      </c>
      <c r="K355" s="7" t="s">
        <v>105</v>
      </c>
      <c r="L355" s="7" t="s">
        <v>106</v>
      </c>
      <c r="M355" s="7" t="s">
        <v>419</v>
      </c>
      <c r="N355" s="7" t="s">
        <v>2900</v>
      </c>
      <c r="O355" s="7" t="s">
        <v>2900</v>
      </c>
      <c r="P355" s="7" t="s">
        <v>135</v>
      </c>
      <c r="Q355" s="7"/>
      <c r="R355" s="7" t="s">
        <v>109</v>
      </c>
      <c r="S355" s="7" t="s">
        <v>110</v>
      </c>
      <c r="T355" s="7" t="n">
        <v>0.612</v>
      </c>
      <c r="U355" s="7" t="n">
        <v>2</v>
      </c>
      <c r="V355" s="7" t="s">
        <v>90</v>
      </c>
      <c r="W355" s="7"/>
      <c r="X355" s="7" t="s">
        <v>2901</v>
      </c>
      <c r="Y355" s="7" t="s">
        <v>2900</v>
      </c>
      <c r="Z355" s="7" t="s">
        <v>2902</v>
      </c>
      <c r="AA355" s="7"/>
      <c r="AB355" s="7"/>
      <c r="AC355" s="7" t="n">
        <v>5</v>
      </c>
      <c r="AD355" s="7" t="s">
        <v>743</v>
      </c>
      <c r="AE355" s="7" t="s">
        <v>435</v>
      </c>
      <c r="AF355" s="7" t="s">
        <v>2903</v>
      </c>
      <c r="AG355" s="7" t="s">
        <v>435</v>
      </c>
      <c r="AH355" s="7" t="s">
        <v>2901</v>
      </c>
      <c r="AI355" s="7"/>
      <c r="AJ355" s="7"/>
      <c r="AK355" s="7"/>
      <c r="AL355" s="7"/>
      <c r="AM355" s="7"/>
      <c r="AN355" s="7"/>
      <c r="AO355" s="7" t="s">
        <v>435</v>
      </c>
      <c r="AP355" s="7" t="s">
        <v>2899</v>
      </c>
      <c r="AQ355" s="7" t="s">
        <v>435</v>
      </c>
      <c r="AR355" s="7" t="s">
        <v>2296</v>
      </c>
      <c r="AS355" s="7"/>
      <c r="AT355" s="7"/>
      <c r="AU355" s="7"/>
      <c r="AV355" s="7"/>
      <c r="AW355" s="7" t="s">
        <v>435</v>
      </c>
      <c r="AX355" s="7" t="s">
        <v>2900</v>
      </c>
      <c r="AY355" s="7"/>
      <c r="AZ355" s="7"/>
      <c r="BA355" s="7"/>
      <c r="BB355" s="7"/>
      <c r="BC355" s="7" t="s">
        <v>427</v>
      </c>
      <c r="BD355" s="7" t="s">
        <v>440</v>
      </c>
      <c r="BE355" s="7" t="s">
        <v>127</v>
      </c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</row>
    <row r="356" customFormat="false" ht="15" hidden="false" customHeight="false" outlineLevel="0" collapsed="false">
      <c r="A356" s="7" t="s">
        <v>2904</v>
      </c>
      <c r="B356" s="7" t="s">
        <v>2905</v>
      </c>
      <c r="C356" s="7" t="s">
        <v>2906</v>
      </c>
      <c r="D356" s="7" t="s">
        <v>2907</v>
      </c>
      <c r="E356" s="7" t="s">
        <v>410</v>
      </c>
      <c r="F356" s="7" t="s">
        <v>410</v>
      </c>
      <c r="G356" s="7"/>
      <c r="H356" s="7" t="s">
        <v>102</v>
      </c>
      <c r="I356" s="7" t="s">
        <v>300</v>
      </c>
      <c r="J356" s="7" t="s">
        <v>104</v>
      </c>
      <c r="K356" s="7" t="s">
        <v>105</v>
      </c>
      <c r="L356" s="7" t="s">
        <v>106</v>
      </c>
      <c r="M356" s="7" t="s">
        <v>2908</v>
      </c>
      <c r="N356" s="7" t="s">
        <v>2909</v>
      </c>
      <c r="O356" s="7" t="s">
        <v>2909</v>
      </c>
      <c r="P356" s="7" t="s">
        <v>135</v>
      </c>
      <c r="Q356" s="7"/>
      <c r="R356" s="7" t="s">
        <v>84</v>
      </c>
      <c r="S356" s="7" t="s">
        <v>238</v>
      </c>
      <c r="T356" s="7" t="n">
        <v>0.803</v>
      </c>
      <c r="U356" s="7" t="n">
        <v>2</v>
      </c>
      <c r="V356" s="7" t="s">
        <v>90</v>
      </c>
      <c r="W356" s="7"/>
      <c r="X356" s="7" t="s">
        <v>520</v>
      </c>
      <c r="Y356" s="7" t="s">
        <v>2909</v>
      </c>
      <c r="Z356" s="7" t="s">
        <v>2910</v>
      </c>
      <c r="AA356" s="7"/>
      <c r="AB356" s="7"/>
      <c r="AC356" s="7" t="n">
        <v>12</v>
      </c>
      <c r="AD356" s="7"/>
      <c r="AE356" s="7" t="s">
        <v>448</v>
      </c>
      <c r="AF356" s="7" t="s">
        <v>2911</v>
      </c>
      <c r="AG356" s="7" t="s">
        <v>448</v>
      </c>
      <c r="AH356" s="7" t="s">
        <v>520</v>
      </c>
      <c r="AI356" s="7" t="s">
        <v>1955</v>
      </c>
      <c r="AJ356" s="7" t="s">
        <v>2912</v>
      </c>
      <c r="AK356" s="7" t="s">
        <v>1955</v>
      </c>
      <c r="AL356" s="7" t="s">
        <v>485</v>
      </c>
      <c r="AM356" s="7" t="s">
        <v>1955</v>
      </c>
      <c r="AN356" s="7" t="s">
        <v>2913</v>
      </c>
      <c r="AO356" s="7" t="s">
        <v>448</v>
      </c>
      <c r="AP356" s="7" t="s">
        <v>2907</v>
      </c>
      <c r="AQ356" s="7" t="s">
        <v>448</v>
      </c>
      <c r="AR356" s="7" t="s">
        <v>410</v>
      </c>
      <c r="AS356" s="7" t="s">
        <v>1955</v>
      </c>
      <c r="AT356" s="7" t="s">
        <v>1856</v>
      </c>
      <c r="AU356" s="7" t="s">
        <v>1955</v>
      </c>
      <c r="AV356" s="7" t="s">
        <v>2914</v>
      </c>
      <c r="AW356" s="7" t="s">
        <v>448</v>
      </c>
      <c r="AX356" s="7" t="s">
        <v>2909</v>
      </c>
      <c r="AY356" s="7" t="s">
        <v>1955</v>
      </c>
      <c r="AZ356" s="7" t="s">
        <v>2915</v>
      </c>
      <c r="BA356" s="7" t="s">
        <v>1955</v>
      </c>
      <c r="BB356" s="7" t="s">
        <v>208</v>
      </c>
      <c r="BC356" s="7" t="s">
        <v>413</v>
      </c>
      <c r="BD356" s="7" t="s">
        <v>440</v>
      </c>
      <c r="BE356" s="7" t="s">
        <v>127</v>
      </c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</row>
    <row r="357" customFormat="false" ht="15" hidden="false" customHeight="false" outlineLevel="0" collapsed="false">
      <c r="A357" s="7" t="s">
        <v>2916</v>
      </c>
      <c r="B357" s="7" t="s">
        <v>2917</v>
      </c>
      <c r="C357" s="7" t="s">
        <v>2918</v>
      </c>
      <c r="D357" s="7" t="s">
        <v>409</v>
      </c>
      <c r="E357" s="7" t="s">
        <v>410</v>
      </c>
      <c r="F357" s="7" t="s">
        <v>410</v>
      </c>
      <c r="G357" s="7"/>
      <c r="H357" s="7" t="s">
        <v>102</v>
      </c>
      <c r="I357" s="7" t="s">
        <v>158</v>
      </c>
      <c r="J357" s="7" t="s">
        <v>104</v>
      </c>
      <c r="K357" s="7" t="s">
        <v>105</v>
      </c>
      <c r="L357" s="7" t="s">
        <v>106</v>
      </c>
      <c r="M357" s="7" t="s">
        <v>403</v>
      </c>
      <c r="N357" s="7" t="s">
        <v>2919</v>
      </c>
      <c r="O357" s="7" t="s">
        <v>2919</v>
      </c>
      <c r="P357" s="7" t="s">
        <v>135</v>
      </c>
      <c r="Q357" s="7"/>
      <c r="R357" s="7" t="s">
        <v>109</v>
      </c>
      <c r="S357" s="7" t="s">
        <v>110</v>
      </c>
      <c r="T357" s="7" t="n">
        <v>0.685</v>
      </c>
      <c r="U357" s="7" t="n">
        <v>2</v>
      </c>
      <c r="V357" s="7" t="s">
        <v>90</v>
      </c>
      <c r="W357" s="7"/>
      <c r="X357" s="7" t="s">
        <v>239</v>
      </c>
      <c r="Y357" s="7" t="s">
        <v>2919</v>
      </c>
      <c r="Z357" s="7" t="s">
        <v>2920</v>
      </c>
      <c r="AA357" s="7"/>
      <c r="AB357" s="7"/>
      <c r="AC357" s="7" t="n">
        <v>8</v>
      </c>
      <c r="AD357" s="7" t="s">
        <v>2784</v>
      </c>
      <c r="AE357" s="7" t="s">
        <v>448</v>
      </c>
      <c r="AF357" s="7" t="s">
        <v>2921</v>
      </c>
      <c r="AG357" s="7" t="s">
        <v>448</v>
      </c>
      <c r="AH357" s="7" t="s">
        <v>239</v>
      </c>
      <c r="AI357" s="7"/>
      <c r="AJ357" s="7"/>
      <c r="AK357" s="7"/>
      <c r="AL357" s="7"/>
      <c r="AM357" s="7" t="s">
        <v>1955</v>
      </c>
      <c r="AN357" s="7" t="s">
        <v>408</v>
      </c>
      <c r="AO357" s="7" t="s">
        <v>448</v>
      </c>
      <c r="AP357" s="7" t="s">
        <v>409</v>
      </c>
      <c r="AQ357" s="7" t="s">
        <v>448</v>
      </c>
      <c r="AR357" s="7" t="s">
        <v>410</v>
      </c>
      <c r="AS357" s="7" t="s">
        <v>1955</v>
      </c>
      <c r="AT357" s="7" t="s">
        <v>216</v>
      </c>
      <c r="AU357" s="7"/>
      <c r="AV357" s="7"/>
      <c r="AW357" s="7" t="s">
        <v>435</v>
      </c>
      <c r="AX357" s="7" t="s">
        <v>2919</v>
      </c>
      <c r="AY357" s="7"/>
      <c r="AZ357" s="7"/>
      <c r="BA357" s="7" t="s">
        <v>1955</v>
      </c>
      <c r="BB357" s="7" t="s">
        <v>2922</v>
      </c>
      <c r="BC357" s="7" t="s">
        <v>413</v>
      </c>
      <c r="BD357" s="7" t="s">
        <v>440</v>
      </c>
      <c r="BE357" s="7" t="s">
        <v>127</v>
      </c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</row>
    <row r="358" customFormat="false" ht="15" hidden="false" customHeight="false" outlineLevel="0" collapsed="false">
      <c r="A358" s="7" t="s">
        <v>2923</v>
      </c>
      <c r="B358" s="7" t="s">
        <v>2924</v>
      </c>
      <c r="C358" s="7" t="s">
        <v>2925</v>
      </c>
      <c r="D358" s="7" t="s">
        <v>2926</v>
      </c>
      <c r="E358" s="7" t="s">
        <v>410</v>
      </c>
      <c r="F358" s="7" t="s">
        <v>410</v>
      </c>
      <c r="G358" s="7"/>
      <c r="H358" s="7" t="s">
        <v>102</v>
      </c>
      <c r="I358" s="7" t="s">
        <v>132</v>
      </c>
      <c r="J358" s="7" t="s">
        <v>104</v>
      </c>
      <c r="K358" s="7" t="s">
        <v>105</v>
      </c>
      <c r="L358" s="7" t="s">
        <v>106</v>
      </c>
      <c r="M358" s="7" t="s">
        <v>2927</v>
      </c>
      <c r="N358" s="7" t="s">
        <v>2928</v>
      </c>
      <c r="O358" s="7" t="s">
        <v>2928</v>
      </c>
      <c r="P358" s="7" t="s">
        <v>135</v>
      </c>
      <c r="Q358" s="7"/>
      <c r="R358" s="7" t="s">
        <v>84</v>
      </c>
      <c r="S358" s="7" t="s">
        <v>238</v>
      </c>
      <c r="T358" s="7" t="n">
        <v>0.733</v>
      </c>
      <c r="U358" s="7" t="n">
        <v>2</v>
      </c>
      <c r="V358" s="7" t="s">
        <v>90</v>
      </c>
      <c r="W358" s="7"/>
      <c r="X358" s="7" t="s">
        <v>2929</v>
      </c>
      <c r="Y358" s="7" t="s">
        <v>2928</v>
      </c>
      <c r="Z358" s="7" t="s">
        <v>2930</v>
      </c>
      <c r="AA358" s="7"/>
      <c r="AB358" s="7"/>
      <c r="AC358" s="7" t="n">
        <v>12</v>
      </c>
      <c r="AD358" s="7"/>
      <c r="AE358" s="7" t="s">
        <v>448</v>
      </c>
      <c r="AF358" s="7" t="s">
        <v>2931</v>
      </c>
      <c r="AG358" s="7" t="s">
        <v>448</v>
      </c>
      <c r="AH358" s="7" t="s">
        <v>2929</v>
      </c>
      <c r="AI358" s="7" t="s">
        <v>1955</v>
      </c>
      <c r="AJ358" s="7" t="s">
        <v>2932</v>
      </c>
      <c r="AK358" s="7" t="s">
        <v>1955</v>
      </c>
      <c r="AL358" s="7" t="s">
        <v>2933</v>
      </c>
      <c r="AM358" s="7" t="s">
        <v>1955</v>
      </c>
      <c r="AN358" s="7" t="s">
        <v>2934</v>
      </c>
      <c r="AO358" s="7" t="s">
        <v>448</v>
      </c>
      <c r="AP358" s="7" t="s">
        <v>2926</v>
      </c>
      <c r="AQ358" s="7" t="s">
        <v>448</v>
      </c>
      <c r="AR358" s="7" t="s">
        <v>410</v>
      </c>
      <c r="AS358" s="7" t="s">
        <v>1955</v>
      </c>
      <c r="AT358" s="7" t="s">
        <v>1856</v>
      </c>
      <c r="AU358" s="7" t="s">
        <v>1955</v>
      </c>
      <c r="AV358" s="7" t="s">
        <v>2935</v>
      </c>
      <c r="AW358" s="7" t="s">
        <v>448</v>
      </c>
      <c r="AX358" s="7" t="s">
        <v>2928</v>
      </c>
      <c r="AY358" s="7" t="s">
        <v>1955</v>
      </c>
      <c r="AZ358" s="7" t="s">
        <v>2936</v>
      </c>
      <c r="BA358" s="7" t="s">
        <v>1955</v>
      </c>
      <c r="BB358" s="7" t="s">
        <v>208</v>
      </c>
      <c r="BC358" s="7" t="s">
        <v>413</v>
      </c>
      <c r="BD358" s="7" t="s">
        <v>440</v>
      </c>
      <c r="BE358" s="7" t="s">
        <v>127</v>
      </c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</row>
    <row r="359" customFormat="false" ht="15" hidden="false" customHeight="false" outlineLevel="0" collapsed="false">
      <c r="A359" s="7" t="s">
        <v>2937</v>
      </c>
      <c r="B359" s="7" t="s">
        <v>2938</v>
      </c>
      <c r="C359" s="7" t="s">
        <v>2939</v>
      </c>
      <c r="D359" s="7" t="s">
        <v>2940</v>
      </c>
      <c r="E359" s="7" t="s">
        <v>410</v>
      </c>
      <c r="F359" s="7" t="s">
        <v>410</v>
      </c>
      <c r="G359" s="7"/>
      <c r="H359" s="7" t="s">
        <v>102</v>
      </c>
      <c r="I359" s="7" t="s">
        <v>132</v>
      </c>
      <c r="J359" s="7" t="s">
        <v>104</v>
      </c>
      <c r="K359" s="7" t="s">
        <v>105</v>
      </c>
      <c r="L359" s="7" t="s">
        <v>106</v>
      </c>
      <c r="M359" s="7" t="s">
        <v>2941</v>
      </c>
      <c r="N359" s="7" t="s">
        <v>2942</v>
      </c>
      <c r="O359" s="7" t="s">
        <v>2942</v>
      </c>
      <c r="P359" s="7" t="s">
        <v>135</v>
      </c>
      <c r="Q359" s="7"/>
      <c r="R359" s="7" t="s">
        <v>109</v>
      </c>
      <c r="S359" s="7" t="s">
        <v>110</v>
      </c>
      <c r="T359" s="7" t="n">
        <v>0.472</v>
      </c>
      <c r="U359" s="7" t="n">
        <v>2</v>
      </c>
      <c r="V359" s="7" t="s">
        <v>90</v>
      </c>
      <c r="W359" s="7"/>
      <c r="X359" s="7" t="s">
        <v>2943</v>
      </c>
      <c r="Y359" s="7" t="s">
        <v>2942</v>
      </c>
      <c r="Z359" s="7" t="s">
        <v>2944</v>
      </c>
      <c r="AA359" s="7"/>
      <c r="AB359" s="7"/>
      <c r="AC359" s="7" t="n">
        <v>7</v>
      </c>
      <c r="AD359" s="7" t="s">
        <v>2945</v>
      </c>
      <c r="AE359" s="7" t="s">
        <v>448</v>
      </c>
      <c r="AF359" s="7" t="s">
        <v>2946</v>
      </c>
      <c r="AG359" s="7" t="s">
        <v>448</v>
      </c>
      <c r="AH359" s="7" t="s">
        <v>2943</v>
      </c>
      <c r="AI359" s="7"/>
      <c r="AJ359" s="7"/>
      <c r="AK359" s="7"/>
      <c r="AL359" s="7"/>
      <c r="AM359" s="7" t="s">
        <v>1955</v>
      </c>
      <c r="AN359" s="7" t="s">
        <v>1957</v>
      </c>
      <c r="AO359" s="7" t="s">
        <v>448</v>
      </c>
      <c r="AP359" s="7" t="s">
        <v>2940</v>
      </c>
      <c r="AQ359" s="7" t="s">
        <v>448</v>
      </c>
      <c r="AR359" s="7" t="s">
        <v>410</v>
      </c>
      <c r="AS359" s="7" t="s">
        <v>1955</v>
      </c>
      <c r="AT359" s="7" t="s">
        <v>216</v>
      </c>
      <c r="AU359" s="7"/>
      <c r="AV359" s="7"/>
      <c r="AW359" s="7" t="s">
        <v>435</v>
      </c>
      <c r="AX359" s="7" t="s">
        <v>2942</v>
      </c>
      <c r="AY359" s="7"/>
      <c r="AZ359" s="7"/>
      <c r="BA359" s="7"/>
      <c r="BB359" s="7"/>
      <c r="BC359" s="7" t="s">
        <v>413</v>
      </c>
      <c r="BD359" s="7" t="s">
        <v>440</v>
      </c>
      <c r="BE359" s="7" t="s">
        <v>127</v>
      </c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</row>
    <row r="360" customFormat="false" ht="15" hidden="false" customHeight="false" outlineLevel="0" collapsed="false">
      <c r="A360" s="7" t="s">
        <v>2947</v>
      </c>
      <c r="B360" s="7" t="s">
        <v>2948</v>
      </c>
      <c r="C360" s="7" t="s">
        <v>2949</v>
      </c>
      <c r="D360" s="7" t="s">
        <v>2950</v>
      </c>
      <c r="E360" s="7" t="s">
        <v>410</v>
      </c>
      <c r="F360" s="7" t="s">
        <v>410</v>
      </c>
      <c r="G360" s="7"/>
      <c r="H360" s="7" t="s">
        <v>102</v>
      </c>
      <c r="I360" s="7" t="s">
        <v>1104</v>
      </c>
      <c r="J360" s="7" t="s">
        <v>104</v>
      </c>
      <c r="K360" s="7" t="s">
        <v>105</v>
      </c>
      <c r="L360" s="7" t="s">
        <v>2951</v>
      </c>
      <c r="M360" s="7" t="s">
        <v>2952</v>
      </c>
      <c r="N360" s="7" t="s">
        <v>2953</v>
      </c>
      <c r="O360" s="7" t="s">
        <v>2953</v>
      </c>
      <c r="P360" s="7" t="s">
        <v>135</v>
      </c>
      <c r="Q360" s="7"/>
      <c r="R360" s="7" t="s">
        <v>109</v>
      </c>
      <c r="S360" s="7" t="s">
        <v>110</v>
      </c>
      <c r="T360" s="7" t="n">
        <v>0.821</v>
      </c>
      <c r="U360" s="7" t="n">
        <v>2</v>
      </c>
      <c r="V360" s="7" t="s">
        <v>90</v>
      </c>
      <c r="W360" s="7"/>
      <c r="X360" s="7" t="s">
        <v>2954</v>
      </c>
      <c r="Y360" s="7" t="s">
        <v>2953</v>
      </c>
      <c r="Z360" s="7" t="s">
        <v>2955</v>
      </c>
      <c r="AA360" s="7"/>
      <c r="AB360" s="7"/>
      <c r="AC360" s="7" t="n">
        <v>5</v>
      </c>
      <c r="AD360" s="7" t="s">
        <v>743</v>
      </c>
      <c r="AE360" s="7" t="s">
        <v>435</v>
      </c>
      <c r="AF360" s="7" t="s">
        <v>2956</v>
      </c>
      <c r="AG360" s="7" t="s">
        <v>435</v>
      </c>
      <c r="AH360" s="7" t="s">
        <v>2954</v>
      </c>
      <c r="AI360" s="7"/>
      <c r="AJ360" s="7"/>
      <c r="AK360" s="7"/>
      <c r="AL360" s="7"/>
      <c r="AM360" s="7"/>
      <c r="AN360" s="7"/>
      <c r="AO360" s="7" t="s">
        <v>435</v>
      </c>
      <c r="AP360" s="7" t="s">
        <v>2950</v>
      </c>
      <c r="AQ360" s="7" t="s">
        <v>435</v>
      </c>
      <c r="AR360" s="7" t="s">
        <v>410</v>
      </c>
      <c r="AS360" s="7"/>
      <c r="AT360" s="7"/>
      <c r="AU360" s="7"/>
      <c r="AV360" s="7"/>
      <c r="AW360" s="7" t="s">
        <v>435</v>
      </c>
      <c r="AX360" s="7" t="s">
        <v>2953</v>
      </c>
      <c r="AY360" s="7"/>
      <c r="AZ360" s="7"/>
      <c r="BA360" s="7"/>
      <c r="BB360" s="7"/>
      <c r="BC360" s="7" t="s">
        <v>125</v>
      </c>
      <c r="BD360" s="7" t="s">
        <v>440</v>
      </c>
      <c r="BE360" s="7" t="s">
        <v>127</v>
      </c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</row>
    <row r="361" customFormat="false" ht="15" hidden="false" customHeight="false" outlineLevel="0" collapsed="false">
      <c r="A361" s="7" t="s">
        <v>2957</v>
      </c>
      <c r="B361" s="7" t="s">
        <v>2958</v>
      </c>
      <c r="C361" s="7" t="s">
        <v>2959</v>
      </c>
      <c r="D361" s="7" t="s">
        <v>2950</v>
      </c>
      <c r="E361" s="7" t="s">
        <v>410</v>
      </c>
      <c r="F361" s="7" t="s">
        <v>410</v>
      </c>
      <c r="G361" s="7"/>
      <c r="H361" s="7" t="s">
        <v>102</v>
      </c>
      <c r="I361" s="7" t="s">
        <v>103</v>
      </c>
      <c r="J361" s="7" t="s">
        <v>104</v>
      </c>
      <c r="K361" s="7" t="s">
        <v>105</v>
      </c>
      <c r="L361" s="7" t="s">
        <v>106</v>
      </c>
      <c r="M361" s="7" t="s">
        <v>2960</v>
      </c>
      <c r="N361" s="7" t="s">
        <v>2961</v>
      </c>
      <c r="O361" s="7" t="s">
        <v>2962</v>
      </c>
      <c r="P361" s="7" t="s">
        <v>135</v>
      </c>
      <c r="Q361" s="7"/>
      <c r="R361" s="7" t="s">
        <v>109</v>
      </c>
      <c r="S361" s="7" t="s">
        <v>110</v>
      </c>
      <c r="T361" s="7" t="n">
        <v>0.671</v>
      </c>
      <c r="U361" s="7" t="n">
        <v>2</v>
      </c>
      <c r="V361" s="7" t="s">
        <v>90</v>
      </c>
      <c r="W361" s="7"/>
      <c r="X361" s="7" t="s">
        <v>2825</v>
      </c>
      <c r="Y361" s="7" t="s">
        <v>2962</v>
      </c>
      <c r="Z361" s="7" t="s">
        <v>2963</v>
      </c>
      <c r="AA361" s="7"/>
      <c r="AB361" s="7"/>
      <c r="AC361" s="7" t="n">
        <v>8</v>
      </c>
      <c r="AD361" s="7" t="s">
        <v>2784</v>
      </c>
      <c r="AE361" s="7" t="s">
        <v>448</v>
      </c>
      <c r="AF361" s="7" t="s">
        <v>2964</v>
      </c>
      <c r="AG361" s="7" t="s">
        <v>448</v>
      </c>
      <c r="AH361" s="7" t="s">
        <v>2825</v>
      </c>
      <c r="AI361" s="7"/>
      <c r="AJ361" s="7"/>
      <c r="AK361" s="7"/>
      <c r="AL361" s="7"/>
      <c r="AM361" s="7" t="s">
        <v>1065</v>
      </c>
      <c r="AN361" s="7" t="s">
        <v>2965</v>
      </c>
      <c r="AO361" s="7" t="s">
        <v>1065</v>
      </c>
      <c r="AP361" s="7" t="s">
        <v>2950</v>
      </c>
      <c r="AQ361" s="7" t="s">
        <v>448</v>
      </c>
      <c r="AR361" s="7" t="s">
        <v>410</v>
      </c>
      <c r="AS361" s="7" t="s">
        <v>1065</v>
      </c>
      <c r="AT361" s="7" t="s">
        <v>1856</v>
      </c>
      <c r="AU361" s="7"/>
      <c r="AV361" s="7"/>
      <c r="AW361" s="7" t="s">
        <v>448</v>
      </c>
      <c r="AX361" s="7" t="s">
        <v>2962</v>
      </c>
      <c r="AY361" s="7"/>
      <c r="AZ361" s="7"/>
      <c r="BA361" s="7" t="s">
        <v>1065</v>
      </c>
      <c r="BB361" s="7" t="s">
        <v>2966</v>
      </c>
      <c r="BC361" s="7" t="s">
        <v>413</v>
      </c>
      <c r="BD361" s="7" t="s">
        <v>440</v>
      </c>
      <c r="BE361" s="7" t="s">
        <v>127</v>
      </c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</row>
    <row r="362" customFormat="false" ht="15" hidden="false" customHeight="false" outlineLevel="0" collapsed="false">
      <c r="A362" s="7" t="s">
        <v>2967</v>
      </c>
      <c r="B362" s="7" t="s">
        <v>2968</v>
      </c>
      <c r="C362" s="7" t="s">
        <v>2969</v>
      </c>
      <c r="D362" s="7" t="s">
        <v>2970</v>
      </c>
      <c r="E362" s="7" t="s">
        <v>410</v>
      </c>
      <c r="F362" s="7" t="s">
        <v>410</v>
      </c>
      <c r="G362" s="7"/>
      <c r="H362" s="7" t="s">
        <v>102</v>
      </c>
      <c r="I362" s="7" t="s">
        <v>208</v>
      </c>
      <c r="J362" s="7" t="s">
        <v>104</v>
      </c>
      <c r="K362" s="7" t="s">
        <v>105</v>
      </c>
      <c r="L362" s="7" t="s">
        <v>259</v>
      </c>
      <c r="M362" s="7" t="s">
        <v>2971</v>
      </c>
      <c r="N362" s="7" t="s">
        <v>2972</v>
      </c>
      <c r="O362" s="7" t="s">
        <v>2972</v>
      </c>
      <c r="P362" s="7" t="s">
        <v>135</v>
      </c>
      <c r="Q362" s="7"/>
      <c r="R362" s="7" t="s">
        <v>109</v>
      </c>
      <c r="S362" s="7" t="s">
        <v>110</v>
      </c>
      <c r="T362" s="7" t="n">
        <v>0.389</v>
      </c>
      <c r="U362" s="7" t="n">
        <v>2</v>
      </c>
      <c r="V362" s="7" t="s">
        <v>2781</v>
      </c>
      <c r="W362" s="7"/>
      <c r="X362" s="7" t="s">
        <v>2973</v>
      </c>
      <c r="Y362" s="7" t="s">
        <v>2972</v>
      </c>
      <c r="Z362" s="7" t="s">
        <v>2974</v>
      </c>
      <c r="AA362" s="7"/>
      <c r="AB362" s="7"/>
      <c r="AC362" s="7" t="n">
        <v>5</v>
      </c>
      <c r="AD362" s="7" t="s">
        <v>743</v>
      </c>
      <c r="AE362" s="7" t="s">
        <v>435</v>
      </c>
      <c r="AF362" s="7" t="s">
        <v>2975</v>
      </c>
      <c r="AG362" s="7" t="s">
        <v>435</v>
      </c>
      <c r="AH362" s="7" t="s">
        <v>2973</v>
      </c>
      <c r="AI362" s="7"/>
      <c r="AJ362" s="7"/>
      <c r="AK362" s="7"/>
      <c r="AL362" s="7"/>
      <c r="AM362" s="7"/>
      <c r="AN362" s="7"/>
      <c r="AO362" s="7" t="s">
        <v>435</v>
      </c>
      <c r="AP362" s="7" t="s">
        <v>2970</v>
      </c>
      <c r="AQ362" s="7" t="s">
        <v>435</v>
      </c>
      <c r="AR362" s="7" t="s">
        <v>410</v>
      </c>
      <c r="AS362" s="7"/>
      <c r="AT362" s="7"/>
      <c r="AU362" s="7"/>
      <c r="AV362" s="7"/>
      <c r="AW362" s="7" t="s">
        <v>435</v>
      </c>
      <c r="AX362" s="7" t="s">
        <v>2972</v>
      </c>
      <c r="AY362" s="7"/>
      <c r="AZ362" s="7"/>
      <c r="BA362" s="7"/>
      <c r="BB362" s="7"/>
      <c r="BC362" s="7" t="s">
        <v>219</v>
      </c>
      <c r="BD362" s="7" t="s">
        <v>440</v>
      </c>
      <c r="BE362" s="7" t="s">
        <v>127</v>
      </c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</row>
    <row r="363" customFormat="false" ht="15" hidden="false" customHeight="false" outlineLevel="0" collapsed="false">
      <c r="A363" s="7" t="s">
        <v>2976</v>
      </c>
      <c r="B363" s="7" t="s">
        <v>2977</v>
      </c>
      <c r="C363" s="7" t="s">
        <v>2978</v>
      </c>
      <c r="D363" s="7" t="s">
        <v>437</v>
      </c>
      <c r="E363" s="7" t="s">
        <v>431</v>
      </c>
      <c r="F363" s="7" t="s">
        <v>431</v>
      </c>
      <c r="G363" s="7"/>
      <c r="H363" s="7" t="s">
        <v>102</v>
      </c>
      <c r="I363" s="7" t="s">
        <v>132</v>
      </c>
      <c r="J363" s="7" t="s">
        <v>104</v>
      </c>
      <c r="K363" s="7" t="s">
        <v>105</v>
      </c>
      <c r="L363" s="7" t="s">
        <v>106</v>
      </c>
      <c r="M363" s="7" t="s">
        <v>419</v>
      </c>
      <c r="N363" s="7" t="s">
        <v>2979</v>
      </c>
      <c r="O363" s="7" t="s">
        <v>2979</v>
      </c>
      <c r="P363" s="7" t="s">
        <v>135</v>
      </c>
      <c r="Q363" s="7"/>
      <c r="R363" s="7" t="s">
        <v>109</v>
      </c>
      <c r="S363" s="7" t="s">
        <v>110</v>
      </c>
      <c r="T363" s="7" t="n">
        <v>0.528</v>
      </c>
      <c r="U363" s="7" t="n">
        <v>2</v>
      </c>
      <c r="V363" s="7" t="s">
        <v>90</v>
      </c>
      <c r="W363" s="7"/>
      <c r="X363" s="7" t="s">
        <v>2901</v>
      </c>
      <c r="Y363" s="7" t="s">
        <v>2979</v>
      </c>
      <c r="Z363" s="7" t="s">
        <v>2902</v>
      </c>
      <c r="AA363" s="7"/>
      <c r="AB363" s="7"/>
      <c r="AC363" s="7" t="n">
        <v>5</v>
      </c>
      <c r="AD363" s="7" t="s">
        <v>743</v>
      </c>
      <c r="AE363" s="7" t="s">
        <v>435</v>
      </c>
      <c r="AF363" s="7" t="s">
        <v>2980</v>
      </c>
      <c r="AG363" s="7" t="s">
        <v>435</v>
      </c>
      <c r="AH363" s="7" t="s">
        <v>2901</v>
      </c>
      <c r="AI363" s="7"/>
      <c r="AJ363" s="7"/>
      <c r="AK363" s="7"/>
      <c r="AL363" s="7"/>
      <c r="AM363" s="7"/>
      <c r="AN363" s="7"/>
      <c r="AO363" s="7" t="s">
        <v>435</v>
      </c>
      <c r="AP363" s="7" t="s">
        <v>437</v>
      </c>
      <c r="AQ363" s="7" t="s">
        <v>435</v>
      </c>
      <c r="AR363" s="7" t="s">
        <v>431</v>
      </c>
      <c r="AS363" s="7"/>
      <c r="AT363" s="7"/>
      <c r="AU363" s="7"/>
      <c r="AV363" s="7"/>
      <c r="AW363" s="7" t="s">
        <v>435</v>
      </c>
      <c r="AX363" s="7" t="s">
        <v>2979</v>
      </c>
      <c r="AY363" s="7"/>
      <c r="AZ363" s="7"/>
      <c r="BA363" s="7"/>
      <c r="BB363" s="7"/>
      <c r="BC363" s="7" t="s">
        <v>427</v>
      </c>
      <c r="BD363" s="7" t="s">
        <v>440</v>
      </c>
      <c r="BE363" s="7" t="s">
        <v>127</v>
      </c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</row>
    <row r="364" customFormat="false" ht="15" hidden="false" customHeight="false" outlineLevel="0" collapsed="false">
      <c r="A364" s="7" t="s">
        <v>2981</v>
      </c>
      <c r="B364" s="7" t="s">
        <v>2982</v>
      </c>
      <c r="C364" s="7" t="s">
        <v>2983</v>
      </c>
      <c r="D364" s="7" t="s">
        <v>2984</v>
      </c>
      <c r="E364" s="7" t="s">
        <v>431</v>
      </c>
      <c r="F364" s="7" t="s">
        <v>431</v>
      </c>
      <c r="G364" s="7"/>
      <c r="H364" s="7" t="s">
        <v>102</v>
      </c>
      <c r="I364" s="7" t="s">
        <v>132</v>
      </c>
      <c r="J364" s="7" t="s">
        <v>104</v>
      </c>
      <c r="K364" s="7" t="s">
        <v>105</v>
      </c>
      <c r="L364" s="7" t="s">
        <v>106</v>
      </c>
      <c r="M364" s="7" t="s">
        <v>419</v>
      </c>
      <c r="N364" s="7" t="s">
        <v>2985</v>
      </c>
      <c r="O364" s="7" t="s">
        <v>2986</v>
      </c>
      <c r="P364" s="7" t="s">
        <v>135</v>
      </c>
      <c r="Q364" s="7"/>
      <c r="R364" s="7" t="s">
        <v>109</v>
      </c>
      <c r="S364" s="7" t="s">
        <v>110</v>
      </c>
      <c r="T364" s="7" t="n">
        <v>0.457</v>
      </c>
      <c r="U364" s="7" t="n">
        <v>2</v>
      </c>
      <c r="V364" s="7" t="s">
        <v>90</v>
      </c>
      <c r="W364" s="7"/>
      <c r="X364" s="7" t="s">
        <v>2825</v>
      </c>
      <c r="Y364" s="7" t="s">
        <v>2986</v>
      </c>
      <c r="Z364" s="7" t="s">
        <v>2987</v>
      </c>
      <c r="AA364" s="7"/>
      <c r="AB364" s="7"/>
      <c r="AC364" s="7" t="n">
        <v>8</v>
      </c>
      <c r="AD364" s="7" t="s">
        <v>801</v>
      </c>
      <c r="AE364" s="7" t="s">
        <v>448</v>
      </c>
      <c r="AF364" s="7" t="s">
        <v>2988</v>
      </c>
      <c r="AG364" s="7" t="s">
        <v>448</v>
      </c>
      <c r="AH364" s="7" t="s">
        <v>2825</v>
      </c>
      <c r="AI364" s="7"/>
      <c r="AJ364" s="7"/>
      <c r="AK364" s="7"/>
      <c r="AL364" s="7"/>
      <c r="AM364" s="7"/>
      <c r="AN364" s="7"/>
      <c r="AO364" s="7" t="s">
        <v>448</v>
      </c>
      <c r="AP364" s="7" t="s">
        <v>2984</v>
      </c>
      <c r="AQ364" s="7" t="s">
        <v>435</v>
      </c>
      <c r="AR364" s="7" t="s">
        <v>431</v>
      </c>
      <c r="AS364" s="7" t="s">
        <v>1065</v>
      </c>
      <c r="AT364" s="7" t="s">
        <v>1856</v>
      </c>
      <c r="AU364" s="7" t="s">
        <v>1065</v>
      </c>
      <c r="AV364" s="7" t="s">
        <v>2989</v>
      </c>
      <c r="AW364" s="7" t="s">
        <v>435</v>
      </c>
      <c r="AX364" s="7" t="s">
        <v>2986</v>
      </c>
      <c r="AY364" s="7" t="s">
        <v>1065</v>
      </c>
      <c r="AZ364" s="7" t="s">
        <v>2990</v>
      </c>
      <c r="BA364" s="7"/>
      <c r="BB364" s="7"/>
      <c r="BC364" s="7" t="s">
        <v>427</v>
      </c>
      <c r="BD364" s="7" t="s">
        <v>2797</v>
      </c>
      <c r="BE364" s="7" t="s">
        <v>127</v>
      </c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</row>
    <row r="365" customFormat="false" ht="15" hidden="false" customHeight="false" outlineLevel="0" collapsed="false">
      <c r="A365" s="7" t="s">
        <v>2991</v>
      </c>
      <c r="B365" s="7" t="s">
        <v>2992</v>
      </c>
      <c r="C365" s="7" t="s">
        <v>2993</v>
      </c>
      <c r="D365" s="7" t="s">
        <v>2994</v>
      </c>
      <c r="E365" s="7" t="s">
        <v>431</v>
      </c>
      <c r="F365" s="7" t="s">
        <v>431</v>
      </c>
      <c r="G365" s="7"/>
      <c r="H365" s="7" t="s">
        <v>102</v>
      </c>
      <c r="I365" s="7" t="s">
        <v>103</v>
      </c>
      <c r="J365" s="7" t="s">
        <v>104</v>
      </c>
      <c r="K365" s="7" t="s">
        <v>105</v>
      </c>
      <c r="L365" s="7" t="s">
        <v>106</v>
      </c>
      <c r="M365" s="7" t="s">
        <v>419</v>
      </c>
      <c r="N365" s="7" t="s">
        <v>2995</v>
      </c>
      <c r="O365" s="7" t="s">
        <v>2996</v>
      </c>
      <c r="P365" s="7" t="s">
        <v>135</v>
      </c>
      <c r="Q365" s="7"/>
      <c r="R365" s="7" t="s">
        <v>109</v>
      </c>
      <c r="S365" s="7" t="s">
        <v>110</v>
      </c>
      <c r="T365" s="7" t="n">
        <v>0.73</v>
      </c>
      <c r="U365" s="7" t="n">
        <v>2</v>
      </c>
      <c r="V365" s="7" t="s">
        <v>2781</v>
      </c>
      <c r="W365" s="7"/>
      <c r="X365" s="7" t="s">
        <v>2997</v>
      </c>
      <c r="Y365" s="7" t="s">
        <v>2996</v>
      </c>
      <c r="Z365" s="7" t="s">
        <v>2998</v>
      </c>
      <c r="AA365" s="7"/>
      <c r="AB365" s="7"/>
      <c r="AC365" s="7" t="n">
        <v>8</v>
      </c>
      <c r="AD365" s="7" t="s">
        <v>2784</v>
      </c>
      <c r="AE365" s="7" t="s">
        <v>448</v>
      </c>
      <c r="AF365" s="7" t="s">
        <v>2999</v>
      </c>
      <c r="AG365" s="7" t="s">
        <v>448</v>
      </c>
      <c r="AH365" s="7" t="s">
        <v>2997</v>
      </c>
      <c r="AI365" s="7"/>
      <c r="AJ365" s="7"/>
      <c r="AK365" s="7"/>
      <c r="AL365" s="7"/>
      <c r="AM365" s="7" t="s">
        <v>1065</v>
      </c>
      <c r="AN365" s="7" t="s">
        <v>3000</v>
      </c>
      <c r="AO365" s="7" t="s">
        <v>435</v>
      </c>
      <c r="AP365" s="7" t="s">
        <v>2994</v>
      </c>
      <c r="AQ365" s="7" t="s">
        <v>448</v>
      </c>
      <c r="AR365" s="7" t="s">
        <v>431</v>
      </c>
      <c r="AS365" s="7" t="s">
        <v>1065</v>
      </c>
      <c r="AT365" s="7" t="s">
        <v>1856</v>
      </c>
      <c r="AU365" s="7"/>
      <c r="AV365" s="7"/>
      <c r="AW365" s="7" t="s">
        <v>435</v>
      </c>
      <c r="AX365" s="7" t="s">
        <v>2996</v>
      </c>
      <c r="AY365" s="7"/>
      <c r="AZ365" s="7"/>
      <c r="BA365" s="7" t="s">
        <v>1065</v>
      </c>
      <c r="BB365" s="7" t="s">
        <v>3001</v>
      </c>
      <c r="BC365" s="7" t="s">
        <v>427</v>
      </c>
      <c r="BD365" s="7" t="s">
        <v>2797</v>
      </c>
      <c r="BE365" s="7" t="s">
        <v>127</v>
      </c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</row>
    <row r="366" customFormat="false" ht="15" hidden="false" customHeight="false" outlineLevel="0" collapsed="false">
      <c r="A366" s="7" t="s">
        <v>3002</v>
      </c>
      <c r="B366" s="7" t="s">
        <v>3003</v>
      </c>
      <c r="C366" s="7" t="s">
        <v>3004</v>
      </c>
      <c r="D366" s="7" t="s">
        <v>3005</v>
      </c>
      <c r="E366" s="7" t="s">
        <v>431</v>
      </c>
      <c r="F366" s="7" t="s">
        <v>431</v>
      </c>
      <c r="G366" s="7"/>
      <c r="H366" s="7" t="s">
        <v>102</v>
      </c>
      <c r="I366" s="7" t="s">
        <v>132</v>
      </c>
      <c r="J366" s="7" t="s">
        <v>104</v>
      </c>
      <c r="K366" s="7" t="s">
        <v>105</v>
      </c>
      <c r="L366" s="7" t="s">
        <v>106</v>
      </c>
      <c r="M366" s="7" t="s">
        <v>419</v>
      </c>
      <c r="N366" s="7" t="s">
        <v>3006</v>
      </c>
      <c r="O366" s="7" t="s">
        <v>3007</v>
      </c>
      <c r="P366" s="7" t="s">
        <v>135</v>
      </c>
      <c r="Q366" s="7"/>
      <c r="R366" s="7" t="s">
        <v>109</v>
      </c>
      <c r="S366" s="7" t="s">
        <v>110</v>
      </c>
      <c r="T366" s="7" t="n">
        <v>0.861</v>
      </c>
      <c r="U366" s="7" t="n">
        <v>2</v>
      </c>
      <c r="V366" s="7" t="s">
        <v>2781</v>
      </c>
      <c r="W366" s="7"/>
      <c r="X366" s="7" t="s">
        <v>3008</v>
      </c>
      <c r="Y366" s="7" t="s">
        <v>3007</v>
      </c>
      <c r="Z366" s="7" t="s">
        <v>3009</v>
      </c>
      <c r="AA366" s="7"/>
      <c r="AB366" s="7"/>
      <c r="AC366" s="7" t="n">
        <v>8</v>
      </c>
      <c r="AD366" s="7" t="s">
        <v>2784</v>
      </c>
      <c r="AE366" s="7" t="s">
        <v>448</v>
      </c>
      <c r="AF366" s="7" t="s">
        <v>3010</v>
      </c>
      <c r="AG366" s="7" t="s">
        <v>448</v>
      </c>
      <c r="AH366" s="7" t="s">
        <v>3008</v>
      </c>
      <c r="AI366" s="7"/>
      <c r="AJ366" s="7"/>
      <c r="AK366" s="7"/>
      <c r="AL366" s="7"/>
      <c r="AM366" s="7" t="s">
        <v>1065</v>
      </c>
      <c r="AN366" s="7" t="s">
        <v>3011</v>
      </c>
      <c r="AO366" s="7" t="s">
        <v>435</v>
      </c>
      <c r="AP366" s="7" t="s">
        <v>3005</v>
      </c>
      <c r="AQ366" s="7" t="s">
        <v>435</v>
      </c>
      <c r="AR366" s="7" t="s">
        <v>431</v>
      </c>
      <c r="AS366" s="7" t="s">
        <v>1065</v>
      </c>
      <c r="AT366" s="7" t="s">
        <v>1856</v>
      </c>
      <c r="AU366" s="7"/>
      <c r="AV366" s="7"/>
      <c r="AW366" s="7" t="s">
        <v>435</v>
      </c>
      <c r="AX366" s="7" t="s">
        <v>3007</v>
      </c>
      <c r="AY366" s="7"/>
      <c r="AZ366" s="7"/>
      <c r="BA366" s="7" t="s">
        <v>1065</v>
      </c>
      <c r="BB366" s="7" t="s">
        <v>3012</v>
      </c>
      <c r="BC366" s="7" t="s">
        <v>427</v>
      </c>
      <c r="BD366" s="7" t="s">
        <v>440</v>
      </c>
      <c r="BE366" s="7" t="s">
        <v>127</v>
      </c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</row>
    <row r="367" customFormat="false" ht="15" hidden="false" customHeight="false" outlineLevel="0" collapsed="false">
      <c r="A367" s="7" t="s">
        <v>3013</v>
      </c>
      <c r="B367" s="7" t="s">
        <v>3014</v>
      </c>
      <c r="C367" s="7" t="s">
        <v>3015</v>
      </c>
      <c r="D367" s="7" t="s">
        <v>3016</v>
      </c>
      <c r="E367" s="7" t="s">
        <v>431</v>
      </c>
      <c r="F367" s="7" t="s">
        <v>431</v>
      </c>
      <c r="G367" s="7"/>
      <c r="H367" s="7" t="s">
        <v>102</v>
      </c>
      <c r="I367" s="7" t="s">
        <v>158</v>
      </c>
      <c r="J367" s="7" t="s">
        <v>104</v>
      </c>
      <c r="K367" s="7" t="s">
        <v>105</v>
      </c>
      <c r="L367" s="7" t="s">
        <v>106</v>
      </c>
      <c r="M367" s="7" t="s">
        <v>419</v>
      </c>
      <c r="N367" s="7" t="s">
        <v>3017</v>
      </c>
      <c r="O367" s="7" t="s">
        <v>3017</v>
      </c>
      <c r="P367" s="7" t="s">
        <v>135</v>
      </c>
      <c r="Q367" s="7"/>
      <c r="R367" s="7" t="s">
        <v>109</v>
      </c>
      <c r="S367" s="7" t="s">
        <v>110</v>
      </c>
      <c r="T367" s="7" t="n">
        <v>0.458</v>
      </c>
      <c r="U367" s="7" t="n">
        <v>2</v>
      </c>
      <c r="V367" s="7" t="s">
        <v>2781</v>
      </c>
      <c r="W367" s="7"/>
      <c r="X367" s="7" t="s">
        <v>3018</v>
      </c>
      <c r="Y367" s="7" t="s">
        <v>3017</v>
      </c>
      <c r="Z367" s="7" t="s">
        <v>3019</v>
      </c>
      <c r="AA367" s="7"/>
      <c r="AB367" s="7"/>
      <c r="AC367" s="7" t="n">
        <v>8</v>
      </c>
      <c r="AD367" s="7" t="s">
        <v>2784</v>
      </c>
      <c r="AE367" s="7" t="s">
        <v>435</v>
      </c>
      <c r="AF367" s="7" t="s">
        <v>3020</v>
      </c>
      <c r="AG367" s="7" t="s">
        <v>448</v>
      </c>
      <c r="AH367" s="7" t="s">
        <v>3018</v>
      </c>
      <c r="AI367" s="7"/>
      <c r="AJ367" s="7"/>
      <c r="AK367" s="7"/>
      <c r="AL367" s="7"/>
      <c r="AM367" s="7" t="s">
        <v>1065</v>
      </c>
      <c r="AN367" s="7" t="s">
        <v>3021</v>
      </c>
      <c r="AO367" s="7" t="s">
        <v>435</v>
      </c>
      <c r="AP367" s="7" t="s">
        <v>3016</v>
      </c>
      <c r="AQ367" s="7" t="s">
        <v>448</v>
      </c>
      <c r="AR367" s="7" t="s">
        <v>431</v>
      </c>
      <c r="AS367" s="7" t="s">
        <v>1065</v>
      </c>
      <c r="AT367" s="7" t="s">
        <v>216</v>
      </c>
      <c r="AU367" s="7"/>
      <c r="AV367" s="7"/>
      <c r="AW367" s="7" t="s">
        <v>435</v>
      </c>
      <c r="AX367" s="7" t="s">
        <v>3017</v>
      </c>
      <c r="AY367" s="7"/>
      <c r="AZ367" s="7"/>
      <c r="BA367" s="7" t="s">
        <v>1065</v>
      </c>
      <c r="BB367" s="7" t="s">
        <v>3022</v>
      </c>
      <c r="BC367" s="7" t="s">
        <v>427</v>
      </c>
      <c r="BD367" s="7" t="s">
        <v>2797</v>
      </c>
      <c r="BE367" s="7" t="s">
        <v>127</v>
      </c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</row>
    <row r="368" customFormat="false" ht="15" hidden="false" customHeight="false" outlineLevel="0" collapsed="false">
      <c r="A368" s="7" t="s">
        <v>3023</v>
      </c>
      <c r="B368" s="7" t="s">
        <v>3024</v>
      </c>
      <c r="C368" s="7" t="s">
        <v>3025</v>
      </c>
      <c r="D368" s="7" t="s">
        <v>1904</v>
      </c>
      <c r="E368" s="7" t="s">
        <v>431</v>
      </c>
      <c r="F368" s="7" t="s">
        <v>431</v>
      </c>
      <c r="G368" s="7"/>
      <c r="H368" s="7" t="s">
        <v>102</v>
      </c>
      <c r="I368" s="7" t="s">
        <v>132</v>
      </c>
      <c r="J368" s="7" t="s">
        <v>104</v>
      </c>
      <c r="K368" s="7" t="s">
        <v>105</v>
      </c>
      <c r="L368" s="7" t="s">
        <v>106</v>
      </c>
      <c r="M368" s="7" t="s">
        <v>419</v>
      </c>
      <c r="N368" s="7" t="s">
        <v>3026</v>
      </c>
      <c r="O368" s="7" t="s">
        <v>3026</v>
      </c>
      <c r="P368" s="7" t="s">
        <v>135</v>
      </c>
      <c r="Q368" s="7"/>
      <c r="R368" s="7" t="s">
        <v>109</v>
      </c>
      <c r="S368" s="7" t="s">
        <v>110</v>
      </c>
      <c r="T368" s="7" t="n">
        <v>0.887</v>
      </c>
      <c r="U368" s="7" t="n">
        <v>2</v>
      </c>
      <c r="V368" s="7" t="s">
        <v>2781</v>
      </c>
      <c r="W368" s="7"/>
      <c r="X368" s="7" t="s">
        <v>1907</v>
      </c>
      <c r="Y368" s="7" t="s">
        <v>3026</v>
      </c>
      <c r="Z368" s="7" t="s">
        <v>3027</v>
      </c>
      <c r="AA368" s="7"/>
      <c r="AB368" s="7"/>
      <c r="AC368" s="7" t="n">
        <v>8</v>
      </c>
      <c r="AD368" s="7" t="s">
        <v>2784</v>
      </c>
      <c r="AE368" s="7" t="s">
        <v>448</v>
      </c>
      <c r="AF368" s="7" t="s">
        <v>3028</v>
      </c>
      <c r="AG368" s="7" t="s">
        <v>448</v>
      </c>
      <c r="AH368" s="7" t="s">
        <v>1907</v>
      </c>
      <c r="AI368" s="7"/>
      <c r="AJ368" s="7"/>
      <c r="AK368" s="7"/>
      <c r="AL368" s="7"/>
      <c r="AM368" s="7" t="s">
        <v>1065</v>
      </c>
      <c r="AN368" s="7" t="s">
        <v>3029</v>
      </c>
      <c r="AO368" s="7" t="s">
        <v>435</v>
      </c>
      <c r="AP368" s="7" t="s">
        <v>1904</v>
      </c>
      <c r="AQ368" s="7" t="s">
        <v>448</v>
      </c>
      <c r="AR368" s="7" t="s">
        <v>431</v>
      </c>
      <c r="AS368" s="7" t="s">
        <v>1065</v>
      </c>
      <c r="AT368" s="7" t="s">
        <v>1856</v>
      </c>
      <c r="AU368" s="7"/>
      <c r="AV368" s="7"/>
      <c r="AW368" s="7" t="s">
        <v>435</v>
      </c>
      <c r="AX368" s="7" t="s">
        <v>3026</v>
      </c>
      <c r="AY368" s="7"/>
      <c r="AZ368" s="7"/>
      <c r="BA368" s="7" t="s">
        <v>1065</v>
      </c>
      <c r="BB368" s="7" t="s">
        <v>3030</v>
      </c>
      <c r="BC368" s="7" t="s">
        <v>427</v>
      </c>
      <c r="BD368" s="7" t="s">
        <v>440</v>
      </c>
      <c r="BE368" s="7" t="s">
        <v>127</v>
      </c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</row>
    <row r="369" customFormat="false" ht="15" hidden="false" customHeight="false" outlineLevel="0" collapsed="false">
      <c r="A369" s="7" t="s">
        <v>3031</v>
      </c>
      <c r="B369" s="7" t="s">
        <v>3032</v>
      </c>
      <c r="C369" s="7" t="s">
        <v>3033</v>
      </c>
      <c r="D369" s="7" t="s">
        <v>3034</v>
      </c>
      <c r="E369" s="7" t="s">
        <v>431</v>
      </c>
      <c r="F369" s="7" t="s">
        <v>431</v>
      </c>
      <c r="G369" s="7"/>
      <c r="H369" s="7" t="s">
        <v>102</v>
      </c>
      <c r="I369" s="7" t="s">
        <v>132</v>
      </c>
      <c r="J369" s="7" t="s">
        <v>104</v>
      </c>
      <c r="K369" s="7" t="s">
        <v>105</v>
      </c>
      <c r="L369" s="7" t="s">
        <v>106</v>
      </c>
      <c r="M369" s="7" t="s">
        <v>419</v>
      </c>
      <c r="N369" s="7" t="s">
        <v>3035</v>
      </c>
      <c r="O369" s="7" t="s">
        <v>3036</v>
      </c>
      <c r="P369" s="7" t="s">
        <v>135</v>
      </c>
      <c r="Q369" s="7"/>
      <c r="R369" s="7" t="s">
        <v>109</v>
      </c>
      <c r="S369" s="7" t="s">
        <v>110</v>
      </c>
      <c r="T369" s="7" t="n">
        <v>0.825</v>
      </c>
      <c r="U369" s="7" t="n">
        <v>2</v>
      </c>
      <c r="V369" s="7" t="s">
        <v>3037</v>
      </c>
      <c r="W369" s="7" t="s">
        <v>3038</v>
      </c>
      <c r="X369" s="7" t="s">
        <v>139</v>
      </c>
      <c r="Y369" s="7" t="s">
        <v>3035</v>
      </c>
      <c r="Z369" s="7" t="s">
        <v>3039</v>
      </c>
      <c r="AA369" s="7"/>
      <c r="AB369" s="7"/>
      <c r="AC369" s="7" t="n">
        <v>7</v>
      </c>
      <c r="AD369" s="7" t="s">
        <v>2945</v>
      </c>
      <c r="AE369" s="7" t="s">
        <v>448</v>
      </c>
      <c r="AF369" s="7" t="s">
        <v>3040</v>
      </c>
      <c r="AG369" s="7" t="s">
        <v>448</v>
      </c>
      <c r="AH369" s="7" t="s">
        <v>3041</v>
      </c>
      <c r="AI369" s="7"/>
      <c r="AJ369" s="7"/>
      <c r="AK369" s="7"/>
      <c r="AL369" s="7"/>
      <c r="AM369" s="7" t="s">
        <v>1065</v>
      </c>
      <c r="AN369" s="7" t="s">
        <v>145</v>
      </c>
      <c r="AO369" s="7" t="s">
        <v>435</v>
      </c>
      <c r="AP369" s="7" t="s">
        <v>3034</v>
      </c>
      <c r="AQ369" s="7" t="s">
        <v>435</v>
      </c>
      <c r="AR369" s="7" t="s">
        <v>431</v>
      </c>
      <c r="AS369" s="7" t="s">
        <v>1065</v>
      </c>
      <c r="AT369" s="7" t="s">
        <v>216</v>
      </c>
      <c r="AU369" s="7"/>
      <c r="AV369" s="7"/>
      <c r="AW369" s="7" t="s">
        <v>435</v>
      </c>
      <c r="AX369" s="7" t="s">
        <v>3036</v>
      </c>
      <c r="AY369" s="7"/>
      <c r="AZ369" s="7"/>
      <c r="BA369" s="7"/>
      <c r="BB369" s="7"/>
      <c r="BC369" s="7" t="s">
        <v>427</v>
      </c>
      <c r="BD369" s="7" t="s">
        <v>440</v>
      </c>
      <c r="BE369" s="7" t="s">
        <v>127</v>
      </c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</row>
    <row r="370" customFormat="false" ht="15" hidden="false" customHeight="false" outlineLevel="0" collapsed="false">
      <c r="A370" s="7" t="s">
        <v>3042</v>
      </c>
      <c r="B370" s="7" t="s">
        <v>3043</v>
      </c>
      <c r="C370" s="7" t="s">
        <v>3044</v>
      </c>
      <c r="D370" s="7" t="s">
        <v>3045</v>
      </c>
      <c r="E370" s="7" t="s">
        <v>3046</v>
      </c>
      <c r="F370" s="7" t="s">
        <v>3046</v>
      </c>
      <c r="G370" s="7"/>
      <c r="H370" s="7" t="s">
        <v>102</v>
      </c>
      <c r="I370" s="7" t="s">
        <v>132</v>
      </c>
      <c r="J370" s="7" t="s">
        <v>104</v>
      </c>
      <c r="K370" s="7" t="s">
        <v>105</v>
      </c>
      <c r="L370" s="7" t="s">
        <v>106</v>
      </c>
      <c r="M370" s="7" t="s">
        <v>419</v>
      </c>
      <c r="N370" s="7" t="s">
        <v>3047</v>
      </c>
      <c r="O370" s="7" t="s">
        <v>3047</v>
      </c>
      <c r="P370" s="7" t="s">
        <v>135</v>
      </c>
      <c r="Q370" s="7"/>
      <c r="R370" s="7" t="s">
        <v>109</v>
      </c>
      <c r="S370" s="7" t="s">
        <v>110</v>
      </c>
      <c r="T370" s="7" t="n">
        <v>0.686</v>
      </c>
      <c r="U370" s="7" t="n">
        <v>2</v>
      </c>
      <c r="V370" s="7" t="s">
        <v>90</v>
      </c>
      <c r="W370" s="7"/>
      <c r="X370" s="7" t="s">
        <v>3048</v>
      </c>
      <c r="Y370" s="7" t="s">
        <v>3047</v>
      </c>
      <c r="Z370" s="7" t="s">
        <v>3049</v>
      </c>
      <c r="AA370" s="7"/>
      <c r="AB370" s="7"/>
      <c r="AC370" s="7" t="n">
        <v>5</v>
      </c>
      <c r="AD370" s="7" t="s">
        <v>743</v>
      </c>
      <c r="AE370" s="7" t="s">
        <v>435</v>
      </c>
      <c r="AF370" s="7" t="s">
        <v>3050</v>
      </c>
      <c r="AG370" s="7" t="s">
        <v>435</v>
      </c>
      <c r="AH370" s="7" t="s">
        <v>3048</v>
      </c>
      <c r="AI370" s="7"/>
      <c r="AJ370" s="7"/>
      <c r="AK370" s="7"/>
      <c r="AL370" s="7"/>
      <c r="AM370" s="7"/>
      <c r="AN370" s="7"/>
      <c r="AO370" s="7" t="s">
        <v>435</v>
      </c>
      <c r="AP370" s="7" t="s">
        <v>3045</v>
      </c>
      <c r="AQ370" s="7" t="s">
        <v>435</v>
      </c>
      <c r="AR370" s="7" t="s">
        <v>3046</v>
      </c>
      <c r="AS370" s="7"/>
      <c r="AT370" s="7"/>
      <c r="AU370" s="7"/>
      <c r="AV370" s="7"/>
      <c r="AW370" s="7" t="s">
        <v>435</v>
      </c>
      <c r="AX370" s="7" t="s">
        <v>3047</v>
      </c>
      <c r="AY370" s="7"/>
      <c r="AZ370" s="7"/>
      <c r="BA370" s="7"/>
      <c r="BB370" s="7"/>
      <c r="BC370" s="7" t="s">
        <v>427</v>
      </c>
      <c r="BD370" s="7" t="s">
        <v>440</v>
      </c>
      <c r="BE370" s="7" t="s">
        <v>127</v>
      </c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</row>
    <row r="371" customFormat="false" ht="15" hidden="false" customHeight="false" outlineLevel="0" collapsed="false">
      <c r="A371" s="7" t="s">
        <v>3051</v>
      </c>
      <c r="B371" s="7" t="s">
        <v>3052</v>
      </c>
      <c r="C371" s="7" t="s">
        <v>3053</v>
      </c>
      <c r="D371" s="7" t="s">
        <v>3054</v>
      </c>
      <c r="E371" s="7" t="s">
        <v>3046</v>
      </c>
      <c r="F371" s="7" t="s">
        <v>3046</v>
      </c>
      <c r="G371" s="7"/>
      <c r="H371" s="7" t="s">
        <v>102</v>
      </c>
      <c r="I371" s="7" t="s">
        <v>208</v>
      </c>
      <c r="J371" s="7" t="s">
        <v>104</v>
      </c>
      <c r="K371" s="7" t="s">
        <v>105</v>
      </c>
      <c r="L371" s="7" t="s">
        <v>106</v>
      </c>
      <c r="M371" s="7" t="s">
        <v>419</v>
      </c>
      <c r="N371" s="7" t="s">
        <v>3055</v>
      </c>
      <c r="O371" s="7" t="s">
        <v>3055</v>
      </c>
      <c r="P371" s="7" t="s">
        <v>135</v>
      </c>
      <c r="Q371" s="7"/>
      <c r="R371" s="7" t="s">
        <v>109</v>
      </c>
      <c r="S371" s="7" t="s">
        <v>110</v>
      </c>
      <c r="T371" s="7" t="n">
        <v>0.524</v>
      </c>
      <c r="U371" s="7" t="n">
        <v>2</v>
      </c>
      <c r="V371" s="7" t="s">
        <v>2781</v>
      </c>
      <c r="W371" s="7"/>
      <c r="X371" s="7" t="s">
        <v>3056</v>
      </c>
      <c r="Y371" s="7" t="s">
        <v>3055</v>
      </c>
      <c r="Z371" s="7" t="s">
        <v>3057</v>
      </c>
      <c r="AA371" s="7"/>
      <c r="AB371" s="7"/>
      <c r="AC371" s="7" t="n">
        <v>8</v>
      </c>
      <c r="AD371" s="7" t="s">
        <v>2784</v>
      </c>
      <c r="AE371" s="7" t="s">
        <v>448</v>
      </c>
      <c r="AF371" s="7" t="s">
        <v>3058</v>
      </c>
      <c r="AG371" s="7" t="s">
        <v>448</v>
      </c>
      <c r="AH371" s="7" t="s">
        <v>3056</v>
      </c>
      <c r="AI371" s="7"/>
      <c r="AJ371" s="7"/>
      <c r="AK371" s="7"/>
      <c r="AL371" s="7"/>
      <c r="AM371" s="7" t="s">
        <v>1065</v>
      </c>
      <c r="AN371" s="7" t="s">
        <v>3059</v>
      </c>
      <c r="AO371" s="7" t="s">
        <v>435</v>
      </c>
      <c r="AP371" s="7" t="s">
        <v>3054</v>
      </c>
      <c r="AQ371" s="7" t="s">
        <v>448</v>
      </c>
      <c r="AR371" s="7" t="s">
        <v>3046</v>
      </c>
      <c r="AS371" s="7" t="s">
        <v>1065</v>
      </c>
      <c r="AT371" s="7" t="s">
        <v>1856</v>
      </c>
      <c r="AU371" s="7"/>
      <c r="AV371" s="7"/>
      <c r="AW371" s="7" t="s">
        <v>435</v>
      </c>
      <c r="AX371" s="7" t="s">
        <v>3055</v>
      </c>
      <c r="AY371" s="7"/>
      <c r="AZ371" s="7"/>
      <c r="BA371" s="7" t="s">
        <v>1065</v>
      </c>
      <c r="BB371" s="7" t="s">
        <v>208</v>
      </c>
      <c r="BC371" s="7" t="s">
        <v>427</v>
      </c>
      <c r="BD371" s="7" t="s">
        <v>440</v>
      </c>
      <c r="BE371" s="7" t="s">
        <v>127</v>
      </c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</row>
    <row r="372" customFormat="false" ht="15" hidden="false" customHeight="false" outlineLevel="0" collapsed="false">
      <c r="A372" s="7" t="s">
        <v>3060</v>
      </c>
      <c r="B372" s="7" t="s">
        <v>3061</v>
      </c>
      <c r="C372" s="7" t="s">
        <v>3062</v>
      </c>
      <c r="D372" s="7" t="s">
        <v>3063</v>
      </c>
      <c r="E372" s="7" t="s">
        <v>741</v>
      </c>
      <c r="F372" s="7" t="s">
        <v>741</v>
      </c>
      <c r="G372" s="7"/>
      <c r="H372" s="7" t="s">
        <v>102</v>
      </c>
      <c r="I372" s="7" t="s">
        <v>158</v>
      </c>
      <c r="J372" s="7" t="s">
        <v>104</v>
      </c>
      <c r="K372" s="7" t="s">
        <v>105</v>
      </c>
      <c r="L372" s="7" t="s">
        <v>353</v>
      </c>
      <c r="M372" s="7"/>
      <c r="N372" s="7" t="s">
        <v>3064</v>
      </c>
      <c r="O372" s="7" t="s">
        <v>3064</v>
      </c>
      <c r="P372" s="7" t="s">
        <v>135</v>
      </c>
      <c r="Q372" s="7"/>
      <c r="R372" s="7" t="s">
        <v>109</v>
      </c>
      <c r="S372" s="7" t="s">
        <v>110</v>
      </c>
      <c r="T372" s="7" t="n">
        <v>0.792</v>
      </c>
      <c r="U372" s="7" t="n">
        <v>2</v>
      </c>
      <c r="V372" s="7" t="s">
        <v>90</v>
      </c>
      <c r="W372" s="7"/>
      <c r="X372" s="7" t="s">
        <v>752</v>
      </c>
      <c r="Y372" s="7" t="s">
        <v>3064</v>
      </c>
      <c r="Z372" s="7" t="s">
        <v>753</v>
      </c>
      <c r="AA372" s="7"/>
      <c r="AB372" s="7"/>
      <c r="AC372" s="7" t="n">
        <v>6</v>
      </c>
      <c r="AD372" s="7" t="s">
        <v>1235</v>
      </c>
      <c r="AE372" s="7" t="s">
        <v>189</v>
      </c>
      <c r="AF372" s="7" t="s">
        <v>3065</v>
      </c>
      <c r="AG372" s="7" t="s">
        <v>189</v>
      </c>
      <c r="AH372" s="7" t="s">
        <v>3066</v>
      </c>
      <c r="AI372" s="7"/>
      <c r="AJ372" s="7"/>
      <c r="AK372" s="7"/>
      <c r="AL372" s="7"/>
      <c r="AM372" s="7" t="s">
        <v>744</v>
      </c>
      <c r="AN372" s="7" t="s">
        <v>3067</v>
      </c>
      <c r="AO372" s="7" t="s">
        <v>189</v>
      </c>
      <c r="AP372" s="7" t="s">
        <v>3068</v>
      </c>
      <c r="AQ372" s="7" t="s">
        <v>435</v>
      </c>
      <c r="AR372" s="7" t="s">
        <v>741</v>
      </c>
      <c r="AS372" s="7"/>
      <c r="AT372" s="7"/>
      <c r="AU372" s="7"/>
      <c r="AV372" s="7"/>
      <c r="AW372" s="7" t="s">
        <v>435</v>
      </c>
      <c r="AX372" s="7" t="s">
        <v>3064</v>
      </c>
      <c r="AY372" s="7"/>
      <c r="AZ372" s="7"/>
      <c r="BA372" s="7"/>
      <c r="BB372" s="7"/>
      <c r="BC372" s="7"/>
      <c r="BD372" s="7" t="s">
        <v>440</v>
      </c>
      <c r="BE372" s="7" t="s">
        <v>127</v>
      </c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</row>
    <row r="373" customFormat="false" ht="15" hidden="false" customHeight="false" outlineLevel="0" collapsed="false">
      <c r="A373" s="7" t="s">
        <v>3069</v>
      </c>
      <c r="B373" s="7" t="s">
        <v>3070</v>
      </c>
      <c r="C373" s="7" t="s">
        <v>3071</v>
      </c>
      <c r="D373" s="7" t="s">
        <v>3072</v>
      </c>
      <c r="E373" s="7" t="s">
        <v>741</v>
      </c>
      <c r="F373" s="7" t="s">
        <v>741</v>
      </c>
      <c r="G373" s="7"/>
      <c r="H373" s="7" t="s">
        <v>102</v>
      </c>
      <c r="I373" s="7" t="s">
        <v>132</v>
      </c>
      <c r="J373" s="7" t="s">
        <v>104</v>
      </c>
      <c r="K373" s="7" t="s">
        <v>105</v>
      </c>
      <c r="L373" s="7" t="s">
        <v>106</v>
      </c>
      <c r="M373" s="7" t="s">
        <v>419</v>
      </c>
      <c r="N373" s="7" t="s">
        <v>3073</v>
      </c>
      <c r="O373" s="7" t="s">
        <v>3073</v>
      </c>
      <c r="P373" s="7" t="s">
        <v>135</v>
      </c>
      <c r="Q373" s="7"/>
      <c r="R373" s="7" t="s">
        <v>109</v>
      </c>
      <c r="S373" s="7" t="s">
        <v>110</v>
      </c>
      <c r="T373" s="7" t="n">
        <v>0.34</v>
      </c>
      <c r="U373" s="7" t="n">
        <v>2</v>
      </c>
      <c r="V373" s="7" t="s">
        <v>90</v>
      </c>
      <c r="W373" s="7"/>
      <c r="X373" s="7" t="s">
        <v>658</v>
      </c>
      <c r="Y373" s="7" t="s">
        <v>3073</v>
      </c>
      <c r="Z373" s="7" t="s">
        <v>3074</v>
      </c>
      <c r="AA373" s="7"/>
      <c r="AB373" s="7"/>
      <c r="AC373" s="7" t="n">
        <v>5</v>
      </c>
      <c r="AD373" s="7" t="s">
        <v>743</v>
      </c>
      <c r="AE373" s="7" t="s">
        <v>435</v>
      </c>
      <c r="AF373" s="7" t="s">
        <v>3075</v>
      </c>
      <c r="AG373" s="7" t="s">
        <v>435</v>
      </c>
      <c r="AH373" s="7" t="s">
        <v>658</v>
      </c>
      <c r="AI373" s="7"/>
      <c r="AJ373" s="7"/>
      <c r="AK373" s="7"/>
      <c r="AL373" s="7"/>
      <c r="AM373" s="7"/>
      <c r="AN373" s="7"/>
      <c r="AO373" s="7" t="s">
        <v>435</v>
      </c>
      <c r="AP373" s="7" t="s">
        <v>3072</v>
      </c>
      <c r="AQ373" s="7" t="s">
        <v>435</v>
      </c>
      <c r="AR373" s="7" t="s">
        <v>741</v>
      </c>
      <c r="AS373" s="7"/>
      <c r="AT373" s="7"/>
      <c r="AU373" s="7"/>
      <c r="AV373" s="7"/>
      <c r="AW373" s="7" t="s">
        <v>435</v>
      </c>
      <c r="AX373" s="7" t="s">
        <v>3073</v>
      </c>
      <c r="AY373" s="7"/>
      <c r="AZ373" s="7"/>
      <c r="BA373" s="7"/>
      <c r="BB373" s="7"/>
      <c r="BC373" s="7" t="s">
        <v>427</v>
      </c>
      <c r="BD373" s="7" t="s">
        <v>440</v>
      </c>
      <c r="BE373" s="7" t="s">
        <v>127</v>
      </c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</row>
    <row r="374" customFormat="false" ht="15" hidden="false" customHeight="false" outlineLevel="0" collapsed="false">
      <c r="A374" s="7" t="s">
        <v>3076</v>
      </c>
      <c r="B374" s="7" t="s">
        <v>3077</v>
      </c>
      <c r="C374" s="7" t="s">
        <v>3078</v>
      </c>
      <c r="D374" s="7" t="s">
        <v>3079</v>
      </c>
      <c r="E374" s="7" t="s">
        <v>741</v>
      </c>
      <c r="F374" s="7" t="s">
        <v>741</v>
      </c>
      <c r="G374" s="7"/>
      <c r="H374" s="7" t="s">
        <v>102</v>
      </c>
      <c r="I374" s="7" t="s">
        <v>374</v>
      </c>
      <c r="J374" s="7" t="s">
        <v>104</v>
      </c>
      <c r="K374" s="7" t="s">
        <v>105</v>
      </c>
      <c r="L374" s="7" t="s">
        <v>106</v>
      </c>
      <c r="M374" s="7" t="s">
        <v>419</v>
      </c>
      <c r="N374" s="7" t="s">
        <v>3080</v>
      </c>
      <c r="O374" s="7" t="s">
        <v>3081</v>
      </c>
      <c r="P374" s="7" t="s">
        <v>135</v>
      </c>
      <c r="Q374" s="7"/>
      <c r="R374" s="7" t="s">
        <v>109</v>
      </c>
      <c r="S374" s="7" t="s">
        <v>110</v>
      </c>
      <c r="T374" s="7" t="n">
        <v>0.923</v>
      </c>
      <c r="U374" s="7" t="n">
        <v>2</v>
      </c>
      <c r="V374" s="7" t="s">
        <v>90</v>
      </c>
      <c r="W374" s="7"/>
      <c r="X374" s="7" t="s">
        <v>2825</v>
      </c>
      <c r="Y374" s="7" t="s">
        <v>3081</v>
      </c>
      <c r="Z374" s="7" t="s">
        <v>3082</v>
      </c>
      <c r="AA374" s="7"/>
      <c r="AB374" s="7"/>
      <c r="AC374" s="7" t="n">
        <v>8</v>
      </c>
      <c r="AD374" s="7" t="s">
        <v>2784</v>
      </c>
      <c r="AE374" s="7" t="s">
        <v>448</v>
      </c>
      <c r="AF374" s="7" t="s">
        <v>3083</v>
      </c>
      <c r="AG374" s="7" t="s">
        <v>448</v>
      </c>
      <c r="AH374" s="7" t="s">
        <v>2825</v>
      </c>
      <c r="AI374" s="7"/>
      <c r="AJ374" s="7"/>
      <c r="AK374" s="7"/>
      <c r="AL374" s="7"/>
      <c r="AM374" s="7" t="s">
        <v>1065</v>
      </c>
      <c r="AN374" s="7" t="s">
        <v>3084</v>
      </c>
      <c r="AO374" s="7" t="s">
        <v>435</v>
      </c>
      <c r="AP374" s="7" t="s">
        <v>3079</v>
      </c>
      <c r="AQ374" s="7" t="s">
        <v>435</v>
      </c>
      <c r="AR374" s="7" t="s">
        <v>741</v>
      </c>
      <c r="AS374" s="7" t="s">
        <v>1065</v>
      </c>
      <c r="AT374" s="7" t="s">
        <v>1856</v>
      </c>
      <c r="AU374" s="7"/>
      <c r="AV374" s="7"/>
      <c r="AW374" s="7" t="s">
        <v>435</v>
      </c>
      <c r="AX374" s="7" t="s">
        <v>3081</v>
      </c>
      <c r="AY374" s="7"/>
      <c r="AZ374" s="7"/>
      <c r="BA374" s="7" t="s">
        <v>1065</v>
      </c>
      <c r="BB374" s="7" t="s">
        <v>3085</v>
      </c>
      <c r="BC374" s="7" t="s">
        <v>427</v>
      </c>
      <c r="BD374" s="7" t="s">
        <v>440</v>
      </c>
      <c r="BE374" s="7" t="s">
        <v>127</v>
      </c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</row>
    <row r="375" customFormat="false" ht="15" hidden="false" customHeight="false" outlineLevel="0" collapsed="false">
      <c r="A375" s="7" t="s">
        <v>3086</v>
      </c>
      <c r="B375" s="7" t="s">
        <v>3087</v>
      </c>
      <c r="C375" s="7" t="s">
        <v>3088</v>
      </c>
      <c r="D375" s="7" t="s">
        <v>3089</v>
      </c>
      <c r="E375" s="7" t="s">
        <v>741</v>
      </c>
      <c r="F375" s="7" t="s">
        <v>741</v>
      </c>
      <c r="G375" s="7"/>
      <c r="H375" s="7" t="s">
        <v>102</v>
      </c>
      <c r="I375" s="7" t="s">
        <v>103</v>
      </c>
      <c r="J375" s="7" t="s">
        <v>104</v>
      </c>
      <c r="K375" s="7" t="s">
        <v>105</v>
      </c>
      <c r="L375" s="7" t="s">
        <v>106</v>
      </c>
      <c r="M375" s="7" t="s">
        <v>419</v>
      </c>
      <c r="N375" s="7" t="s">
        <v>3090</v>
      </c>
      <c r="O375" s="7" t="s">
        <v>3091</v>
      </c>
      <c r="P375" s="7" t="s">
        <v>135</v>
      </c>
      <c r="Q375" s="7"/>
      <c r="R375" s="7" t="s">
        <v>109</v>
      </c>
      <c r="S375" s="7" t="s">
        <v>110</v>
      </c>
      <c r="T375" s="7" t="n">
        <v>0.559</v>
      </c>
      <c r="U375" s="7" t="n">
        <v>2</v>
      </c>
      <c r="V375" s="7" t="s">
        <v>2781</v>
      </c>
      <c r="W375" s="7"/>
      <c r="X375" s="7" t="s">
        <v>3092</v>
      </c>
      <c r="Y375" s="7" t="s">
        <v>3091</v>
      </c>
      <c r="Z375" s="7" t="s">
        <v>3093</v>
      </c>
      <c r="AA375" s="7"/>
      <c r="AB375" s="7"/>
      <c r="AC375" s="7" t="n">
        <v>8</v>
      </c>
      <c r="AD375" s="7" t="s">
        <v>2784</v>
      </c>
      <c r="AE375" s="7" t="s">
        <v>448</v>
      </c>
      <c r="AF375" s="7" t="s">
        <v>3094</v>
      </c>
      <c r="AG375" s="7" t="s">
        <v>448</v>
      </c>
      <c r="AH375" s="7" t="s">
        <v>3092</v>
      </c>
      <c r="AI375" s="7"/>
      <c r="AJ375" s="7"/>
      <c r="AK375" s="7"/>
      <c r="AL375" s="7"/>
      <c r="AM375" s="7" t="s">
        <v>1065</v>
      </c>
      <c r="AN375" s="7" t="s">
        <v>3095</v>
      </c>
      <c r="AO375" s="7" t="s">
        <v>435</v>
      </c>
      <c r="AP375" s="7" t="s">
        <v>3089</v>
      </c>
      <c r="AQ375" s="7" t="s">
        <v>435</v>
      </c>
      <c r="AR375" s="7" t="s">
        <v>741</v>
      </c>
      <c r="AS375" s="7" t="s">
        <v>1065</v>
      </c>
      <c r="AT375" s="7" t="s">
        <v>1856</v>
      </c>
      <c r="AU375" s="7"/>
      <c r="AV375" s="7"/>
      <c r="AW375" s="7" t="s">
        <v>435</v>
      </c>
      <c r="AX375" s="7" t="s">
        <v>3091</v>
      </c>
      <c r="AY375" s="7"/>
      <c r="AZ375" s="7"/>
      <c r="BA375" s="7" t="s">
        <v>1065</v>
      </c>
      <c r="BB375" s="7" t="s">
        <v>3096</v>
      </c>
      <c r="BC375" s="7" t="s">
        <v>427</v>
      </c>
      <c r="BD375" s="7" t="s">
        <v>440</v>
      </c>
      <c r="BE375" s="7" t="s">
        <v>127</v>
      </c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</row>
    <row r="376" customFormat="false" ht="15" hidden="false" customHeight="false" outlineLevel="0" collapsed="false">
      <c r="A376" s="7" t="s">
        <v>3097</v>
      </c>
      <c r="B376" s="7" t="s">
        <v>3098</v>
      </c>
      <c r="C376" s="7" t="s">
        <v>3099</v>
      </c>
      <c r="D376" s="7" t="s">
        <v>3100</v>
      </c>
      <c r="E376" s="7" t="s">
        <v>741</v>
      </c>
      <c r="F376" s="7" t="s">
        <v>741</v>
      </c>
      <c r="G376" s="7"/>
      <c r="H376" s="7" t="s">
        <v>102</v>
      </c>
      <c r="I376" s="7" t="s">
        <v>1140</v>
      </c>
      <c r="J376" s="7" t="s">
        <v>104</v>
      </c>
      <c r="K376" s="7" t="s">
        <v>105</v>
      </c>
      <c r="L376" s="7" t="s">
        <v>106</v>
      </c>
      <c r="M376" s="7" t="s">
        <v>419</v>
      </c>
      <c r="N376" s="7" t="s">
        <v>3101</v>
      </c>
      <c r="O376" s="7" t="s">
        <v>3101</v>
      </c>
      <c r="P376" s="7" t="s">
        <v>135</v>
      </c>
      <c r="Q376" s="7"/>
      <c r="R376" s="7" t="s">
        <v>109</v>
      </c>
      <c r="S376" s="7" t="s">
        <v>110</v>
      </c>
      <c r="T376" s="7" t="n">
        <v>0.7</v>
      </c>
      <c r="U376" s="7" t="n">
        <v>2</v>
      </c>
      <c r="V376" s="7" t="s">
        <v>2781</v>
      </c>
      <c r="W376" s="7"/>
      <c r="X376" s="7" t="s">
        <v>3102</v>
      </c>
      <c r="Y376" s="7" t="s">
        <v>3101</v>
      </c>
      <c r="Z376" s="7" t="s">
        <v>3103</v>
      </c>
      <c r="AA376" s="7"/>
      <c r="AB376" s="7"/>
      <c r="AC376" s="7" t="n">
        <v>8</v>
      </c>
      <c r="AD376" s="7" t="s">
        <v>2784</v>
      </c>
      <c r="AE376" s="7" t="s">
        <v>448</v>
      </c>
      <c r="AF376" s="7" t="s">
        <v>3104</v>
      </c>
      <c r="AG376" s="7" t="s">
        <v>448</v>
      </c>
      <c r="AH376" s="7" t="s">
        <v>3102</v>
      </c>
      <c r="AI376" s="7"/>
      <c r="AJ376" s="7"/>
      <c r="AK376" s="7"/>
      <c r="AL376" s="7"/>
      <c r="AM376" s="7" t="s">
        <v>1065</v>
      </c>
      <c r="AN376" s="7" t="s">
        <v>3105</v>
      </c>
      <c r="AO376" s="7" t="s">
        <v>435</v>
      </c>
      <c r="AP376" s="7" t="s">
        <v>3100</v>
      </c>
      <c r="AQ376" s="7" t="s">
        <v>448</v>
      </c>
      <c r="AR376" s="7" t="s">
        <v>741</v>
      </c>
      <c r="AS376" s="7" t="s">
        <v>1065</v>
      </c>
      <c r="AT376" s="7" t="s">
        <v>216</v>
      </c>
      <c r="AU376" s="7"/>
      <c r="AV376" s="7"/>
      <c r="AW376" s="7" t="s">
        <v>435</v>
      </c>
      <c r="AX376" s="7" t="s">
        <v>3101</v>
      </c>
      <c r="AY376" s="7"/>
      <c r="AZ376" s="7"/>
      <c r="BA376" s="7" t="s">
        <v>1065</v>
      </c>
      <c r="BB376" s="7" t="s">
        <v>3106</v>
      </c>
      <c r="BC376" s="7" t="s">
        <v>427</v>
      </c>
      <c r="BD376" s="7" t="s">
        <v>440</v>
      </c>
      <c r="BE376" s="7" t="s">
        <v>127</v>
      </c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</row>
    <row r="377" customFormat="false" ht="15" hidden="false" customHeight="false" outlineLevel="0" collapsed="false">
      <c r="A377" s="7" t="s">
        <v>3107</v>
      </c>
      <c r="B377" s="7" t="s">
        <v>3108</v>
      </c>
      <c r="C377" s="7" t="s">
        <v>3109</v>
      </c>
      <c r="D377" s="7" t="s">
        <v>3110</v>
      </c>
      <c r="E377" s="7" t="s">
        <v>888</v>
      </c>
      <c r="F377" s="7" t="s">
        <v>888</v>
      </c>
      <c r="G377" s="7"/>
      <c r="H377" s="7" t="s">
        <v>102</v>
      </c>
      <c r="I377" s="7" t="s">
        <v>208</v>
      </c>
      <c r="J377" s="7" t="s">
        <v>104</v>
      </c>
      <c r="K377" s="7" t="s">
        <v>105</v>
      </c>
      <c r="L377" s="7" t="s">
        <v>106</v>
      </c>
      <c r="M377" s="7" t="s">
        <v>419</v>
      </c>
      <c r="N377" s="7" t="s">
        <v>3111</v>
      </c>
      <c r="O377" s="7" t="s">
        <v>3111</v>
      </c>
      <c r="P377" s="7" t="s">
        <v>135</v>
      </c>
      <c r="Q377" s="7"/>
      <c r="R377" s="7" t="s">
        <v>109</v>
      </c>
      <c r="S377" s="7" t="s">
        <v>110</v>
      </c>
      <c r="T377" s="7" t="n">
        <v>0.268</v>
      </c>
      <c r="U377" s="7" t="n">
        <v>2</v>
      </c>
      <c r="V377" s="7" t="s">
        <v>2781</v>
      </c>
      <c r="W377" s="7"/>
      <c r="X377" s="7" t="s">
        <v>3112</v>
      </c>
      <c r="Y377" s="7" t="s">
        <v>3111</v>
      </c>
      <c r="Z377" s="7" t="s">
        <v>3113</v>
      </c>
      <c r="AA377" s="7"/>
      <c r="AB377" s="7"/>
      <c r="AC377" s="7" t="n">
        <v>5</v>
      </c>
      <c r="AD377" s="7" t="s">
        <v>743</v>
      </c>
      <c r="AE377" s="7" t="s">
        <v>448</v>
      </c>
      <c r="AF377" s="7" t="s">
        <v>3114</v>
      </c>
      <c r="AG377" s="7" t="s">
        <v>448</v>
      </c>
      <c r="AH377" s="7" t="s">
        <v>3112</v>
      </c>
      <c r="AI377" s="7"/>
      <c r="AJ377" s="7"/>
      <c r="AK377" s="7"/>
      <c r="AL377" s="7"/>
      <c r="AM377" s="7" t="s">
        <v>1065</v>
      </c>
      <c r="AN377" s="7" t="s">
        <v>3115</v>
      </c>
      <c r="AO377" s="7" t="s">
        <v>435</v>
      </c>
      <c r="AP377" s="7" t="s">
        <v>3110</v>
      </c>
      <c r="AQ377" s="7" t="s">
        <v>448</v>
      </c>
      <c r="AR377" s="7" t="s">
        <v>888</v>
      </c>
      <c r="AS377" s="7" t="s">
        <v>1065</v>
      </c>
      <c r="AT377" s="7" t="s">
        <v>216</v>
      </c>
      <c r="AU377" s="7"/>
      <c r="AV377" s="7"/>
      <c r="AW377" s="7" t="s">
        <v>435</v>
      </c>
      <c r="AX377" s="7" t="s">
        <v>3111</v>
      </c>
      <c r="AY377" s="7"/>
      <c r="AZ377" s="7"/>
      <c r="BA377" s="7" t="s">
        <v>1065</v>
      </c>
      <c r="BB377" s="7" t="s">
        <v>3116</v>
      </c>
      <c r="BC377" s="7" t="s">
        <v>427</v>
      </c>
      <c r="BD377" s="7" t="s">
        <v>440</v>
      </c>
      <c r="BE377" s="7" t="s">
        <v>127</v>
      </c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</row>
    <row r="378" customFormat="false" ht="15" hidden="false" customHeight="false" outlineLevel="0" collapsed="false">
      <c r="A378" s="7" t="s">
        <v>3117</v>
      </c>
      <c r="B378" s="7" t="s">
        <v>3118</v>
      </c>
      <c r="C378" s="7" t="s">
        <v>3119</v>
      </c>
      <c r="D378" s="7" t="s">
        <v>3120</v>
      </c>
      <c r="E378" s="7" t="s">
        <v>888</v>
      </c>
      <c r="F378" s="7" t="s">
        <v>888</v>
      </c>
      <c r="G378" s="7"/>
      <c r="H378" s="7" t="s">
        <v>102</v>
      </c>
      <c r="I378" s="7" t="s">
        <v>208</v>
      </c>
      <c r="J378" s="7" t="s">
        <v>104</v>
      </c>
      <c r="K378" s="7" t="s">
        <v>105</v>
      </c>
      <c r="L378" s="7" t="s">
        <v>106</v>
      </c>
      <c r="M378" s="7" t="s">
        <v>419</v>
      </c>
      <c r="N378" s="7" t="s">
        <v>3121</v>
      </c>
      <c r="O378" s="7" t="s">
        <v>3121</v>
      </c>
      <c r="P378" s="7" t="s">
        <v>135</v>
      </c>
      <c r="Q378" s="7"/>
      <c r="R378" s="7" t="s">
        <v>109</v>
      </c>
      <c r="S378" s="7" t="s">
        <v>110</v>
      </c>
      <c r="T378" s="7" t="n">
        <v>0.845</v>
      </c>
      <c r="U378" s="7" t="n">
        <v>2</v>
      </c>
      <c r="V378" s="7" t="s">
        <v>2781</v>
      </c>
      <c r="W378" s="7"/>
      <c r="X378" s="7" t="s">
        <v>3112</v>
      </c>
      <c r="Y378" s="7" t="s">
        <v>3121</v>
      </c>
      <c r="Z378" s="7" t="s">
        <v>3113</v>
      </c>
      <c r="AA378" s="7"/>
      <c r="AB378" s="7"/>
      <c r="AC378" s="7" t="n">
        <v>8</v>
      </c>
      <c r="AD378" s="7" t="s">
        <v>2784</v>
      </c>
      <c r="AE378" s="7" t="s">
        <v>448</v>
      </c>
      <c r="AF378" s="7" t="s">
        <v>3114</v>
      </c>
      <c r="AG378" s="7" t="s">
        <v>448</v>
      </c>
      <c r="AH378" s="7" t="s">
        <v>3112</v>
      </c>
      <c r="AI378" s="7"/>
      <c r="AJ378" s="7"/>
      <c r="AK378" s="7"/>
      <c r="AL378" s="7"/>
      <c r="AM378" s="7" t="s">
        <v>1065</v>
      </c>
      <c r="AN378" s="7" t="s">
        <v>3122</v>
      </c>
      <c r="AO378" s="7" t="s">
        <v>435</v>
      </c>
      <c r="AP378" s="7" t="s">
        <v>3120</v>
      </c>
      <c r="AQ378" s="7" t="s">
        <v>448</v>
      </c>
      <c r="AR378" s="7" t="s">
        <v>888</v>
      </c>
      <c r="AS378" s="7" t="s">
        <v>1065</v>
      </c>
      <c r="AT378" s="7" t="s">
        <v>216</v>
      </c>
      <c r="AU378" s="7"/>
      <c r="AV378" s="7"/>
      <c r="AW378" s="7" t="s">
        <v>435</v>
      </c>
      <c r="AX378" s="7" t="s">
        <v>3121</v>
      </c>
      <c r="AY378" s="7"/>
      <c r="AZ378" s="7"/>
      <c r="BA378" s="7" t="s">
        <v>1065</v>
      </c>
      <c r="BB378" s="7" t="s">
        <v>3116</v>
      </c>
      <c r="BC378" s="7" t="s">
        <v>427</v>
      </c>
      <c r="BD378" s="7" t="s">
        <v>440</v>
      </c>
      <c r="BE378" s="7" t="s">
        <v>127</v>
      </c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</row>
    <row r="379" customFormat="false" ht="15" hidden="false" customHeight="false" outlineLevel="0" collapsed="false">
      <c r="A379" s="7" t="s">
        <v>3123</v>
      </c>
      <c r="B379" s="7" t="s">
        <v>3124</v>
      </c>
      <c r="C379" s="7" t="s">
        <v>3125</v>
      </c>
      <c r="D379" s="7" t="s">
        <v>3126</v>
      </c>
      <c r="E379" s="7" t="s">
        <v>3127</v>
      </c>
      <c r="F379" s="7" t="s">
        <v>3127</v>
      </c>
      <c r="G379" s="7"/>
      <c r="H379" s="7" t="s">
        <v>102</v>
      </c>
      <c r="I379" s="7" t="s">
        <v>158</v>
      </c>
      <c r="J379" s="7" t="s">
        <v>104</v>
      </c>
      <c r="K379" s="7" t="s">
        <v>105</v>
      </c>
      <c r="L379" s="7" t="s">
        <v>353</v>
      </c>
      <c r="M379" s="7" t="s">
        <v>419</v>
      </c>
      <c r="N379" s="7" t="s">
        <v>3128</v>
      </c>
      <c r="O379" s="7" t="s">
        <v>3128</v>
      </c>
      <c r="P379" s="7" t="s">
        <v>135</v>
      </c>
      <c r="Q379" s="7"/>
      <c r="R379" s="7" t="s">
        <v>109</v>
      </c>
      <c r="S379" s="7" t="s">
        <v>110</v>
      </c>
      <c r="T379" s="7" t="n">
        <v>0.736</v>
      </c>
      <c r="U379" s="7" t="n">
        <v>2</v>
      </c>
      <c r="V379" s="7" t="s">
        <v>90</v>
      </c>
      <c r="W379" s="7"/>
      <c r="X379" s="7" t="s">
        <v>332</v>
      </c>
      <c r="Y379" s="7" t="s">
        <v>3128</v>
      </c>
      <c r="Z379" s="7" t="s">
        <v>2987</v>
      </c>
      <c r="AA379" s="7"/>
      <c r="AB379" s="7"/>
      <c r="AC379" s="7" t="n">
        <v>5</v>
      </c>
      <c r="AD379" s="7" t="s">
        <v>743</v>
      </c>
      <c r="AE379" s="7" t="s">
        <v>435</v>
      </c>
      <c r="AF379" s="7" t="s">
        <v>3129</v>
      </c>
      <c r="AG379" s="7" t="s">
        <v>435</v>
      </c>
      <c r="AH379" s="7" t="s">
        <v>332</v>
      </c>
      <c r="AI379" s="7"/>
      <c r="AJ379" s="7"/>
      <c r="AK379" s="7"/>
      <c r="AL379" s="7"/>
      <c r="AM379" s="7"/>
      <c r="AN379" s="7"/>
      <c r="AO379" s="7" t="s">
        <v>435</v>
      </c>
      <c r="AP379" s="7" t="s">
        <v>3126</v>
      </c>
      <c r="AQ379" s="7" t="s">
        <v>435</v>
      </c>
      <c r="AR379" s="7" t="s">
        <v>3127</v>
      </c>
      <c r="AS379" s="7"/>
      <c r="AT379" s="7"/>
      <c r="AU379" s="7"/>
      <c r="AV379" s="7"/>
      <c r="AW379" s="7" t="s">
        <v>435</v>
      </c>
      <c r="AX379" s="7" t="s">
        <v>3128</v>
      </c>
      <c r="AY379" s="7"/>
      <c r="AZ379" s="7"/>
      <c r="BA379" s="7"/>
      <c r="BB379" s="7"/>
      <c r="BC379" s="7" t="s">
        <v>427</v>
      </c>
      <c r="BD379" s="7" t="s">
        <v>440</v>
      </c>
      <c r="BE379" s="7" t="s">
        <v>127</v>
      </c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</row>
    <row r="380" customFormat="false" ht="15" hidden="false" customHeight="false" outlineLevel="0" collapsed="false">
      <c r="A380" s="7" t="s">
        <v>3130</v>
      </c>
      <c r="B380" s="7" t="s">
        <v>3131</v>
      </c>
      <c r="C380" s="7" t="s">
        <v>3132</v>
      </c>
      <c r="D380" s="7" t="s">
        <v>3133</v>
      </c>
      <c r="E380" s="7" t="s">
        <v>3134</v>
      </c>
      <c r="F380" s="7" t="s">
        <v>3134</v>
      </c>
      <c r="G380" s="7" t="s">
        <v>3135</v>
      </c>
      <c r="H380" s="7" t="s">
        <v>102</v>
      </c>
      <c r="I380" s="7" t="s">
        <v>132</v>
      </c>
      <c r="J380" s="7" t="s">
        <v>104</v>
      </c>
      <c r="K380" s="7" t="s">
        <v>105</v>
      </c>
      <c r="L380" s="7" t="s">
        <v>106</v>
      </c>
      <c r="M380" s="7" t="s">
        <v>419</v>
      </c>
      <c r="N380" s="7" t="s">
        <v>3136</v>
      </c>
      <c r="O380" s="7" t="s">
        <v>3137</v>
      </c>
      <c r="P380" s="7" t="s">
        <v>135</v>
      </c>
      <c r="Q380" s="7"/>
      <c r="R380" s="7" t="s">
        <v>84</v>
      </c>
      <c r="S380" s="7" t="s">
        <v>238</v>
      </c>
      <c r="T380" s="7" t="n">
        <v>0.561</v>
      </c>
      <c r="U380" s="7" t="n">
        <v>2</v>
      </c>
      <c r="V380" s="7" t="s">
        <v>90</v>
      </c>
      <c r="W380" s="7"/>
      <c r="X380" s="7" t="s">
        <v>2298</v>
      </c>
      <c r="Y380" s="7" t="s">
        <v>3137</v>
      </c>
      <c r="Z380" s="7" t="s">
        <v>3138</v>
      </c>
      <c r="AA380" s="7"/>
      <c r="AB380" s="7"/>
      <c r="AC380" s="7" t="n">
        <v>12</v>
      </c>
      <c r="AD380" s="7"/>
      <c r="AE380" s="7" t="s">
        <v>448</v>
      </c>
      <c r="AF380" s="7" t="s">
        <v>3139</v>
      </c>
      <c r="AG380" s="7" t="s">
        <v>448</v>
      </c>
      <c r="AH380" s="7" t="s">
        <v>2298</v>
      </c>
      <c r="AI380" s="7" t="s">
        <v>1065</v>
      </c>
      <c r="AJ380" s="7" t="s">
        <v>145</v>
      </c>
      <c r="AK380" s="7" t="s">
        <v>1065</v>
      </c>
      <c r="AL380" s="7" t="s">
        <v>145</v>
      </c>
      <c r="AM380" s="7" t="s">
        <v>1065</v>
      </c>
      <c r="AN380" s="7" t="s">
        <v>3140</v>
      </c>
      <c r="AO380" s="7" t="s">
        <v>448</v>
      </c>
      <c r="AP380" s="7" t="s">
        <v>3133</v>
      </c>
      <c r="AQ380" s="7" t="s">
        <v>448</v>
      </c>
      <c r="AR380" s="7" t="s">
        <v>3134</v>
      </c>
      <c r="AS380" s="7" t="s">
        <v>1065</v>
      </c>
      <c r="AT380" s="7" t="s">
        <v>1856</v>
      </c>
      <c r="AU380" s="7" t="s">
        <v>1065</v>
      </c>
      <c r="AV380" s="7" t="s">
        <v>145</v>
      </c>
      <c r="AW380" s="7" t="s">
        <v>448</v>
      </c>
      <c r="AX380" s="7" t="s">
        <v>3137</v>
      </c>
      <c r="AY380" s="7" t="s">
        <v>1065</v>
      </c>
      <c r="AZ380" s="7" t="s">
        <v>3141</v>
      </c>
      <c r="BA380" s="7" t="s">
        <v>1065</v>
      </c>
      <c r="BB380" s="7" t="s">
        <v>3142</v>
      </c>
      <c r="BC380" s="7" t="s">
        <v>427</v>
      </c>
      <c r="BD380" s="7" t="s">
        <v>440</v>
      </c>
      <c r="BE380" s="7" t="s">
        <v>127</v>
      </c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</row>
    <row r="381" customFormat="false" ht="15" hidden="false" customHeight="false" outlineLevel="0" collapsed="false">
      <c r="A381" s="7" t="s">
        <v>3143</v>
      </c>
      <c r="B381" s="7" t="s">
        <v>3144</v>
      </c>
      <c r="C381" s="7" t="s">
        <v>3145</v>
      </c>
      <c r="D381" s="7" t="s">
        <v>3146</v>
      </c>
      <c r="E381" s="7" t="s">
        <v>741</v>
      </c>
      <c r="F381" s="7" t="s">
        <v>741</v>
      </c>
      <c r="G381" s="7"/>
      <c r="H381" s="7" t="s">
        <v>102</v>
      </c>
      <c r="I381" s="7" t="s">
        <v>374</v>
      </c>
      <c r="J381" s="7" t="s">
        <v>104</v>
      </c>
      <c r="K381" s="7" t="s">
        <v>105</v>
      </c>
      <c r="L381" s="7" t="s">
        <v>106</v>
      </c>
      <c r="M381" s="7" t="s">
        <v>419</v>
      </c>
      <c r="N381" s="7" t="s">
        <v>3147</v>
      </c>
      <c r="O381" s="7" t="s">
        <v>3147</v>
      </c>
      <c r="P381" s="7" t="s">
        <v>135</v>
      </c>
      <c r="Q381" s="7"/>
      <c r="R381" s="7" t="s">
        <v>109</v>
      </c>
      <c r="S381" s="7" t="s">
        <v>110</v>
      </c>
      <c r="T381" s="7" t="n">
        <v>0.532</v>
      </c>
      <c r="U381" s="7" t="n">
        <v>2</v>
      </c>
      <c r="V381" s="7" t="s">
        <v>90</v>
      </c>
      <c r="W381" s="7"/>
      <c r="X381" s="7" t="s">
        <v>332</v>
      </c>
      <c r="Y381" s="7" t="s">
        <v>3147</v>
      </c>
      <c r="Z381" s="7" t="s">
        <v>2987</v>
      </c>
      <c r="AA381" s="7"/>
      <c r="AB381" s="7"/>
      <c r="AC381" s="7" t="n">
        <v>5</v>
      </c>
      <c r="AD381" s="7" t="s">
        <v>743</v>
      </c>
      <c r="AE381" s="7" t="s">
        <v>435</v>
      </c>
      <c r="AF381" s="7" t="s">
        <v>3148</v>
      </c>
      <c r="AG381" s="7" t="s">
        <v>435</v>
      </c>
      <c r="AH381" s="7" t="s">
        <v>332</v>
      </c>
      <c r="AI381" s="7"/>
      <c r="AJ381" s="7"/>
      <c r="AK381" s="7"/>
      <c r="AL381" s="7"/>
      <c r="AM381" s="7"/>
      <c r="AN381" s="7"/>
      <c r="AO381" s="7" t="s">
        <v>435</v>
      </c>
      <c r="AP381" s="7" t="s">
        <v>3146</v>
      </c>
      <c r="AQ381" s="7" t="s">
        <v>435</v>
      </c>
      <c r="AR381" s="7" t="s">
        <v>741</v>
      </c>
      <c r="AS381" s="7"/>
      <c r="AT381" s="7"/>
      <c r="AU381" s="7"/>
      <c r="AV381" s="7"/>
      <c r="AW381" s="7" t="s">
        <v>435</v>
      </c>
      <c r="AX381" s="7" t="s">
        <v>3147</v>
      </c>
      <c r="AY381" s="7"/>
      <c r="AZ381" s="7"/>
      <c r="BA381" s="7"/>
      <c r="BB381" s="7"/>
      <c r="BC381" s="7" t="s">
        <v>427</v>
      </c>
      <c r="BD381" s="7" t="s">
        <v>440</v>
      </c>
      <c r="BE381" s="7" t="s">
        <v>127</v>
      </c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</row>
    <row r="382" customFormat="false" ht="15" hidden="false" customHeight="false" outlineLevel="0" collapsed="false">
      <c r="A382" s="7" t="s">
        <v>3149</v>
      </c>
      <c r="B382" s="7" t="s">
        <v>3150</v>
      </c>
      <c r="C382" s="7" t="s">
        <v>3151</v>
      </c>
      <c r="D382" s="7" t="s">
        <v>3152</v>
      </c>
      <c r="E382" s="7" t="s">
        <v>101</v>
      </c>
      <c r="F382" s="7" t="s">
        <v>101</v>
      </c>
      <c r="G382" s="7"/>
      <c r="H382" s="7" t="s">
        <v>102</v>
      </c>
      <c r="I382" s="7" t="s">
        <v>208</v>
      </c>
      <c r="J382" s="7" t="s">
        <v>104</v>
      </c>
      <c r="K382" s="7" t="s">
        <v>105</v>
      </c>
      <c r="L382" s="7" t="s">
        <v>106</v>
      </c>
      <c r="M382" s="7" t="s">
        <v>419</v>
      </c>
      <c r="N382" s="7" t="s">
        <v>3153</v>
      </c>
      <c r="O382" s="7" t="s">
        <v>3153</v>
      </c>
      <c r="P382" s="7" t="s">
        <v>135</v>
      </c>
      <c r="Q382" s="7"/>
      <c r="R382" s="7" t="s">
        <v>109</v>
      </c>
      <c r="S382" s="7" t="s">
        <v>110</v>
      </c>
      <c r="T382" s="7" t="n">
        <v>0.261</v>
      </c>
      <c r="U382" s="7" t="n">
        <v>2</v>
      </c>
      <c r="V382" s="7" t="s">
        <v>3154</v>
      </c>
      <c r="W382" s="7"/>
      <c r="X382" s="7" t="s">
        <v>3155</v>
      </c>
      <c r="Y382" s="7"/>
      <c r="Z382" s="7" t="s">
        <v>3156</v>
      </c>
      <c r="AA382" s="7"/>
      <c r="AB382" s="7"/>
      <c r="AC382" s="7" t="n">
        <v>2</v>
      </c>
      <c r="AD382" s="7" t="s">
        <v>1954</v>
      </c>
      <c r="AE382" s="7"/>
      <c r="AF382" s="7"/>
      <c r="AG382" s="7" t="s">
        <v>1955</v>
      </c>
      <c r="AH382" s="7" t="s">
        <v>1956</v>
      </c>
      <c r="AI382" s="7"/>
      <c r="AJ382" s="7"/>
      <c r="AK382" s="7"/>
      <c r="AL382" s="7"/>
      <c r="AM382" s="7" t="s">
        <v>1955</v>
      </c>
      <c r="AN382" s="7" t="s">
        <v>1957</v>
      </c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 t="s">
        <v>427</v>
      </c>
      <c r="BD382" s="7" t="s">
        <v>440</v>
      </c>
      <c r="BE382" s="7" t="s">
        <v>127</v>
      </c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</row>
    <row r="383" customFormat="false" ht="15" hidden="false" customHeight="false" outlineLevel="0" collapsed="false">
      <c r="A383" s="7" t="s">
        <v>3157</v>
      </c>
      <c r="B383" s="7" t="s">
        <v>3158</v>
      </c>
      <c r="C383" s="7" t="s">
        <v>3159</v>
      </c>
      <c r="D383" s="7" t="s">
        <v>671</v>
      </c>
      <c r="E383" s="7" t="s">
        <v>101</v>
      </c>
      <c r="F383" s="7" t="s">
        <v>101</v>
      </c>
      <c r="G383" s="7"/>
      <c r="H383" s="7" t="s">
        <v>102</v>
      </c>
      <c r="I383" s="7" t="s">
        <v>132</v>
      </c>
      <c r="J383" s="7" t="s">
        <v>104</v>
      </c>
      <c r="K383" s="7" t="s">
        <v>105</v>
      </c>
      <c r="L383" s="7" t="s">
        <v>353</v>
      </c>
      <c r="M383" s="7" t="s">
        <v>3160</v>
      </c>
      <c r="N383" s="7" t="s">
        <v>3161</v>
      </c>
      <c r="O383" s="7"/>
      <c r="P383" s="7" t="s">
        <v>135</v>
      </c>
      <c r="Q383" s="7"/>
      <c r="R383" s="7" t="s">
        <v>135</v>
      </c>
      <c r="S383" s="7" t="s">
        <v>136</v>
      </c>
      <c r="T383" s="7" t="n">
        <v>0.877</v>
      </c>
      <c r="U383" s="7" t="n">
        <v>2</v>
      </c>
      <c r="V383" s="7" t="s">
        <v>90</v>
      </c>
      <c r="W383" s="7"/>
      <c r="X383" s="7"/>
      <c r="Y383" s="7" t="s">
        <v>3161</v>
      </c>
      <c r="Z383" s="7"/>
      <c r="AA383" s="7"/>
      <c r="AB383" s="7"/>
      <c r="AC383" s="7" t="n">
        <v>0</v>
      </c>
      <c r="AD383" s="7" t="s">
        <v>388</v>
      </c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 t="s">
        <v>125</v>
      </c>
      <c r="BD383" s="7"/>
      <c r="BE383" s="7" t="s">
        <v>127</v>
      </c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</row>
    <row r="384" customFormat="false" ht="15" hidden="false" customHeight="false" outlineLevel="0" collapsed="false">
      <c r="A384" s="7" t="s">
        <v>3162</v>
      </c>
      <c r="B384" s="7" t="s">
        <v>3163</v>
      </c>
      <c r="C384" s="7" t="s">
        <v>3164</v>
      </c>
      <c r="D384" s="7" t="s">
        <v>686</v>
      </c>
      <c r="E384" s="7" t="s">
        <v>1966</v>
      </c>
      <c r="F384" s="7" t="s">
        <v>1966</v>
      </c>
      <c r="G384" s="7" t="s">
        <v>3165</v>
      </c>
      <c r="H384" s="7" t="s">
        <v>207</v>
      </c>
      <c r="I384" s="7" t="s">
        <v>158</v>
      </c>
      <c r="J384" s="7" t="s">
        <v>104</v>
      </c>
      <c r="K384" s="7" t="s">
        <v>105</v>
      </c>
      <c r="L384" s="7" t="s">
        <v>106</v>
      </c>
      <c r="M384" s="7" t="s">
        <v>419</v>
      </c>
      <c r="N384" s="7" t="s">
        <v>3166</v>
      </c>
      <c r="O384" s="7" t="s">
        <v>3166</v>
      </c>
      <c r="P384" s="7" t="s">
        <v>135</v>
      </c>
      <c r="Q384" s="7"/>
      <c r="R384" s="7" t="s">
        <v>109</v>
      </c>
      <c r="S384" s="7" t="s">
        <v>110</v>
      </c>
      <c r="T384" s="7" t="n">
        <v>0.218</v>
      </c>
      <c r="U384" s="7" t="n">
        <v>2</v>
      </c>
      <c r="V384" s="7" t="s">
        <v>90</v>
      </c>
      <c r="W384" s="7"/>
      <c r="X384" s="7" t="s">
        <v>841</v>
      </c>
      <c r="Y384" s="7" t="s">
        <v>3167</v>
      </c>
      <c r="Z384" s="7"/>
      <c r="AA384" s="7"/>
      <c r="AB384" s="7"/>
      <c r="AC384" s="7" t="n">
        <v>0</v>
      </c>
      <c r="AD384" s="7" t="s">
        <v>388</v>
      </c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 t="s">
        <v>427</v>
      </c>
      <c r="BD384" s="7" t="s">
        <v>3168</v>
      </c>
      <c r="BE384" s="7" t="s">
        <v>127</v>
      </c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</row>
    <row r="385" customFormat="false" ht="15" hidden="false" customHeight="false" outlineLevel="0" collapsed="false">
      <c r="A385" s="7" t="s">
        <v>3169</v>
      </c>
      <c r="B385" s="7" t="s">
        <v>3170</v>
      </c>
      <c r="C385" s="7" t="s">
        <v>3171</v>
      </c>
      <c r="D385" s="7" t="s">
        <v>3172</v>
      </c>
      <c r="E385" s="7" t="s">
        <v>101</v>
      </c>
      <c r="F385" s="7" t="s">
        <v>82</v>
      </c>
      <c r="G385" s="7" t="s">
        <v>3173</v>
      </c>
      <c r="H385" s="7" t="s">
        <v>102</v>
      </c>
      <c r="I385" s="7" t="s">
        <v>132</v>
      </c>
      <c r="J385" s="7" t="s">
        <v>104</v>
      </c>
      <c r="K385" s="7" t="s">
        <v>105</v>
      </c>
      <c r="L385" s="7" t="s">
        <v>106</v>
      </c>
      <c r="M385" s="7" t="s">
        <v>3174</v>
      </c>
      <c r="N385" s="7" t="s">
        <v>3175</v>
      </c>
      <c r="O385" s="7" t="s">
        <v>3176</v>
      </c>
      <c r="P385" s="7" t="s">
        <v>135</v>
      </c>
      <c r="Q385" s="7"/>
      <c r="R385" s="7" t="s">
        <v>84</v>
      </c>
      <c r="S385" s="7" t="s">
        <v>238</v>
      </c>
      <c r="T385" s="7" t="n">
        <v>0.728</v>
      </c>
      <c r="U385" s="7" t="n">
        <v>2</v>
      </c>
      <c r="V385" s="7" t="s">
        <v>137</v>
      </c>
      <c r="W385" s="7" t="s">
        <v>3177</v>
      </c>
      <c r="X385" s="7" t="s">
        <v>139</v>
      </c>
      <c r="Y385" s="7" t="s">
        <v>3175</v>
      </c>
      <c r="Z385" s="7" t="s">
        <v>3178</v>
      </c>
      <c r="AA385" s="7"/>
      <c r="AB385" s="7"/>
      <c r="AC385" s="7" t="n">
        <v>12</v>
      </c>
      <c r="AD385" s="7"/>
      <c r="AE385" s="7" t="s">
        <v>248</v>
      </c>
      <c r="AF385" s="7" t="s">
        <v>3179</v>
      </c>
      <c r="AG385" s="7" t="s">
        <v>115</v>
      </c>
      <c r="AH385" s="7" t="s">
        <v>116</v>
      </c>
      <c r="AI385" s="7" t="s">
        <v>248</v>
      </c>
      <c r="AJ385" s="7" t="s">
        <v>3180</v>
      </c>
      <c r="AK385" s="7" t="s">
        <v>248</v>
      </c>
      <c r="AL385" s="7" t="s">
        <v>485</v>
      </c>
      <c r="AM385" s="7" t="s">
        <v>115</v>
      </c>
      <c r="AN385" s="7" t="s">
        <v>116</v>
      </c>
      <c r="AO385" s="7" t="s">
        <v>265</v>
      </c>
      <c r="AP385" s="7" t="s">
        <v>3181</v>
      </c>
      <c r="AQ385" s="7" t="s">
        <v>265</v>
      </c>
      <c r="AR385" s="7" t="s">
        <v>82</v>
      </c>
      <c r="AS385" s="7" t="s">
        <v>265</v>
      </c>
      <c r="AT385" s="7" t="s">
        <v>122</v>
      </c>
      <c r="AU385" s="7" t="s">
        <v>265</v>
      </c>
      <c r="AV385" s="7" t="s">
        <v>3182</v>
      </c>
      <c r="AW385" s="7" t="s">
        <v>248</v>
      </c>
      <c r="AX385" s="7" t="s">
        <v>412</v>
      </c>
      <c r="AY385" s="7" t="s">
        <v>265</v>
      </c>
      <c r="AZ385" s="7" t="s">
        <v>124</v>
      </c>
      <c r="BA385" s="7" t="s">
        <v>2103</v>
      </c>
      <c r="BB385" s="7" t="s">
        <v>3183</v>
      </c>
      <c r="BC385" s="7" t="s">
        <v>151</v>
      </c>
      <c r="BD385" s="7" t="s">
        <v>220</v>
      </c>
      <c r="BE385" s="7" t="s">
        <v>127</v>
      </c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</row>
    <row r="386" customFormat="false" ht="15" hidden="false" customHeight="false" outlineLevel="0" collapsed="false">
      <c r="A386" s="7" t="s">
        <v>3184</v>
      </c>
      <c r="B386" s="7" t="s">
        <v>3185</v>
      </c>
      <c r="C386" s="7" t="s">
        <v>3186</v>
      </c>
      <c r="D386" s="7" t="s">
        <v>1904</v>
      </c>
      <c r="E386" s="7" t="s">
        <v>101</v>
      </c>
      <c r="F386" s="7" t="s">
        <v>101</v>
      </c>
      <c r="G386" s="7"/>
      <c r="H386" s="7" t="s">
        <v>102</v>
      </c>
      <c r="I386" s="7" t="s">
        <v>132</v>
      </c>
      <c r="J386" s="7" t="s">
        <v>104</v>
      </c>
      <c r="K386" s="7" t="s">
        <v>105</v>
      </c>
      <c r="L386" s="7" t="s">
        <v>106</v>
      </c>
      <c r="M386" s="7"/>
      <c r="N386" s="7" t="s">
        <v>3187</v>
      </c>
      <c r="O386" s="7" t="s">
        <v>3187</v>
      </c>
      <c r="P386" s="7" t="s">
        <v>135</v>
      </c>
      <c r="Q386" s="7"/>
      <c r="R386" s="7" t="s">
        <v>109</v>
      </c>
      <c r="S386" s="7" t="s">
        <v>110</v>
      </c>
      <c r="T386" s="7" t="n">
        <v>0.742</v>
      </c>
      <c r="U386" s="7" t="n">
        <v>2</v>
      </c>
      <c r="V386" s="7" t="s">
        <v>90</v>
      </c>
      <c r="W386" s="7"/>
      <c r="X386" s="7"/>
      <c r="Y386" s="7"/>
      <c r="Z386" s="7"/>
      <c r="AA386" s="7"/>
      <c r="AB386" s="7"/>
      <c r="AC386" s="7" t="n">
        <v>0</v>
      </c>
      <c r="AD386" s="7" t="s">
        <v>388</v>
      </c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 t="s">
        <v>440</v>
      </c>
      <c r="BE386" s="7" t="s">
        <v>127</v>
      </c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</row>
    <row r="387" customFormat="false" ht="15" hidden="false" customHeight="false" outlineLevel="0" collapsed="false">
      <c r="A387" s="7" t="s">
        <v>3188</v>
      </c>
      <c r="B387" s="7" t="s">
        <v>3189</v>
      </c>
      <c r="C387" s="7" t="s">
        <v>3190</v>
      </c>
      <c r="D387" s="7" t="s">
        <v>3191</v>
      </c>
      <c r="E387" s="7" t="s">
        <v>101</v>
      </c>
      <c r="F387" s="7" t="s">
        <v>101</v>
      </c>
      <c r="G387" s="7"/>
      <c r="H387" s="7" t="s">
        <v>102</v>
      </c>
      <c r="I387" s="7" t="s">
        <v>132</v>
      </c>
      <c r="J387" s="7" t="s">
        <v>104</v>
      </c>
      <c r="K387" s="7" t="s">
        <v>105</v>
      </c>
      <c r="L387" s="7" t="s">
        <v>106</v>
      </c>
      <c r="M387" s="7" t="s">
        <v>3192</v>
      </c>
      <c r="N387" s="7" t="s">
        <v>3193</v>
      </c>
      <c r="O387" s="7" t="s">
        <v>3193</v>
      </c>
      <c r="P387" s="7" t="s">
        <v>135</v>
      </c>
      <c r="Q387" s="7"/>
      <c r="R387" s="7" t="s">
        <v>109</v>
      </c>
      <c r="S387" s="7" t="s">
        <v>110</v>
      </c>
      <c r="T387" s="7" t="n">
        <v>0.335</v>
      </c>
      <c r="U387" s="7" t="n">
        <v>2</v>
      </c>
      <c r="V387" s="7" t="s">
        <v>90</v>
      </c>
      <c r="W387" s="7"/>
      <c r="X387" s="7"/>
      <c r="Y387" s="7" t="s">
        <v>3194</v>
      </c>
      <c r="Z387" s="7"/>
      <c r="AA387" s="7"/>
      <c r="AB387" s="7"/>
      <c r="AC387" s="7" t="n">
        <v>0</v>
      </c>
      <c r="AD387" s="7" t="s">
        <v>388</v>
      </c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 t="s">
        <v>219</v>
      </c>
      <c r="BD387" s="7"/>
      <c r="BE387" s="7" t="s">
        <v>127</v>
      </c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</row>
    <row r="388" customFormat="false" ht="15" hidden="false" customHeight="false" outlineLevel="0" collapsed="false">
      <c r="A388" s="7" t="s">
        <v>3195</v>
      </c>
      <c r="B388" s="7" t="s">
        <v>3196</v>
      </c>
      <c r="C388" s="7" t="s">
        <v>3197</v>
      </c>
      <c r="D388" s="7" t="s">
        <v>3198</v>
      </c>
      <c r="E388" s="7" t="s">
        <v>82</v>
      </c>
      <c r="F388" s="7" t="s">
        <v>82</v>
      </c>
      <c r="G388" s="7"/>
      <c r="H388" s="7"/>
      <c r="I388" s="7" t="s">
        <v>132</v>
      </c>
      <c r="J388" s="7" t="s">
        <v>104</v>
      </c>
      <c r="K388" s="7" t="s">
        <v>105</v>
      </c>
      <c r="L388" s="7" t="s">
        <v>106</v>
      </c>
      <c r="M388" s="7"/>
      <c r="N388" s="7" t="s">
        <v>3199</v>
      </c>
      <c r="O388" s="7" t="s">
        <v>3199</v>
      </c>
      <c r="P388" s="7" t="s">
        <v>135</v>
      </c>
      <c r="Q388" s="7"/>
      <c r="R388" s="7" t="s">
        <v>109</v>
      </c>
      <c r="S388" s="7" t="s">
        <v>110</v>
      </c>
      <c r="T388" s="7" t="n">
        <v>0.827</v>
      </c>
      <c r="U388" s="7" t="n">
        <v>2</v>
      </c>
      <c r="V388" s="7" t="s">
        <v>90</v>
      </c>
      <c r="W388" s="7"/>
      <c r="X388" s="7"/>
      <c r="Y388" s="7" t="s">
        <v>3199</v>
      </c>
      <c r="Z388" s="7"/>
      <c r="AA388" s="7"/>
      <c r="AB388" s="7"/>
      <c r="AC388" s="7" t="n">
        <v>12</v>
      </c>
      <c r="AD388" s="7"/>
      <c r="AE388" s="7" t="s">
        <v>248</v>
      </c>
      <c r="AF388" s="7" t="s">
        <v>3200</v>
      </c>
      <c r="AG388" s="7" t="s">
        <v>2103</v>
      </c>
      <c r="AH388" s="7" t="s">
        <v>145</v>
      </c>
      <c r="AI388" s="7" t="s">
        <v>2103</v>
      </c>
      <c r="AJ388" s="7" t="s">
        <v>3201</v>
      </c>
      <c r="AK388" s="7" t="s">
        <v>2103</v>
      </c>
      <c r="AL388" s="7" t="s">
        <v>3202</v>
      </c>
      <c r="AM388" s="7" t="s">
        <v>115</v>
      </c>
      <c r="AN388" s="7" t="s">
        <v>116</v>
      </c>
      <c r="AO388" s="7" t="s">
        <v>248</v>
      </c>
      <c r="AP388" s="7" t="s">
        <v>3203</v>
      </c>
      <c r="AQ388" s="7" t="s">
        <v>248</v>
      </c>
      <c r="AR388" s="7" t="s">
        <v>410</v>
      </c>
      <c r="AS388" s="7" t="s">
        <v>248</v>
      </c>
      <c r="AT388" s="7" t="s">
        <v>250</v>
      </c>
      <c r="AU388" s="7" t="s">
        <v>248</v>
      </c>
      <c r="AV388" s="7" t="s">
        <v>3204</v>
      </c>
      <c r="AW388" s="7" t="s">
        <v>248</v>
      </c>
      <c r="AX388" s="7" t="s">
        <v>326</v>
      </c>
      <c r="AY388" s="7" t="s">
        <v>248</v>
      </c>
      <c r="AZ388" s="7" t="s">
        <v>2701</v>
      </c>
      <c r="BA388" s="7" t="s">
        <v>2103</v>
      </c>
      <c r="BB388" s="7" t="s">
        <v>145</v>
      </c>
      <c r="BC388" s="7"/>
      <c r="BD388" s="7" t="s">
        <v>608</v>
      </c>
      <c r="BE388" s="7" t="s">
        <v>127</v>
      </c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</row>
    <row r="389" customFormat="false" ht="15" hidden="false" customHeight="false" outlineLevel="0" collapsed="false">
      <c r="A389" s="7" t="s">
        <v>3205</v>
      </c>
      <c r="B389" s="7" t="s">
        <v>3206</v>
      </c>
      <c r="C389" s="7" t="s">
        <v>3207</v>
      </c>
      <c r="D389" s="7" t="s">
        <v>3208</v>
      </c>
      <c r="E389" s="7" t="s">
        <v>101</v>
      </c>
      <c r="F389" s="7" t="s">
        <v>101</v>
      </c>
      <c r="G389" s="7"/>
      <c r="H389" s="7" t="s">
        <v>102</v>
      </c>
      <c r="I389" s="7" t="s">
        <v>132</v>
      </c>
      <c r="J389" s="7" t="s">
        <v>104</v>
      </c>
      <c r="K389" s="7" t="s">
        <v>105</v>
      </c>
      <c r="L389" s="7" t="s">
        <v>106</v>
      </c>
      <c r="M389" s="7"/>
      <c r="N389" s="7" t="s">
        <v>3209</v>
      </c>
      <c r="O389" s="7" t="s">
        <v>3209</v>
      </c>
      <c r="P389" s="7" t="s">
        <v>109</v>
      </c>
      <c r="Q389" s="7"/>
      <c r="R389" s="7" t="s">
        <v>109</v>
      </c>
      <c r="S389" s="7" t="s">
        <v>110</v>
      </c>
      <c r="T389" s="7" t="n">
        <v>0.859</v>
      </c>
      <c r="U389" s="7" t="n">
        <v>2</v>
      </c>
      <c r="V389" s="7" t="s">
        <v>2598</v>
      </c>
      <c r="W389" s="7"/>
      <c r="X389" s="7" t="s">
        <v>3210</v>
      </c>
      <c r="Y389" s="7" t="s">
        <v>3209</v>
      </c>
      <c r="Z389" s="7" t="s">
        <v>3211</v>
      </c>
      <c r="AA389" s="7"/>
      <c r="AB389" s="7"/>
      <c r="AC389" s="7" t="n">
        <v>0</v>
      </c>
      <c r="AD389" s="7" t="s">
        <v>388</v>
      </c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 t="s">
        <v>127</v>
      </c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</row>
    <row r="390" customFormat="false" ht="15" hidden="false" customHeight="false" outlineLevel="0" collapsed="false">
      <c r="A390" s="7" t="s">
        <v>3212</v>
      </c>
      <c r="B390" s="7" t="s">
        <v>3213</v>
      </c>
      <c r="C390" s="7" t="s">
        <v>3214</v>
      </c>
      <c r="D390" s="7" t="s">
        <v>3215</v>
      </c>
      <c r="E390" s="7" t="s">
        <v>431</v>
      </c>
      <c r="F390" s="7" t="s">
        <v>431</v>
      </c>
      <c r="G390" s="7"/>
      <c r="H390" s="7" t="s">
        <v>102</v>
      </c>
      <c r="I390" s="7" t="s">
        <v>132</v>
      </c>
      <c r="J390" s="7" t="s">
        <v>104</v>
      </c>
      <c r="K390" s="7" t="s">
        <v>105</v>
      </c>
      <c r="L390" s="7" t="s">
        <v>106</v>
      </c>
      <c r="M390" s="7" t="s">
        <v>419</v>
      </c>
      <c r="N390" s="7" t="s">
        <v>3216</v>
      </c>
      <c r="O390" s="7" t="s">
        <v>3216</v>
      </c>
      <c r="P390" s="7" t="s">
        <v>135</v>
      </c>
      <c r="Q390" s="7"/>
      <c r="R390" s="7" t="s">
        <v>109</v>
      </c>
      <c r="S390" s="7" t="s">
        <v>110</v>
      </c>
      <c r="T390" s="7" t="n">
        <v>0.681</v>
      </c>
      <c r="U390" s="7" t="n">
        <v>2</v>
      </c>
      <c r="V390" s="7" t="s">
        <v>90</v>
      </c>
      <c r="W390" s="7"/>
      <c r="X390" s="7" t="s">
        <v>1952</v>
      </c>
      <c r="Y390" s="7" t="s">
        <v>3216</v>
      </c>
      <c r="Z390" s="7" t="s">
        <v>1953</v>
      </c>
      <c r="AA390" s="7"/>
      <c r="AB390" s="7"/>
      <c r="AC390" s="7" t="n">
        <v>5</v>
      </c>
      <c r="AD390" s="7" t="s">
        <v>743</v>
      </c>
      <c r="AE390" s="7" t="s">
        <v>119</v>
      </c>
      <c r="AF390" s="7" t="s">
        <v>3217</v>
      </c>
      <c r="AG390" s="7" t="s">
        <v>119</v>
      </c>
      <c r="AH390" s="7" t="s">
        <v>1952</v>
      </c>
      <c r="AI390" s="7"/>
      <c r="AJ390" s="7"/>
      <c r="AK390" s="7"/>
      <c r="AL390" s="7"/>
      <c r="AM390" s="7"/>
      <c r="AN390" s="7"/>
      <c r="AO390" s="7" t="s">
        <v>119</v>
      </c>
      <c r="AP390" s="7" t="s">
        <v>3215</v>
      </c>
      <c r="AQ390" s="7" t="s">
        <v>119</v>
      </c>
      <c r="AR390" s="7" t="s">
        <v>431</v>
      </c>
      <c r="AS390" s="7"/>
      <c r="AT390" s="7"/>
      <c r="AU390" s="7"/>
      <c r="AV390" s="7"/>
      <c r="AW390" s="7" t="s">
        <v>119</v>
      </c>
      <c r="AX390" s="7" t="s">
        <v>3216</v>
      </c>
      <c r="AY390" s="7"/>
      <c r="AZ390" s="7"/>
      <c r="BA390" s="7"/>
      <c r="BB390" s="7"/>
      <c r="BC390" s="7" t="s">
        <v>427</v>
      </c>
      <c r="BD390" s="7" t="s">
        <v>440</v>
      </c>
      <c r="BE390" s="7" t="s">
        <v>127</v>
      </c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</row>
    <row r="391" customFormat="false" ht="15" hidden="false" customHeight="false" outlineLevel="0" collapsed="false">
      <c r="A391" s="7" t="s">
        <v>3218</v>
      </c>
      <c r="B391" s="7" t="s">
        <v>3219</v>
      </c>
      <c r="C391" s="7" t="s">
        <v>3220</v>
      </c>
      <c r="D391" s="7" t="s">
        <v>3221</v>
      </c>
      <c r="E391" s="7" t="s">
        <v>82</v>
      </c>
      <c r="F391" s="7" t="s">
        <v>82</v>
      </c>
      <c r="G391" s="7"/>
      <c r="H391" s="7"/>
      <c r="I391" s="7" t="s">
        <v>132</v>
      </c>
      <c r="J391" s="7" t="s">
        <v>104</v>
      </c>
      <c r="K391" s="7" t="s">
        <v>105</v>
      </c>
      <c r="L391" s="7" t="s">
        <v>106</v>
      </c>
      <c r="M391" s="7"/>
      <c r="N391" s="7" t="s">
        <v>3222</v>
      </c>
      <c r="O391" s="7" t="s">
        <v>3222</v>
      </c>
      <c r="P391" s="7" t="s">
        <v>135</v>
      </c>
      <c r="Q391" s="7"/>
      <c r="R391" s="7" t="s">
        <v>109</v>
      </c>
      <c r="S391" s="7" t="s">
        <v>110</v>
      </c>
      <c r="T391" s="7" t="n">
        <v>0.369</v>
      </c>
      <c r="U391" s="7" t="n">
        <v>2</v>
      </c>
      <c r="V391" s="7" t="s">
        <v>90</v>
      </c>
      <c r="W391" s="7"/>
      <c r="X391" s="7"/>
      <c r="Y391" s="7" t="s">
        <v>3222</v>
      </c>
      <c r="Z391" s="7"/>
      <c r="AA391" s="7"/>
      <c r="AB391" s="7"/>
      <c r="AC391" s="7" t="n">
        <v>7</v>
      </c>
      <c r="AD391" s="7" t="s">
        <v>3223</v>
      </c>
      <c r="AE391" s="7" t="s">
        <v>248</v>
      </c>
      <c r="AF391" s="7" t="s">
        <v>3224</v>
      </c>
      <c r="AG391" s="7" t="s">
        <v>3225</v>
      </c>
      <c r="AH391" s="7" t="s">
        <v>3226</v>
      </c>
      <c r="AI391" s="7"/>
      <c r="AJ391" s="7"/>
      <c r="AK391" s="7" t="s">
        <v>248</v>
      </c>
      <c r="AL391" s="7" t="s">
        <v>338</v>
      </c>
      <c r="AM391" s="7" t="s">
        <v>248</v>
      </c>
      <c r="AN391" s="7" t="s">
        <v>3227</v>
      </c>
      <c r="AO391" s="7" t="s">
        <v>248</v>
      </c>
      <c r="AP391" s="7" t="s">
        <v>3228</v>
      </c>
      <c r="AQ391" s="7" t="s">
        <v>3225</v>
      </c>
      <c r="AR391" s="7" t="s">
        <v>82</v>
      </c>
      <c r="AS391" s="7"/>
      <c r="AT391" s="7"/>
      <c r="AU391" s="7"/>
      <c r="AV391" s="7"/>
      <c r="AW391" s="7" t="s">
        <v>3225</v>
      </c>
      <c r="AX391" s="7" t="s">
        <v>3222</v>
      </c>
      <c r="AY391" s="7"/>
      <c r="AZ391" s="7"/>
      <c r="BA391" s="7"/>
      <c r="BB391" s="7"/>
      <c r="BC391" s="7"/>
      <c r="BD391" s="7" t="s">
        <v>608</v>
      </c>
      <c r="BE391" s="7" t="s">
        <v>127</v>
      </c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</row>
    <row r="392" customFormat="false" ht="15" hidden="false" customHeight="false" outlineLevel="0" collapsed="false">
      <c r="A392" s="7" t="s">
        <v>3229</v>
      </c>
      <c r="B392" s="7" t="s">
        <v>3230</v>
      </c>
      <c r="C392" s="7" t="s">
        <v>3231</v>
      </c>
      <c r="D392" s="7" t="s">
        <v>3232</v>
      </c>
      <c r="E392" s="7" t="s">
        <v>82</v>
      </c>
      <c r="F392" s="7" t="s">
        <v>82</v>
      </c>
      <c r="G392" s="7" t="s">
        <v>83</v>
      </c>
      <c r="H392" s="7"/>
      <c r="I392" s="7" t="s">
        <v>132</v>
      </c>
      <c r="J392" s="7" t="s">
        <v>104</v>
      </c>
      <c r="K392" s="7" t="s">
        <v>105</v>
      </c>
      <c r="L392" s="7" t="s">
        <v>106</v>
      </c>
      <c r="M392" s="7"/>
      <c r="N392" s="7" t="s">
        <v>3176</v>
      </c>
      <c r="O392" s="7" t="s">
        <v>3233</v>
      </c>
      <c r="P392" s="7" t="s">
        <v>135</v>
      </c>
      <c r="Q392" s="7"/>
      <c r="R392" s="7" t="s">
        <v>109</v>
      </c>
      <c r="S392" s="7" t="s">
        <v>110</v>
      </c>
      <c r="T392" s="7" t="n">
        <v>0.87</v>
      </c>
      <c r="U392" s="7" t="n">
        <v>2</v>
      </c>
      <c r="V392" s="7" t="s">
        <v>90</v>
      </c>
      <c r="W392" s="7"/>
      <c r="X392" s="7"/>
      <c r="Y392" s="7" t="s">
        <v>3176</v>
      </c>
      <c r="Z392" s="7"/>
      <c r="AA392" s="7"/>
      <c r="AB392" s="7"/>
      <c r="AC392" s="7" t="n">
        <v>10</v>
      </c>
      <c r="AD392" s="7" t="s">
        <v>359</v>
      </c>
      <c r="AE392" s="7" t="s">
        <v>248</v>
      </c>
      <c r="AF392" s="7" t="s">
        <v>3179</v>
      </c>
      <c r="AG392" s="7" t="s">
        <v>115</v>
      </c>
      <c r="AH392" s="7" t="s">
        <v>116</v>
      </c>
      <c r="AI392" s="7"/>
      <c r="AJ392" s="7"/>
      <c r="AK392" s="7"/>
      <c r="AL392" s="7"/>
      <c r="AM392" s="7" t="s">
        <v>115</v>
      </c>
      <c r="AN392" s="7" t="s">
        <v>116</v>
      </c>
      <c r="AO392" s="7" t="s">
        <v>248</v>
      </c>
      <c r="AP392" s="7" t="s">
        <v>3181</v>
      </c>
      <c r="AQ392" s="7" t="s">
        <v>3225</v>
      </c>
      <c r="AR392" s="7" t="s">
        <v>82</v>
      </c>
      <c r="AS392" s="7" t="s">
        <v>248</v>
      </c>
      <c r="AT392" s="7" t="s">
        <v>122</v>
      </c>
      <c r="AU392" s="7" t="s">
        <v>248</v>
      </c>
      <c r="AV392" s="7" t="s">
        <v>3182</v>
      </c>
      <c r="AW392" s="7" t="s">
        <v>248</v>
      </c>
      <c r="AX392" s="7" t="s">
        <v>273</v>
      </c>
      <c r="AY392" s="7" t="s">
        <v>248</v>
      </c>
      <c r="AZ392" s="7" t="s">
        <v>124</v>
      </c>
      <c r="BA392" s="7" t="s">
        <v>248</v>
      </c>
      <c r="BB392" s="7" t="s">
        <v>546</v>
      </c>
      <c r="BC392" s="7"/>
      <c r="BD392" s="7" t="s">
        <v>220</v>
      </c>
      <c r="BE392" s="7" t="s">
        <v>127</v>
      </c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</row>
    <row r="393" customFormat="false" ht="15" hidden="false" customHeight="false" outlineLevel="0" collapsed="false">
      <c r="A393" s="7" t="s">
        <v>3234</v>
      </c>
      <c r="B393" s="7" t="s">
        <v>3235</v>
      </c>
      <c r="C393" s="7" t="s">
        <v>3236</v>
      </c>
      <c r="D393" s="7" t="s">
        <v>1600</v>
      </c>
      <c r="E393" s="7" t="s">
        <v>101</v>
      </c>
      <c r="F393" s="7" t="s">
        <v>82</v>
      </c>
      <c r="G393" s="7" t="s">
        <v>1601</v>
      </c>
      <c r="H393" s="7" t="s">
        <v>102</v>
      </c>
      <c r="I393" s="7" t="s">
        <v>132</v>
      </c>
      <c r="J393" s="7" t="s">
        <v>104</v>
      </c>
      <c r="K393" s="7" t="s">
        <v>105</v>
      </c>
      <c r="L393" s="7" t="s">
        <v>106</v>
      </c>
      <c r="M393" s="7" t="s">
        <v>3237</v>
      </c>
      <c r="N393" s="7" t="s">
        <v>3238</v>
      </c>
      <c r="O393" s="7" t="s">
        <v>3238</v>
      </c>
      <c r="P393" s="7" t="s">
        <v>135</v>
      </c>
      <c r="Q393" s="7"/>
      <c r="R393" s="7" t="s">
        <v>109</v>
      </c>
      <c r="S393" s="7" t="s">
        <v>110</v>
      </c>
      <c r="T393" s="7" t="n">
        <v>0.263</v>
      </c>
      <c r="U393" s="7" t="n">
        <v>2</v>
      </c>
      <c r="V393" s="7" t="s">
        <v>90</v>
      </c>
      <c r="W393" s="7"/>
      <c r="X393" s="7"/>
      <c r="Y393" s="7" t="s">
        <v>3238</v>
      </c>
      <c r="Z393" s="7"/>
      <c r="AA393" s="7"/>
      <c r="AB393" s="7"/>
      <c r="AC393" s="7" t="n">
        <v>8</v>
      </c>
      <c r="AD393" s="7" t="s">
        <v>3239</v>
      </c>
      <c r="AE393" s="7" t="s">
        <v>265</v>
      </c>
      <c r="AF393" s="7" t="s">
        <v>3240</v>
      </c>
      <c r="AG393" s="7"/>
      <c r="AH393" s="7"/>
      <c r="AI393" s="7" t="s">
        <v>265</v>
      </c>
      <c r="AJ393" s="7" t="s">
        <v>3241</v>
      </c>
      <c r="AK393" s="7" t="s">
        <v>265</v>
      </c>
      <c r="AL393" s="7" t="s">
        <v>3242</v>
      </c>
      <c r="AM393" s="7"/>
      <c r="AN393" s="7"/>
      <c r="AO393" s="7" t="s">
        <v>265</v>
      </c>
      <c r="AP393" s="7" t="s">
        <v>3243</v>
      </c>
      <c r="AQ393" s="7" t="s">
        <v>265</v>
      </c>
      <c r="AR393" s="7" t="s">
        <v>82</v>
      </c>
      <c r="AS393" s="7" t="s">
        <v>265</v>
      </c>
      <c r="AT393" s="7" t="s">
        <v>216</v>
      </c>
      <c r="AU393" s="7" t="s">
        <v>248</v>
      </c>
      <c r="AV393" s="7" t="s">
        <v>314</v>
      </c>
      <c r="AW393" s="7" t="s">
        <v>248</v>
      </c>
      <c r="AX393" s="7" t="s">
        <v>326</v>
      </c>
      <c r="AY393" s="7"/>
      <c r="AZ393" s="7"/>
      <c r="BA393" s="7"/>
      <c r="BB393" s="7"/>
      <c r="BC393" s="7" t="s">
        <v>219</v>
      </c>
      <c r="BD393" s="7" t="s">
        <v>1606</v>
      </c>
      <c r="BE393" s="7" t="s">
        <v>127</v>
      </c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</row>
    <row r="394" customFormat="false" ht="15" hidden="false" customHeight="false" outlineLevel="0" collapsed="false">
      <c r="A394" s="7" t="s">
        <v>3244</v>
      </c>
      <c r="B394" s="7" t="s">
        <v>3245</v>
      </c>
      <c r="C394" s="7" t="s">
        <v>3246</v>
      </c>
      <c r="D394" s="7" t="s">
        <v>3247</v>
      </c>
      <c r="E394" s="7" t="s">
        <v>82</v>
      </c>
      <c r="F394" s="7" t="s">
        <v>82</v>
      </c>
      <c r="G394" s="7" t="s">
        <v>3248</v>
      </c>
      <c r="H394" s="7" t="s">
        <v>102</v>
      </c>
      <c r="I394" s="7" t="s">
        <v>158</v>
      </c>
      <c r="J394" s="7" t="s">
        <v>104</v>
      </c>
      <c r="K394" s="7" t="s">
        <v>105</v>
      </c>
      <c r="L394" s="7" t="s">
        <v>106</v>
      </c>
      <c r="M394" s="7"/>
      <c r="N394" s="7" t="s">
        <v>3249</v>
      </c>
      <c r="O394" s="7" t="s">
        <v>3249</v>
      </c>
      <c r="P394" s="7" t="s">
        <v>84</v>
      </c>
      <c r="Q394" s="7"/>
      <c r="R394" s="7" t="s">
        <v>109</v>
      </c>
      <c r="S394" s="7" t="s">
        <v>110</v>
      </c>
      <c r="T394" s="7" t="n">
        <v>0.657</v>
      </c>
      <c r="U394" s="7" t="n">
        <v>2</v>
      </c>
      <c r="V394" s="7" t="s">
        <v>1973</v>
      </c>
      <c r="W394" s="7"/>
      <c r="X394" s="7" t="s">
        <v>3250</v>
      </c>
      <c r="Y394" s="7" t="s">
        <v>3249</v>
      </c>
      <c r="Z394" s="7" t="s">
        <v>3251</v>
      </c>
      <c r="AA394" s="7"/>
      <c r="AB394" s="7"/>
      <c r="AC394" s="7" t="n">
        <v>6</v>
      </c>
      <c r="AD394" s="7" t="s">
        <v>1235</v>
      </c>
      <c r="AE394" s="7" t="s">
        <v>744</v>
      </c>
      <c r="AF394" s="7" t="s">
        <v>3252</v>
      </c>
      <c r="AG394" s="7" t="s">
        <v>744</v>
      </c>
      <c r="AH394" s="7" t="s">
        <v>3253</v>
      </c>
      <c r="AI394" s="7"/>
      <c r="AJ394" s="7"/>
      <c r="AK394" s="7"/>
      <c r="AL394" s="7"/>
      <c r="AM394" s="7" t="s">
        <v>744</v>
      </c>
      <c r="AN394" s="7" t="s">
        <v>3254</v>
      </c>
      <c r="AO394" s="7" t="s">
        <v>744</v>
      </c>
      <c r="AP394" s="7" t="s">
        <v>3255</v>
      </c>
      <c r="AQ394" s="7" t="s">
        <v>744</v>
      </c>
      <c r="AR394" s="7" t="s">
        <v>82</v>
      </c>
      <c r="AS394" s="7"/>
      <c r="AT394" s="7"/>
      <c r="AU394" s="7"/>
      <c r="AV394" s="7"/>
      <c r="AW394" s="7" t="s">
        <v>744</v>
      </c>
      <c r="AX394" s="7" t="s">
        <v>3249</v>
      </c>
      <c r="AY394" s="7"/>
      <c r="AZ394" s="7"/>
      <c r="BA394" s="7"/>
      <c r="BB394" s="7"/>
      <c r="BC394" s="7"/>
      <c r="BD394" s="7"/>
      <c r="BE394" s="7" t="s">
        <v>127</v>
      </c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</row>
    <row r="395" customFormat="false" ht="15" hidden="false" customHeight="false" outlineLevel="0" collapsed="false">
      <c r="A395" s="7" t="s">
        <v>3256</v>
      </c>
      <c r="B395" s="7" t="s">
        <v>3257</v>
      </c>
      <c r="C395" s="7" t="s">
        <v>3258</v>
      </c>
      <c r="D395" s="7" t="s">
        <v>2037</v>
      </c>
      <c r="E395" s="7" t="s">
        <v>101</v>
      </c>
      <c r="F395" s="7" t="s">
        <v>156</v>
      </c>
      <c r="G395" s="7"/>
      <c r="H395" s="7" t="s">
        <v>157</v>
      </c>
      <c r="I395" s="7" t="s">
        <v>158</v>
      </c>
      <c r="J395" s="7" t="s">
        <v>159</v>
      </c>
      <c r="K395" s="7" t="s">
        <v>105</v>
      </c>
      <c r="L395" s="7" t="s">
        <v>353</v>
      </c>
      <c r="M395" s="7" t="s">
        <v>3259</v>
      </c>
      <c r="N395" s="7" t="s">
        <v>3260</v>
      </c>
      <c r="O395" s="7" t="s">
        <v>3261</v>
      </c>
      <c r="P395" s="7" t="s">
        <v>135</v>
      </c>
      <c r="Q395" s="7"/>
      <c r="R395" s="7" t="s">
        <v>84</v>
      </c>
      <c r="S395" s="7" t="s">
        <v>238</v>
      </c>
      <c r="T395" s="7" t="n">
        <v>0.565</v>
      </c>
      <c r="U395" s="7" t="n">
        <v>2</v>
      </c>
      <c r="V395" s="7" t="s">
        <v>90</v>
      </c>
      <c r="W395" s="7" t="s">
        <v>3262</v>
      </c>
      <c r="X395" s="7" t="s">
        <v>3263</v>
      </c>
      <c r="Y395" s="7" t="s">
        <v>3260</v>
      </c>
      <c r="Z395" s="7" t="s">
        <v>3264</v>
      </c>
      <c r="AA395" s="7"/>
      <c r="AB395" s="7"/>
      <c r="AC395" s="7" t="n">
        <v>12</v>
      </c>
      <c r="AD395" s="7"/>
      <c r="AE395" s="7" t="s">
        <v>189</v>
      </c>
      <c r="AF395" s="7" t="s">
        <v>3265</v>
      </c>
      <c r="AG395" s="7" t="s">
        <v>2044</v>
      </c>
      <c r="AH395" s="7" t="s">
        <v>3266</v>
      </c>
      <c r="AI395" s="7" t="s">
        <v>2044</v>
      </c>
      <c r="AJ395" s="7" t="s">
        <v>145</v>
      </c>
      <c r="AK395" s="7" t="s">
        <v>2044</v>
      </c>
      <c r="AL395" s="7" t="s">
        <v>145</v>
      </c>
      <c r="AM395" s="7" t="s">
        <v>2044</v>
      </c>
      <c r="AN395" s="7" t="s">
        <v>3267</v>
      </c>
      <c r="AO395" s="7" t="s">
        <v>189</v>
      </c>
      <c r="AP395" s="7" t="s">
        <v>2037</v>
      </c>
      <c r="AQ395" s="7" t="s">
        <v>2044</v>
      </c>
      <c r="AR395" s="7" t="s">
        <v>3268</v>
      </c>
      <c r="AS395" s="7" t="s">
        <v>2044</v>
      </c>
      <c r="AT395" s="7" t="s">
        <v>3269</v>
      </c>
      <c r="AU395" s="7" t="s">
        <v>2044</v>
      </c>
      <c r="AV395" s="7" t="s">
        <v>3270</v>
      </c>
      <c r="AW395" s="7" t="s">
        <v>189</v>
      </c>
      <c r="AX395" s="7" t="s">
        <v>3261</v>
      </c>
      <c r="AY395" s="7" t="s">
        <v>2044</v>
      </c>
      <c r="AZ395" s="7" t="s">
        <v>145</v>
      </c>
      <c r="BA395" s="7" t="s">
        <v>2044</v>
      </c>
      <c r="BB395" s="7" t="s">
        <v>3271</v>
      </c>
      <c r="BC395" s="7" t="s">
        <v>151</v>
      </c>
      <c r="BD395" s="7" t="s">
        <v>3272</v>
      </c>
      <c r="BE395" s="7" t="s">
        <v>127</v>
      </c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</row>
    <row r="396" customFormat="false" ht="15" hidden="false" customHeight="false" outlineLevel="0" collapsed="false">
      <c r="A396" s="7" t="s">
        <v>3273</v>
      </c>
      <c r="B396" s="7" t="s">
        <v>3274</v>
      </c>
      <c r="C396" s="7" t="s">
        <v>3275</v>
      </c>
      <c r="D396" s="7" t="s">
        <v>3276</v>
      </c>
      <c r="E396" s="7" t="s">
        <v>82</v>
      </c>
      <c r="F396" s="7" t="s">
        <v>82</v>
      </c>
      <c r="G396" s="7" t="s">
        <v>873</v>
      </c>
      <c r="H396" s="7" t="s">
        <v>207</v>
      </c>
      <c r="I396" s="7" t="s">
        <v>1140</v>
      </c>
      <c r="J396" s="7" t="s">
        <v>104</v>
      </c>
      <c r="K396" s="7" t="s">
        <v>105</v>
      </c>
      <c r="L396" s="7" t="s">
        <v>106</v>
      </c>
      <c r="M396" s="7"/>
      <c r="N396" s="7" t="s">
        <v>3277</v>
      </c>
      <c r="O396" s="7" t="s">
        <v>3277</v>
      </c>
      <c r="P396" s="7" t="s">
        <v>109</v>
      </c>
      <c r="Q396" s="7"/>
      <c r="R396" s="7" t="s">
        <v>109</v>
      </c>
      <c r="S396" s="7" t="s">
        <v>110</v>
      </c>
      <c r="T396" s="7" t="n">
        <v>0.492</v>
      </c>
      <c r="U396" s="7" t="n">
        <v>2</v>
      </c>
      <c r="V396" s="7" t="s">
        <v>479</v>
      </c>
      <c r="W396" s="7"/>
      <c r="X396" s="7"/>
      <c r="Y396" s="7" t="s">
        <v>3277</v>
      </c>
      <c r="Z396" s="7"/>
      <c r="AA396" s="7"/>
      <c r="AB396" s="7"/>
      <c r="AC396" s="7" t="n">
        <v>8</v>
      </c>
      <c r="AD396" s="7" t="s">
        <v>541</v>
      </c>
      <c r="AE396" s="7" t="s">
        <v>115</v>
      </c>
      <c r="AF396" s="7" t="s">
        <v>116</v>
      </c>
      <c r="AG396" s="7"/>
      <c r="AH396" s="7"/>
      <c r="AI396" s="7"/>
      <c r="AJ396" s="7"/>
      <c r="AK396" s="7"/>
      <c r="AL396" s="7"/>
      <c r="AM396" s="7"/>
      <c r="AN396" s="7"/>
      <c r="AO396" s="7" t="s">
        <v>115</v>
      </c>
      <c r="AP396" s="7" t="s">
        <v>116</v>
      </c>
      <c r="AQ396" s="7" t="s">
        <v>248</v>
      </c>
      <c r="AR396" s="7" t="s">
        <v>82</v>
      </c>
      <c r="AS396" s="7" t="s">
        <v>248</v>
      </c>
      <c r="AT396" s="7" t="s">
        <v>216</v>
      </c>
      <c r="AU396" s="7" t="s">
        <v>248</v>
      </c>
      <c r="AV396" s="7" t="s">
        <v>3278</v>
      </c>
      <c r="AW396" s="7" t="s">
        <v>248</v>
      </c>
      <c r="AX396" s="7" t="s">
        <v>326</v>
      </c>
      <c r="AY396" s="7" t="s">
        <v>115</v>
      </c>
      <c r="AZ396" s="7" t="s">
        <v>116</v>
      </c>
      <c r="BA396" s="7" t="s">
        <v>115</v>
      </c>
      <c r="BB396" s="7" t="s">
        <v>116</v>
      </c>
      <c r="BC396" s="7"/>
      <c r="BD396" s="7" t="s">
        <v>220</v>
      </c>
      <c r="BE396" s="7" t="s">
        <v>127</v>
      </c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</row>
    <row r="397" customFormat="false" ht="15" hidden="false" customHeight="false" outlineLevel="0" collapsed="false">
      <c r="A397" s="7" t="s">
        <v>3279</v>
      </c>
      <c r="B397" s="7" t="s">
        <v>3280</v>
      </c>
      <c r="C397" s="7" t="s">
        <v>3281</v>
      </c>
      <c r="D397" s="7" t="s">
        <v>3282</v>
      </c>
      <c r="E397" s="7"/>
      <c r="F397" s="7" t="s">
        <v>101</v>
      </c>
      <c r="G397" s="7"/>
      <c r="H397" s="7"/>
      <c r="I397" s="7" t="s">
        <v>300</v>
      </c>
      <c r="J397" s="7" t="s">
        <v>104</v>
      </c>
      <c r="K397" s="7" t="s">
        <v>105</v>
      </c>
      <c r="L397" s="7" t="s">
        <v>106</v>
      </c>
      <c r="M397" s="7"/>
      <c r="N397" s="7" t="s">
        <v>3283</v>
      </c>
      <c r="O397" s="7"/>
      <c r="P397" s="7" t="s">
        <v>84</v>
      </c>
      <c r="Q397" s="7"/>
      <c r="R397" s="7" t="s">
        <v>135</v>
      </c>
      <c r="S397" s="7" t="s">
        <v>136</v>
      </c>
      <c r="T397" s="7" t="n">
        <v>0.304</v>
      </c>
      <c r="U397" s="7" t="n">
        <v>2</v>
      </c>
      <c r="V397" s="7" t="s">
        <v>90</v>
      </c>
      <c r="W397" s="7"/>
      <c r="X397" s="7"/>
      <c r="Y397" s="7" t="s">
        <v>3283</v>
      </c>
      <c r="Z397" s="7"/>
      <c r="AA397" s="7"/>
      <c r="AB397" s="7"/>
      <c r="AC397" s="7" t="n">
        <v>5</v>
      </c>
      <c r="AD397" s="7" t="s">
        <v>1897</v>
      </c>
      <c r="AE397" s="7" t="s">
        <v>744</v>
      </c>
      <c r="AF397" s="7" t="s">
        <v>3281</v>
      </c>
      <c r="AG397" s="7" t="s">
        <v>744</v>
      </c>
      <c r="AH397" s="7" t="s">
        <v>3284</v>
      </c>
      <c r="AI397" s="7"/>
      <c r="AJ397" s="7"/>
      <c r="AK397" s="7"/>
      <c r="AL397" s="7"/>
      <c r="AM397" s="7" t="s">
        <v>744</v>
      </c>
      <c r="AN397" s="7" t="s">
        <v>3285</v>
      </c>
      <c r="AO397" s="7" t="s">
        <v>744</v>
      </c>
      <c r="AP397" s="7" t="s">
        <v>3282</v>
      </c>
      <c r="AQ397" s="7"/>
      <c r="AR397" s="7"/>
      <c r="AS397" s="7"/>
      <c r="AT397" s="7"/>
      <c r="AU397" s="7"/>
      <c r="AV397" s="7"/>
      <c r="AW397" s="7" t="s">
        <v>744</v>
      </c>
      <c r="AX397" s="7" t="s">
        <v>3286</v>
      </c>
      <c r="AY397" s="7"/>
      <c r="AZ397" s="7"/>
      <c r="BA397" s="7"/>
      <c r="BB397" s="7"/>
      <c r="BC397" s="7"/>
      <c r="BD397" s="7"/>
      <c r="BE397" s="7" t="s">
        <v>127</v>
      </c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</row>
    <row r="398" customFormat="false" ht="15" hidden="false" customHeight="false" outlineLevel="0" collapsed="false">
      <c r="A398" s="7" t="s">
        <v>3287</v>
      </c>
      <c r="B398" s="7" t="s">
        <v>3288</v>
      </c>
      <c r="C398" s="7" t="s">
        <v>3289</v>
      </c>
      <c r="D398" s="7" t="s">
        <v>3290</v>
      </c>
      <c r="E398" s="7" t="s">
        <v>101</v>
      </c>
      <c r="F398" s="7" t="s">
        <v>101</v>
      </c>
      <c r="G398" s="7"/>
      <c r="H398" s="7"/>
      <c r="I398" s="7" t="s">
        <v>300</v>
      </c>
      <c r="J398" s="7" t="s">
        <v>104</v>
      </c>
      <c r="K398" s="7" t="s">
        <v>105</v>
      </c>
      <c r="L398" s="7" t="s">
        <v>106</v>
      </c>
      <c r="M398" s="7"/>
      <c r="N398" s="7" t="s">
        <v>3291</v>
      </c>
      <c r="O398" s="7"/>
      <c r="P398" s="7" t="s">
        <v>84</v>
      </c>
      <c r="Q398" s="7"/>
      <c r="R398" s="7" t="s">
        <v>135</v>
      </c>
      <c r="S398" s="7" t="s">
        <v>136</v>
      </c>
      <c r="T398" s="7" t="n">
        <v>0.5</v>
      </c>
      <c r="U398" s="7" t="n">
        <v>2</v>
      </c>
      <c r="V398" s="7" t="s">
        <v>1112</v>
      </c>
      <c r="W398" s="7"/>
      <c r="X398" s="7" t="s">
        <v>3292</v>
      </c>
      <c r="Y398" s="7" t="s">
        <v>3293</v>
      </c>
      <c r="Z398" s="7"/>
      <c r="AA398" s="7"/>
      <c r="AB398" s="7"/>
      <c r="AC398" s="7" t="n">
        <v>6</v>
      </c>
      <c r="AD398" s="7" t="s">
        <v>1235</v>
      </c>
      <c r="AE398" s="7" t="s">
        <v>189</v>
      </c>
      <c r="AF398" s="7" t="s">
        <v>3294</v>
      </c>
      <c r="AG398" s="7" t="s">
        <v>189</v>
      </c>
      <c r="AH398" s="7" t="s">
        <v>3295</v>
      </c>
      <c r="AI398" s="7"/>
      <c r="AJ398" s="7"/>
      <c r="AK398" s="7"/>
      <c r="AL398" s="7"/>
      <c r="AM398" s="7" t="s">
        <v>189</v>
      </c>
      <c r="AN398" s="7" t="s">
        <v>3296</v>
      </c>
      <c r="AO398" s="7" t="s">
        <v>744</v>
      </c>
      <c r="AP398" s="7" t="s">
        <v>3290</v>
      </c>
      <c r="AQ398" s="7" t="s">
        <v>744</v>
      </c>
      <c r="AR398" s="7" t="s">
        <v>101</v>
      </c>
      <c r="AS398" s="7"/>
      <c r="AT398" s="7"/>
      <c r="AU398" s="7"/>
      <c r="AV398" s="7"/>
      <c r="AW398" s="7" t="s">
        <v>189</v>
      </c>
      <c r="AX398" s="7" t="s">
        <v>3293</v>
      </c>
      <c r="AY398" s="7"/>
      <c r="AZ398" s="7"/>
      <c r="BA398" s="7"/>
      <c r="BB398" s="7"/>
      <c r="BC398" s="7"/>
      <c r="BD398" s="7"/>
      <c r="BE398" s="7" t="s">
        <v>127</v>
      </c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</row>
    <row r="399" customFormat="false" ht="15" hidden="false" customHeight="false" outlineLevel="0" collapsed="false">
      <c r="A399" s="7" t="s">
        <v>3297</v>
      </c>
      <c r="B399" s="7" t="s">
        <v>3298</v>
      </c>
      <c r="C399" s="7" t="s">
        <v>3299</v>
      </c>
      <c r="D399" s="7" t="s">
        <v>3300</v>
      </c>
      <c r="E399" s="7" t="s">
        <v>82</v>
      </c>
      <c r="F399" s="7" t="s">
        <v>82</v>
      </c>
      <c r="G399" s="7"/>
      <c r="H399" s="7"/>
      <c r="I399" s="7" t="s">
        <v>132</v>
      </c>
      <c r="J399" s="7" t="s">
        <v>104</v>
      </c>
      <c r="K399" s="7" t="s">
        <v>105</v>
      </c>
      <c r="L399" s="7" t="s">
        <v>106</v>
      </c>
      <c r="M399" s="7"/>
      <c r="N399" s="7" t="s">
        <v>3301</v>
      </c>
      <c r="O399" s="7" t="s">
        <v>3301</v>
      </c>
      <c r="P399" s="7" t="s">
        <v>135</v>
      </c>
      <c r="Q399" s="7"/>
      <c r="R399" s="7" t="s">
        <v>109</v>
      </c>
      <c r="S399" s="7" t="s">
        <v>110</v>
      </c>
      <c r="T399" s="7" t="n">
        <v>0.685</v>
      </c>
      <c r="U399" s="7" t="n">
        <v>2</v>
      </c>
      <c r="V399" s="7" t="s">
        <v>90</v>
      </c>
      <c r="W399" s="7"/>
      <c r="X399" s="7"/>
      <c r="Y399" s="7" t="s">
        <v>3301</v>
      </c>
      <c r="Z399" s="7"/>
      <c r="AA399" s="7"/>
      <c r="AB399" s="7"/>
      <c r="AC399" s="7" t="n">
        <v>10</v>
      </c>
      <c r="AD399" s="7" t="s">
        <v>359</v>
      </c>
      <c r="AE399" s="7" t="s">
        <v>248</v>
      </c>
      <c r="AF399" s="7" t="s">
        <v>3302</v>
      </c>
      <c r="AG399" s="7" t="s">
        <v>3225</v>
      </c>
      <c r="AH399" s="7" t="s">
        <v>3303</v>
      </c>
      <c r="AI399" s="7"/>
      <c r="AJ399" s="7"/>
      <c r="AK399" s="7"/>
      <c r="AL399" s="7"/>
      <c r="AM399" s="7" t="s">
        <v>3225</v>
      </c>
      <c r="AN399" s="7" t="s">
        <v>3304</v>
      </c>
      <c r="AO399" s="7" t="s">
        <v>248</v>
      </c>
      <c r="AP399" s="7" t="s">
        <v>3228</v>
      </c>
      <c r="AQ399" s="7" t="s">
        <v>3225</v>
      </c>
      <c r="AR399" s="7" t="s">
        <v>82</v>
      </c>
      <c r="AS399" s="7" t="s">
        <v>248</v>
      </c>
      <c r="AT399" s="7" t="s">
        <v>250</v>
      </c>
      <c r="AU399" s="7" t="s">
        <v>248</v>
      </c>
      <c r="AV399" s="7" t="s">
        <v>3305</v>
      </c>
      <c r="AW399" s="7" t="s">
        <v>248</v>
      </c>
      <c r="AX399" s="7" t="s">
        <v>326</v>
      </c>
      <c r="AY399" s="7" t="s">
        <v>248</v>
      </c>
      <c r="AZ399" s="7" t="s">
        <v>2701</v>
      </c>
      <c r="BA399" s="7" t="s">
        <v>115</v>
      </c>
      <c r="BB399" s="7" t="s">
        <v>116</v>
      </c>
      <c r="BC399" s="7"/>
      <c r="BD399" s="7" t="s">
        <v>608</v>
      </c>
      <c r="BE399" s="7" t="s">
        <v>127</v>
      </c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</row>
    <row r="400" customFormat="false" ht="15" hidden="false" customHeight="false" outlineLevel="0" collapsed="false">
      <c r="A400" s="7" t="s">
        <v>3306</v>
      </c>
      <c r="B400" s="7" t="s">
        <v>3307</v>
      </c>
      <c r="C400" s="7" t="s">
        <v>3170</v>
      </c>
      <c r="D400" s="7" t="s">
        <v>3308</v>
      </c>
      <c r="E400" s="7" t="s">
        <v>101</v>
      </c>
      <c r="F400" s="7" t="s">
        <v>82</v>
      </c>
      <c r="G400" s="7" t="s">
        <v>3173</v>
      </c>
      <c r="H400" s="7" t="s">
        <v>102</v>
      </c>
      <c r="I400" s="7" t="s">
        <v>300</v>
      </c>
      <c r="J400" s="7" t="s">
        <v>104</v>
      </c>
      <c r="K400" s="7" t="s">
        <v>105</v>
      </c>
      <c r="L400" s="7" t="s">
        <v>106</v>
      </c>
      <c r="M400" s="7" t="s">
        <v>3174</v>
      </c>
      <c r="N400" s="7" t="s">
        <v>3309</v>
      </c>
      <c r="O400" s="7"/>
      <c r="P400" s="7" t="s">
        <v>135</v>
      </c>
      <c r="Q400" s="7"/>
      <c r="R400" s="7" t="s">
        <v>135</v>
      </c>
      <c r="S400" s="7" t="s">
        <v>136</v>
      </c>
      <c r="T400" s="7" t="n">
        <v>0.774</v>
      </c>
      <c r="U400" s="7" t="n">
        <v>2</v>
      </c>
      <c r="V400" s="7" t="s">
        <v>90</v>
      </c>
      <c r="W400" s="7"/>
      <c r="X400" s="7"/>
      <c r="Y400" s="7"/>
      <c r="Z400" s="7"/>
      <c r="AA400" s="7"/>
      <c r="AB400" s="7"/>
      <c r="AC400" s="7" t="n">
        <v>12</v>
      </c>
      <c r="AD400" s="7"/>
      <c r="AE400" s="7" t="s">
        <v>248</v>
      </c>
      <c r="AF400" s="7" t="s">
        <v>3310</v>
      </c>
      <c r="AG400" s="7" t="s">
        <v>115</v>
      </c>
      <c r="AH400" s="7" t="s">
        <v>116</v>
      </c>
      <c r="AI400" s="7" t="s">
        <v>248</v>
      </c>
      <c r="AJ400" s="7" t="s">
        <v>3311</v>
      </c>
      <c r="AK400" s="7" t="s">
        <v>248</v>
      </c>
      <c r="AL400" s="7" t="s">
        <v>3312</v>
      </c>
      <c r="AM400" s="7" t="s">
        <v>248</v>
      </c>
      <c r="AN400" s="7" t="s">
        <v>1957</v>
      </c>
      <c r="AO400" s="7" t="s">
        <v>248</v>
      </c>
      <c r="AP400" s="7" t="s">
        <v>3181</v>
      </c>
      <c r="AQ400" s="7" t="s">
        <v>248</v>
      </c>
      <c r="AR400" s="7" t="s">
        <v>82</v>
      </c>
      <c r="AS400" s="7" t="s">
        <v>248</v>
      </c>
      <c r="AT400" s="7" t="s">
        <v>122</v>
      </c>
      <c r="AU400" s="7" t="s">
        <v>248</v>
      </c>
      <c r="AV400" s="7" t="s">
        <v>3182</v>
      </c>
      <c r="AW400" s="7" t="s">
        <v>248</v>
      </c>
      <c r="AX400" s="7" t="s">
        <v>326</v>
      </c>
      <c r="AY400" s="7" t="s">
        <v>248</v>
      </c>
      <c r="AZ400" s="7" t="s">
        <v>124</v>
      </c>
      <c r="BA400" s="7" t="s">
        <v>248</v>
      </c>
      <c r="BB400" s="7" t="s">
        <v>546</v>
      </c>
      <c r="BC400" s="7" t="s">
        <v>151</v>
      </c>
      <c r="BD400" s="7" t="s">
        <v>220</v>
      </c>
      <c r="BE400" s="7" t="s">
        <v>127</v>
      </c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</row>
    <row r="401" customFormat="false" ht="15" hidden="false" customHeight="false" outlineLevel="0" collapsed="false">
      <c r="A401" s="7" t="s">
        <v>3313</v>
      </c>
      <c r="B401" s="7" t="s">
        <v>3314</v>
      </c>
      <c r="C401" s="7" t="s">
        <v>3315</v>
      </c>
      <c r="D401" s="7" t="s">
        <v>3316</v>
      </c>
      <c r="E401" s="7" t="s">
        <v>82</v>
      </c>
      <c r="F401" s="7" t="s">
        <v>82</v>
      </c>
      <c r="G401" s="7"/>
      <c r="H401" s="7"/>
      <c r="I401" s="7" t="s">
        <v>132</v>
      </c>
      <c r="J401" s="7" t="s">
        <v>104</v>
      </c>
      <c r="K401" s="7" t="s">
        <v>105</v>
      </c>
      <c r="L401" s="7" t="s">
        <v>106</v>
      </c>
      <c r="M401" s="7"/>
      <c r="N401" s="7" t="s">
        <v>3301</v>
      </c>
      <c r="O401" s="7" t="s">
        <v>3301</v>
      </c>
      <c r="P401" s="7" t="s">
        <v>135</v>
      </c>
      <c r="Q401" s="7"/>
      <c r="R401" s="7" t="s">
        <v>109</v>
      </c>
      <c r="S401" s="7" t="s">
        <v>110</v>
      </c>
      <c r="T401" s="7" t="n">
        <v>0.675</v>
      </c>
      <c r="U401" s="7" t="n">
        <v>2</v>
      </c>
      <c r="V401" s="7" t="s">
        <v>90</v>
      </c>
      <c r="W401" s="7"/>
      <c r="X401" s="7"/>
      <c r="Y401" s="7" t="s">
        <v>3301</v>
      </c>
      <c r="Z401" s="7"/>
      <c r="AA401" s="7"/>
      <c r="AB401" s="7"/>
      <c r="AC401" s="7" t="n">
        <v>9</v>
      </c>
      <c r="AD401" s="7" t="s">
        <v>847</v>
      </c>
      <c r="AE401" s="7" t="s">
        <v>248</v>
      </c>
      <c r="AF401" s="7" t="s">
        <v>3317</v>
      </c>
      <c r="AG401" s="7" t="s">
        <v>3225</v>
      </c>
      <c r="AH401" s="7" t="s">
        <v>3318</v>
      </c>
      <c r="AI401" s="7"/>
      <c r="AJ401" s="7"/>
      <c r="AK401" s="7"/>
      <c r="AL401" s="7"/>
      <c r="AM401" s="7"/>
      <c r="AN401" s="7"/>
      <c r="AO401" s="7" t="s">
        <v>248</v>
      </c>
      <c r="AP401" s="7" t="s">
        <v>3228</v>
      </c>
      <c r="AQ401" s="7" t="s">
        <v>3225</v>
      </c>
      <c r="AR401" s="7" t="s">
        <v>82</v>
      </c>
      <c r="AS401" s="7" t="s">
        <v>248</v>
      </c>
      <c r="AT401" s="7" t="s">
        <v>250</v>
      </c>
      <c r="AU401" s="7" t="s">
        <v>248</v>
      </c>
      <c r="AV401" s="7" t="s">
        <v>3305</v>
      </c>
      <c r="AW401" s="7" t="s">
        <v>248</v>
      </c>
      <c r="AX401" s="7" t="s">
        <v>326</v>
      </c>
      <c r="AY401" s="7" t="s">
        <v>248</v>
      </c>
      <c r="AZ401" s="7" t="s">
        <v>2701</v>
      </c>
      <c r="BA401" s="7" t="s">
        <v>115</v>
      </c>
      <c r="BB401" s="7" t="s">
        <v>116</v>
      </c>
      <c r="BC401" s="7"/>
      <c r="BD401" s="7" t="s">
        <v>608</v>
      </c>
      <c r="BE401" s="7" t="s">
        <v>127</v>
      </c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</row>
    <row r="402" customFormat="false" ht="15" hidden="false" customHeight="false" outlineLevel="0" collapsed="false">
      <c r="A402" s="7" t="s">
        <v>3319</v>
      </c>
      <c r="B402" s="7" t="s">
        <v>3320</v>
      </c>
      <c r="C402" s="7" t="s">
        <v>3321</v>
      </c>
      <c r="D402" s="7" t="s">
        <v>3322</v>
      </c>
      <c r="E402" s="7" t="s">
        <v>101</v>
      </c>
      <c r="F402" s="7" t="s">
        <v>82</v>
      </c>
      <c r="G402" s="7" t="s">
        <v>2237</v>
      </c>
      <c r="H402" s="7" t="s">
        <v>102</v>
      </c>
      <c r="I402" s="7" t="s">
        <v>132</v>
      </c>
      <c r="J402" s="7" t="s">
        <v>104</v>
      </c>
      <c r="K402" s="7" t="s">
        <v>105</v>
      </c>
      <c r="L402" s="7" t="s">
        <v>106</v>
      </c>
      <c r="M402" s="7"/>
      <c r="N402" s="7" t="s">
        <v>3323</v>
      </c>
      <c r="O402" s="7" t="s">
        <v>3324</v>
      </c>
      <c r="P402" s="7" t="s">
        <v>135</v>
      </c>
      <c r="Q402" s="7"/>
      <c r="R402" s="7" t="s">
        <v>109</v>
      </c>
      <c r="S402" s="7" t="s">
        <v>110</v>
      </c>
      <c r="T402" s="7" t="n">
        <v>0.539</v>
      </c>
      <c r="U402" s="7" t="n">
        <v>2</v>
      </c>
      <c r="V402" s="7" t="s">
        <v>90</v>
      </c>
      <c r="W402" s="7"/>
      <c r="X402" s="7"/>
      <c r="Y402" s="7" t="s">
        <v>3323</v>
      </c>
      <c r="Z402" s="7"/>
      <c r="AA402" s="7"/>
      <c r="AB402" s="7"/>
      <c r="AC402" s="7" t="n">
        <v>9</v>
      </c>
      <c r="AD402" s="7" t="s">
        <v>3325</v>
      </c>
      <c r="AE402" s="7" t="s">
        <v>248</v>
      </c>
      <c r="AF402" s="7" t="s">
        <v>3326</v>
      </c>
      <c r="AG402" s="7"/>
      <c r="AH402" s="7"/>
      <c r="AI402" s="7" t="s">
        <v>115</v>
      </c>
      <c r="AJ402" s="7" t="s">
        <v>116</v>
      </c>
      <c r="AK402" s="7"/>
      <c r="AL402" s="7"/>
      <c r="AM402" s="7"/>
      <c r="AN402" s="7"/>
      <c r="AO402" s="7" t="s">
        <v>248</v>
      </c>
      <c r="AP402" s="7" t="s">
        <v>3327</v>
      </c>
      <c r="AQ402" s="7" t="s">
        <v>248</v>
      </c>
      <c r="AR402" s="7" t="s">
        <v>82</v>
      </c>
      <c r="AS402" s="7" t="s">
        <v>248</v>
      </c>
      <c r="AT402" s="7" t="s">
        <v>216</v>
      </c>
      <c r="AU402" s="7" t="s">
        <v>248</v>
      </c>
      <c r="AV402" s="7" t="s">
        <v>3328</v>
      </c>
      <c r="AW402" s="7" t="s">
        <v>248</v>
      </c>
      <c r="AX402" s="7" t="s">
        <v>273</v>
      </c>
      <c r="AY402" s="7" t="s">
        <v>248</v>
      </c>
      <c r="AZ402" s="7" t="s">
        <v>666</v>
      </c>
      <c r="BA402" s="7" t="s">
        <v>248</v>
      </c>
      <c r="BB402" s="7" t="s">
        <v>218</v>
      </c>
      <c r="BC402" s="7"/>
      <c r="BD402" s="7" t="s">
        <v>220</v>
      </c>
      <c r="BE402" s="7" t="s">
        <v>127</v>
      </c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</row>
    <row r="403" customFormat="false" ht="15" hidden="false" customHeight="false" outlineLevel="0" collapsed="false">
      <c r="A403" s="7" t="s">
        <v>3329</v>
      </c>
      <c r="B403" s="7" t="s">
        <v>3330</v>
      </c>
      <c r="C403" s="7" t="s">
        <v>3331</v>
      </c>
      <c r="D403" s="7" t="s">
        <v>392</v>
      </c>
      <c r="E403" s="7" t="s">
        <v>101</v>
      </c>
      <c r="F403" s="7" t="s">
        <v>101</v>
      </c>
      <c r="G403" s="7"/>
      <c r="H403" s="7" t="s">
        <v>102</v>
      </c>
      <c r="I403" s="7" t="s">
        <v>132</v>
      </c>
      <c r="J403" s="7" t="s">
        <v>104</v>
      </c>
      <c r="K403" s="7" t="s">
        <v>105</v>
      </c>
      <c r="L403" s="7" t="s">
        <v>106</v>
      </c>
      <c r="M403" s="7"/>
      <c r="N403" s="7" t="s">
        <v>3332</v>
      </c>
      <c r="O403" s="7"/>
      <c r="P403" s="7" t="s">
        <v>135</v>
      </c>
      <c r="Q403" s="7"/>
      <c r="R403" s="7" t="s">
        <v>135</v>
      </c>
      <c r="S403" s="7" t="s">
        <v>136</v>
      </c>
      <c r="T403" s="7" t="n">
        <v>0.583</v>
      </c>
      <c r="U403" s="7" t="n">
        <v>2</v>
      </c>
      <c r="V403" s="7" t="s">
        <v>90</v>
      </c>
      <c r="W403" s="7"/>
      <c r="X403" s="7"/>
      <c r="Y403" s="7"/>
      <c r="Z403" s="7"/>
      <c r="AA403" s="7"/>
      <c r="AB403" s="7"/>
      <c r="AC403" s="7" t="n">
        <v>1</v>
      </c>
      <c r="AD403" s="7" t="s">
        <v>3333</v>
      </c>
      <c r="AE403" s="7"/>
      <c r="AF403" s="7"/>
      <c r="AG403" s="7"/>
      <c r="AH403" s="7"/>
      <c r="AI403" s="7"/>
      <c r="AJ403" s="7"/>
      <c r="AK403" s="7" t="s">
        <v>637</v>
      </c>
      <c r="AL403" s="7" t="s">
        <v>338</v>
      </c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 t="s">
        <v>127</v>
      </c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</row>
    <row r="404" customFormat="false" ht="15" hidden="false" customHeight="false" outlineLevel="0" collapsed="false">
      <c r="A404" s="7" t="s">
        <v>3334</v>
      </c>
      <c r="B404" s="7" t="s">
        <v>3335</v>
      </c>
      <c r="C404" s="7" t="s">
        <v>3336</v>
      </c>
      <c r="D404" s="7" t="s">
        <v>3337</v>
      </c>
      <c r="E404" s="7" t="s">
        <v>82</v>
      </c>
      <c r="F404" s="7" t="s">
        <v>82</v>
      </c>
      <c r="G404" s="7" t="s">
        <v>2200</v>
      </c>
      <c r="H404" s="7"/>
      <c r="I404" s="7" t="s">
        <v>103</v>
      </c>
      <c r="J404" s="7" t="s">
        <v>104</v>
      </c>
      <c r="K404" s="7" t="s">
        <v>105</v>
      </c>
      <c r="L404" s="7" t="s">
        <v>106</v>
      </c>
      <c r="M404" s="7"/>
      <c r="N404" s="7" t="s">
        <v>3338</v>
      </c>
      <c r="O404" s="7" t="s">
        <v>3339</v>
      </c>
      <c r="P404" s="7" t="s">
        <v>135</v>
      </c>
      <c r="Q404" s="7"/>
      <c r="R404" s="7" t="s">
        <v>109</v>
      </c>
      <c r="S404" s="7" t="s">
        <v>110</v>
      </c>
      <c r="T404" s="7" t="n">
        <v>0.308</v>
      </c>
      <c r="U404" s="7" t="n">
        <v>2</v>
      </c>
      <c r="V404" s="7" t="s">
        <v>90</v>
      </c>
      <c r="W404" s="7"/>
      <c r="X404" s="7"/>
      <c r="Y404" s="7" t="s">
        <v>3338</v>
      </c>
      <c r="Z404" s="7"/>
      <c r="AA404" s="7"/>
      <c r="AB404" s="7"/>
      <c r="AC404" s="7" t="n">
        <v>5</v>
      </c>
      <c r="AD404" s="7" t="s">
        <v>2505</v>
      </c>
      <c r="AE404" s="7" t="s">
        <v>1812</v>
      </c>
      <c r="AF404" s="7" t="s">
        <v>3340</v>
      </c>
      <c r="AG404" s="7"/>
      <c r="AH404" s="7"/>
      <c r="AI404" s="7"/>
      <c r="AJ404" s="7"/>
      <c r="AK404" s="7"/>
      <c r="AL404" s="7"/>
      <c r="AM404" s="7"/>
      <c r="AN404" s="7"/>
      <c r="AO404" s="7" t="s">
        <v>1812</v>
      </c>
      <c r="AP404" s="7" t="s">
        <v>3341</v>
      </c>
      <c r="AQ404" s="7" t="s">
        <v>1809</v>
      </c>
      <c r="AR404" s="7" t="s">
        <v>82</v>
      </c>
      <c r="AS404" s="7" t="s">
        <v>1812</v>
      </c>
      <c r="AT404" s="7" t="s">
        <v>122</v>
      </c>
      <c r="AU404" s="7"/>
      <c r="AV404" s="7"/>
      <c r="AW404" s="7" t="s">
        <v>1812</v>
      </c>
      <c r="AX404" s="7" t="s">
        <v>326</v>
      </c>
      <c r="AY404" s="7"/>
      <c r="AZ404" s="7"/>
      <c r="BA404" s="7"/>
      <c r="BB404" s="7"/>
      <c r="BC404" s="7"/>
      <c r="BD404" s="7" t="s">
        <v>1606</v>
      </c>
      <c r="BE404" s="7" t="s">
        <v>127</v>
      </c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</row>
    <row r="405" customFormat="false" ht="15" hidden="false" customHeight="false" outlineLevel="0" collapsed="false">
      <c r="A405" s="7" t="s">
        <v>3342</v>
      </c>
      <c r="B405" s="7" t="s">
        <v>3343</v>
      </c>
      <c r="C405" s="7" t="s">
        <v>3344</v>
      </c>
      <c r="D405" s="7" t="s">
        <v>3345</v>
      </c>
      <c r="E405" s="7" t="s">
        <v>101</v>
      </c>
      <c r="F405" s="7" t="s">
        <v>101</v>
      </c>
      <c r="G405" s="7"/>
      <c r="H405" s="7" t="s">
        <v>102</v>
      </c>
      <c r="I405" s="7" t="s">
        <v>158</v>
      </c>
      <c r="J405" s="7" t="s">
        <v>104</v>
      </c>
      <c r="K405" s="7" t="s">
        <v>105</v>
      </c>
      <c r="L405" s="7" t="s">
        <v>106</v>
      </c>
      <c r="M405" s="7" t="s">
        <v>3346</v>
      </c>
      <c r="N405" s="7" t="s">
        <v>1034</v>
      </c>
      <c r="O405" s="7" t="s">
        <v>1034</v>
      </c>
      <c r="P405" s="7" t="s">
        <v>135</v>
      </c>
      <c r="Q405" s="7"/>
      <c r="R405" s="7" t="s">
        <v>84</v>
      </c>
      <c r="S405" s="7" t="s">
        <v>238</v>
      </c>
      <c r="T405" s="7" t="n">
        <v>0.736</v>
      </c>
      <c r="U405" s="7" t="n">
        <v>2</v>
      </c>
      <c r="V405" s="7" t="s">
        <v>90</v>
      </c>
      <c r="W405" s="7"/>
      <c r="X405" s="7" t="s">
        <v>239</v>
      </c>
      <c r="Y405" s="7" t="s">
        <v>1034</v>
      </c>
      <c r="Z405" s="7" t="s">
        <v>1036</v>
      </c>
      <c r="AA405" s="7"/>
      <c r="AB405" s="7"/>
      <c r="AC405" s="7" t="n">
        <v>12</v>
      </c>
      <c r="AD405" s="7"/>
      <c r="AE405" s="7" t="s">
        <v>1848</v>
      </c>
      <c r="AF405" s="7" t="s">
        <v>3347</v>
      </c>
      <c r="AG405" s="7" t="s">
        <v>1848</v>
      </c>
      <c r="AH405" s="7" t="s">
        <v>3348</v>
      </c>
      <c r="AI405" s="7" t="s">
        <v>1848</v>
      </c>
      <c r="AJ405" s="7" t="s">
        <v>3349</v>
      </c>
      <c r="AK405" s="7" t="s">
        <v>1848</v>
      </c>
      <c r="AL405" s="7" t="s">
        <v>3350</v>
      </c>
      <c r="AM405" s="7" t="s">
        <v>1848</v>
      </c>
      <c r="AN405" s="7" t="s">
        <v>3351</v>
      </c>
      <c r="AO405" s="7" t="s">
        <v>1848</v>
      </c>
      <c r="AP405" s="7" t="s">
        <v>3352</v>
      </c>
      <c r="AQ405" s="7" t="s">
        <v>1848</v>
      </c>
      <c r="AR405" s="7" t="s">
        <v>3353</v>
      </c>
      <c r="AS405" s="7" t="s">
        <v>1848</v>
      </c>
      <c r="AT405" s="7" t="s">
        <v>3354</v>
      </c>
      <c r="AU405" s="7" t="s">
        <v>1848</v>
      </c>
      <c r="AV405" s="7" t="s">
        <v>3355</v>
      </c>
      <c r="AW405" s="7" t="s">
        <v>1848</v>
      </c>
      <c r="AX405" s="7" t="s">
        <v>3356</v>
      </c>
      <c r="AY405" s="7" t="s">
        <v>1848</v>
      </c>
      <c r="AZ405" s="7" t="s">
        <v>3357</v>
      </c>
      <c r="BA405" s="7" t="s">
        <v>1848</v>
      </c>
      <c r="BB405" s="7" t="s">
        <v>3358</v>
      </c>
      <c r="BC405" s="7" t="s">
        <v>413</v>
      </c>
      <c r="BD405" s="7" t="s">
        <v>1343</v>
      </c>
      <c r="BE405" s="7" t="s">
        <v>127</v>
      </c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</row>
    <row r="406" customFormat="false" ht="15" hidden="false" customHeight="false" outlineLevel="0" collapsed="false">
      <c r="A406" s="7" t="s">
        <v>3359</v>
      </c>
      <c r="B406" s="7" t="s">
        <v>3360</v>
      </c>
      <c r="C406" s="7" t="s">
        <v>3361</v>
      </c>
      <c r="D406" s="7" t="s">
        <v>3362</v>
      </c>
      <c r="E406" s="7" t="s">
        <v>101</v>
      </c>
      <c r="F406" s="7" t="s">
        <v>1966</v>
      </c>
      <c r="G406" s="7"/>
      <c r="H406" s="7" t="s">
        <v>102</v>
      </c>
      <c r="I406" s="7" t="s">
        <v>1104</v>
      </c>
      <c r="J406" s="7" t="s">
        <v>104</v>
      </c>
      <c r="K406" s="7" t="s">
        <v>105</v>
      </c>
      <c r="L406" s="7" t="s">
        <v>1106</v>
      </c>
      <c r="M406" s="7" t="s">
        <v>419</v>
      </c>
      <c r="N406" s="7" t="s">
        <v>3363</v>
      </c>
      <c r="O406" s="7" t="s">
        <v>3364</v>
      </c>
      <c r="P406" s="7" t="s">
        <v>135</v>
      </c>
      <c r="Q406" s="7"/>
      <c r="R406" s="7" t="s">
        <v>109</v>
      </c>
      <c r="S406" s="7" t="s">
        <v>110</v>
      </c>
      <c r="T406" s="7" t="n">
        <v>0.872</v>
      </c>
      <c r="U406" s="7" t="n">
        <v>2</v>
      </c>
      <c r="V406" s="7" t="s">
        <v>1973</v>
      </c>
      <c r="W406" s="7" t="s">
        <v>3365</v>
      </c>
      <c r="X406" s="7" t="s">
        <v>3366</v>
      </c>
      <c r="Y406" s="7" t="s">
        <v>3363</v>
      </c>
      <c r="Z406" s="7" t="s">
        <v>3367</v>
      </c>
      <c r="AA406" s="7"/>
      <c r="AB406" s="7"/>
      <c r="AC406" s="7" t="n">
        <v>7</v>
      </c>
      <c r="AD406" s="7" t="s">
        <v>2439</v>
      </c>
      <c r="AE406" s="7" t="s">
        <v>1065</v>
      </c>
      <c r="AF406" s="7" t="s">
        <v>3368</v>
      </c>
      <c r="AG406" s="7" t="s">
        <v>1065</v>
      </c>
      <c r="AH406" s="7" t="s">
        <v>3369</v>
      </c>
      <c r="AI406" s="7"/>
      <c r="AJ406" s="7"/>
      <c r="AK406" s="7"/>
      <c r="AL406" s="7"/>
      <c r="AM406" s="7" t="s">
        <v>1065</v>
      </c>
      <c r="AN406" s="7" t="s">
        <v>3370</v>
      </c>
      <c r="AO406" s="7" t="s">
        <v>1065</v>
      </c>
      <c r="AP406" s="7" t="s">
        <v>3362</v>
      </c>
      <c r="AQ406" s="7" t="s">
        <v>1065</v>
      </c>
      <c r="AR406" s="7" t="s">
        <v>1966</v>
      </c>
      <c r="AS406" s="7" t="s">
        <v>1065</v>
      </c>
      <c r="AT406" s="7" t="s">
        <v>1856</v>
      </c>
      <c r="AU406" s="7"/>
      <c r="AV406" s="7"/>
      <c r="AW406" s="7"/>
      <c r="AX406" s="7"/>
      <c r="AY406" s="7"/>
      <c r="AZ406" s="7"/>
      <c r="BA406" s="7" t="s">
        <v>1065</v>
      </c>
      <c r="BB406" s="7" t="s">
        <v>3371</v>
      </c>
      <c r="BC406" s="7" t="s">
        <v>427</v>
      </c>
      <c r="BD406" s="7" t="s">
        <v>440</v>
      </c>
      <c r="BE406" s="7" t="s">
        <v>127</v>
      </c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</row>
    <row r="407" customFormat="false" ht="15" hidden="false" customHeight="false" outlineLevel="0" collapsed="false">
      <c r="A407" s="7" t="s">
        <v>3372</v>
      </c>
      <c r="B407" s="7" t="s">
        <v>3373</v>
      </c>
      <c r="C407" s="7" t="s">
        <v>3374</v>
      </c>
      <c r="D407" s="7" t="s">
        <v>3345</v>
      </c>
      <c r="E407" s="7" t="s">
        <v>101</v>
      </c>
      <c r="F407" s="7" t="s">
        <v>101</v>
      </c>
      <c r="G407" s="7"/>
      <c r="H407" s="7" t="s">
        <v>102</v>
      </c>
      <c r="I407" s="7" t="s">
        <v>158</v>
      </c>
      <c r="J407" s="7" t="s">
        <v>104</v>
      </c>
      <c r="K407" s="7" t="s">
        <v>105</v>
      </c>
      <c r="L407" s="7" t="s">
        <v>106</v>
      </c>
      <c r="M407" s="7"/>
      <c r="N407" s="7" t="s">
        <v>3375</v>
      </c>
      <c r="O407" s="7" t="s">
        <v>3375</v>
      </c>
      <c r="P407" s="7" t="s">
        <v>135</v>
      </c>
      <c r="Q407" s="7"/>
      <c r="R407" s="7" t="s">
        <v>109</v>
      </c>
      <c r="S407" s="7" t="s">
        <v>110</v>
      </c>
      <c r="T407" s="7" t="n">
        <v>0.398</v>
      </c>
      <c r="U407" s="7" t="n">
        <v>2</v>
      </c>
      <c r="V407" s="7" t="s">
        <v>90</v>
      </c>
      <c r="W407" s="7"/>
      <c r="X407" s="7"/>
      <c r="Y407" s="7" t="s">
        <v>3375</v>
      </c>
      <c r="Z407" s="7"/>
      <c r="AA407" s="7"/>
      <c r="AB407" s="7"/>
      <c r="AC407" s="7" t="n">
        <v>3</v>
      </c>
      <c r="AD407" s="7" t="s">
        <v>1492</v>
      </c>
      <c r="AE407" s="7" t="s">
        <v>744</v>
      </c>
      <c r="AF407" s="7" t="s">
        <v>3376</v>
      </c>
      <c r="AG407" s="7"/>
      <c r="AH407" s="7"/>
      <c r="AI407" s="7"/>
      <c r="AJ407" s="7"/>
      <c r="AK407" s="7"/>
      <c r="AL407" s="7"/>
      <c r="AM407" s="7"/>
      <c r="AN407" s="7"/>
      <c r="AO407" s="7" t="s">
        <v>744</v>
      </c>
      <c r="AP407" s="7" t="s">
        <v>3345</v>
      </c>
      <c r="AQ407" s="7"/>
      <c r="AR407" s="7"/>
      <c r="AS407" s="7"/>
      <c r="AT407" s="7"/>
      <c r="AU407" s="7"/>
      <c r="AV407" s="7"/>
      <c r="AW407" s="7" t="s">
        <v>744</v>
      </c>
      <c r="AX407" s="7" t="s">
        <v>3375</v>
      </c>
      <c r="AY407" s="7"/>
      <c r="AZ407" s="7"/>
      <c r="BA407" s="7"/>
      <c r="BB407" s="7"/>
      <c r="BC407" s="7"/>
      <c r="BD407" s="7" t="s">
        <v>1343</v>
      </c>
      <c r="BE407" s="7" t="s">
        <v>127</v>
      </c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</row>
    <row r="408" customFormat="false" ht="15" hidden="false" customHeight="false" outlineLevel="0" collapsed="false">
      <c r="A408" s="7" t="s">
        <v>3377</v>
      </c>
      <c r="B408" s="7" t="s">
        <v>3378</v>
      </c>
      <c r="C408" s="7" t="s">
        <v>3379</v>
      </c>
      <c r="D408" s="7" t="s">
        <v>3380</v>
      </c>
      <c r="E408" s="7" t="s">
        <v>101</v>
      </c>
      <c r="F408" s="7" t="s">
        <v>82</v>
      </c>
      <c r="G408" s="7"/>
      <c r="H408" s="7" t="s">
        <v>102</v>
      </c>
      <c r="I408" s="7" t="s">
        <v>103</v>
      </c>
      <c r="J408" s="7" t="s">
        <v>104</v>
      </c>
      <c r="K408" s="7" t="s">
        <v>105</v>
      </c>
      <c r="L408" s="7" t="s">
        <v>106</v>
      </c>
      <c r="M408" s="7"/>
      <c r="N408" s="7" t="s">
        <v>3381</v>
      </c>
      <c r="O408" s="7" t="s">
        <v>3381</v>
      </c>
      <c r="P408" s="7" t="s">
        <v>135</v>
      </c>
      <c r="Q408" s="7"/>
      <c r="R408" s="7" t="s">
        <v>109</v>
      </c>
      <c r="S408" s="7" t="s">
        <v>110</v>
      </c>
      <c r="T408" s="7" t="n">
        <v>0.729</v>
      </c>
      <c r="U408" s="7" t="n">
        <v>2</v>
      </c>
      <c r="V408" s="7" t="s">
        <v>90</v>
      </c>
      <c r="W408" s="7"/>
      <c r="X408" s="7" t="s">
        <v>3112</v>
      </c>
      <c r="Y408" s="7" t="s">
        <v>3381</v>
      </c>
      <c r="Z408" s="7" t="s">
        <v>3382</v>
      </c>
      <c r="AA408" s="7"/>
      <c r="AB408" s="7"/>
      <c r="AC408" s="7" t="n">
        <v>0</v>
      </c>
      <c r="AD408" s="7" t="s">
        <v>388</v>
      </c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 t="s">
        <v>3383</v>
      </c>
      <c r="BE408" s="7" t="s">
        <v>127</v>
      </c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</row>
    <row r="409" customFormat="false" ht="15" hidden="false" customHeight="false" outlineLevel="0" collapsed="false">
      <c r="A409" s="7" t="s">
        <v>3384</v>
      </c>
      <c r="B409" s="7" t="s">
        <v>3385</v>
      </c>
      <c r="C409" s="7" t="s">
        <v>3386</v>
      </c>
      <c r="D409" s="7" t="s">
        <v>3337</v>
      </c>
      <c r="E409" s="7" t="s">
        <v>82</v>
      </c>
      <c r="F409" s="7" t="s">
        <v>82</v>
      </c>
      <c r="G409" s="7" t="s">
        <v>2200</v>
      </c>
      <c r="H409" s="7"/>
      <c r="I409" s="7" t="s">
        <v>158</v>
      </c>
      <c r="J409" s="7" t="s">
        <v>104</v>
      </c>
      <c r="K409" s="7" t="s">
        <v>105</v>
      </c>
      <c r="L409" s="7" t="s">
        <v>106</v>
      </c>
      <c r="M409" s="7"/>
      <c r="N409" s="7" t="s">
        <v>3387</v>
      </c>
      <c r="O409" s="7" t="s">
        <v>3387</v>
      </c>
      <c r="P409" s="7" t="s">
        <v>135</v>
      </c>
      <c r="Q409" s="7"/>
      <c r="R409" s="7" t="s">
        <v>109</v>
      </c>
      <c r="S409" s="7" t="s">
        <v>110</v>
      </c>
      <c r="T409" s="7" t="n">
        <v>0.498</v>
      </c>
      <c r="U409" s="7" t="n">
        <v>2</v>
      </c>
      <c r="V409" s="7" t="s">
        <v>90</v>
      </c>
      <c r="W409" s="7"/>
      <c r="X409" s="7"/>
      <c r="Y409" s="7" t="s">
        <v>3387</v>
      </c>
      <c r="Z409" s="7"/>
      <c r="AA409" s="7"/>
      <c r="AB409" s="7"/>
      <c r="AC409" s="7" t="n">
        <v>7</v>
      </c>
      <c r="AD409" s="7" t="s">
        <v>3388</v>
      </c>
      <c r="AE409" s="7" t="s">
        <v>1809</v>
      </c>
      <c r="AF409" s="7" t="s">
        <v>3386</v>
      </c>
      <c r="AG409" s="7"/>
      <c r="AH409" s="7"/>
      <c r="AI409" s="7" t="s">
        <v>248</v>
      </c>
      <c r="AJ409" s="7" t="s">
        <v>3389</v>
      </c>
      <c r="AK409" s="7"/>
      <c r="AL409" s="7"/>
      <c r="AM409" s="7"/>
      <c r="AN409" s="7"/>
      <c r="AO409" s="7" t="s">
        <v>1809</v>
      </c>
      <c r="AP409" s="7" t="s">
        <v>3337</v>
      </c>
      <c r="AQ409" s="7" t="s">
        <v>1809</v>
      </c>
      <c r="AR409" s="7" t="s">
        <v>82</v>
      </c>
      <c r="AS409" s="7" t="s">
        <v>248</v>
      </c>
      <c r="AT409" s="7" t="s">
        <v>216</v>
      </c>
      <c r="AU409" s="7"/>
      <c r="AV409" s="7"/>
      <c r="AW409" s="7" t="s">
        <v>1809</v>
      </c>
      <c r="AX409" s="7" t="s">
        <v>3387</v>
      </c>
      <c r="AY409" s="7"/>
      <c r="AZ409" s="7"/>
      <c r="BA409" s="7" t="s">
        <v>248</v>
      </c>
      <c r="BB409" s="7" t="s">
        <v>369</v>
      </c>
      <c r="BC409" s="7"/>
      <c r="BD409" s="7" t="s">
        <v>220</v>
      </c>
      <c r="BE409" s="7" t="s">
        <v>127</v>
      </c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</row>
    <row r="410" customFormat="false" ht="15" hidden="false" customHeight="false" outlineLevel="0" collapsed="false">
      <c r="A410" s="7" t="s">
        <v>3390</v>
      </c>
      <c r="B410" s="7" t="s">
        <v>3391</v>
      </c>
      <c r="C410" s="7" t="s">
        <v>3392</v>
      </c>
      <c r="D410" s="7" t="s">
        <v>3337</v>
      </c>
      <c r="E410" s="7" t="s">
        <v>82</v>
      </c>
      <c r="F410" s="7" t="s">
        <v>82</v>
      </c>
      <c r="G410" s="7" t="s">
        <v>2200</v>
      </c>
      <c r="H410" s="7"/>
      <c r="I410" s="7" t="s">
        <v>158</v>
      </c>
      <c r="J410" s="7" t="s">
        <v>104</v>
      </c>
      <c r="K410" s="7" t="s">
        <v>105</v>
      </c>
      <c r="L410" s="7" t="s">
        <v>106</v>
      </c>
      <c r="M410" s="7"/>
      <c r="N410" s="7" t="s">
        <v>3393</v>
      </c>
      <c r="O410" s="7" t="s">
        <v>3393</v>
      </c>
      <c r="P410" s="7" t="s">
        <v>84</v>
      </c>
      <c r="Q410" s="7"/>
      <c r="R410" s="7" t="s">
        <v>109</v>
      </c>
      <c r="S410" s="7" t="s">
        <v>110</v>
      </c>
      <c r="T410" s="7" t="n">
        <v>0.475</v>
      </c>
      <c r="U410" s="7" t="n">
        <v>2</v>
      </c>
      <c r="V410" s="7" t="s">
        <v>90</v>
      </c>
      <c r="W410" s="7"/>
      <c r="X410" s="7"/>
      <c r="Y410" s="7" t="s">
        <v>3393</v>
      </c>
      <c r="Z410" s="7"/>
      <c r="AA410" s="7"/>
      <c r="AB410" s="7"/>
      <c r="AC410" s="7" t="n">
        <v>6</v>
      </c>
      <c r="AD410" s="7" t="s">
        <v>734</v>
      </c>
      <c r="AE410" s="7" t="s">
        <v>248</v>
      </c>
      <c r="AF410" s="7" t="s">
        <v>3394</v>
      </c>
      <c r="AG410" s="7"/>
      <c r="AH410" s="7"/>
      <c r="AI410" s="7"/>
      <c r="AJ410" s="7"/>
      <c r="AK410" s="7"/>
      <c r="AL410" s="7"/>
      <c r="AM410" s="7"/>
      <c r="AN410" s="7"/>
      <c r="AO410" s="7" t="s">
        <v>1809</v>
      </c>
      <c r="AP410" s="7" t="s">
        <v>3337</v>
      </c>
      <c r="AQ410" s="7" t="s">
        <v>1809</v>
      </c>
      <c r="AR410" s="7" t="s">
        <v>82</v>
      </c>
      <c r="AS410" s="7" t="s">
        <v>248</v>
      </c>
      <c r="AT410" s="7" t="s">
        <v>216</v>
      </c>
      <c r="AU410" s="7"/>
      <c r="AV410" s="7"/>
      <c r="AW410" s="7" t="s">
        <v>1809</v>
      </c>
      <c r="AX410" s="7" t="s">
        <v>3393</v>
      </c>
      <c r="AY410" s="7"/>
      <c r="AZ410" s="7"/>
      <c r="BA410" s="7" t="s">
        <v>248</v>
      </c>
      <c r="BB410" s="7" t="s">
        <v>369</v>
      </c>
      <c r="BC410" s="7"/>
      <c r="BD410" s="7" t="s">
        <v>1606</v>
      </c>
      <c r="BE410" s="7" t="s">
        <v>127</v>
      </c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</row>
    <row r="411" customFormat="false" ht="15" hidden="false" customHeight="false" outlineLevel="0" collapsed="false">
      <c r="A411" s="7" t="s">
        <v>3395</v>
      </c>
      <c r="B411" s="7" t="s">
        <v>3396</v>
      </c>
      <c r="C411" s="7" t="s">
        <v>3397</v>
      </c>
      <c r="D411" s="7" t="s">
        <v>3337</v>
      </c>
      <c r="E411" s="7" t="s">
        <v>82</v>
      </c>
      <c r="F411" s="7" t="s">
        <v>82</v>
      </c>
      <c r="G411" s="7" t="s">
        <v>2200</v>
      </c>
      <c r="H411" s="7"/>
      <c r="I411" s="7" t="s">
        <v>158</v>
      </c>
      <c r="J411" s="7" t="s">
        <v>104</v>
      </c>
      <c r="K411" s="7" t="s">
        <v>105</v>
      </c>
      <c r="L411" s="7" t="s">
        <v>106</v>
      </c>
      <c r="M411" s="7"/>
      <c r="N411" s="7" t="s">
        <v>3398</v>
      </c>
      <c r="O411" s="7" t="s">
        <v>3399</v>
      </c>
      <c r="P411" s="7" t="s">
        <v>135</v>
      </c>
      <c r="Q411" s="7"/>
      <c r="R411" s="7" t="s">
        <v>109</v>
      </c>
      <c r="S411" s="7" t="s">
        <v>110</v>
      </c>
      <c r="T411" s="7" t="n">
        <v>0.67</v>
      </c>
      <c r="U411" s="7" t="n">
        <v>2</v>
      </c>
      <c r="V411" s="7" t="s">
        <v>90</v>
      </c>
      <c r="W411" s="7"/>
      <c r="X411" s="7"/>
      <c r="Y411" s="7" t="s">
        <v>3398</v>
      </c>
      <c r="Z411" s="7"/>
      <c r="AA411" s="7"/>
      <c r="AB411" s="7"/>
      <c r="AC411" s="7" t="n">
        <v>7</v>
      </c>
      <c r="AD411" s="7" t="s">
        <v>2173</v>
      </c>
      <c r="AE411" s="7" t="s">
        <v>248</v>
      </c>
      <c r="AF411" s="7" t="s">
        <v>3400</v>
      </c>
      <c r="AG411" s="7"/>
      <c r="AH411" s="7"/>
      <c r="AI411" s="7"/>
      <c r="AJ411" s="7"/>
      <c r="AK411" s="7"/>
      <c r="AL411" s="7"/>
      <c r="AM411" s="7"/>
      <c r="AN411" s="7"/>
      <c r="AO411" s="7" t="s">
        <v>248</v>
      </c>
      <c r="AP411" s="7" t="s">
        <v>3401</v>
      </c>
      <c r="AQ411" s="7" t="s">
        <v>1809</v>
      </c>
      <c r="AR411" s="7" t="s">
        <v>82</v>
      </c>
      <c r="AS411" s="7" t="s">
        <v>248</v>
      </c>
      <c r="AT411" s="7" t="s">
        <v>216</v>
      </c>
      <c r="AU411" s="7"/>
      <c r="AV411" s="7"/>
      <c r="AW411" s="7" t="s">
        <v>1809</v>
      </c>
      <c r="AX411" s="7" t="s">
        <v>3399</v>
      </c>
      <c r="AY411" s="7" t="s">
        <v>248</v>
      </c>
      <c r="AZ411" s="7" t="s">
        <v>295</v>
      </c>
      <c r="BA411" s="7" t="s">
        <v>248</v>
      </c>
      <c r="BB411" s="7" t="s">
        <v>369</v>
      </c>
      <c r="BC411" s="7"/>
      <c r="BD411" s="7" t="s">
        <v>1606</v>
      </c>
      <c r="BE411" s="7" t="s">
        <v>127</v>
      </c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</row>
    <row r="412" customFormat="false" ht="15" hidden="false" customHeight="false" outlineLevel="0" collapsed="false">
      <c r="A412" s="7" t="s">
        <v>3402</v>
      </c>
      <c r="B412" s="7" t="s">
        <v>3403</v>
      </c>
      <c r="C412" s="7" t="s">
        <v>3404</v>
      </c>
      <c r="D412" s="7" t="s">
        <v>3405</v>
      </c>
      <c r="E412" s="7" t="s">
        <v>82</v>
      </c>
      <c r="F412" s="7" t="s">
        <v>82</v>
      </c>
      <c r="G412" s="7" t="s">
        <v>3406</v>
      </c>
      <c r="H412" s="7"/>
      <c r="I412" s="7" t="s">
        <v>132</v>
      </c>
      <c r="J412" s="7" t="s">
        <v>104</v>
      </c>
      <c r="K412" s="7" t="s">
        <v>105</v>
      </c>
      <c r="L412" s="7" t="s">
        <v>106</v>
      </c>
      <c r="M412" s="7"/>
      <c r="N412" s="7" t="s">
        <v>3407</v>
      </c>
      <c r="O412" s="7" t="s">
        <v>3407</v>
      </c>
      <c r="P412" s="7" t="s">
        <v>84</v>
      </c>
      <c r="Q412" s="7"/>
      <c r="R412" s="7" t="s">
        <v>109</v>
      </c>
      <c r="S412" s="7" t="s">
        <v>110</v>
      </c>
      <c r="T412" s="7" t="n">
        <v>0.425</v>
      </c>
      <c r="U412" s="7" t="n">
        <v>2</v>
      </c>
      <c r="V412" s="7" t="s">
        <v>90</v>
      </c>
      <c r="W412" s="7"/>
      <c r="X412" s="7"/>
      <c r="Y412" s="7" t="s">
        <v>3407</v>
      </c>
      <c r="Z412" s="7"/>
      <c r="AA412" s="7"/>
      <c r="AB412" s="7"/>
      <c r="AC412" s="7" t="n">
        <v>10</v>
      </c>
      <c r="AD412" s="7" t="s">
        <v>3408</v>
      </c>
      <c r="AE412" s="7" t="s">
        <v>248</v>
      </c>
      <c r="AF412" s="7" t="s">
        <v>3409</v>
      </c>
      <c r="AG412" s="7"/>
      <c r="AH412" s="7"/>
      <c r="AI412" s="7" t="s">
        <v>248</v>
      </c>
      <c r="AJ412" s="7" t="s">
        <v>3410</v>
      </c>
      <c r="AK412" s="7" t="s">
        <v>248</v>
      </c>
      <c r="AL412" s="7" t="s">
        <v>3411</v>
      </c>
      <c r="AM412" s="7"/>
      <c r="AN412" s="7"/>
      <c r="AO412" s="7" t="s">
        <v>248</v>
      </c>
      <c r="AP412" s="7" t="s">
        <v>3412</v>
      </c>
      <c r="AQ412" s="7" t="s">
        <v>1809</v>
      </c>
      <c r="AR412" s="7" t="s">
        <v>82</v>
      </c>
      <c r="AS412" s="7" t="s">
        <v>248</v>
      </c>
      <c r="AT412" s="7" t="s">
        <v>216</v>
      </c>
      <c r="AU412" s="7" t="s">
        <v>248</v>
      </c>
      <c r="AV412" s="7" t="s">
        <v>3413</v>
      </c>
      <c r="AW412" s="7" t="s">
        <v>248</v>
      </c>
      <c r="AX412" s="7" t="s">
        <v>273</v>
      </c>
      <c r="AY412" s="7" t="s">
        <v>248</v>
      </c>
      <c r="AZ412" s="7" t="s">
        <v>124</v>
      </c>
      <c r="BA412" s="7" t="s">
        <v>248</v>
      </c>
      <c r="BB412" s="7" t="s">
        <v>369</v>
      </c>
      <c r="BC412" s="7"/>
      <c r="BD412" s="7" t="s">
        <v>220</v>
      </c>
      <c r="BE412" s="7" t="s">
        <v>127</v>
      </c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</row>
    <row r="413" customFormat="false" ht="15" hidden="false" customHeight="false" outlineLevel="0" collapsed="false">
      <c r="A413" s="7" t="s">
        <v>3414</v>
      </c>
      <c r="B413" s="7" t="s">
        <v>3415</v>
      </c>
      <c r="C413" s="7" t="s">
        <v>3416</v>
      </c>
      <c r="D413" s="7" t="s">
        <v>3405</v>
      </c>
      <c r="E413" s="7" t="s">
        <v>82</v>
      </c>
      <c r="F413" s="7" t="s">
        <v>82</v>
      </c>
      <c r="G413" s="7" t="s">
        <v>3406</v>
      </c>
      <c r="H413" s="7"/>
      <c r="I413" s="7" t="s">
        <v>132</v>
      </c>
      <c r="J413" s="7" t="s">
        <v>104</v>
      </c>
      <c r="K413" s="7" t="s">
        <v>105</v>
      </c>
      <c r="L413" s="7" t="s">
        <v>106</v>
      </c>
      <c r="M413" s="7"/>
      <c r="N413" s="7" t="s">
        <v>3417</v>
      </c>
      <c r="O413" s="7" t="s">
        <v>3417</v>
      </c>
      <c r="P413" s="7" t="s">
        <v>84</v>
      </c>
      <c r="Q413" s="7"/>
      <c r="R413" s="7" t="s">
        <v>109</v>
      </c>
      <c r="S413" s="7" t="s">
        <v>110</v>
      </c>
      <c r="T413" s="7" t="n">
        <v>0.425</v>
      </c>
      <c r="U413" s="7" t="n">
        <v>2</v>
      </c>
      <c r="V413" s="7" t="s">
        <v>90</v>
      </c>
      <c r="W413" s="7"/>
      <c r="X413" s="7"/>
      <c r="Y413" s="7" t="s">
        <v>3417</v>
      </c>
      <c r="Z413" s="7"/>
      <c r="AA413" s="7"/>
      <c r="AB413" s="7"/>
      <c r="AC413" s="7" t="n">
        <v>9</v>
      </c>
      <c r="AD413" s="7" t="s">
        <v>405</v>
      </c>
      <c r="AE413" s="7" t="s">
        <v>248</v>
      </c>
      <c r="AF413" s="7" t="s">
        <v>3418</v>
      </c>
      <c r="AG413" s="7"/>
      <c r="AH413" s="7"/>
      <c r="AI413" s="7"/>
      <c r="AJ413" s="7"/>
      <c r="AK413" s="7"/>
      <c r="AL413" s="7"/>
      <c r="AM413" s="7" t="s">
        <v>248</v>
      </c>
      <c r="AN413" s="7" t="s">
        <v>3419</v>
      </c>
      <c r="AO413" s="7" t="s">
        <v>248</v>
      </c>
      <c r="AP413" s="7" t="s">
        <v>3412</v>
      </c>
      <c r="AQ413" s="7" t="s">
        <v>1809</v>
      </c>
      <c r="AR413" s="7" t="s">
        <v>82</v>
      </c>
      <c r="AS413" s="7" t="s">
        <v>248</v>
      </c>
      <c r="AT413" s="7" t="s">
        <v>216</v>
      </c>
      <c r="AU413" s="7" t="s">
        <v>248</v>
      </c>
      <c r="AV413" s="7" t="s">
        <v>3420</v>
      </c>
      <c r="AW413" s="7" t="s">
        <v>248</v>
      </c>
      <c r="AX413" s="7" t="s">
        <v>412</v>
      </c>
      <c r="AY413" s="7" t="s">
        <v>248</v>
      </c>
      <c r="AZ413" s="7" t="s">
        <v>124</v>
      </c>
      <c r="BA413" s="7" t="s">
        <v>248</v>
      </c>
      <c r="BB413" s="7" t="s">
        <v>369</v>
      </c>
      <c r="BC413" s="7"/>
      <c r="BD413" s="7" t="s">
        <v>220</v>
      </c>
      <c r="BE413" s="7" t="s">
        <v>127</v>
      </c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</row>
    <row r="414" customFormat="false" ht="15" hidden="false" customHeight="false" outlineLevel="0" collapsed="false">
      <c r="A414" s="7" t="s">
        <v>3421</v>
      </c>
      <c r="B414" s="7" t="s">
        <v>3422</v>
      </c>
      <c r="C414" s="7" t="s">
        <v>3423</v>
      </c>
      <c r="D414" s="7" t="s">
        <v>3405</v>
      </c>
      <c r="E414" s="7" t="s">
        <v>82</v>
      </c>
      <c r="F414" s="7" t="s">
        <v>82</v>
      </c>
      <c r="G414" s="7" t="s">
        <v>3406</v>
      </c>
      <c r="H414" s="7"/>
      <c r="I414" s="7" t="s">
        <v>158</v>
      </c>
      <c r="J414" s="7" t="s">
        <v>104</v>
      </c>
      <c r="K414" s="7" t="s">
        <v>105</v>
      </c>
      <c r="L414" s="7" t="s">
        <v>106</v>
      </c>
      <c r="M414" s="7"/>
      <c r="N414" s="7" t="s">
        <v>3424</v>
      </c>
      <c r="O414" s="7" t="s">
        <v>3425</v>
      </c>
      <c r="P414" s="7" t="s">
        <v>84</v>
      </c>
      <c r="Q414" s="7"/>
      <c r="R414" s="7" t="s">
        <v>109</v>
      </c>
      <c r="S414" s="7" t="s">
        <v>110</v>
      </c>
      <c r="T414" s="7" t="n">
        <v>0.418</v>
      </c>
      <c r="U414" s="7" t="n">
        <v>2</v>
      </c>
      <c r="V414" s="7" t="s">
        <v>90</v>
      </c>
      <c r="W414" s="7"/>
      <c r="X414" s="7"/>
      <c r="Y414" s="7" t="s">
        <v>3424</v>
      </c>
      <c r="Z414" s="7"/>
      <c r="AA414" s="7"/>
      <c r="AB414" s="7"/>
      <c r="AC414" s="7" t="n">
        <v>6</v>
      </c>
      <c r="AD414" s="7" t="s">
        <v>3426</v>
      </c>
      <c r="AE414" s="7" t="s">
        <v>248</v>
      </c>
      <c r="AF414" s="7" t="s">
        <v>3427</v>
      </c>
      <c r="AG414" s="7"/>
      <c r="AH414" s="7"/>
      <c r="AI414" s="7"/>
      <c r="AJ414" s="7"/>
      <c r="AK414" s="7"/>
      <c r="AL414" s="7"/>
      <c r="AM414" s="7" t="s">
        <v>248</v>
      </c>
      <c r="AN414" s="7" t="s">
        <v>3428</v>
      </c>
      <c r="AO414" s="7" t="s">
        <v>248</v>
      </c>
      <c r="AP414" s="7" t="s">
        <v>3429</v>
      </c>
      <c r="AQ414" s="7" t="s">
        <v>1809</v>
      </c>
      <c r="AR414" s="7" t="s">
        <v>82</v>
      </c>
      <c r="AS414" s="7" t="s">
        <v>248</v>
      </c>
      <c r="AT414" s="7" t="s">
        <v>216</v>
      </c>
      <c r="AU414" s="7"/>
      <c r="AV414" s="7"/>
      <c r="AW414" s="7" t="s">
        <v>248</v>
      </c>
      <c r="AX414" s="7" t="s">
        <v>273</v>
      </c>
      <c r="AY414" s="7"/>
      <c r="AZ414" s="7"/>
      <c r="BA414" s="7"/>
      <c r="BB414" s="7"/>
      <c r="BC414" s="7"/>
      <c r="BD414" s="7" t="s">
        <v>220</v>
      </c>
      <c r="BE414" s="7" t="s">
        <v>127</v>
      </c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</row>
    <row r="415" customFormat="false" ht="15" hidden="false" customHeight="false" outlineLevel="0" collapsed="false">
      <c r="A415" s="7" t="s">
        <v>3430</v>
      </c>
      <c r="B415" s="7" t="s">
        <v>3431</v>
      </c>
      <c r="C415" s="7" t="s">
        <v>3432</v>
      </c>
      <c r="D415" s="7" t="s">
        <v>1478</v>
      </c>
      <c r="E415" s="7" t="s">
        <v>82</v>
      </c>
      <c r="F415" s="7" t="s">
        <v>82</v>
      </c>
      <c r="G415" s="7"/>
      <c r="H415" s="7" t="s">
        <v>207</v>
      </c>
      <c r="I415" s="7" t="s">
        <v>103</v>
      </c>
      <c r="J415" s="7" t="s">
        <v>104</v>
      </c>
      <c r="K415" s="7" t="s">
        <v>105</v>
      </c>
      <c r="L415" s="7" t="s">
        <v>106</v>
      </c>
      <c r="M415" s="7"/>
      <c r="N415" s="7" t="s">
        <v>3433</v>
      </c>
      <c r="O415" s="7"/>
      <c r="P415" s="7" t="s">
        <v>84</v>
      </c>
      <c r="Q415" s="7"/>
      <c r="R415" s="7"/>
      <c r="S415" s="7"/>
      <c r="T415" s="7" t="n">
        <v>0.512</v>
      </c>
      <c r="U415" s="7" t="n">
        <v>2</v>
      </c>
      <c r="V415" s="7" t="s">
        <v>111</v>
      </c>
      <c r="W415" s="7"/>
      <c r="X415" s="7"/>
      <c r="Y415" s="7" t="s">
        <v>3433</v>
      </c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 t="s">
        <v>1466</v>
      </c>
      <c r="BE415" s="7" t="s">
        <v>127</v>
      </c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</row>
    <row r="416" customFormat="false" ht="15" hidden="false" customHeight="false" outlineLevel="0" collapsed="false">
      <c r="A416" s="7" t="s">
        <v>3434</v>
      </c>
      <c r="B416" s="7" t="s">
        <v>3435</v>
      </c>
      <c r="C416" s="7" t="s">
        <v>3436</v>
      </c>
      <c r="D416" s="7" t="s">
        <v>2207</v>
      </c>
      <c r="E416" s="7" t="s">
        <v>82</v>
      </c>
      <c r="F416" s="7" t="s">
        <v>82</v>
      </c>
      <c r="G416" s="7"/>
      <c r="H416" s="7" t="s">
        <v>207</v>
      </c>
      <c r="I416" s="7" t="s">
        <v>132</v>
      </c>
      <c r="J416" s="7" t="s">
        <v>104</v>
      </c>
      <c r="K416" s="7" t="s">
        <v>105</v>
      </c>
      <c r="L416" s="7" t="s">
        <v>106</v>
      </c>
      <c r="M416" s="7"/>
      <c r="N416" s="7" t="s">
        <v>3437</v>
      </c>
      <c r="O416" s="7" t="s">
        <v>3437</v>
      </c>
      <c r="P416" s="7" t="s">
        <v>135</v>
      </c>
      <c r="Q416" s="7"/>
      <c r="R416" s="7" t="s">
        <v>109</v>
      </c>
      <c r="S416" s="7" t="s">
        <v>110</v>
      </c>
      <c r="T416" s="7" t="n">
        <v>0.483</v>
      </c>
      <c r="U416" s="7" t="n">
        <v>2</v>
      </c>
      <c r="V416" s="7" t="s">
        <v>552</v>
      </c>
      <c r="W416" s="7"/>
      <c r="X416" s="7"/>
      <c r="Y416" s="7" t="s">
        <v>3437</v>
      </c>
      <c r="Z416" s="7"/>
      <c r="AA416" s="7"/>
      <c r="AB416" s="7"/>
      <c r="AC416" s="7" t="n">
        <v>0</v>
      </c>
      <c r="AD416" s="7" t="s">
        <v>388</v>
      </c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 t="s">
        <v>2210</v>
      </c>
      <c r="BE416" s="7" t="s">
        <v>127</v>
      </c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</row>
    <row r="417" customFormat="false" ht="15" hidden="false" customHeight="false" outlineLevel="0" collapsed="false">
      <c r="A417" s="7" t="s">
        <v>3438</v>
      </c>
      <c r="B417" s="7" t="s">
        <v>3439</v>
      </c>
      <c r="C417" s="7" t="s">
        <v>3440</v>
      </c>
      <c r="D417" s="7" t="s">
        <v>258</v>
      </c>
      <c r="E417" s="7" t="s">
        <v>82</v>
      </c>
      <c r="F417" s="7" t="s">
        <v>82</v>
      </c>
      <c r="G417" s="7"/>
      <c r="H417" s="7"/>
      <c r="I417" s="7" t="s">
        <v>234</v>
      </c>
      <c r="J417" s="7" t="s">
        <v>104</v>
      </c>
      <c r="K417" s="7" t="s">
        <v>105</v>
      </c>
      <c r="L417" s="7" t="s">
        <v>235</v>
      </c>
      <c r="M417" s="7"/>
      <c r="N417" s="7" t="s">
        <v>2713</v>
      </c>
      <c r="O417" s="7" t="s">
        <v>2713</v>
      </c>
      <c r="P417" s="7" t="s">
        <v>109</v>
      </c>
      <c r="Q417" s="7"/>
      <c r="R417" s="7" t="s">
        <v>109</v>
      </c>
      <c r="S417" s="7" t="s">
        <v>110</v>
      </c>
      <c r="T417" s="7" t="n">
        <v>0.4</v>
      </c>
      <c r="U417" s="7" t="n">
        <v>2</v>
      </c>
      <c r="V417" s="7" t="s">
        <v>1156</v>
      </c>
      <c r="W417" s="7" t="s">
        <v>3441</v>
      </c>
      <c r="X417" s="7"/>
      <c r="Y417" s="7" t="s">
        <v>3442</v>
      </c>
      <c r="Z417" s="7"/>
      <c r="AA417" s="7"/>
      <c r="AB417" s="7"/>
      <c r="AC417" s="7" t="n">
        <v>4</v>
      </c>
      <c r="AD417" s="7" t="s">
        <v>1376</v>
      </c>
      <c r="AE417" s="7" t="s">
        <v>2032</v>
      </c>
      <c r="AF417" s="7" t="s">
        <v>3440</v>
      </c>
      <c r="AG417" s="7"/>
      <c r="AH417" s="7"/>
      <c r="AI417" s="7"/>
      <c r="AJ417" s="7"/>
      <c r="AK417" s="7"/>
      <c r="AL417" s="7"/>
      <c r="AM417" s="7"/>
      <c r="AN417" s="7"/>
      <c r="AO417" s="7" t="s">
        <v>2032</v>
      </c>
      <c r="AP417" s="7" t="s">
        <v>258</v>
      </c>
      <c r="AQ417" s="7" t="s">
        <v>2032</v>
      </c>
      <c r="AR417" s="7" t="s">
        <v>82</v>
      </c>
      <c r="AS417" s="7"/>
      <c r="AT417" s="7"/>
      <c r="AU417" s="7"/>
      <c r="AV417" s="7"/>
      <c r="AW417" s="7" t="s">
        <v>2032</v>
      </c>
      <c r="AX417" s="7" t="s">
        <v>2713</v>
      </c>
      <c r="AY417" s="7"/>
      <c r="AZ417" s="7"/>
      <c r="BA417" s="7"/>
      <c r="BB417" s="7"/>
      <c r="BC417" s="7"/>
      <c r="BD417" s="7" t="s">
        <v>3443</v>
      </c>
      <c r="BE417" s="7" t="s">
        <v>127</v>
      </c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</row>
    <row r="418" customFormat="false" ht="15" hidden="false" customHeight="false" outlineLevel="0" collapsed="false">
      <c r="A418" s="7" t="s">
        <v>3444</v>
      </c>
      <c r="B418" s="7" t="s">
        <v>3445</v>
      </c>
      <c r="C418" s="7" t="s">
        <v>3446</v>
      </c>
      <c r="D418" s="7" t="s">
        <v>3337</v>
      </c>
      <c r="E418" s="7" t="s">
        <v>101</v>
      </c>
      <c r="F418" s="7" t="s">
        <v>82</v>
      </c>
      <c r="G418" s="7" t="s">
        <v>2200</v>
      </c>
      <c r="H418" s="7" t="s">
        <v>102</v>
      </c>
      <c r="I418" s="7" t="s">
        <v>158</v>
      </c>
      <c r="J418" s="7" t="s">
        <v>104</v>
      </c>
      <c r="K418" s="7" t="s">
        <v>105</v>
      </c>
      <c r="L418" s="7" t="s">
        <v>106</v>
      </c>
      <c r="M418" s="7" t="s">
        <v>3447</v>
      </c>
      <c r="N418" s="7" t="s">
        <v>3448</v>
      </c>
      <c r="O418" s="7" t="s">
        <v>3448</v>
      </c>
      <c r="P418" s="7" t="s">
        <v>84</v>
      </c>
      <c r="Q418" s="7"/>
      <c r="R418" s="7" t="s">
        <v>109</v>
      </c>
      <c r="S418" s="7" t="s">
        <v>110</v>
      </c>
      <c r="T418" s="7" t="n">
        <v>0.513</v>
      </c>
      <c r="U418" s="7" t="n">
        <v>2</v>
      </c>
      <c r="V418" s="7" t="s">
        <v>479</v>
      </c>
      <c r="W418" s="7"/>
      <c r="X418" s="7"/>
      <c r="Y418" s="7" t="s">
        <v>3448</v>
      </c>
      <c r="Z418" s="7"/>
      <c r="AA418" s="7"/>
      <c r="AB418" s="7"/>
      <c r="AC418" s="7" t="n">
        <v>10</v>
      </c>
      <c r="AD418" s="7" t="s">
        <v>359</v>
      </c>
      <c r="AE418" s="7" t="s">
        <v>265</v>
      </c>
      <c r="AF418" s="7" t="s">
        <v>3449</v>
      </c>
      <c r="AG418" s="7" t="s">
        <v>115</v>
      </c>
      <c r="AH418" s="7" t="s">
        <v>116</v>
      </c>
      <c r="AI418" s="7"/>
      <c r="AJ418" s="7"/>
      <c r="AK418" s="7"/>
      <c r="AL418" s="7"/>
      <c r="AM418" s="7" t="s">
        <v>265</v>
      </c>
      <c r="AN418" s="7" t="s">
        <v>3450</v>
      </c>
      <c r="AO418" s="7" t="s">
        <v>265</v>
      </c>
      <c r="AP418" s="7" t="s">
        <v>3337</v>
      </c>
      <c r="AQ418" s="7" t="s">
        <v>265</v>
      </c>
      <c r="AR418" s="7" t="s">
        <v>82</v>
      </c>
      <c r="AS418" s="7" t="s">
        <v>265</v>
      </c>
      <c r="AT418" s="7" t="s">
        <v>216</v>
      </c>
      <c r="AU418" s="7" t="s">
        <v>265</v>
      </c>
      <c r="AV418" s="7" t="s">
        <v>3451</v>
      </c>
      <c r="AW418" s="7" t="s">
        <v>265</v>
      </c>
      <c r="AX418" s="7" t="s">
        <v>326</v>
      </c>
      <c r="AY418" s="7" t="s">
        <v>265</v>
      </c>
      <c r="AZ418" s="7" t="s">
        <v>124</v>
      </c>
      <c r="BA418" s="7" t="s">
        <v>265</v>
      </c>
      <c r="BB418" s="7" t="s">
        <v>369</v>
      </c>
      <c r="BC418" s="7" t="s">
        <v>125</v>
      </c>
      <c r="BD418" s="7" t="s">
        <v>3452</v>
      </c>
      <c r="BE418" s="7" t="s">
        <v>127</v>
      </c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</row>
    <row r="419" customFormat="false" ht="15" hidden="false" customHeight="false" outlineLevel="0" collapsed="false">
      <c r="A419" s="7" t="s">
        <v>3453</v>
      </c>
      <c r="B419" s="7" t="s">
        <v>3454</v>
      </c>
      <c r="C419" s="7" t="s">
        <v>3455</v>
      </c>
      <c r="D419" s="7" t="s">
        <v>3456</v>
      </c>
      <c r="E419" s="7" t="s">
        <v>101</v>
      </c>
      <c r="F419" s="7" t="s">
        <v>82</v>
      </c>
      <c r="G419" s="7"/>
      <c r="H419" s="7" t="s">
        <v>102</v>
      </c>
      <c r="I419" s="7" t="s">
        <v>158</v>
      </c>
      <c r="J419" s="7" t="s">
        <v>104</v>
      </c>
      <c r="K419" s="7" t="s">
        <v>105</v>
      </c>
      <c r="L419" s="7" t="s">
        <v>106</v>
      </c>
      <c r="M419" s="7"/>
      <c r="N419" s="7" t="s">
        <v>3457</v>
      </c>
      <c r="O419" s="7" t="s">
        <v>3457</v>
      </c>
      <c r="P419" s="7" t="s">
        <v>84</v>
      </c>
      <c r="Q419" s="7"/>
      <c r="R419" s="7" t="s">
        <v>109</v>
      </c>
      <c r="S419" s="7" t="s">
        <v>110</v>
      </c>
      <c r="T419" s="7" t="n">
        <v>0.355</v>
      </c>
      <c r="U419" s="7" t="n">
        <v>2</v>
      </c>
      <c r="V419" s="7" t="s">
        <v>479</v>
      </c>
      <c r="W419" s="7"/>
      <c r="X419" s="7"/>
      <c r="Y419" s="7" t="s">
        <v>3457</v>
      </c>
      <c r="Z419" s="7"/>
      <c r="AA419" s="7"/>
      <c r="AB419" s="7"/>
      <c r="AC419" s="7" t="n">
        <v>0</v>
      </c>
      <c r="AD419" s="7" t="s">
        <v>388</v>
      </c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 t="s">
        <v>2210</v>
      </c>
      <c r="BE419" s="7" t="s">
        <v>127</v>
      </c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</row>
    <row r="420" customFormat="false" ht="15" hidden="false" customHeight="false" outlineLevel="0" collapsed="false">
      <c r="A420" s="7" t="s">
        <v>3458</v>
      </c>
      <c r="B420" s="7" t="s">
        <v>3459</v>
      </c>
      <c r="C420" s="7" t="s">
        <v>3460</v>
      </c>
      <c r="D420" s="7" t="s">
        <v>3461</v>
      </c>
      <c r="E420" s="7" t="s">
        <v>82</v>
      </c>
      <c r="F420" s="7" t="s">
        <v>82</v>
      </c>
      <c r="G420" s="7"/>
      <c r="H420" s="7"/>
      <c r="I420" s="7" t="s">
        <v>158</v>
      </c>
      <c r="J420" s="7" t="s">
        <v>104</v>
      </c>
      <c r="K420" s="7" t="s">
        <v>105</v>
      </c>
      <c r="L420" s="7" t="s">
        <v>106</v>
      </c>
      <c r="M420" s="7"/>
      <c r="N420" s="7" t="s">
        <v>3462</v>
      </c>
      <c r="O420" s="7" t="s">
        <v>3462</v>
      </c>
      <c r="P420" s="7" t="s">
        <v>109</v>
      </c>
      <c r="Q420" s="7"/>
      <c r="R420" s="7" t="s">
        <v>109</v>
      </c>
      <c r="S420" s="7" t="s">
        <v>110</v>
      </c>
      <c r="T420" s="7" t="n">
        <v>0.538</v>
      </c>
      <c r="U420" s="7" t="n">
        <v>2</v>
      </c>
      <c r="V420" s="7" t="s">
        <v>1717</v>
      </c>
      <c r="W420" s="7"/>
      <c r="X420" s="7" t="s">
        <v>3463</v>
      </c>
      <c r="Y420" s="7" t="s">
        <v>3464</v>
      </c>
      <c r="Z420" s="7"/>
      <c r="AA420" s="7"/>
      <c r="AB420" s="7"/>
      <c r="AC420" s="7" t="n">
        <v>5</v>
      </c>
      <c r="AD420" s="7" t="s">
        <v>743</v>
      </c>
      <c r="AE420" s="7" t="s">
        <v>744</v>
      </c>
      <c r="AF420" s="7" t="s">
        <v>3460</v>
      </c>
      <c r="AG420" s="7" t="s">
        <v>744</v>
      </c>
      <c r="AH420" s="7" t="s">
        <v>3465</v>
      </c>
      <c r="AI420" s="7"/>
      <c r="AJ420" s="7"/>
      <c r="AK420" s="7"/>
      <c r="AL420" s="7"/>
      <c r="AM420" s="7"/>
      <c r="AN420" s="7"/>
      <c r="AO420" s="7" t="s">
        <v>744</v>
      </c>
      <c r="AP420" s="7" t="s">
        <v>3461</v>
      </c>
      <c r="AQ420" s="7" t="s">
        <v>744</v>
      </c>
      <c r="AR420" s="7" t="s">
        <v>82</v>
      </c>
      <c r="AS420" s="7"/>
      <c r="AT420" s="7"/>
      <c r="AU420" s="7"/>
      <c r="AV420" s="7"/>
      <c r="AW420" s="7" t="s">
        <v>744</v>
      </c>
      <c r="AX420" s="7" t="s">
        <v>3462</v>
      </c>
      <c r="AY420" s="7"/>
      <c r="AZ420" s="7"/>
      <c r="BA420" s="7"/>
      <c r="BB420" s="7"/>
      <c r="BC420" s="7"/>
      <c r="BD420" s="7" t="s">
        <v>3466</v>
      </c>
      <c r="BE420" s="7" t="s">
        <v>127</v>
      </c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</row>
    <row r="421" customFormat="false" ht="15" hidden="false" customHeight="false" outlineLevel="0" collapsed="false">
      <c r="A421" s="7" t="s">
        <v>3467</v>
      </c>
      <c r="B421" s="7" t="s">
        <v>3468</v>
      </c>
      <c r="C421" s="7" t="s">
        <v>3469</v>
      </c>
      <c r="D421" s="7" t="s">
        <v>3461</v>
      </c>
      <c r="E421" s="7" t="s">
        <v>82</v>
      </c>
      <c r="F421" s="7" t="s">
        <v>82</v>
      </c>
      <c r="G421" s="7"/>
      <c r="H421" s="7"/>
      <c r="I421" s="7" t="s">
        <v>158</v>
      </c>
      <c r="J421" s="7" t="s">
        <v>104</v>
      </c>
      <c r="K421" s="7" t="s">
        <v>105</v>
      </c>
      <c r="L421" s="7" t="s">
        <v>106</v>
      </c>
      <c r="M421" s="7"/>
      <c r="N421" s="7" t="s">
        <v>3462</v>
      </c>
      <c r="O421" s="7" t="s">
        <v>3462</v>
      </c>
      <c r="P421" s="7" t="s">
        <v>109</v>
      </c>
      <c r="Q421" s="7"/>
      <c r="R421" s="7" t="s">
        <v>109</v>
      </c>
      <c r="S421" s="7" t="s">
        <v>110</v>
      </c>
      <c r="T421" s="7" t="n">
        <v>0.441</v>
      </c>
      <c r="U421" s="7" t="n">
        <v>2</v>
      </c>
      <c r="V421" s="7" t="s">
        <v>1717</v>
      </c>
      <c r="W421" s="7"/>
      <c r="X421" s="7" t="s">
        <v>3463</v>
      </c>
      <c r="Y421" s="7" t="s">
        <v>3464</v>
      </c>
      <c r="Z421" s="7"/>
      <c r="AA421" s="7"/>
      <c r="AB421" s="7"/>
      <c r="AC421" s="7" t="n">
        <v>5</v>
      </c>
      <c r="AD421" s="7" t="s">
        <v>743</v>
      </c>
      <c r="AE421" s="7" t="s">
        <v>744</v>
      </c>
      <c r="AF421" s="7" t="s">
        <v>3469</v>
      </c>
      <c r="AG421" s="7" t="s">
        <v>744</v>
      </c>
      <c r="AH421" s="7" t="s">
        <v>3465</v>
      </c>
      <c r="AI421" s="7"/>
      <c r="AJ421" s="7"/>
      <c r="AK421" s="7"/>
      <c r="AL421" s="7"/>
      <c r="AM421" s="7"/>
      <c r="AN421" s="7"/>
      <c r="AO421" s="7" t="s">
        <v>744</v>
      </c>
      <c r="AP421" s="7" t="s">
        <v>3461</v>
      </c>
      <c r="AQ421" s="7" t="s">
        <v>744</v>
      </c>
      <c r="AR421" s="7" t="s">
        <v>82</v>
      </c>
      <c r="AS421" s="7"/>
      <c r="AT421" s="7"/>
      <c r="AU421" s="7"/>
      <c r="AV421" s="7"/>
      <c r="AW421" s="7" t="s">
        <v>744</v>
      </c>
      <c r="AX421" s="7" t="s">
        <v>3462</v>
      </c>
      <c r="AY421" s="7"/>
      <c r="AZ421" s="7"/>
      <c r="BA421" s="7"/>
      <c r="BB421" s="7"/>
      <c r="BC421" s="7"/>
      <c r="BD421" s="7" t="s">
        <v>3466</v>
      </c>
      <c r="BE421" s="7" t="s">
        <v>127</v>
      </c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</row>
    <row r="422" customFormat="false" ht="15" hidden="false" customHeight="false" outlineLevel="0" collapsed="false">
      <c r="A422" s="7" t="s">
        <v>3470</v>
      </c>
      <c r="B422" s="7" t="s">
        <v>3471</v>
      </c>
      <c r="C422" s="7" t="s">
        <v>3472</v>
      </c>
      <c r="D422" s="7" t="s">
        <v>3461</v>
      </c>
      <c r="E422" s="7" t="s">
        <v>82</v>
      </c>
      <c r="F422" s="7" t="s">
        <v>82</v>
      </c>
      <c r="G422" s="7"/>
      <c r="H422" s="7"/>
      <c r="I422" s="7" t="s">
        <v>158</v>
      </c>
      <c r="J422" s="7" t="s">
        <v>104</v>
      </c>
      <c r="K422" s="7" t="s">
        <v>105</v>
      </c>
      <c r="L422" s="7" t="s">
        <v>106</v>
      </c>
      <c r="M422" s="7"/>
      <c r="N422" s="7" t="s">
        <v>3462</v>
      </c>
      <c r="O422" s="7" t="s">
        <v>3462</v>
      </c>
      <c r="P422" s="7" t="s">
        <v>109</v>
      </c>
      <c r="Q422" s="7"/>
      <c r="R422" s="7" t="s">
        <v>109</v>
      </c>
      <c r="S422" s="7" t="s">
        <v>110</v>
      </c>
      <c r="T422" s="7" t="n">
        <v>0.499</v>
      </c>
      <c r="U422" s="7" t="n">
        <v>2</v>
      </c>
      <c r="V422" s="7" t="s">
        <v>1717</v>
      </c>
      <c r="W422" s="7"/>
      <c r="X422" s="7" t="s">
        <v>3463</v>
      </c>
      <c r="Y422" s="7" t="s">
        <v>3464</v>
      </c>
      <c r="Z422" s="7"/>
      <c r="AA422" s="7"/>
      <c r="AB422" s="7"/>
      <c r="AC422" s="7" t="n">
        <v>5</v>
      </c>
      <c r="AD422" s="7" t="s">
        <v>743</v>
      </c>
      <c r="AE422" s="7" t="s">
        <v>744</v>
      </c>
      <c r="AF422" s="7" t="s">
        <v>3472</v>
      </c>
      <c r="AG422" s="7" t="s">
        <v>744</v>
      </c>
      <c r="AH422" s="7" t="s">
        <v>3465</v>
      </c>
      <c r="AI422" s="7"/>
      <c r="AJ422" s="7"/>
      <c r="AK422" s="7"/>
      <c r="AL422" s="7"/>
      <c r="AM422" s="7"/>
      <c r="AN422" s="7"/>
      <c r="AO422" s="7" t="s">
        <v>744</v>
      </c>
      <c r="AP422" s="7" t="s">
        <v>3461</v>
      </c>
      <c r="AQ422" s="7" t="s">
        <v>744</v>
      </c>
      <c r="AR422" s="7" t="s">
        <v>82</v>
      </c>
      <c r="AS422" s="7"/>
      <c r="AT422" s="7"/>
      <c r="AU422" s="7"/>
      <c r="AV422" s="7"/>
      <c r="AW422" s="7" t="s">
        <v>744</v>
      </c>
      <c r="AX422" s="7" t="s">
        <v>3462</v>
      </c>
      <c r="AY422" s="7"/>
      <c r="AZ422" s="7"/>
      <c r="BA422" s="7"/>
      <c r="BB422" s="7"/>
      <c r="BC422" s="7"/>
      <c r="BD422" s="7" t="s">
        <v>3466</v>
      </c>
      <c r="BE422" s="7" t="s">
        <v>127</v>
      </c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</row>
    <row r="423" customFormat="false" ht="15" hidden="false" customHeight="false" outlineLevel="0" collapsed="false">
      <c r="A423" s="7" t="s">
        <v>3473</v>
      </c>
      <c r="B423" s="7" t="s">
        <v>3474</v>
      </c>
      <c r="C423" s="7" t="s">
        <v>3475</v>
      </c>
      <c r="D423" s="7" t="s">
        <v>3461</v>
      </c>
      <c r="E423" s="7" t="s">
        <v>82</v>
      </c>
      <c r="F423" s="7" t="s">
        <v>82</v>
      </c>
      <c r="G423" s="7"/>
      <c r="H423" s="7"/>
      <c r="I423" s="7" t="s">
        <v>158</v>
      </c>
      <c r="J423" s="7" t="s">
        <v>104</v>
      </c>
      <c r="K423" s="7" t="s">
        <v>105</v>
      </c>
      <c r="L423" s="7" t="s">
        <v>106</v>
      </c>
      <c r="M423" s="7"/>
      <c r="N423" s="7" t="s">
        <v>3462</v>
      </c>
      <c r="O423" s="7" t="s">
        <v>3462</v>
      </c>
      <c r="P423" s="7" t="s">
        <v>109</v>
      </c>
      <c r="Q423" s="7"/>
      <c r="R423" s="7" t="s">
        <v>109</v>
      </c>
      <c r="S423" s="7" t="s">
        <v>110</v>
      </c>
      <c r="T423" s="7" t="n">
        <v>0.503</v>
      </c>
      <c r="U423" s="7" t="n">
        <v>2</v>
      </c>
      <c r="V423" s="7" t="s">
        <v>1717</v>
      </c>
      <c r="W423" s="7"/>
      <c r="X423" s="7" t="s">
        <v>3463</v>
      </c>
      <c r="Y423" s="7" t="s">
        <v>3464</v>
      </c>
      <c r="Z423" s="7"/>
      <c r="AA423" s="7"/>
      <c r="AB423" s="7"/>
      <c r="AC423" s="7" t="n">
        <v>5</v>
      </c>
      <c r="AD423" s="7" t="s">
        <v>743</v>
      </c>
      <c r="AE423" s="7" t="s">
        <v>744</v>
      </c>
      <c r="AF423" s="7" t="s">
        <v>3475</v>
      </c>
      <c r="AG423" s="7" t="s">
        <v>744</v>
      </c>
      <c r="AH423" s="7" t="s">
        <v>3465</v>
      </c>
      <c r="AI423" s="7"/>
      <c r="AJ423" s="7"/>
      <c r="AK423" s="7"/>
      <c r="AL423" s="7"/>
      <c r="AM423" s="7"/>
      <c r="AN423" s="7"/>
      <c r="AO423" s="7" t="s">
        <v>744</v>
      </c>
      <c r="AP423" s="7" t="s">
        <v>3461</v>
      </c>
      <c r="AQ423" s="7" t="s">
        <v>744</v>
      </c>
      <c r="AR423" s="7" t="s">
        <v>82</v>
      </c>
      <c r="AS423" s="7"/>
      <c r="AT423" s="7"/>
      <c r="AU423" s="7"/>
      <c r="AV423" s="7"/>
      <c r="AW423" s="7" t="s">
        <v>744</v>
      </c>
      <c r="AX423" s="7" t="s">
        <v>3462</v>
      </c>
      <c r="AY423" s="7"/>
      <c r="AZ423" s="7"/>
      <c r="BA423" s="7"/>
      <c r="BB423" s="7"/>
      <c r="BC423" s="7"/>
      <c r="BD423" s="7" t="s">
        <v>3466</v>
      </c>
      <c r="BE423" s="7" t="s">
        <v>127</v>
      </c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</row>
    <row r="424" customFormat="false" ht="15" hidden="false" customHeight="false" outlineLevel="0" collapsed="false">
      <c r="A424" s="7" t="s">
        <v>3476</v>
      </c>
      <c r="B424" s="7" t="s">
        <v>3477</v>
      </c>
      <c r="C424" s="7" t="s">
        <v>3478</v>
      </c>
      <c r="D424" s="7" t="s">
        <v>3461</v>
      </c>
      <c r="E424" s="7" t="s">
        <v>82</v>
      </c>
      <c r="F424" s="7" t="s">
        <v>82</v>
      </c>
      <c r="G424" s="7"/>
      <c r="H424" s="7"/>
      <c r="I424" s="7" t="s">
        <v>158</v>
      </c>
      <c r="J424" s="7" t="s">
        <v>104</v>
      </c>
      <c r="K424" s="7" t="s">
        <v>105</v>
      </c>
      <c r="L424" s="7" t="s">
        <v>106</v>
      </c>
      <c r="M424" s="7"/>
      <c r="N424" s="7" t="s">
        <v>3462</v>
      </c>
      <c r="O424" s="7" t="s">
        <v>3462</v>
      </c>
      <c r="P424" s="7" t="s">
        <v>109</v>
      </c>
      <c r="Q424" s="7"/>
      <c r="R424" s="7" t="s">
        <v>109</v>
      </c>
      <c r="S424" s="7" t="s">
        <v>110</v>
      </c>
      <c r="T424" s="7" t="n">
        <v>0.426</v>
      </c>
      <c r="U424" s="7" t="n">
        <v>2</v>
      </c>
      <c r="V424" s="7" t="s">
        <v>1717</v>
      </c>
      <c r="W424" s="7"/>
      <c r="X424" s="7" t="s">
        <v>3463</v>
      </c>
      <c r="Y424" s="7" t="s">
        <v>3464</v>
      </c>
      <c r="Z424" s="7"/>
      <c r="AA424" s="7"/>
      <c r="AB424" s="7"/>
      <c r="AC424" s="7" t="n">
        <v>5</v>
      </c>
      <c r="AD424" s="7" t="s">
        <v>743</v>
      </c>
      <c r="AE424" s="7" t="s">
        <v>744</v>
      </c>
      <c r="AF424" s="7" t="s">
        <v>3478</v>
      </c>
      <c r="AG424" s="7" t="s">
        <v>744</v>
      </c>
      <c r="AH424" s="7" t="s">
        <v>3465</v>
      </c>
      <c r="AI424" s="7"/>
      <c r="AJ424" s="7"/>
      <c r="AK424" s="7"/>
      <c r="AL424" s="7"/>
      <c r="AM424" s="7"/>
      <c r="AN424" s="7"/>
      <c r="AO424" s="7" t="s">
        <v>744</v>
      </c>
      <c r="AP424" s="7" t="s">
        <v>3461</v>
      </c>
      <c r="AQ424" s="7" t="s">
        <v>744</v>
      </c>
      <c r="AR424" s="7" t="s">
        <v>82</v>
      </c>
      <c r="AS424" s="7"/>
      <c r="AT424" s="7"/>
      <c r="AU424" s="7"/>
      <c r="AV424" s="7"/>
      <c r="AW424" s="7" t="s">
        <v>744</v>
      </c>
      <c r="AX424" s="7" t="s">
        <v>3462</v>
      </c>
      <c r="AY424" s="7"/>
      <c r="AZ424" s="7"/>
      <c r="BA424" s="7"/>
      <c r="BB424" s="7"/>
      <c r="BC424" s="7"/>
      <c r="BD424" s="7" t="s">
        <v>3466</v>
      </c>
      <c r="BE424" s="7" t="s">
        <v>127</v>
      </c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</row>
    <row r="425" customFormat="false" ht="15" hidden="false" customHeight="false" outlineLevel="0" collapsed="false">
      <c r="A425" s="7" t="s">
        <v>3479</v>
      </c>
      <c r="B425" s="7" t="s">
        <v>3480</v>
      </c>
      <c r="C425" s="7" t="s">
        <v>3481</v>
      </c>
      <c r="D425" s="7" t="s">
        <v>3461</v>
      </c>
      <c r="E425" s="7" t="s">
        <v>82</v>
      </c>
      <c r="F425" s="7" t="s">
        <v>82</v>
      </c>
      <c r="G425" s="7"/>
      <c r="H425" s="7"/>
      <c r="I425" s="7" t="s">
        <v>158</v>
      </c>
      <c r="J425" s="7" t="s">
        <v>104</v>
      </c>
      <c r="K425" s="7" t="s">
        <v>105</v>
      </c>
      <c r="L425" s="7" t="s">
        <v>106</v>
      </c>
      <c r="M425" s="7"/>
      <c r="N425" s="7" t="s">
        <v>3462</v>
      </c>
      <c r="O425" s="7" t="s">
        <v>3462</v>
      </c>
      <c r="P425" s="7" t="s">
        <v>109</v>
      </c>
      <c r="Q425" s="7"/>
      <c r="R425" s="7" t="s">
        <v>109</v>
      </c>
      <c r="S425" s="7" t="s">
        <v>110</v>
      </c>
      <c r="T425" s="7" t="n">
        <v>0.441</v>
      </c>
      <c r="U425" s="7" t="n">
        <v>2</v>
      </c>
      <c r="V425" s="7" t="s">
        <v>1717</v>
      </c>
      <c r="W425" s="7"/>
      <c r="X425" s="7" t="s">
        <v>3463</v>
      </c>
      <c r="Y425" s="7" t="s">
        <v>3464</v>
      </c>
      <c r="Z425" s="7"/>
      <c r="AA425" s="7"/>
      <c r="AB425" s="7"/>
      <c r="AC425" s="7" t="n">
        <v>5</v>
      </c>
      <c r="AD425" s="7" t="s">
        <v>743</v>
      </c>
      <c r="AE425" s="7" t="s">
        <v>744</v>
      </c>
      <c r="AF425" s="7" t="s">
        <v>3481</v>
      </c>
      <c r="AG425" s="7" t="s">
        <v>744</v>
      </c>
      <c r="AH425" s="7" t="s">
        <v>3465</v>
      </c>
      <c r="AI425" s="7"/>
      <c r="AJ425" s="7"/>
      <c r="AK425" s="7"/>
      <c r="AL425" s="7"/>
      <c r="AM425" s="7"/>
      <c r="AN425" s="7"/>
      <c r="AO425" s="7" t="s">
        <v>744</v>
      </c>
      <c r="AP425" s="7" t="s">
        <v>3461</v>
      </c>
      <c r="AQ425" s="7" t="s">
        <v>744</v>
      </c>
      <c r="AR425" s="7" t="s">
        <v>82</v>
      </c>
      <c r="AS425" s="7"/>
      <c r="AT425" s="7"/>
      <c r="AU425" s="7"/>
      <c r="AV425" s="7"/>
      <c r="AW425" s="7" t="s">
        <v>744</v>
      </c>
      <c r="AX425" s="7" t="s">
        <v>3462</v>
      </c>
      <c r="AY425" s="7"/>
      <c r="AZ425" s="7"/>
      <c r="BA425" s="7"/>
      <c r="BB425" s="7"/>
      <c r="BC425" s="7"/>
      <c r="BD425" s="7" t="s">
        <v>3466</v>
      </c>
      <c r="BE425" s="7" t="s">
        <v>127</v>
      </c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</row>
    <row r="426" customFormat="false" ht="15" hidden="false" customHeight="false" outlineLevel="0" collapsed="false">
      <c r="A426" s="7" t="s">
        <v>3482</v>
      </c>
      <c r="B426" s="7" t="s">
        <v>3483</v>
      </c>
      <c r="C426" s="7" t="s">
        <v>3484</v>
      </c>
      <c r="D426" s="7" t="s">
        <v>3461</v>
      </c>
      <c r="E426" s="7" t="s">
        <v>82</v>
      </c>
      <c r="F426" s="7" t="s">
        <v>82</v>
      </c>
      <c r="G426" s="7"/>
      <c r="H426" s="7"/>
      <c r="I426" s="7" t="s">
        <v>158</v>
      </c>
      <c r="J426" s="7" t="s">
        <v>104</v>
      </c>
      <c r="K426" s="7" t="s">
        <v>105</v>
      </c>
      <c r="L426" s="7" t="s">
        <v>2470</v>
      </c>
      <c r="M426" s="7"/>
      <c r="N426" s="7" t="s">
        <v>3462</v>
      </c>
      <c r="O426" s="7" t="s">
        <v>3462</v>
      </c>
      <c r="P426" s="7" t="s">
        <v>109</v>
      </c>
      <c r="Q426" s="7"/>
      <c r="R426" s="7" t="s">
        <v>109</v>
      </c>
      <c r="S426" s="7" t="s">
        <v>110</v>
      </c>
      <c r="T426" s="7" t="n">
        <v>0.42</v>
      </c>
      <c r="U426" s="7" t="n">
        <v>2</v>
      </c>
      <c r="V426" s="7" t="s">
        <v>1717</v>
      </c>
      <c r="W426" s="7"/>
      <c r="X426" s="7" t="s">
        <v>3463</v>
      </c>
      <c r="Y426" s="7" t="s">
        <v>3464</v>
      </c>
      <c r="Z426" s="7"/>
      <c r="AA426" s="7"/>
      <c r="AB426" s="7"/>
      <c r="AC426" s="7" t="n">
        <v>5</v>
      </c>
      <c r="AD426" s="7" t="s">
        <v>743</v>
      </c>
      <c r="AE426" s="7" t="s">
        <v>744</v>
      </c>
      <c r="AF426" s="7" t="s">
        <v>3484</v>
      </c>
      <c r="AG426" s="7" t="s">
        <v>744</v>
      </c>
      <c r="AH426" s="7" t="s">
        <v>3465</v>
      </c>
      <c r="AI426" s="7"/>
      <c r="AJ426" s="7"/>
      <c r="AK426" s="7"/>
      <c r="AL426" s="7"/>
      <c r="AM426" s="7"/>
      <c r="AN426" s="7"/>
      <c r="AO426" s="7" t="s">
        <v>744</v>
      </c>
      <c r="AP426" s="7" t="s">
        <v>3461</v>
      </c>
      <c r="AQ426" s="7" t="s">
        <v>744</v>
      </c>
      <c r="AR426" s="7" t="s">
        <v>82</v>
      </c>
      <c r="AS426" s="7"/>
      <c r="AT426" s="7"/>
      <c r="AU426" s="7"/>
      <c r="AV426" s="7"/>
      <c r="AW426" s="7" t="s">
        <v>744</v>
      </c>
      <c r="AX426" s="7" t="s">
        <v>3462</v>
      </c>
      <c r="AY426" s="7"/>
      <c r="AZ426" s="7"/>
      <c r="BA426" s="7"/>
      <c r="BB426" s="7"/>
      <c r="BC426" s="7"/>
      <c r="BD426" s="7" t="s">
        <v>3466</v>
      </c>
      <c r="BE426" s="7" t="s">
        <v>127</v>
      </c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</row>
    <row r="427" customFormat="false" ht="15" hidden="false" customHeight="false" outlineLevel="0" collapsed="false">
      <c r="A427" s="7" t="s">
        <v>3485</v>
      </c>
      <c r="B427" s="7" t="s">
        <v>3486</v>
      </c>
      <c r="C427" s="7" t="s">
        <v>3487</v>
      </c>
      <c r="D427" s="7" t="s">
        <v>3461</v>
      </c>
      <c r="E427" s="7" t="s">
        <v>82</v>
      </c>
      <c r="F427" s="7" t="s">
        <v>82</v>
      </c>
      <c r="G427" s="7"/>
      <c r="H427" s="7"/>
      <c r="I427" s="7" t="s">
        <v>158</v>
      </c>
      <c r="J427" s="7" t="s">
        <v>104</v>
      </c>
      <c r="K427" s="7" t="s">
        <v>105</v>
      </c>
      <c r="L427" s="7" t="s">
        <v>106</v>
      </c>
      <c r="M427" s="7"/>
      <c r="N427" s="7" t="s">
        <v>3462</v>
      </c>
      <c r="O427" s="7" t="s">
        <v>3462</v>
      </c>
      <c r="P427" s="7" t="s">
        <v>109</v>
      </c>
      <c r="Q427" s="7"/>
      <c r="R427" s="7" t="s">
        <v>109</v>
      </c>
      <c r="S427" s="7" t="s">
        <v>110</v>
      </c>
      <c r="T427" s="7" t="n">
        <v>0.457</v>
      </c>
      <c r="U427" s="7" t="n">
        <v>2</v>
      </c>
      <c r="V427" s="7" t="s">
        <v>1717</v>
      </c>
      <c r="W427" s="7"/>
      <c r="X427" s="7" t="s">
        <v>3463</v>
      </c>
      <c r="Y427" s="7" t="s">
        <v>3464</v>
      </c>
      <c r="Z427" s="7"/>
      <c r="AA427" s="7"/>
      <c r="AB427" s="7"/>
      <c r="AC427" s="7" t="n">
        <v>5</v>
      </c>
      <c r="AD427" s="7" t="s">
        <v>743</v>
      </c>
      <c r="AE427" s="7" t="s">
        <v>744</v>
      </c>
      <c r="AF427" s="7" t="s">
        <v>3487</v>
      </c>
      <c r="AG427" s="7" t="s">
        <v>744</v>
      </c>
      <c r="AH427" s="7" t="s">
        <v>3465</v>
      </c>
      <c r="AI427" s="7"/>
      <c r="AJ427" s="7"/>
      <c r="AK427" s="7"/>
      <c r="AL427" s="7"/>
      <c r="AM427" s="7"/>
      <c r="AN427" s="7"/>
      <c r="AO427" s="7" t="s">
        <v>744</v>
      </c>
      <c r="AP427" s="7" t="s">
        <v>3461</v>
      </c>
      <c r="AQ427" s="7" t="s">
        <v>744</v>
      </c>
      <c r="AR427" s="7" t="s">
        <v>82</v>
      </c>
      <c r="AS427" s="7"/>
      <c r="AT427" s="7"/>
      <c r="AU427" s="7"/>
      <c r="AV427" s="7"/>
      <c r="AW427" s="7" t="s">
        <v>744</v>
      </c>
      <c r="AX427" s="7" t="s">
        <v>3462</v>
      </c>
      <c r="AY427" s="7"/>
      <c r="AZ427" s="7"/>
      <c r="BA427" s="7"/>
      <c r="BB427" s="7"/>
      <c r="BC427" s="7"/>
      <c r="BD427" s="7" t="s">
        <v>3466</v>
      </c>
      <c r="BE427" s="7" t="s">
        <v>127</v>
      </c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</row>
    <row r="428" customFormat="false" ht="15" hidden="false" customHeight="false" outlineLevel="0" collapsed="false">
      <c r="A428" s="7" t="s">
        <v>3488</v>
      </c>
      <c r="B428" s="7" t="s">
        <v>3489</v>
      </c>
      <c r="C428" s="7" t="s">
        <v>3490</v>
      </c>
      <c r="D428" s="7" t="s">
        <v>3461</v>
      </c>
      <c r="E428" s="7" t="s">
        <v>82</v>
      </c>
      <c r="F428" s="7" t="s">
        <v>82</v>
      </c>
      <c r="G428" s="7"/>
      <c r="H428" s="7"/>
      <c r="I428" s="7" t="s">
        <v>158</v>
      </c>
      <c r="J428" s="7" t="s">
        <v>104</v>
      </c>
      <c r="K428" s="7" t="s">
        <v>105</v>
      </c>
      <c r="L428" s="7" t="s">
        <v>106</v>
      </c>
      <c r="M428" s="7"/>
      <c r="N428" s="7" t="s">
        <v>3462</v>
      </c>
      <c r="O428" s="7" t="s">
        <v>3462</v>
      </c>
      <c r="P428" s="7" t="s">
        <v>109</v>
      </c>
      <c r="Q428" s="7"/>
      <c r="R428" s="7" t="s">
        <v>109</v>
      </c>
      <c r="S428" s="7" t="s">
        <v>110</v>
      </c>
      <c r="T428" s="7" t="n">
        <v>0.549</v>
      </c>
      <c r="U428" s="7" t="n">
        <v>2</v>
      </c>
      <c r="V428" s="7" t="s">
        <v>1717</v>
      </c>
      <c r="W428" s="7"/>
      <c r="X428" s="7" t="s">
        <v>3463</v>
      </c>
      <c r="Y428" s="7" t="s">
        <v>3464</v>
      </c>
      <c r="Z428" s="7"/>
      <c r="AA428" s="7"/>
      <c r="AB428" s="7"/>
      <c r="AC428" s="7" t="n">
        <v>5</v>
      </c>
      <c r="AD428" s="7" t="s">
        <v>743</v>
      </c>
      <c r="AE428" s="7" t="s">
        <v>744</v>
      </c>
      <c r="AF428" s="7" t="s">
        <v>3490</v>
      </c>
      <c r="AG428" s="7" t="s">
        <v>744</v>
      </c>
      <c r="AH428" s="7" t="s">
        <v>3465</v>
      </c>
      <c r="AI428" s="7"/>
      <c r="AJ428" s="7"/>
      <c r="AK428" s="7"/>
      <c r="AL428" s="7"/>
      <c r="AM428" s="7"/>
      <c r="AN428" s="7"/>
      <c r="AO428" s="7" t="s">
        <v>744</v>
      </c>
      <c r="AP428" s="7" t="s">
        <v>3461</v>
      </c>
      <c r="AQ428" s="7" t="s">
        <v>744</v>
      </c>
      <c r="AR428" s="7" t="s">
        <v>82</v>
      </c>
      <c r="AS428" s="7"/>
      <c r="AT428" s="7"/>
      <c r="AU428" s="7"/>
      <c r="AV428" s="7"/>
      <c r="AW428" s="7" t="s">
        <v>744</v>
      </c>
      <c r="AX428" s="7" t="s">
        <v>3462</v>
      </c>
      <c r="AY428" s="7"/>
      <c r="AZ428" s="7"/>
      <c r="BA428" s="7"/>
      <c r="BB428" s="7"/>
      <c r="BC428" s="7"/>
      <c r="BD428" s="7" t="s">
        <v>3466</v>
      </c>
      <c r="BE428" s="7" t="s">
        <v>127</v>
      </c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</row>
    <row r="429" customFormat="false" ht="15" hidden="false" customHeight="false" outlineLevel="0" collapsed="false">
      <c r="A429" s="7" t="s">
        <v>3491</v>
      </c>
      <c r="B429" s="7" t="s">
        <v>3492</v>
      </c>
      <c r="C429" s="7" t="s">
        <v>3493</v>
      </c>
      <c r="D429" s="7" t="s">
        <v>3461</v>
      </c>
      <c r="E429" s="7" t="s">
        <v>82</v>
      </c>
      <c r="F429" s="7" t="s">
        <v>82</v>
      </c>
      <c r="G429" s="7"/>
      <c r="H429" s="7"/>
      <c r="I429" s="7" t="s">
        <v>158</v>
      </c>
      <c r="J429" s="7" t="s">
        <v>104</v>
      </c>
      <c r="K429" s="7" t="s">
        <v>105</v>
      </c>
      <c r="L429" s="7" t="s">
        <v>106</v>
      </c>
      <c r="M429" s="7"/>
      <c r="N429" s="7" t="s">
        <v>3462</v>
      </c>
      <c r="O429" s="7" t="s">
        <v>3462</v>
      </c>
      <c r="P429" s="7" t="s">
        <v>109</v>
      </c>
      <c r="Q429" s="7"/>
      <c r="R429" s="7" t="s">
        <v>109</v>
      </c>
      <c r="S429" s="7" t="s">
        <v>110</v>
      </c>
      <c r="T429" s="7" t="n">
        <v>0.537</v>
      </c>
      <c r="U429" s="7" t="n">
        <v>2</v>
      </c>
      <c r="V429" s="7" t="s">
        <v>1717</v>
      </c>
      <c r="W429" s="7"/>
      <c r="X429" s="7" t="s">
        <v>3463</v>
      </c>
      <c r="Y429" s="7" t="s">
        <v>3464</v>
      </c>
      <c r="Z429" s="7"/>
      <c r="AA429" s="7"/>
      <c r="AB429" s="7"/>
      <c r="AC429" s="7" t="n">
        <v>5</v>
      </c>
      <c r="AD429" s="7" t="s">
        <v>743</v>
      </c>
      <c r="AE429" s="7" t="s">
        <v>744</v>
      </c>
      <c r="AF429" s="7" t="s">
        <v>3493</v>
      </c>
      <c r="AG429" s="7" t="s">
        <v>744</v>
      </c>
      <c r="AH429" s="7" t="s">
        <v>3465</v>
      </c>
      <c r="AI429" s="7"/>
      <c r="AJ429" s="7"/>
      <c r="AK429" s="7"/>
      <c r="AL429" s="7"/>
      <c r="AM429" s="7"/>
      <c r="AN429" s="7"/>
      <c r="AO429" s="7" t="s">
        <v>744</v>
      </c>
      <c r="AP429" s="7" t="s">
        <v>3461</v>
      </c>
      <c r="AQ429" s="7" t="s">
        <v>744</v>
      </c>
      <c r="AR429" s="7" t="s">
        <v>82</v>
      </c>
      <c r="AS429" s="7"/>
      <c r="AT429" s="7"/>
      <c r="AU429" s="7"/>
      <c r="AV429" s="7"/>
      <c r="AW429" s="7" t="s">
        <v>744</v>
      </c>
      <c r="AX429" s="7" t="s">
        <v>3462</v>
      </c>
      <c r="AY429" s="7"/>
      <c r="AZ429" s="7"/>
      <c r="BA429" s="7"/>
      <c r="BB429" s="7"/>
      <c r="BC429" s="7"/>
      <c r="BD429" s="7" t="s">
        <v>3466</v>
      </c>
      <c r="BE429" s="7" t="s">
        <v>127</v>
      </c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</row>
    <row r="430" customFormat="false" ht="15" hidden="false" customHeight="false" outlineLevel="0" collapsed="false">
      <c r="A430" s="7" t="s">
        <v>3494</v>
      </c>
      <c r="B430" s="7" t="s">
        <v>3495</v>
      </c>
      <c r="C430" s="7" t="s">
        <v>3496</v>
      </c>
      <c r="D430" s="7" t="s">
        <v>3461</v>
      </c>
      <c r="E430" s="7" t="s">
        <v>82</v>
      </c>
      <c r="F430" s="7" t="s">
        <v>82</v>
      </c>
      <c r="G430" s="7"/>
      <c r="H430" s="7"/>
      <c r="I430" s="7" t="s">
        <v>158</v>
      </c>
      <c r="J430" s="7" t="s">
        <v>104</v>
      </c>
      <c r="K430" s="7" t="s">
        <v>105</v>
      </c>
      <c r="L430" s="7" t="s">
        <v>106</v>
      </c>
      <c r="M430" s="7"/>
      <c r="N430" s="7" t="s">
        <v>3462</v>
      </c>
      <c r="O430" s="7" t="s">
        <v>3462</v>
      </c>
      <c r="P430" s="7" t="s">
        <v>109</v>
      </c>
      <c r="Q430" s="7"/>
      <c r="R430" s="7" t="s">
        <v>109</v>
      </c>
      <c r="S430" s="7" t="s">
        <v>110</v>
      </c>
      <c r="T430" s="7" t="n">
        <v>0.446</v>
      </c>
      <c r="U430" s="7" t="n">
        <v>2</v>
      </c>
      <c r="V430" s="7" t="s">
        <v>1717</v>
      </c>
      <c r="W430" s="7"/>
      <c r="X430" s="7" t="s">
        <v>3463</v>
      </c>
      <c r="Y430" s="7" t="s">
        <v>3464</v>
      </c>
      <c r="Z430" s="7"/>
      <c r="AA430" s="7"/>
      <c r="AB430" s="7"/>
      <c r="AC430" s="7" t="n">
        <v>5</v>
      </c>
      <c r="AD430" s="7" t="s">
        <v>743</v>
      </c>
      <c r="AE430" s="7" t="s">
        <v>744</v>
      </c>
      <c r="AF430" s="7" t="s">
        <v>3496</v>
      </c>
      <c r="AG430" s="7" t="s">
        <v>744</v>
      </c>
      <c r="AH430" s="7" t="s">
        <v>3465</v>
      </c>
      <c r="AI430" s="7"/>
      <c r="AJ430" s="7"/>
      <c r="AK430" s="7"/>
      <c r="AL430" s="7"/>
      <c r="AM430" s="7"/>
      <c r="AN430" s="7"/>
      <c r="AO430" s="7" t="s">
        <v>744</v>
      </c>
      <c r="AP430" s="7" t="s">
        <v>3461</v>
      </c>
      <c r="AQ430" s="7" t="s">
        <v>744</v>
      </c>
      <c r="AR430" s="7" t="s">
        <v>82</v>
      </c>
      <c r="AS430" s="7"/>
      <c r="AT430" s="7"/>
      <c r="AU430" s="7"/>
      <c r="AV430" s="7"/>
      <c r="AW430" s="7" t="s">
        <v>744</v>
      </c>
      <c r="AX430" s="7" t="s">
        <v>3462</v>
      </c>
      <c r="AY430" s="7"/>
      <c r="AZ430" s="7"/>
      <c r="BA430" s="7"/>
      <c r="BB430" s="7"/>
      <c r="BC430" s="7"/>
      <c r="BD430" s="7" t="s">
        <v>3466</v>
      </c>
      <c r="BE430" s="7" t="s">
        <v>127</v>
      </c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</row>
    <row r="431" customFormat="false" ht="15" hidden="false" customHeight="false" outlineLevel="0" collapsed="false">
      <c r="A431" s="7" t="s">
        <v>3497</v>
      </c>
      <c r="B431" s="7" t="s">
        <v>3498</v>
      </c>
      <c r="C431" s="7" t="s">
        <v>3499</v>
      </c>
      <c r="D431" s="7" t="s">
        <v>3461</v>
      </c>
      <c r="E431" s="7" t="s">
        <v>82</v>
      </c>
      <c r="F431" s="7" t="s">
        <v>82</v>
      </c>
      <c r="G431" s="7"/>
      <c r="H431" s="7"/>
      <c r="I431" s="7" t="s">
        <v>158</v>
      </c>
      <c r="J431" s="7" t="s">
        <v>104</v>
      </c>
      <c r="K431" s="7" t="s">
        <v>105</v>
      </c>
      <c r="L431" s="7" t="s">
        <v>106</v>
      </c>
      <c r="M431" s="7"/>
      <c r="N431" s="7" t="s">
        <v>3462</v>
      </c>
      <c r="O431" s="7" t="s">
        <v>3462</v>
      </c>
      <c r="P431" s="7" t="s">
        <v>109</v>
      </c>
      <c r="Q431" s="7"/>
      <c r="R431" s="7" t="s">
        <v>109</v>
      </c>
      <c r="S431" s="7" t="s">
        <v>110</v>
      </c>
      <c r="T431" s="7" t="n">
        <v>0.457</v>
      </c>
      <c r="U431" s="7" t="n">
        <v>2</v>
      </c>
      <c r="V431" s="7" t="s">
        <v>1717</v>
      </c>
      <c r="W431" s="7"/>
      <c r="X431" s="7" t="s">
        <v>3463</v>
      </c>
      <c r="Y431" s="7" t="s">
        <v>3464</v>
      </c>
      <c r="Z431" s="7"/>
      <c r="AA431" s="7"/>
      <c r="AB431" s="7"/>
      <c r="AC431" s="7" t="n">
        <v>5</v>
      </c>
      <c r="AD431" s="7" t="s">
        <v>743</v>
      </c>
      <c r="AE431" s="7" t="s">
        <v>744</v>
      </c>
      <c r="AF431" s="7" t="s">
        <v>3499</v>
      </c>
      <c r="AG431" s="7" t="s">
        <v>744</v>
      </c>
      <c r="AH431" s="7" t="s">
        <v>3465</v>
      </c>
      <c r="AI431" s="7"/>
      <c r="AJ431" s="7"/>
      <c r="AK431" s="7"/>
      <c r="AL431" s="7"/>
      <c r="AM431" s="7"/>
      <c r="AN431" s="7"/>
      <c r="AO431" s="7" t="s">
        <v>744</v>
      </c>
      <c r="AP431" s="7" t="s">
        <v>3461</v>
      </c>
      <c r="AQ431" s="7" t="s">
        <v>744</v>
      </c>
      <c r="AR431" s="7" t="s">
        <v>82</v>
      </c>
      <c r="AS431" s="7"/>
      <c r="AT431" s="7"/>
      <c r="AU431" s="7"/>
      <c r="AV431" s="7"/>
      <c r="AW431" s="7" t="s">
        <v>744</v>
      </c>
      <c r="AX431" s="7" t="s">
        <v>3462</v>
      </c>
      <c r="AY431" s="7"/>
      <c r="AZ431" s="7"/>
      <c r="BA431" s="7"/>
      <c r="BB431" s="7"/>
      <c r="BC431" s="7"/>
      <c r="BD431" s="7" t="s">
        <v>3466</v>
      </c>
      <c r="BE431" s="7" t="s">
        <v>127</v>
      </c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</row>
    <row r="432" customFormat="false" ht="15" hidden="false" customHeight="false" outlineLevel="0" collapsed="false">
      <c r="A432" s="7" t="s">
        <v>3500</v>
      </c>
      <c r="B432" s="7" t="s">
        <v>3501</v>
      </c>
      <c r="C432" s="7" t="s">
        <v>3502</v>
      </c>
      <c r="D432" s="7" t="s">
        <v>3461</v>
      </c>
      <c r="E432" s="7" t="s">
        <v>82</v>
      </c>
      <c r="F432" s="7" t="s">
        <v>82</v>
      </c>
      <c r="G432" s="7"/>
      <c r="H432" s="7"/>
      <c r="I432" s="7" t="s">
        <v>158</v>
      </c>
      <c r="J432" s="7" t="s">
        <v>104</v>
      </c>
      <c r="K432" s="7" t="s">
        <v>105</v>
      </c>
      <c r="L432" s="7" t="s">
        <v>106</v>
      </c>
      <c r="M432" s="7"/>
      <c r="N432" s="7" t="s">
        <v>3462</v>
      </c>
      <c r="O432" s="7" t="s">
        <v>3462</v>
      </c>
      <c r="P432" s="7" t="s">
        <v>109</v>
      </c>
      <c r="Q432" s="7"/>
      <c r="R432" s="7" t="s">
        <v>109</v>
      </c>
      <c r="S432" s="7" t="s">
        <v>110</v>
      </c>
      <c r="T432" s="7" t="n">
        <v>0.496</v>
      </c>
      <c r="U432" s="7" t="n">
        <v>2</v>
      </c>
      <c r="V432" s="7" t="s">
        <v>1717</v>
      </c>
      <c r="W432" s="7"/>
      <c r="X432" s="7" t="s">
        <v>3463</v>
      </c>
      <c r="Y432" s="7" t="s">
        <v>3464</v>
      </c>
      <c r="Z432" s="7"/>
      <c r="AA432" s="7"/>
      <c r="AB432" s="7"/>
      <c r="AC432" s="7" t="n">
        <v>5</v>
      </c>
      <c r="AD432" s="7" t="s">
        <v>743</v>
      </c>
      <c r="AE432" s="7" t="s">
        <v>744</v>
      </c>
      <c r="AF432" s="7" t="s">
        <v>3502</v>
      </c>
      <c r="AG432" s="7" t="s">
        <v>744</v>
      </c>
      <c r="AH432" s="7" t="s">
        <v>3465</v>
      </c>
      <c r="AI432" s="7"/>
      <c r="AJ432" s="7"/>
      <c r="AK432" s="7"/>
      <c r="AL432" s="7"/>
      <c r="AM432" s="7"/>
      <c r="AN432" s="7"/>
      <c r="AO432" s="7" t="s">
        <v>744</v>
      </c>
      <c r="AP432" s="7" t="s">
        <v>3461</v>
      </c>
      <c r="AQ432" s="7" t="s">
        <v>744</v>
      </c>
      <c r="AR432" s="7" t="s">
        <v>82</v>
      </c>
      <c r="AS432" s="7"/>
      <c r="AT432" s="7"/>
      <c r="AU432" s="7"/>
      <c r="AV432" s="7"/>
      <c r="AW432" s="7" t="s">
        <v>744</v>
      </c>
      <c r="AX432" s="7" t="s">
        <v>3462</v>
      </c>
      <c r="AY432" s="7"/>
      <c r="AZ432" s="7"/>
      <c r="BA432" s="7"/>
      <c r="BB432" s="7"/>
      <c r="BC432" s="7"/>
      <c r="BD432" s="7" t="s">
        <v>3466</v>
      </c>
      <c r="BE432" s="7" t="s">
        <v>127</v>
      </c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</row>
    <row r="433" customFormat="false" ht="15" hidden="false" customHeight="false" outlineLevel="0" collapsed="false">
      <c r="A433" s="7" t="s">
        <v>3503</v>
      </c>
      <c r="B433" s="7" t="s">
        <v>3504</v>
      </c>
      <c r="C433" s="7" t="s">
        <v>3505</v>
      </c>
      <c r="D433" s="7" t="s">
        <v>3461</v>
      </c>
      <c r="E433" s="7" t="s">
        <v>82</v>
      </c>
      <c r="F433" s="7" t="s">
        <v>82</v>
      </c>
      <c r="G433" s="7"/>
      <c r="H433" s="7"/>
      <c r="I433" s="7" t="s">
        <v>158</v>
      </c>
      <c r="J433" s="7" t="s">
        <v>104</v>
      </c>
      <c r="K433" s="7" t="s">
        <v>105</v>
      </c>
      <c r="L433" s="7" t="s">
        <v>106</v>
      </c>
      <c r="M433" s="7"/>
      <c r="N433" s="7" t="s">
        <v>3462</v>
      </c>
      <c r="O433" s="7" t="s">
        <v>3462</v>
      </c>
      <c r="P433" s="7" t="s">
        <v>109</v>
      </c>
      <c r="Q433" s="7"/>
      <c r="R433" s="7" t="s">
        <v>109</v>
      </c>
      <c r="S433" s="7" t="s">
        <v>110</v>
      </c>
      <c r="T433" s="7" t="n">
        <v>0.486</v>
      </c>
      <c r="U433" s="7" t="n">
        <v>2</v>
      </c>
      <c r="V433" s="7" t="s">
        <v>1717</v>
      </c>
      <c r="W433" s="7"/>
      <c r="X433" s="7" t="s">
        <v>3463</v>
      </c>
      <c r="Y433" s="7" t="s">
        <v>3464</v>
      </c>
      <c r="Z433" s="7"/>
      <c r="AA433" s="7"/>
      <c r="AB433" s="7"/>
      <c r="AC433" s="7" t="n">
        <v>5</v>
      </c>
      <c r="AD433" s="7" t="s">
        <v>743</v>
      </c>
      <c r="AE433" s="7" t="s">
        <v>744</v>
      </c>
      <c r="AF433" s="7" t="s">
        <v>3505</v>
      </c>
      <c r="AG433" s="7" t="s">
        <v>744</v>
      </c>
      <c r="AH433" s="7" t="s">
        <v>3465</v>
      </c>
      <c r="AI433" s="7"/>
      <c r="AJ433" s="7"/>
      <c r="AK433" s="7"/>
      <c r="AL433" s="7"/>
      <c r="AM433" s="7"/>
      <c r="AN433" s="7"/>
      <c r="AO433" s="7" t="s">
        <v>744</v>
      </c>
      <c r="AP433" s="7" t="s">
        <v>3461</v>
      </c>
      <c r="AQ433" s="7" t="s">
        <v>744</v>
      </c>
      <c r="AR433" s="7" t="s">
        <v>82</v>
      </c>
      <c r="AS433" s="7"/>
      <c r="AT433" s="7"/>
      <c r="AU433" s="7"/>
      <c r="AV433" s="7"/>
      <c r="AW433" s="7" t="s">
        <v>744</v>
      </c>
      <c r="AX433" s="7" t="s">
        <v>3462</v>
      </c>
      <c r="AY433" s="7"/>
      <c r="AZ433" s="7"/>
      <c r="BA433" s="7"/>
      <c r="BB433" s="7"/>
      <c r="BC433" s="7"/>
      <c r="BD433" s="7" t="s">
        <v>3466</v>
      </c>
      <c r="BE433" s="7" t="s">
        <v>127</v>
      </c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</row>
    <row r="434" customFormat="false" ht="15" hidden="false" customHeight="false" outlineLevel="0" collapsed="false">
      <c r="A434" s="7" t="s">
        <v>3506</v>
      </c>
      <c r="B434" s="7" t="s">
        <v>3507</v>
      </c>
      <c r="C434" s="7" t="s">
        <v>3508</v>
      </c>
      <c r="D434" s="7" t="s">
        <v>3461</v>
      </c>
      <c r="E434" s="7" t="s">
        <v>82</v>
      </c>
      <c r="F434" s="7" t="s">
        <v>82</v>
      </c>
      <c r="G434" s="7"/>
      <c r="H434" s="7"/>
      <c r="I434" s="7" t="s">
        <v>158</v>
      </c>
      <c r="J434" s="7" t="s">
        <v>104</v>
      </c>
      <c r="K434" s="7" t="s">
        <v>105</v>
      </c>
      <c r="L434" s="7" t="s">
        <v>106</v>
      </c>
      <c r="M434" s="7"/>
      <c r="N434" s="7" t="s">
        <v>3462</v>
      </c>
      <c r="O434" s="7" t="s">
        <v>3462</v>
      </c>
      <c r="P434" s="7" t="s">
        <v>109</v>
      </c>
      <c r="Q434" s="7"/>
      <c r="R434" s="7" t="s">
        <v>109</v>
      </c>
      <c r="S434" s="7" t="s">
        <v>110</v>
      </c>
      <c r="T434" s="7" t="n">
        <v>0.479</v>
      </c>
      <c r="U434" s="7" t="n">
        <v>2</v>
      </c>
      <c r="V434" s="7" t="s">
        <v>1717</v>
      </c>
      <c r="W434" s="7"/>
      <c r="X434" s="7" t="s">
        <v>3463</v>
      </c>
      <c r="Y434" s="7" t="s">
        <v>3464</v>
      </c>
      <c r="Z434" s="7"/>
      <c r="AA434" s="7"/>
      <c r="AB434" s="7"/>
      <c r="AC434" s="7" t="n">
        <v>5</v>
      </c>
      <c r="AD434" s="7" t="s">
        <v>743</v>
      </c>
      <c r="AE434" s="7" t="s">
        <v>744</v>
      </c>
      <c r="AF434" s="7" t="s">
        <v>3508</v>
      </c>
      <c r="AG434" s="7" t="s">
        <v>744</v>
      </c>
      <c r="AH434" s="7" t="s">
        <v>3465</v>
      </c>
      <c r="AI434" s="7"/>
      <c r="AJ434" s="7"/>
      <c r="AK434" s="7"/>
      <c r="AL434" s="7"/>
      <c r="AM434" s="7"/>
      <c r="AN434" s="7"/>
      <c r="AO434" s="7" t="s">
        <v>744</v>
      </c>
      <c r="AP434" s="7" t="s">
        <v>3461</v>
      </c>
      <c r="AQ434" s="7" t="s">
        <v>744</v>
      </c>
      <c r="AR434" s="7" t="s">
        <v>82</v>
      </c>
      <c r="AS434" s="7"/>
      <c r="AT434" s="7"/>
      <c r="AU434" s="7"/>
      <c r="AV434" s="7"/>
      <c r="AW434" s="7" t="s">
        <v>744</v>
      </c>
      <c r="AX434" s="7" t="s">
        <v>3462</v>
      </c>
      <c r="AY434" s="7"/>
      <c r="AZ434" s="7"/>
      <c r="BA434" s="7"/>
      <c r="BB434" s="7"/>
      <c r="BC434" s="7"/>
      <c r="BD434" s="7" t="s">
        <v>3466</v>
      </c>
      <c r="BE434" s="7" t="s">
        <v>127</v>
      </c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</row>
    <row r="435" customFormat="false" ht="15" hidden="false" customHeight="false" outlineLevel="0" collapsed="false">
      <c r="A435" s="7" t="s">
        <v>3509</v>
      </c>
      <c r="B435" s="7" t="s">
        <v>3510</v>
      </c>
      <c r="C435" s="7" t="s">
        <v>3511</v>
      </c>
      <c r="D435" s="7" t="s">
        <v>3461</v>
      </c>
      <c r="E435" s="7" t="s">
        <v>82</v>
      </c>
      <c r="F435" s="7" t="s">
        <v>82</v>
      </c>
      <c r="G435" s="7"/>
      <c r="H435" s="7"/>
      <c r="I435" s="7" t="s">
        <v>158</v>
      </c>
      <c r="J435" s="7" t="s">
        <v>104</v>
      </c>
      <c r="K435" s="7" t="s">
        <v>105</v>
      </c>
      <c r="L435" s="7" t="s">
        <v>106</v>
      </c>
      <c r="M435" s="7"/>
      <c r="N435" s="7" t="s">
        <v>3462</v>
      </c>
      <c r="O435" s="7" t="s">
        <v>3462</v>
      </c>
      <c r="P435" s="7" t="s">
        <v>109</v>
      </c>
      <c r="Q435" s="7"/>
      <c r="R435" s="7" t="s">
        <v>109</v>
      </c>
      <c r="S435" s="7" t="s">
        <v>110</v>
      </c>
      <c r="T435" s="7" t="n">
        <v>0.512</v>
      </c>
      <c r="U435" s="7" t="n">
        <v>2</v>
      </c>
      <c r="V435" s="7" t="s">
        <v>1717</v>
      </c>
      <c r="W435" s="7"/>
      <c r="X435" s="7" t="s">
        <v>3463</v>
      </c>
      <c r="Y435" s="7" t="s">
        <v>3464</v>
      </c>
      <c r="Z435" s="7"/>
      <c r="AA435" s="7"/>
      <c r="AB435" s="7"/>
      <c r="AC435" s="7" t="n">
        <v>5</v>
      </c>
      <c r="AD435" s="7" t="s">
        <v>743</v>
      </c>
      <c r="AE435" s="7" t="s">
        <v>744</v>
      </c>
      <c r="AF435" s="7" t="s">
        <v>3511</v>
      </c>
      <c r="AG435" s="7" t="s">
        <v>744</v>
      </c>
      <c r="AH435" s="7" t="s">
        <v>3465</v>
      </c>
      <c r="AI435" s="7"/>
      <c r="AJ435" s="7"/>
      <c r="AK435" s="7"/>
      <c r="AL435" s="7"/>
      <c r="AM435" s="7"/>
      <c r="AN435" s="7"/>
      <c r="AO435" s="7" t="s">
        <v>744</v>
      </c>
      <c r="AP435" s="7" t="s">
        <v>3461</v>
      </c>
      <c r="AQ435" s="7" t="s">
        <v>744</v>
      </c>
      <c r="AR435" s="7" t="s">
        <v>82</v>
      </c>
      <c r="AS435" s="7"/>
      <c r="AT435" s="7"/>
      <c r="AU435" s="7"/>
      <c r="AV435" s="7"/>
      <c r="AW435" s="7" t="s">
        <v>744</v>
      </c>
      <c r="AX435" s="7" t="s">
        <v>3462</v>
      </c>
      <c r="AY435" s="7"/>
      <c r="AZ435" s="7"/>
      <c r="BA435" s="7"/>
      <c r="BB435" s="7"/>
      <c r="BC435" s="7"/>
      <c r="BD435" s="7" t="s">
        <v>3466</v>
      </c>
      <c r="BE435" s="7" t="s">
        <v>127</v>
      </c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</row>
    <row r="436" customFormat="false" ht="15" hidden="false" customHeight="false" outlineLevel="0" collapsed="false">
      <c r="A436" s="7" t="s">
        <v>3512</v>
      </c>
      <c r="B436" s="7" t="s">
        <v>3513</v>
      </c>
      <c r="C436" s="7" t="s">
        <v>3514</v>
      </c>
      <c r="D436" s="7" t="s">
        <v>3461</v>
      </c>
      <c r="E436" s="7" t="s">
        <v>82</v>
      </c>
      <c r="F436" s="7" t="s">
        <v>82</v>
      </c>
      <c r="G436" s="7"/>
      <c r="H436" s="7"/>
      <c r="I436" s="7" t="s">
        <v>158</v>
      </c>
      <c r="J436" s="7" t="s">
        <v>104</v>
      </c>
      <c r="K436" s="7" t="s">
        <v>105</v>
      </c>
      <c r="L436" s="7" t="s">
        <v>106</v>
      </c>
      <c r="M436" s="7"/>
      <c r="N436" s="7" t="s">
        <v>3462</v>
      </c>
      <c r="O436" s="7" t="s">
        <v>3462</v>
      </c>
      <c r="P436" s="7" t="s">
        <v>109</v>
      </c>
      <c r="Q436" s="7"/>
      <c r="R436" s="7" t="s">
        <v>109</v>
      </c>
      <c r="S436" s="7" t="s">
        <v>110</v>
      </c>
      <c r="T436" s="7" t="n">
        <v>0.502</v>
      </c>
      <c r="U436" s="7" t="n">
        <v>2</v>
      </c>
      <c r="V436" s="7" t="s">
        <v>1717</v>
      </c>
      <c r="W436" s="7"/>
      <c r="X436" s="7" t="s">
        <v>3463</v>
      </c>
      <c r="Y436" s="7" t="s">
        <v>3464</v>
      </c>
      <c r="Z436" s="7"/>
      <c r="AA436" s="7"/>
      <c r="AB436" s="7"/>
      <c r="AC436" s="7" t="n">
        <v>5</v>
      </c>
      <c r="AD436" s="7" t="s">
        <v>743</v>
      </c>
      <c r="AE436" s="7" t="s">
        <v>744</v>
      </c>
      <c r="AF436" s="7" t="s">
        <v>3514</v>
      </c>
      <c r="AG436" s="7" t="s">
        <v>744</v>
      </c>
      <c r="AH436" s="7" t="s">
        <v>3465</v>
      </c>
      <c r="AI436" s="7"/>
      <c r="AJ436" s="7"/>
      <c r="AK436" s="7"/>
      <c r="AL436" s="7"/>
      <c r="AM436" s="7"/>
      <c r="AN436" s="7"/>
      <c r="AO436" s="7" t="s">
        <v>744</v>
      </c>
      <c r="AP436" s="7" t="s">
        <v>3461</v>
      </c>
      <c r="AQ436" s="7" t="s">
        <v>744</v>
      </c>
      <c r="AR436" s="7" t="s">
        <v>82</v>
      </c>
      <c r="AS436" s="7"/>
      <c r="AT436" s="7"/>
      <c r="AU436" s="7"/>
      <c r="AV436" s="7"/>
      <c r="AW436" s="7" t="s">
        <v>744</v>
      </c>
      <c r="AX436" s="7" t="s">
        <v>3462</v>
      </c>
      <c r="AY436" s="7"/>
      <c r="AZ436" s="7"/>
      <c r="BA436" s="7"/>
      <c r="BB436" s="7"/>
      <c r="BC436" s="7"/>
      <c r="BD436" s="7" t="s">
        <v>3466</v>
      </c>
      <c r="BE436" s="7" t="s">
        <v>127</v>
      </c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</row>
    <row r="437" customFormat="false" ht="15" hidden="false" customHeight="false" outlineLevel="0" collapsed="false">
      <c r="A437" s="7" t="s">
        <v>3515</v>
      </c>
      <c r="B437" s="7" t="s">
        <v>3516</v>
      </c>
      <c r="C437" s="7" t="s">
        <v>3517</v>
      </c>
      <c r="D437" s="7" t="s">
        <v>3461</v>
      </c>
      <c r="E437" s="7" t="s">
        <v>82</v>
      </c>
      <c r="F437" s="7" t="s">
        <v>82</v>
      </c>
      <c r="G437" s="7"/>
      <c r="H437" s="7"/>
      <c r="I437" s="7" t="s">
        <v>158</v>
      </c>
      <c r="J437" s="7" t="s">
        <v>104</v>
      </c>
      <c r="K437" s="7" t="s">
        <v>105</v>
      </c>
      <c r="L437" s="7" t="s">
        <v>106</v>
      </c>
      <c r="M437" s="7"/>
      <c r="N437" s="7" t="s">
        <v>3462</v>
      </c>
      <c r="O437" s="7" t="s">
        <v>3462</v>
      </c>
      <c r="P437" s="7" t="s">
        <v>109</v>
      </c>
      <c r="Q437" s="7"/>
      <c r="R437" s="7" t="s">
        <v>109</v>
      </c>
      <c r="S437" s="7" t="s">
        <v>110</v>
      </c>
      <c r="T437" s="7" t="n">
        <v>0.471</v>
      </c>
      <c r="U437" s="7" t="n">
        <v>2</v>
      </c>
      <c r="V437" s="7" t="s">
        <v>1717</v>
      </c>
      <c r="W437" s="7"/>
      <c r="X437" s="7" t="s">
        <v>3463</v>
      </c>
      <c r="Y437" s="7" t="s">
        <v>3464</v>
      </c>
      <c r="Z437" s="7"/>
      <c r="AA437" s="7"/>
      <c r="AB437" s="7"/>
      <c r="AC437" s="7" t="n">
        <v>5</v>
      </c>
      <c r="AD437" s="7" t="s">
        <v>743</v>
      </c>
      <c r="AE437" s="7" t="s">
        <v>744</v>
      </c>
      <c r="AF437" s="7" t="s">
        <v>3517</v>
      </c>
      <c r="AG437" s="7" t="s">
        <v>744</v>
      </c>
      <c r="AH437" s="7" t="s">
        <v>3465</v>
      </c>
      <c r="AI437" s="7"/>
      <c r="AJ437" s="7"/>
      <c r="AK437" s="7"/>
      <c r="AL437" s="7"/>
      <c r="AM437" s="7"/>
      <c r="AN437" s="7"/>
      <c r="AO437" s="7" t="s">
        <v>744</v>
      </c>
      <c r="AP437" s="7" t="s">
        <v>3461</v>
      </c>
      <c r="AQ437" s="7" t="s">
        <v>744</v>
      </c>
      <c r="AR437" s="7" t="s">
        <v>82</v>
      </c>
      <c r="AS437" s="7"/>
      <c r="AT437" s="7"/>
      <c r="AU437" s="7"/>
      <c r="AV437" s="7"/>
      <c r="AW437" s="7" t="s">
        <v>744</v>
      </c>
      <c r="AX437" s="7" t="s">
        <v>3462</v>
      </c>
      <c r="AY437" s="7"/>
      <c r="AZ437" s="7"/>
      <c r="BA437" s="7"/>
      <c r="BB437" s="7"/>
      <c r="BC437" s="7"/>
      <c r="BD437" s="7" t="s">
        <v>3466</v>
      </c>
      <c r="BE437" s="7" t="s">
        <v>127</v>
      </c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</row>
    <row r="438" customFormat="false" ht="15" hidden="false" customHeight="false" outlineLevel="0" collapsed="false">
      <c r="A438" s="7" t="s">
        <v>3518</v>
      </c>
      <c r="B438" s="7" t="s">
        <v>3519</v>
      </c>
      <c r="C438" s="7" t="s">
        <v>3520</v>
      </c>
      <c r="D438" s="7" t="s">
        <v>3461</v>
      </c>
      <c r="E438" s="7" t="s">
        <v>82</v>
      </c>
      <c r="F438" s="7" t="s">
        <v>82</v>
      </c>
      <c r="G438" s="7"/>
      <c r="H438" s="7"/>
      <c r="I438" s="7" t="s">
        <v>158</v>
      </c>
      <c r="J438" s="7" t="s">
        <v>104</v>
      </c>
      <c r="K438" s="7" t="s">
        <v>105</v>
      </c>
      <c r="L438" s="7" t="s">
        <v>106</v>
      </c>
      <c r="M438" s="7"/>
      <c r="N438" s="7" t="s">
        <v>3462</v>
      </c>
      <c r="O438" s="7" t="s">
        <v>3462</v>
      </c>
      <c r="P438" s="7" t="s">
        <v>109</v>
      </c>
      <c r="Q438" s="7"/>
      <c r="R438" s="7" t="s">
        <v>109</v>
      </c>
      <c r="S438" s="7" t="s">
        <v>110</v>
      </c>
      <c r="T438" s="7" t="n">
        <v>0.477</v>
      </c>
      <c r="U438" s="7" t="n">
        <v>2</v>
      </c>
      <c r="V438" s="7" t="s">
        <v>1717</v>
      </c>
      <c r="W438" s="7"/>
      <c r="X438" s="7" t="s">
        <v>3463</v>
      </c>
      <c r="Y438" s="7" t="s">
        <v>3464</v>
      </c>
      <c r="Z438" s="7"/>
      <c r="AA438" s="7"/>
      <c r="AB438" s="7"/>
      <c r="AC438" s="7" t="n">
        <v>5</v>
      </c>
      <c r="AD438" s="7" t="s">
        <v>743</v>
      </c>
      <c r="AE438" s="7" t="s">
        <v>744</v>
      </c>
      <c r="AF438" s="7" t="s">
        <v>3520</v>
      </c>
      <c r="AG438" s="7" t="s">
        <v>744</v>
      </c>
      <c r="AH438" s="7" t="s">
        <v>3465</v>
      </c>
      <c r="AI438" s="7"/>
      <c r="AJ438" s="7"/>
      <c r="AK438" s="7"/>
      <c r="AL438" s="7"/>
      <c r="AM438" s="7"/>
      <c r="AN438" s="7"/>
      <c r="AO438" s="7" t="s">
        <v>744</v>
      </c>
      <c r="AP438" s="7" t="s">
        <v>3461</v>
      </c>
      <c r="AQ438" s="7" t="s">
        <v>744</v>
      </c>
      <c r="AR438" s="7" t="s">
        <v>82</v>
      </c>
      <c r="AS438" s="7"/>
      <c r="AT438" s="7"/>
      <c r="AU438" s="7"/>
      <c r="AV438" s="7"/>
      <c r="AW438" s="7" t="s">
        <v>744</v>
      </c>
      <c r="AX438" s="7" t="s">
        <v>3462</v>
      </c>
      <c r="AY438" s="7"/>
      <c r="AZ438" s="7"/>
      <c r="BA438" s="7"/>
      <c r="BB438" s="7"/>
      <c r="BC438" s="7"/>
      <c r="BD438" s="7" t="s">
        <v>3466</v>
      </c>
      <c r="BE438" s="7" t="s">
        <v>127</v>
      </c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</row>
    <row r="439" customFormat="false" ht="15" hidden="false" customHeight="false" outlineLevel="0" collapsed="false">
      <c r="A439" s="7" t="s">
        <v>3521</v>
      </c>
      <c r="B439" s="7" t="s">
        <v>3522</v>
      </c>
      <c r="C439" s="7" t="s">
        <v>3523</v>
      </c>
      <c r="D439" s="7" t="s">
        <v>1162</v>
      </c>
      <c r="E439" s="7" t="s">
        <v>82</v>
      </c>
      <c r="F439" s="7" t="s">
        <v>82</v>
      </c>
      <c r="G439" s="7" t="s">
        <v>83</v>
      </c>
      <c r="H439" s="7"/>
      <c r="I439" s="7" t="s">
        <v>158</v>
      </c>
      <c r="J439" s="7" t="s">
        <v>104</v>
      </c>
      <c r="K439" s="7" t="s">
        <v>105</v>
      </c>
      <c r="L439" s="7" t="s">
        <v>106</v>
      </c>
      <c r="M439" s="7"/>
      <c r="N439" s="7" t="s">
        <v>2493</v>
      </c>
      <c r="O439" s="7" t="s">
        <v>2493</v>
      </c>
      <c r="P439" s="7" t="s">
        <v>109</v>
      </c>
      <c r="Q439" s="7"/>
      <c r="R439" s="7" t="s">
        <v>109</v>
      </c>
      <c r="S439" s="7" t="s">
        <v>110</v>
      </c>
      <c r="T439" s="7" t="n">
        <v>0.337</v>
      </c>
      <c r="U439" s="7" t="n">
        <v>2</v>
      </c>
      <c r="V439" s="7" t="s">
        <v>1717</v>
      </c>
      <c r="W439" s="7"/>
      <c r="X439" s="7" t="s">
        <v>3524</v>
      </c>
      <c r="Y439" s="7" t="s">
        <v>2493</v>
      </c>
      <c r="Z439" s="7"/>
      <c r="AA439" s="7"/>
      <c r="AB439" s="7"/>
      <c r="AC439" s="7" t="n">
        <v>5</v>
      </c>
      <c r="AD439" s="7" t="s">
        <v>743</v>
      </c>
      <c r="AE439" s="7" t="s">
        <v>744</v>
      </c>
      <c r="AF439" s="7" t="s">
        <v>3523</v>
      </c>
      <c r="AG439" s="7" t="s">
        <v>744</v>
      </c>
      <c r="AH439" s="7" t="s">
        <v>3525</v>
      </c>
      <c r="AI439" s="7"/>
      <c r="AJ439" s="7"/>
      <c r="AK439" s="7"/>
      <c r="AL439" s="7"/>
      <c r="AM439" s="7"/>
      <c r="AN439" s="7"/>
      <c r="AO439" s="7" t="s">
        <v>744</v>
      </c>
      <c r="AP439" s="7" t="s">
        <v>1162</v>
      </c>
      <c r="AQ439" s="7" t="s">
        <v>744</v>
      </c>
      <c r="AR439" s="7" t="s">
        <v>82</v>
      </c>
      <c r="AS439" s="7"/>
      <c r="AT439" s="7"/>
      <c r="AU439" s="7"/>
      <c r="AV439" s="7"/>
      <c r="AW439" s="7" t="s">
        <v>744</v>
      </c>
      <c r="AX439" s="7" t="s">
        <v>2493</v>
      </c>
      <c r="AY439" s="7"/>
      <c r="AZ439" s="7"/>
      <c r="BA439" s="7"/>
      <c r="BB439" s="7"/>
      <c r="BC439" s="7"/>
      <c r="BD439" s="7" t="s">
        <v>3526</v>
      </c>
      <c r="BE439" s="7" t="s">
        <v>127</v>
      </c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</row>
    <row r="440" customFormat="false" ht="15" hidden="false" customHeight="false" outlineLevel="0" collapsed="false">
      <c r="A440" s="7" t="s">
        <v>3527</v>
      </c>
      <c r="B440" s="7" t="s">
        <v>3528</v>
      </c>
      <c r="C440" s="7" t="s">
        <v>3529</v>
      </c>
      <c r="D440" s="7" t="s">
        <v>1162</v>
      </c>
      <c r="E440" s="7" t="s">
        <v>82</v>
      </c>
      <c r="F440" s="7" t="s">
        <v>82</v>
      </c>
      <c r="G440" s="7" t="s">
        <v>83</v>
      </c>
      <c r="H440" s="7"/>
      <c r="I440" s="7" t="s">
        <v>158</v>
      </c>
      <c r="J440" s="7" t="s">
        <v>104</v>
      </c>
      <c r="K440" s="7" t="s">
        <v>105</v>
      </c>
      <c r="L440" s="7" t="s">
        <v>106</v>
      </c>
      <c r="M440" s="7"/>
      <c r="N440" s="7" t="s">
        <v>2493</v>
      </c>
      <c r="O440" s="7" t="s">
        <v>2493</v>
      </c>
      <c r="P440" s="7" t="s">
        <v>109</v>
      </c>
      <c r="Q440" s="7"/>
      <c r="R440" s="7" t="s">
        <v>109</v>
      </c>
      <c r="S440" s="7" t="s">
        <v>110</v>
      </c>
      <c r="T440" s="7" t="n">
        <v>0.58</v>
      </c>
      <c r="U440" s="7" t="n">
        <v>2</v>
      </c>
      <c r="V440" s="7" t="s">
        <v>1717</v>
      </c>
      <c r="W440" s="7"/>
      <c r="X440" s="7" t="s">
        <v>3524</v>
      </c>
      <c r="Y440" s="7" t="s">
        <v>2493</v>
      </c>
      <c r="Z440" s="7"/>
      <c r="AA440" s="7"/>
      <c r="AB440" s="7"/>
      <c r="AC440" s="7" t="n">
        <v>5</v>
      </c>
      <c r="AD440" s="7" t="s">
        <v>743</v>
      </c>
      <c r="AE440" s="7" t="s">
        <v>744</v>
      </c>
      <c r="AF440" s="7" t="s">
        <v>3529</v>
      </c>
      <c r="AG440" s="7" t="s">
        <v>744</v>
      </c>
      <c r="AH440" s="7" t="s">
        <v>3525</v>
      </c>
      <c r="AI440" s="7"/>
      <c r="AJ440" s="7"/>
      <c r="AK440" s="7"/>
      <c r="AL440" s="7"/>
      <c r="AM440" s="7"/>
      <c r="AN440" s="7"/>
      <c r="AO440" s="7" t="s">
        <v>744</v>
      </c>
      <c r="AP440" s="7" t="s">
        <v>1162</v>
      </c>
      <c r="AQ440" s="7" t="s">
        <v>744</v>
      </c>
      <c r="AR440" s="7" t="s">
        <v>82</v>
      </c>
      <c r="AS440" s="7"/>
      <c r="AT440" s="7"/>
      <c r="AU440" s="7"/>
      <c r="AV440" s="7"/>
      <c r="AW440" s="7" t="s">
        <v>744</v>
      </c>
      <c r="AX440" s="7" t="s">
        <v>2493</v>
      </c>
      <c r="AY440" s="7"/>
      <c r="AZ440" s="7"/>
      <c r="BA440" s="7"/>
      <c r="BB440" s="7"/>
      <c r="BC440" s="7"/>
      <c r="BD440" s="7" t="s">
        <v>3526</v>
      </c>
      <c r="BE440" s="7" t="s">
        <v>127</v>
      </c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</row>
    <row r="441" customFormat="false" ht="15" hidden="false" customHeight="false" outlineLevel="0" collapsed="false">
      <c r="A441" s="7" t="s">
        <v>3530</v>
      </c>
      <c r="B441" s="7" t="s">
        <v>2491</v>
      </c>
      <c r="C441" s="7" t="s">
        <v>3531</v>
      </c>
      <c r="D441" s="7" t="s">
        <v>1162</v>
      </c>
      <c r="E441" s="7" t="s">
        <v>82</v>
      </c>
      <c r="F441" s="7" t="s">
        <v>82</v>
      </c>
      <c r="G441" s="7" t="s">
        <v>83</v>
      </c>
      <c r="H441" s="7"/>
      <c r="I441" s="7" t="s">
        <v>158</v>
      </c>
      <c r="J441" s="7" t="s">
        <v>104</v>
      </c>
      <c r="K441" s="7" t="s">
        <v>105</v>
      </c>
      <c r="L441" s="7" t="s">
        <v>106</v>
      </c>
      <c r="M441" s="7"/>
      <c r="N441" s="7" t="s">
        <v>2493</v>
      </c>
      <c r="O441" s="7" t="s">
        <v>2493</v>
      </c>
      <c r="P441" s="7" t="s">
        <v>109</v>
      </c>
      <c r="Q441" s="7"/>
      <c r="R441" s="7" t="s">
        <v>109</v>
      </c>
      <c r="S441" s="7" t="s">
        <v>110</v>
      </c>
      <c r="T441" s="7" t="n">
        <v>0.573</v>
      </c>
      <c r="U441" s="7" t="n">
        <v>2</v>
      </c>
      <c r="V441" s="7" t="s">
        <v>1717</v>
      </c>
      <c r="W441" s="7"/>
      <c r="X441" s="7" t="s">
        <v>3524</v>
      </c>
      <c r="Y441" s="7" t="s">
        <v>2493</v>
      </c>
      <c r="Z441" s="7"/>
      <c r="AA441" s="7"/>
      <c r="AB441" s="7"/>
      <c r="AC441" s="7" t="n">
        <v>5</v>
      </c>
      <c r="AD441" s="7" t="s">
        <v>743</v>
      </c>
      <c r="AE441" s="7" t="s">
        <v>744</v>
      </c>
      <c r="AF441" s="7" t="s">
        <v>3531</v>
      </c>
      <c r="AG441" s="7" t="s">
        <v>744</v>
      </c>
      <c r="AH441" s="7" t="s">
        <v>3525</v>
      </c>
      <c r="AI441" s="7"/>
      <c r="AJ441" s="7"/>
      <c r="AK441" s="7"/>
      <c r="AL441" s="7"/>
      <c r="AM441" s="7"/>
      <c r="AN441" s="7"/>
      <c r="AO441" s="7" t="s">
        <v>744</v>
      </c>
      <c r="AP441" s="7" t="s">
        <v>1162</v>
      </c>
      <c r="AQ441" s="7" t="s">
        <v>744</v>
      </c>
      <c r="AR441" s="7" t="s">
        <v>82</v>
      </c>
      <c r="AS441" s="7"/>
      <c r="AT441" s="7"/>
      <c r="AU441" s="7"/>
      <c r="AV441" s="7"/>
      <c r="AW441" s="7" t="s">
        <v>744</v>
      </c>
      <c r="AX441" s="7" t="s">
        <v>2493</v>
      </c>
      <c r="AY441" s="7"/>
      <c r="AZ441" s="7"/>
      <c r="BA441" s="7"/>
      <c r="BB441" s="7"/>
      <c r="BC441" s="7"/>
      <c r="BD441" s="7" t="s">
        <v>3526</v>
      </c>
      <c r="BE441" s="7" t="s">
        <v>127</v>
      </c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</row>
    <row r="442" customFormat="false" ht="15" hidden="false" customHeight="false" outlineLevel="0" collapsed="false">
      <c r="A442" s="7" t="s">
        <v>3532</v>
      </c>
      <c r="B442" s="7" t="s">
        <v>3533</v>
      </c>
      <c r="C442" s="7" t="s">
        <v>3534</v>
      </c>
      <c r="D442" s="7" t="s">
        <v>1162</v>
      </c>
      <c r="E442" s="7" t="s">
        <v>82</v>
      </c>
      <c r="F442" s="7" t="s">
        <v>82</v>
      </c>
      <c r="G442" s="7" t="s">
        <v>83</v>
      </c>
      <c r="H442" s="7"/>
      <c r="I442" s="7" t="s">
        <v>158</v>
      </c>
      <c r="J442" s="7" t="s">
        <v>104</v>
      </c>
      <c r="K442" s="7" t="s">
        <v>105</v>
      </c>
      <c r="L442" s="7" t="s">
        <v>106</v>
      </c>
      <c r="M442" s="7"/>
      <c r="N442" s="7" t="s">
        <v>2493</v>
      </c>
      <c r="O442" s="7" t="s">
        <v>2493</v>
      </c>
      <c r="P442" s="7" t="s">
        <v>109</v>
      </c>
      <c r="Q442" s="7"/>
      <c r="R442" s="7" t="s">
        <v>109</v>
      </c>
      <c r="S442" s="7" t="s">
        <v>110</v>
      </c>
      <c r="T442" s="7" t="n">
        <v>0.39</v>
      </c>
      <c r="U442" s="7" t="n">
        <v>2</v>
      </c>
      <c r="V442" s="7" t="s">
        <v>1717</v>
      </c>
      <c r="W442" s="7"/>
      <c r="X442" s="7" t="s">
        <v>3524</v>
      </c>
      <c r="Y442" s="7" t="s">
        <v>2493</v>
      </c>
      <c r="Z442" s="7"/>
      <c r="AA442" s="7"/>
      <c r="AB442" s="7"/>
      <c r="AC442" s="7" t="n">
        <v>5</v>
      </c>
      <c r="AD442" s="7" t="s">
        <v>743</v>
      </c>
      <c r="AE442" s="7" t="s">
        <v>744</v>
      </c>
      <c r="AF442" s="7" t="s">
        <v>3534</v>
      </c>
      <c r="AG442" s="7" t="s">
        <v>744</v>
      </c>
      <c r="AH442" s="7" t="s">
        <v>3525</v>
      </c>
      <c r="AI442" s="7"/>
      <c r="AJ442" s="7"/>
      <c r="AK442" s="7"/>
      <c r="AL442" s="7"/>
      <c r="AM442" s="7"/>
      <c r="AN442" s="7"/>
      <c r="AO442" s="7" t="s">
        <v>744</v>
      </c>
      <c r="AP442" s="7" t="s">
        <v>1162</v>
      </c>
      <c r="AQ442" s="7" t="s">
        <v>744</v>
      </c>
      <c r="AR442" s="7" t="s">
        <v>82</v>
      </c>
      <c r="AS442" s="7"/>
      <c r="AT442" s="7"/>
      <c r="AU442" s="7"/>
      <c r="AV442" s="7"/>
      <c r="AW442" s="7" t="s">
        <v>744</v>
      </c>
      <c r="AX442" s="7" t="s">
        <v>2493</v>
      </c>
      <c r="AY442" s="7"/>
      <c r="AZ442" s="7"/>
      <c r="BA442" s="7"/>
      <c r="BB442" s="7"/>
      <c r="BC442" s="7"/>
      <c r="BD442" s="7" t="s">
        <v>3526</v>
      </c>
      <c r="BE442" s="7" t="s">
        <v>127</v>
      </c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</row>
    <row r="443" customFormat="false" ht="15" hidden="false" customHeight="false" outlineLevel="0" collapsed="false">
      <c r="A443" s="7" t="s">
        <v>3535</v>
      </c>
      <c r="B443" s="7" t="s">
        <v>3536</v>
      </c>
      <c r="C443" s="7" t="s">
        <v>3537</v>
      </c>
      <c r="D443" s="7" t="s">
        <v>2276</v>
      </c>
      <c r="E443" s="7" t="s">
        <v>101</v>
      </c>
      <c r="F443" s="7" t="s">
        <v>156</v>
      </c>
      <c r="G443" s="7"/>
      <c r="H443" s="7" t="s">
        <v>157</v>
      </c>
      <c r="I443" s="7" t="s">
        <v>158</v>
      </c>
      <c r="J443" s="7" t="s">
        <v>159</v>
      </c>
      <c r="K443" s="7" t="s">
        <v>105</v>
      </c>
      <c r="L443" s="7" t="s">
        <v>353</v>
      </c>
      <c r="M443" s="7" t="s">
        <v>3538</v>
      </c>
      <c r="N443" s="7" t="s">
        <v>3539</v>
      </c>
      <c r="O443" s="7"/>
      <c r="P443" s="7" t="s">
        <v>135</v>
      </c>
      <c r="Q443" s="7"/>
      <c r="R443" s="7" t="s">
        <v>135</v>
      </c>
      <c r="S443" s="7" t="s">
        <v>136</v>
      </c>
      <c r="T443" s="7" t="n">
        <v>0.108</v>
      </c>
      <c r="U443" s="7" t="n">
        <v>2</v>
      </c>
      <c r="V443" s="7" t="s">
        <v>90</v>
      </c>
      <c r="W443" s="7"/>
      <c r="X443" s="7" t="s">
        <v>999</v>
      </c>
      <c r="Y443" s="7" t="s">
        <v>3540</v>
      </c>
      <c r="Z443" s="7"/>
      <c r="AA443" s="7"/>
      <c r="AB443" s="7"/>
      <c r="AC443" s="7" t="n">
        <v>12</v>
      </c>
      <c r="AD443" s="7"/>
      <c r="AE443" s="7" t="s">
        <v>166</v>
      </c>
      <c r="AF443" s="7" t="s">
        <v>3541</v>
      </c>
      <c r="AG443" s="7" t="s">
        <v>166</v>
      </c>
      <c r="AH443" s="7" t="s">
        <v>3542</v>
      </c>
      <c r="AI443" s="7" t="s">
        <v>115</v>
      </c>
      <c r="AJ443" s="7"/>
      <c r="AK443" s="7" t="s">
        <v>115</v>
      </c>
      <c r="AL443" s="7" t="s">
        <v>338</v>
      </c>
      <c r="AM443" s="7" t="s">
        <v>115</v>
      </c>
      <c r="AN443" s="7"/>
      <c r="AO443" s="7" t="s">
        <v>166</v>
      </c>
      <c r="AP443" s="7" t="s">
        <v>3543</v>
      </c>
      <c r="AQ443" s="7" t="s">
        <v>166</v>
      </c>
      <c r="AR443" s="7" t="s">
        <v>3544</v>
      </c>
      <c r="AS443" s="7" t="s">
        <v>166</v>
      </c>
      <c r="AT443" s="7" t="s">
        <v>3545</v>
      </c>
      <c r="AU443" s="7" t="s">
        <v>166</v>
      </c>
      <c r="AV443" s="7" t="s">
        <v>3546</v>
      </c>
      <c r="AW443" s="7" t="s">
        <v>166</v>
      </c>
      <c r="AX443" s="7" t="s">
        <v>3547</v>
      </c>
      <c r="AY443" s="7" t="s">
        <v>166</v>
      </c>
      <c r="AZ443" s="7" t="s">
        <v>3548</v>
      </c>
      <c r="BA443" s="7" t="s">
        <v>166</v>
      </c>
      <c r="BB443" s="7" t="s">
        <v>3549</v>
      </c>
      <c r="BC443" s="7" t="s">
        <v>178</v>
      </c>
      <c r="BD443" s="7" t="s">
        <v>3550</v>
      </c>
      <c r="BE443" s="7" t="s">
        <v>127</v>
      </c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</row>
    <row r="444" customFormat="false" ht="15" hidden="false" customHeight="false" outlineLevel="0" collapsed="false">
      <c r="A444" s="7" t="s">
        <v>3551</v>
      </c>
      <c r="B444" s="7" t="s">
        <v>3552</v>
      </c>
      <c r="C444" s="7" t="s">
        <v>3553</v>
      </c>
      <c r="D444" s="7"/>
      <c r="E444" s="7" t="s">
        <v>101</v>
      </c>
      <c r="F444" s="7" t="s">
        <v>101</v>
      </c>
      <c r="G444" s="7"/>
      <c r="H444" s="7" t="s">
        <v>102</v>
      </c>
      <c r="I444" s="7" t="s">
        <v>132</v>
      </c>
      <c r="J444" s="7" t="s">
        <v>104</v>
      </c>
      <c r="K444" s="7" t="s">
        <v>105</v>
      </c>
      <c r="L444" s="7" t="s">
        <v>106</v>
      </c>
      <c r="M444" s="7" t="s">
        <v>3554</v>
      </c>
      <c r="N444" s="7" t="s">
        <v>3555</v>
      </c>
      <c r="O444" s="7" t="s">
        <v>3556</v>
      </c>
      <c r="P444" s="7" t="s">
        <v>109</v>
      </c>
      <c r="Q444" s="7"/>
      <c r="R444" s="7" t="s">
        <v>84</v>
      </c>
      <c r="S444" s="7" t="s">
        <v>238</v>
      </c>
      <c r="T444" s="7" t="n">
        <v>0.71</v>
      </c>
      <c r="U444" s="7" t="n">
        <v>2</v>
      </c>
      <c r="V444" s="7" t="s">
        <v>111</v>
      </c>
      <c r="W444" s="7" t="s">
        <v>980</v>
      </c>
      <c r="X444" s="7" t="s">
        <v>187</v>
      </c>
      <c r="Y444" s="7" t="s">
        <v>3555</v>
      </c>
      <c r="Z444" s="7" t="s">
        <v>981</v>
      </c>
      <c r="AA444" s="7"/>
      <c r="AB444" s="7"/>
      <c r="AC444" s="7" t="n">
        <v>12</v>
      </c>
      <c r="AD444" s="7"/>
      <c r="AE444" s="7" t="s">
        <v>777</v>
      </c>
      <c r="AF444" s="7" t="s">
        <v>3557</v>
      </c>
      <c r="AG444" s="7" t="s">
        <v>777</v>
      </c>
      <c r="AH444" s="7" t="s">
        <v>3558</v>
      </c>
      <c r="AI444" s="7" t="s">
        <v>779</v>
      </c>
      <c r="AJ444" s="7" t="s">
        <v>985</v>
      </c>
      <c r="AK444" s="7" t="s">
        <v>115</v>
      </c>
      <c r="AL444" s="7" t="s">
        <v>116</v>
      </c>
      <c r="AM444" s="7" t="s">
        <v>777</v>
      </c>
      <c r="AN444" s="7" t="s">
        <v>3559</v>
      </c>
      <c r="AO444" s="7" t="s">
        <v>779</v>
      </c>
      <c r="AP444" s="7" t="s">
        <v>3560</v>
      </c>
      <c r="AQ444" s="7" t="s">
        <v>777</v>
      </c>
      <c r="AR444" s="7" t="s">
        <v>3561</v>
      </c>
      <c r="AS444" s="7" t="s">
        <v>777</v>
      </c>
      <c r="AT444" s="7" t="s">
        <v>3562</v>
      </c>
      <c r="AU444" s="7" t="s">
        <v>777</v>
      </c>
      <c r="AV444" s="7" t="s">
        <v>3563</v>
      </c>
      <c r="AW444" s="7" t="s">
        <v>777</v>
      </c>
      <c r="AX444" s="7" t="s">
        <v>145</v>
      </c>
      <c r="AY444" s="7" t="s">
        <v>777</v>
      </c>
      <c r="AZ444" s="7" t="s">
        <v>3564</v>
      </c>
      <c r="BA444" s="7" t="s">
        <v>777</v>
      </c>
      <c r="BB444" s="7" t="s">
        <v>3565</v>
      </c>
      <c r="BC444" s="7" t="s">
        <v>151</v>
      </c>
      <c r="BD444" s="7" t="s">
        <v>126</v>
      </c>
      <c r="BE444" s="7" t="s">
        <v>127</v>
      </c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</row>
    <row r="445" customFormat="false" ht="15" hidden="false" customHeight="false" outlineLevel="0" collapsed="false">
      <c r="A445" s="7" t="s">
        <v>3566</v>
      </c>
      <c r="B445" s="7" t="s">
        <v>3567</v>
      </c>
      <c r="C445" s="7" t="s">
        <v>3568</v>
      </c>
      <c r="D445" s="7" t="s">
        <v>3569</v>
      </c>
      <c r="E445" s="7" t="s">
        <v>82</v>
      </c>
      <c r="F445" s="7" t="s">
        <v>82</v>
      </c>
      <c r="G445" s="7"/>
      <c r="H445" s="7" t="s">
        <v>207</v>
      </c>
      <c r="I445" s="7" t="s">
        <v>103</v>
      </c>
      <c r="J445" s="7" t="s">
        <v>104</v>
      </c>
      <c r="K445" s="7" t="s">
        <v>105</v>
      </c>
      <c r="L445" s="7" t="s">
        <v>106</v>
      </c>
      <c r="M445" s="7"/>
      <c r="N445" s="7" t="s">
        <v>3570</v>
      </c>
      <c r="O445" s="7" t="s">
        <v>3570</v>
      </c>
      <c r="P445" s="7" t="s">
        <v>84</v>
      </c>
      <c r="Q445" s="7"/>
      <c r="R445" s="7" t="s">
        <v>109</v>
      </c>
      <c r="S445" s="7" t="s">
        <v>110</v>
      </c>
      <c r="T445" s="7" t="n">
        <v>0.469</v>
      </c>
      <c r="U445" s="7" t="n">
        <v>2</v>
      </c>
      <c r="V445" s="7" t="s">
        <v>479</v>
      </c>
      <c r="W445" s="7"/>
      <c r="X445" s="7"/>
      <c r="Y445" s="7" t="s">
        <v>3570</v>
      </c>
      <c r="Z445" s="7"/>
      <c r="AA445" s="7"/>
      <c r="AB445" s="7"/>
      <c r="AC445" s="7" t="n">
        <v>0</v>
      </c>
      <c r="AD445" s="7" t="s">
        <v>388</v>
      </c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 t="s">
        <v>220</v>
      </c>
      <c r="BE445" s="7" t="s">
        <v>127</v>
      </c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</row>
    <row r="446" customFormat="false" ht="15" hidden="false" customHeight="false" outlineLevel="0" collapsed="false">
      <c r="A446" s="7" t="s">
        <v>3571</v>
      </c>
      <c r="B446" s="7" t="s">
        <v>3572</v>
      </c>
      <c r="C446" s="7" t="s">
        <v>3573</v>
      </c>
      <c r="D446" s="7" t="s">
        <v>3574</v>
      </c>
      <c r="E446" s="7" t="s">
        <v>3575</v>
      </c>
      <c r="F446" s="7" t="s">
        <v>3575</v>
      </c>
      <c r="G446" s="7"/>
      <c r="H446" s="7" t="s">
        <v>207</v>
      </c>
      <c r="I446" s="7" t="s">
        <v>208</v>
      </c>
      <c r="J446" s="7" t="s">
        <v>104</v>
      </c>
      <c r="K446" s="7" t="s">
        <v>105</v>
      </c>
      <c r="L446" s="7" t="s">
        <v>106</v>
      </c>
      <c r="M446" s="7"/>
      <c r="N446" s="7" t="s">
        <v>3576</v>
      </c>
      <c r="O446" s="7" t="s">
        <v>3576</v>
      </c>
      <c r="P446" s="7" t="s">
        <v>84</v>
      </c>
      <c r="Q446" s="7"/>
      <c r="R446" s="7" t="s">
        <v>109</v>
      </c>
      <c r="S446" s="7" t="s">
        <v>110</v>
      </c>
      <c r="T446" s="7" t="n">
        <v>0.591</v>
      </c>
      <c r="U446" s="7" t="n">
        <v>2</v>
      </c>
      <c r="V446" s="7" t="s">
        <v>111</v>
      </c>
      <c r="W446" s="7"/>
      <c r="X446" s="7"/>
      <c r="Y446" s="7" t="s">
        <v>3576</v>
      </c>
      <c r="Z446" s="7"/>
      <c r="AA446" s="7"/>
      <c r="AB446" s="7"/>
      <c r="AC446" s="7" t="n">
        <v>0</v>
      </c>
      <c r="AD446" s="7" t="s">
        <v>388</v>
      </c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 t="s">
        <v>1861</v>
      </c>
      <c r="BE446" s="7" t="s">
        <v>127</v>
      </c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</row>
    <row r="447" customFormat="false" ht="15" hidden="false" customHeight="false" outlineLevel="0" collapsed="false">
      <c r="A447" s="7" t="s">
        <v>3577</v>
      </c>
      <c r="B447" s="7" t="s">
        <v>3578</v>
      </c>
      <c r="C447" s="7" t="s">
        <v>3579</v>
      </c>
      <c r="D447" s="7" t="s">
        <v>392</v>
      </c>
      <c r="E447" s="7" t="s">
        <v>101</v>
      </c>
      <c r="F447" s="7" t="s">
        <v>101</v>
      </c>
      <c r="G447" s="7"/>
      <c r="H447" s="7" t="s">
        <v>102</v>
      </c>
      <c r="I447" s="7" t="s">
        <v>208</v>
      </c>
      <c r="J447" s="7" t="s">
        <v>104</v>
      </c>
      <c r="K447" s="7" t="s">
        <v>105</v>
      </c>
      <c r="L447" s="7" t="s">
        <v>106</v>
      </c>
      <c r="M447" s="7"/>
      <c r="N447" s="7" t="s">
        <v>3580</v>
      </c>
      <c r="O447" s="7"/>
      <c r="P447" s="7" t="s">
        <v>109</v>
      </c>
      <c r="Q447" s="7"/>
      <c r="R447" s="7" t="s">
        <v>135</v>
      </c>
      <c r="S447" s="7" t="s">
        <v>136</v>
      </c>
      <c r="T447" s="7" t="n">
        <v>0.432</v>
      </c>
      <c r="U447" s="7" t="n">
        <v>2</v>
      </c>
      <c r="V447" s="7" t="s">
        <v>111</v>
      </c>
      <c r="W447" s="7"/>
      <c r="X447" s="7"/>
      <c r="Y447" s="7" t="s">
        <v>3580</v>
      </c>
      <c r="Z447" s="7"/>
      <c r="AA447" s="7"/>
      <c r="AB447" s="7"/>
      <c r="AC447" s="7" t="n">
        <v>0</v>
      </c>
      <c r="AD447" s="7" t="s">
        <v>388</v>
      </c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 t="s">
        <v>126</v>
      </c>
      <c r="BE447" s="7" t="s">
        <v>127</v>
      </c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</row>
    <row r="448" customFormat="false" ht="15" hidden="false" customHeight="false" outlineLevel="0" collapsed="false">
      <c r="A448" s="7" t="s">
        <v>3581</v>
      </c>
      <c r="B448" s="7" t="s">
        <v>3582</v>
      </c>
      <c r="C448" s="7" t="s">
        <v>3583</v>
      </c>
      <c r="D448" s="7" t="s">
        <v>392</v>
      </c>
      <c r="E448" s="7" t="s">
        <v>101</v>
      </c>
      <c r="F448" s="7" t="s">
        <v>101</v>
      </c>
      <c r="G448" s="7"/>
      <c r="H448" s="7" t="s">
        <v>102</v>
      </c>
      <c r="I448" s="7" t="s">
        <v>208</v>
      </c>
      <c r="J448" s="7" t="s">
        <v>104</v>
      </c>
      <c r="K448" s="7" t="s">
        <v>105</v>
      </c>
      <c r="L448" s="7" t="s">
        <v>106</v>
      </c>
      <c r="M448" s="7"/>
      <c r="N448" s="7" t="s">
        <v>3584</v>
      </c>
      <c r="O448" s="7"/>
      <c r="P448" s="7" t="s">
        <v>109</v>
      </c>
      <c r="Q448" s="7"/>
      <c r="R448" s="7" t="s">
        <v>135</v>
      </c>
      <c r="S448" s="7" t="s">
        <v>136</v>
      </c>
      <c r="T448" s="7" t="n">
        <v>0.506</v>
      </c>
      <c r="U448" s="7" t="n">
        <v>2</v>
      </c>
      <c r="V448" s="7" t="s">
        <v>111</v>
      </c>
      <c r="W448" s="7"/>
      <c r="X448" s="7"/>
      <c r="Y448" s="7" t="s">
        <v>3584</v>
      </c>
      <c r="Z448" s="7"/>
      <c r="AA448" s="7"/>
      <c r="AB448" s="7"/>
      <c r="AC448" s="7" t="n">
        <v>0</v>
      </c>
      <c r="AD448" s="7" t="s">
        <v>388</v>
      </c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 t="s">
        <v>126</v>
      </c>
      <c r="BE448" s="7" t="s">
        <v>127</v>
      </c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</row>
    <row r="449" customFormat="false" ht="15" hidden="false" customHeight="false" outlineLevel="0" collapsed="false">
      <c r="A449" s="7" t="s">
        <v>3585</v>
      </c>
      <c r="B449" s="7" t="s">
        <v>3586</v>
      </c>
      <c r="C449" s="7" t="s">
        <v>3587</v>
      </c>
      <c r="D449" s="7" t="s">
        <v>3588</v>
      </c>
      <c r="E449" s="7" t="s">
        <v>101</v>
      </c>
      <c r="F449" s="7" t="s">
        <v>101</v>
      </c>
      <c r="G449" s="7"/>
      <c r="H449" s="7" t="s">
        <v>102</v>
      </c>
      <c r="I449" s="7" t="s">
        <v>158</v>
      </c>
      <c r="J449" s="7" t="s">
        <v>104</v>
      </c>
      <c r="K449" s="7" t="s">
        <v>105</v>
      </c>
      <c r="L449" s="7" t="s">
        <v>106</v>
      </c>
      <c r="M449" s="7"/>
      <c r="N449" s="7" t="s">
        <v>3589</v>
      </c>
      <c r="O449" s="7" t="s">
        <v>3589</v>
      </c>
      <c r="P449" s="7" t="s">
        <v>84</v>
      </c>
      <c r="Q449" s="7"/>
      <c r="R449" s="7" t="s">
        <v>109</v>
      </c>
      <c r="S449" s="7" t="s">
        <v>110</v>
      </c>
      <c r="T449" s="7" t="n">
        <v>0.822</v>
      </c>
      <c r="U449" s="7" t="n">
        <v>2</v>
      </c>
      <c r="V449" s="7" t="s">
        <v>111</v>
      </c>
      <c r="W449" s="7"/>
      <c r="X449" s="7"/>
      <c r="Y449" s="7" t="s">
        <v>3589</v>
      </c>
      <c r="Z449" s="7"/>
      <c r="AA449" s="7"/>
      <c r="AB449" s="7"/>
      <c r="AC449" s="7" t="n">
        <v>0</v>
      </c>
      <c r="AD449" s="7" t="s">
        <v>388</v>
      </c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 t="s">
        <v>126</v>
      </c>
      <c r="BE449" s="7" t="s">
        <v>127</v>
      </c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</row>
    <row r="450" customFormat="false" ht="15" hidden="false" customHeight="false" outlineLevel="0" collapsed="false">
      <c r="A450" s="7" t="s">
        <v>3590</v>
      </c>
      <c r="B450" s="7" t="s">
        <v>3591</v>
      </c>
      <c r="C450" s="7" t="s">
        <v>3592</v>
      </c>
      <c r="D450" s="7" t="s">
        <v>3593</v>
      </c>
      <c r="E450" s="7" t="s">
        <v>101</v>
      </c>
      <c r="F450" s="7" t="s">
        <v>101</v>
      </c>
      <c r="G450" s="7"/>
      <c r="H450" s="7" t="s">
        <v>102</v>
      </c>
      <c r="I450" s="7" t="s">
        <v>132</v>
      </c>
      <c r="J450" s="7" t="s">
        <v>104</v>
      </c>
      <c r="K450" s="7" t="s">
        <v>105</v>
      </c>
      <c r="L450" s="7" t="s">
        <v>106</v>
      </c>
      <c r="M450" s="7" t="s">
        <v>419</v>
      </c>
      <c r="N450" s="7" t="s">
        <v>3594</v>
      </c>
      <c r="O450" s="7"/>
      <c r="P450" s="7" t="s">
        <v>84</v>
      </c>
      <c r="Q450" s="7"/>
      <c r="R450" s="7"/>
      <c r="S450" s="7"/>
      <c r="T450" s="7" t="n">
        <v>0.215</v>
      </c>
      <c r="U450" s="7" t="n">
        <v>2</v>
      </c>
      <c r="V450" s="7" t="s">
        <v>111</v>
      </c>
      <c r="W450" s="7"/>
      <c r="X450" s="7" t="s">
        <v>2298</v>
      </c>
      <c r="Y450" s="7"/>
      <c r="Z450" s="7" t="s">
        <v>3595</v>
      </c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 t="s">
        <v>427</v>
      </c>
      <c r="BD450" s="7" t="s">
        <v>1861</v>
      </c>
      <c r="BE450" s="7" t="s">
        <v>127</v>
      </c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</row>
    <row r="451" customFormat="false" ht="15" hidden="false" customHeight="false" outlineLevel="0" collapsed="false">
      <c r="A451" s="7" t="s">
        <v>3596</v>
      </c>
      <c r="B451" s="7" t="s">
        <v>3597</v>
      </c>
      <c r="C451" s="7" t="s">
        <v>3598</v>
      </c>
      <c r="D451" s="7" t="s">
        <v>3599</v>
      </c>
      <c r="E451" s="7" t="s">
        <v>101</v>
      </c>
      <c r="F451" s="7" t="s">
        <v>101</v>
      </c>
      <c r="G451" s="7"/>
      <c r="H451" s="7" t="s">
        <v>102</v>
      </c>
      <c r="I451" s="7" t="s">
        <v>158</v>
      </c>
      <c r="J451" s="7" t="s">
        <v>104</v>
      </c>
      <c r="K451" s="7" t="s">
        <v>105</v>
      </c>
      <c r="L451" s="7" t="s">
        <v>353</v>
      </c>
      <c r="M451" s="7" t="s">
        <v>3600</v>
      </c>
      <c r="N451" s="7" t="s">
        <v>3601</v>
      </c>
      <c r="O451" s="7" t="s">
        <v>3601</v>
      </c>
      <c r="P451" s="7" t="s">
        <v>84</v>
      </c>
      <c r="Q451" s="7"/>
      <c r="R451" s="7" t="s">
        <v>109</v>
      </c>
      <c r="S451" s="7" t="s">
        <v>110</v>
      </c>
      <c r="T451" s="7" t="n">
        <v>0.649</v>
      </c>
      <c r="U451" s="7" t="n">
        <v>2</v>
      </c>
      <c r="V451" s="7" t="s">
        <v>2319</v>
      </c>
      <c r="W451" s="7" t="s">
        <v>2685</v>
      </c>
      <c r="X451" s="7" t="s">
        <v>3602</v>
      </c>
      <c r="Y451" s="7" t="s">
        <v>3601</v>
      </c>
      <c r="Z451" s="7" t="s">
        <v>3603</v>
      </c>
      <c r="AA451" s="7"/>
      <c r="AB451" s="7"/>
      <c r="AC451" s="7" t="n">
        <v>0</v>
      </c>
      <c r="AD451" s="7" t="s">
        <v>388</v>
      </c>
      <c r="AE451" s="7" t="s">
        <v>1848</v>
      </c>
      <c r="AF451" s="7" t="s">
        <v>3604</v>
      </c>
      <c r="AG451" s="7" t="s">
        <v>1848</v>
      </c>
      <c r="AH451" s="7" t="s">
        <v>3605</v>
      </c>
      <c r="AI451" s="7"/>
      <c r="AJ451" s="7"/>
      <c r="AK451" s="7"/>
      <c r="AL451" s="7"/>
      <c r="AM451" s="7" t="s">
        <v>1848</v>
      </c>
      <c r="AN451" s="7" t="s">
        <v>3606</v>
      </c>
      <c r="AO451" s="7" t="s">
        <v>1848</v>
      </c>
      <c r="AP451" s="7" t="s">
        <v>3607</v>
      </c>
      <c r="AQ451" s="7" t="s">
        <v>1848</v>
      </c>
      <c r="AR451" s="7" t="s">
        <v>3608</v>
      </c>
      <c r="AS451" s="7" t="s">
        <v>1848</v>
      </c>
      <c r="AT451" s="7" t="s">
        <v>216</v>
      </c>
      <c r="AU451" s="7"/>
      <c r="AV451" s="7"/>
      <c r="AW451" s="7"/>
      <c r="AX451" s="7"/>
      <c r="AY451" s="7" t="s">
        <v>1848</v>
      </c>
      <c r="AZ451" s="7" t="s">
        <v>3609</v>
      </c>
      <c r="BA451" s="7" t="s">
        <v>1848</v>
      </c>
      <c r="BB451" s="7" t="s">
        <v>369</v>
      </c>
      <c r="BC451" s="7" t="s">
        <v>413</v>
      </c>
      <c r="BD451" s="7" t="s">
        <v>1861</v>
      </c>
      <c r="BE451" s="7" t="s">
        <v>127</v>
      </c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</row>
    <row r="452" customFormat="false" ht="15" hidden="false" customHeight="false" outlineLevel="0" collapsed="false">
      <c r="A452" s="7" t="s">
        <v>3610</v>
      </c>
      <c r="B452" s="7" t="s">
        <v>3611</v>
      </c>
      <c r="C452" s="7" t="s">
        <v>3612</v>
      </c>
      <c r="D452" s="7" t="s">
        <v>3613</v>
      </c>
      <c r="E452" s="7" t="s">
        <v>101</v>
      </c>
      <c r="F452" s="7" t="s">
        <v>101</v>
      </c>
      <c r="G452" s="7"/>
      <c r="H452" s="7" t="s">
        <v>102</v>
      </c>
      <c r="I452" s="7" t="s">
        <v>158</v>
      </c>
      <c r="J452" s="7" t="s">
        <v>104</v>
      </c>
      <c r="K452" s="7" t="s">
        <v>105</v>
      </c>
      <c r="L452" s="7" t="s">
        <v>353</v>
      </c>
      <c r="M452" s="7" t="s">
        <v>3614</v>
      </c>
      <c r="N452" s="7" t="s">
        <v>3615</v>
      </c>
      <c r="O452" s="7"/>
      <c r="P452" s="7" t="s">
        <v>84</v>
      </c>
      <c r="Q452" s="7"/>
      <c r="R452" s="7"/>
      <c r="S452" s="7"/>
      <c r="T452" s="7" t="n">
        <v>0.87</v>
      </c>
      <c r="U452" s="7" t="n">
        <v>2</v>
      </c>
      <c r="V452" s="7" t="s">
        <v>2319</v>
      </c>
      <c r="W452" s="7" t="s">
        <v>3616</v>
      </c>
      <c r="X452" s="7" t="s">
        <v>3617</v>
      </c>
      <c r="Y452" s="7" t="s">
        <v>3615</v>
      </c>
      <c r="Z452" s="7" t="s">
        <v>3618</v>
      </c>
      <c r="AA452" s="7"/>
      <c r="AB452" s="7"/>
      <c r="AC452" s="7"/>
      <c r="AD452" s="7"/>
      <c r="AE452" s="7" t="s">
        <v>1848</v>
      </c>
      <c r="AF452" s="7" t="s">
        <v>3619</v>
      </c>
      <c r="AG452" s="7" t="s">
        <v>1848</v>
      </c>
      <c r="AH452" s="7" t="s">
        <v>3620</v>
      </c>
      <c r="AI452" s="7" t="s">
        <v>1848</v>
      </c>
      <c r="AJ452" s="7" t="s">
        <v>3621</v>
      </c>
      <c r="AK452" s="7" t="s">
        <v>1848</v>
      </c>
      <c r="AL452" s="7" t="s">
        <v>3622</v>
      </c>
      <c r="AM452" s="7" t="s">
        <v>1848</v>
      </c>
      <c r="AN452" s="7" t="s">
        <v>3623</v>
      </c>
      <c r="AO452" s="7" t="s">
        <v>1848</v>
      </c>
      <c r="AP452" s="7" t="s">
        <v>3624</v>
      </c>
      <c r="AQ452" s="7" t="s">
        <v>1848</v>
      </c>
      <c r="AR452" s="7" t="s">
        <v>3625</v>
      </c>
      <c r="AS452" s="7" t="s">
        <v>1848</v>
      </c>
      <c r="AT452" s="7" t="s">
        <v>1856</v>
      </c>
      <c r="AU452" s="7" t="s">
        <v>1848</v>
      </c>
      <c r="AV452" s="7" t="s">
        <v>3626</v>
      </c>
      <c r="AW452" s="7" t="s">
        <v>1848</v>
      </c>
      <c r="AX452" s="7" t="s">
        <v>3627</v>
      </c>
      <c r="AY452" s="7" t="s">
        <v>1848</v>
      </c>
      <c r="AZ452" s="7" t="s">
        <v>3628</v>
      </c>
      <c r="BA452" s="7" t="s">
        <v>1848</v>
      </c>
      <c r="BB452" s="7" t="s">
        <v>1860</v>
      </c>
      <c r="BC452" s="7" t="s">
        <v>413</v>
      </c>
      <c r="BD452" s="7" t="s">
        <v>1861</v>
      </c>
      <c r="BE452" s="7" t="s">
        <v>127</v>
      </c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</row>
    <row r="453" customFormat="false" ht="15" hidden="false" customHeight="false" outlineLevel="0" collapsed="false">
      <c r="A453" s="7" t="s">
        <v>3629</v>
      </c>
      <c r="B453" s="7" t="s">
        <v>3630</v>
      </c>
      <c r="C453" s="7" t="s">
        <v>3631</v>
      </c>
      <c r="D453" s="7" t="s">
        <v>3632</v>
      </c>
      <c r="E453" s="7" t="s">
        <v>101</v>
      </c>
      <c r="F453" s="7" t="s">
        <v>101</v>
      </c>
      <c r="G453" s="7"/>
      <c r="H453" s="7" t="s">
        <v>102</v>
      </c>
      <c r="I453" s="7" t="s">
        <v>158</v>
      </c>
      <c r="J453" s="7" t="s">
        <v>104</v>
      </c>
      <c r="K453" s="7" t="s">
        <v>105</v>
      </c>
      <c r="L453" s="7" t="s">
        <v>353</v>
      </c>
      <c r="M453" s="7" t="s">
        <v>3633</v>
      </c>
      <c r="N453" s="7" t="s">
        <v>3634</v>
      </c>
      <c r="O453" s="7"/>
      <c r="P453" s="7" t="s">
        <v>84</v>
      </c>
      <c r="Q453" s="7"/>
      <c r="R453" s="7"/>
      <c r="S453" s="7"/>
      <c r="T453" s="7" t="n">
        <v>0.766</v>
      </c>
      <c r="U453" s="7" t="n">
        <v>2</v>
      </c>
      <c r="V453" s="7" t="s">
        <v>2319</v>
      </c>
      <c r="W453" s="7" t="s">
        <v>3635</v>
      </c>
      <c r="X453" s="7" t="s">
        <v>3636</v>
      </c>
      <c r="Y453" s="7" t="s">
        <v>3634</v>
      </c>
      <c r="Z453" s="7" t="s">
        <v>3637</v>
      </c>
      <c r="AA453" s="7"/>
      <c r="AB453" s="7"/>
      <c r="AC453" s="7"/>
      <c r="AD453" s="7"/>
      <c r="AE453" s="7" t="s">
        <v>1848</v>
      </c>
      <c r="AF453" s="7" t="s">
        <v>3638</v>
      </c>
      <c r="AG453" s="7" t="s">
        <v>115</v>
      </c>
      <c r="AH453" s="7" t="s">
        <v>3639</v>
      </c>
      <c r="AI453" s="7" t="s">
        <v>1848</v>
      </c>
      <c r="AJ453" s="7" t="s">
        <v>3640</v>
      </c>
      <c r="AK453" s="7" t="s">
        <v>1848</v>
      </c>
      <c r="AL453" s="7" t="s">
        <v>2345</v>
      </c>
      <c r="AM453" s="7" t="s">
        <v>1848</v>
      </c>
      <c r="AN453" s="7" t="s">
        <v>3641</v>
      </c>
      <c r="AO453" s="7" t="s">
        <v>1848</v>
      </c>
      <c r="AP453" s="7" t="s">
        <v>3642</v>
      </c>
      <c r="AQ453" s="7" t="s">
        <v>1848</v>
      </c>
      <c r="AR453" s="7" t="s">
        <v>3643</v>
      </c>
      <c r="AS453" s="7" t="s">
        <v>1848</v>
      </c>
      <c r="AT453" s="7" t="s">
        <v>1856</v>
      </c>
      <c r="AU453" s="7" t="s">
        <v>1848</v>
      </c>
      <c r="AV453" s="7" t="s">
        <v>3644</v>
      </c>
      <c r="AW453" s="7" t="s">
        <v>1848</v>
      </c>
      <c r="AX453" s="7" t="s">
        <v>3645</v>
      </c>
      <c r="AY453" s="7" t="s">
        <v>1848</v>
      </c>
      <c r="AZ453" s="7" t="s">
        <v>3646</v>
      </c>
      <c r="BA453" s="7" t="s">
        <v>1848</v>
      </c>
      <c r="BB453" s="7" t="s">
        <v>2352</v>
      </c>
      <c r="BC453" s="7" t="s">
        <v>413</v>
      </c>
      <c r="BD453" s="7" t="s">
        <v>1861</v>
      </c>
      <c r="BE453" s="7" t="s">
        <v>127</v>
      </c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</row>
    <row r="454" customFormat="false" ht="15" hidden="false" customHeight="false" outlineLevel="0" collapsed="false">
      <c r="A454" s="7" t="s">
        <v>3647</v>
      </c>
      <c r="B454" s="7" t="s">
        <v>3648</v>
      </c>
      <c r="C454" s="7" t="s">
        <v>3649</v>
      </c>
      <c r="D454" s="7" t="s">
        <v>3650</v>
      </c>
      <c r="E454" s="7" t="s">
        <v>101</v>
      </c>
      <c r="F454" s="7" t="s">
        <v>101</v>
      </c>
      <c r="G454" s="7"/>
      <c r="H454" s="7" t="s">
        <v>102</v>
      </c>
      <c r="I454" s="7" t="s">
        <v>158</v>
      </c>
      <c r="J454" s="7" t="s">
        <v>104</v>
      </c>
      <c r="K454" s="7" t="s">
        <v>105</v>
      </c>
      <c r="L454" s="7" t="s">
        <v>353</v>
      </c>
      <c r="M454" s="7" t="s">
        <v>3651</v>
      </c>
      <c r="N454" s="7" t="s">
        <v>3652</v>
      </c>
      <c r="O454" s="7" t="s">
        <v>3652</v>
      </c>
      <c r="P454" s="7" t="s">
        <v>84</v>
      </c>
      <c r="Q454" s="7"/>
      <c r="R454" s="7" t="s">
        <v>109</v>
      </c>
      <c r="S454" s="7" t="s">
        <v>110</v>
      </c>
      <c r="T454" s="7" t="n">
        <v>0.921</v>
      </c>
      <c r="U454" s="7" t="n">
        <v>2</v>
      </c>
      <c r="V454" s="7" t="s">
        <v>2435</v>
      </c>
      <c r="W454" s="7" t="s">
        <v>3653</v>
      </c>
      <c r="X454" s="7" t="s">
        <v>3654</v>
      </c>
      <c r="Y454" s="7" t="s">
        <v>3652</v>
      </c>
      <c r="Z454" s="7" t="s">
        <v>3655</v>
      </c>
      <c r="AA454" s="7"/>
      <c r="AB454" s="7"/>
      <c r="AC454" s="7" t="n">
        <v>7</v>
      </c>
      <c r="AD454" s="7" t="s">
        <v>2439</v>
      </c>
      <c r="AE454" s="7" t="s">
        <v>1848</v>
      </c>
      <c r="AF454" s="7" t="s">
        <v>3656</v>
      </c>
      <c r="AG454" s="7" t="s">
        <v>115</v>
      </c>
      <c r="AH454" s="7" t="s">
        <v>3657</v>
      </c>
      <c r="AI454" s="7"/>
      <c r="AJ454" s="7"/>
      <c r="AK454" s="7"/>
      <c r="AL454" s="7"/>
      <c r="AM454" s="7" t="s">
        <v>1848</v>
      </c>
      <c r="AN454" s="7" t="s">
        <v>3658</v>
      </c>
      <c r="AO454" s="7" t="s">
        <v>1848</v>
      </c>
      <c r="AP454" s="7" t="s">
        <v>3659</v>
      </c>
      <c r="AQ454" s="7" t="s">
        <v>1848</v>
      </c>
      <c r="AR454" s="7" t="s">
        <v>3660</v>
      </c>
      <c r="AS454" s="7" t="s">
        <v>1848</v>
      </c>
      <c r="AT454" s="7" t="s">
        <v>1856</v>
      </c>
      <c r="AU454" s="7"/>
      <c r="AV454" s="7"/>
      <c r="AW454" s="7"/>
      <c r="AX454" s="7"/>
      <c r="AY454" s="7"/>
      <c r="AZ454" s="7"/>
      <c r="BA454" s="7" t="s">
        <v>1848</v>
      </c>
      <c r="BB454" s="7" t="s">
        <v>2352</v>
      </c>
      <c r="BC454" s="7" t="s">
        <v>413</v>
      </c>
      <c r="BD454" s="7" t="s">
        <v>1861</v>
      </c>
      <c r="BE454" s="7" t="s">
        <v>127</v>
      </c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</row>
    <row r="455" customFormat="false" ht="15" hidden="false" customHeight="false" outlineLevel="0" collapsed="false">
      <c r="A455" s="7" t="s">
        <v>3661</v>
      </c>
      <c r="B455" s="7" t="s">
        <v>3662</v>
      </c>
      <c r="C455" s="7" t="s">
        <v>3663</v>
      </c>
      <c r="D455" s="7" t="s">
        <v>3632</v>
      </c>
      <c r="E455" s="7" t="s">
        <v>101</v>
      </c>
      <c r="F455" s="7" t="s">
        <v>101</v>
      </c>
      <c r="G455" s="7"/>
      <c r="H455" s="7" t="s">
        <v>102</v>
      </c>
      <c r="I455" s="7" t="s">
        <v>158</v>
      </c>
      <c r="J455" s="7" t="s">
        <v>104</v>
      </c>
      <c r="K455" s="7" t="s">
        <v>105</v>
      </c>
      <c r="L455" s="7" t="s">
        <v>353</v>
      </c>
      <c r="M455" s="7" t="s">
        <v>3633</v>
      </c>
      <c r="N455" s="7" t="s">
        <v>3664</v>
      </c>
      <c r="O455" s="7" t="s">
        <v>3664</v>
      </c>
      <c r="P455" s="7" t="s">
        <v>84</v>
      </c>
      <c r="Q455" s="7"/>
      <c r="R455" s="7" t="s">
        <v>84</v>
      </c>
      <c r="S455" s="7" t="s">
        <v>238</v>
      </c>
      <c r="T455" s="7" t="n">
        <v>0.585</v>
      </c>
      <c r="U455" s="7" t="n">
        <v>2</v>
      </c>
      <c r="V455" s="7" t="s">
        <v>111</v>
      </c>
      <c r="W455" s="7" t="s">
        <v>3665</v>
      </c>
      <c r="X455" s="7" t="s">
        <v>2825</v>
      </c>
      <c r="Y455" s="7" t="s">
        <v>3664</v>
      </c>
      <c r="Z455" s="7" t="s">
        <v>3666</v>
      </c>
      <c r="AA455" s="7"/>
      <c r="AB455" s="7"/>
      <c r="AC455" s="7" t="n">
        <v>12</v>
      </c>
      <c r="AD455" s="7"/>
      <c r="AE455" s="7" t="s">
        <v>1848</v>
      </c>
      <c r="AF455" s="7" t="s">
        <v>3667</v>
      </c>
      <c r="AG455" s="7" t="s">
        <v>115</v>
      </c>
      <c r="AH455" s="7" t="s">
        <v>3668</v>
      </c>
      <c r="AI455" s="7" t="s">
        <v>1848</v>
      </c>
      <c r="AJ455" s="7" t="s">
        <v>3640</v>
      </c>
      <c r="AK455" s="7" t="s">
        <v>1848</v>
      </c>
      <c r="AL455" s="7" t="s">
        <v>2345</v>
      </c>
      <c r="AM455" s="7" t="s">
        <v>1848</v>
      </c>
      <c r="AN455" s="7" t="s">
        <v>3669</v>
      </c>
      <c r="AO455" s="7" t="s">
        <v>1848</v>
      </c>
      <c r="AP455" s="7" t="s">
        <v>3642</v>
      </c>
      <c r="AQ455" s="7" t="s">
        <v>1848</v>
      </c>
      <c r="AR455" s="7" t="s">
        <v>3670</v>
      </c>
      <c r="AS455" s="7" t="s">
        <v>1848</v>
      </c>
      <c r="AT455" s="7" t="s">
        <v>1856</v>
      </c>
      <c r="AU455" s="7" t="s">
        <v>1848</v>
      </c>
      <c r="AV455" s="7" t="s">
        <v>3671</v>
      </c>
      <c r="AW455" s="7" t="s">
        <v>1848</v>
      </c>
      <c r="AX455" s="7" t="s">
        <v>3672</v>
      </c>
      <c r="AY455" s="7" t="s">
        <v>1848</v>
      </c>
      <c r="AZ455" s="7" t="s">
        <v>3673</v>
      </c>
      <c r="BA455" s="7" t="s">
        <v>1848</v>
      </c>
      <c r="BB455" s="7" t="s">
        <v>3674</v>
      </c>
      <c r="BC455" s="7" t="s">
        <v>413</v>
      </c>
      <c r="BD455" s="7" t="s">
        <v>1861</v>
      </c>
      <c r="BE455" s="7" t="s">
        <v>127</v>
      </c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</row>
    <row r="456" customFormat="false" ht="15" hidden="false" customHeight="false" outlineLevel="0" collapsed="false">
      <c r="A456" s="7" t="s">
        <v>3675</v>
      </c>
      <c r="B456" s="7" t="s">
        <v>3676</v>
      </c>
      <c r="C456" s="7" t="s">
        <v>3677</v>
      </c>
      <c r="D456" s="7" t="s">
        <v>3678</v>
      </c>
      <c r="E456" s="7" t="s">
        <v>101</v>
      </c>
      <c r="F456" s="7" t="s">
        <v>101</v>
      </c>
      <c r="G456" s="7"/>
      <c r="H456" s="7" t="s">
        <v>102</v>
      </c>
      <c r="I456" s="7" t="s">
        <v>158</v>
      </c>
      <c r="J456" s="7" t="s">
        <v>104</v>
      </c>
      <c r="K456" s="7" t="s">
        <v>105</v>
      </c>
      <c r="L456" s="7" t="s">
        <v>353</v>
      </c>
      <c r="M456" s="7" t="s">
        <v>3679</v>
      </c>
      <c r="N456" s="7" t="s">
        <v>3680</v>
      </c>
      <c r="O456" s="7"/>
      <c r="P456" s="7" t="s">
        <v>84</v>
      </c>
      <c r="Q456" s="7"/>
      <c r="R456" s="7"/>
      <c r="S456" s="7"/>
      <c r="T456" s="7" t="n">
        <v>0.487</v>
      </c>
      <c r="U456" s="7" t="n">
        <v>2</v>
      </c>
      <c r="V456" s="7" t="s">
        <v>2319</v>
      </c>
      <c r="W456" s="7" t="s">
        <v>2041</v>
      </c>
      <c r="X456" s="7" t="s">
        <v>3681</v>
      </c>
      <c r="Y456" s="7" t="s">
        <v>3680</v>
      </c>
      <c r="Z456" s="7" t="s">
        <v>3682</v>
      </c>
      <c r="AA456" s="7"/>
      <c r="AB456" s="7"/>
      <c r="AC456" s="7"/>
      <c r="AD456" s="7"/>
      <c r="AE456" s="7" t="s">
        <v>1848</v>
      </c>
      <c r="AF456" s="7" t="s">
        <v>3683</v>
      </c>
      <c r="AG456" s="7" t="s">
        <v>115</v>
      </c>
      <c r="AH456" s="7" t="s">
        <v>3684</v>
      </c>
      <c r="AI456" s="7" t="s">
        <v>1848</v>
      </c>
      <c r="AJ456" s="7" t="s">
        <v>3640</v>
      </c>
      <c r="AK456" s="7" t="s">
        <v>1848</v>
      </c>
      <c r="AL456" s="7" t="s">
        <v>2345</v>
      </c>
      <c r="AM456" s="7" t="s">
        <v>1848</v>
      </c>
      <c r="AN456" s="7" t="s">
        <v>3685</v>
      </c>
      <c r="AO456" s="7" t="s">
        <v>1848</v>
      </c>
      <c r="AP456" s="7" t="s">
        <v>3686</v>
      </c>
      <c r="AQ456" s="7" t="s">
        <v>1848</v>
      </c>
      <c r="AR456" s="7" t="s">
        <v>3687</v>
      </c>
      <c r="AS456" s="7" t="s">
        <v>1848</v>
      </c>
      <c r="AT456" s="7" t="s">
        <v>1856</v>
      </c>
      <c r="AU456" s="7" t="s">
        <v>1848</v>
      </c>
      <c r="AV456" s="7" t="s">
        <v>3688</v>
      </c>
      <c r="AW456" s="7" t="s">
        <v>1848</v>
      </c>
      <c r="AX456" s="7" t="s">
        <v>3689</v>
      </c>
      <c r="AY456" s="7" t="s">
        <v>1848</v>
      </c>
      <c r="AZ456" s="7" t="s">
        <v>3690</v>
      </c>
      <c r="BA456" s="7" t="s">
        <v>1848</v>
      </c>
      <c r="BB456" s="7" t="s">
        <v>3691</v>
      </c>
      <c r="BC456" s="7" t="s">
        <v>413</v>
      </c>
      <c r="BD456" s="7" t="s">
        <v>1861</v>
      </c>
      <c r="BE456" s="7" t="s">
        <v>127</v>
      </c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</row>
    <row r="457" customFormat="false" ht="15" hidden="false" customHeight="false" outlineLevel="0" collapsed="false">
      <c r="A457" s="7" t="s">
        <v>3692</v>
      </c>
      <c r="B457" s="7" t="s">
        <v>3693</v>
      </c>
      <c r="C457" s="7" t="s">
        <v>3694</v>
      </c>
      <c r="D457" s="7" t="s">
        <v>3695</v>
      </c>
      <c r="E457" s="7" t="s">
        <v>101</v>
      </c>
      <c r="F457" s="7" t="s">
        <v>101</v>
      </c>
      <c r="G457" s="7"/>
      <c r="H457" s="7" t="s">
        <v>102</v>
      </c>
      <c r="I457" s="7" t="s">
        <v>158</v>
      </c>
      <c r="J457" s="7" t="s">
        <v>104</v>
      </c>
      <c r="K457" s="7" t="s">
        <v>105</v>
      </c>
      <c r="L457" s="7" t="s">
        <v>353</v>
      </c>
      <c r="M457" s="7" t="s">
        <v>3696</v>
      </c>
      <c r="N457" s="7" t="s">
        <v>3697</v>
      </c>
      <c r="O457" s="7"/>
      <c r="P457" s="7" t="s">
        <v>84</v>
      </c>
      <c r="Q457" s="7"/>
      <c r="R457" s="7"/>
      <c r="S457" s="7"/>
      <c r="T457" s="7" t="n">
        <v>0.696</v>
      </c>
      <c r="U457" s="7" t="n">
        <v>2</v>
      </c>
      <c r="V457" s="7" t="s">
        <v>111</v>
      </c>
      <c r="W457" s="7" t="s">
        <v>3698</v>
      </c>
      <c r="X457" s="7" t="s">
        <v>2825</v>
      </c>
      <c r="Y457" s="7" t="s">
        <v>3697</v>
      </c>
      <c r="Z457" s="7" t="s">
        <v>3699</v>
      </c>
      <c r="AA457" s="7"/>
      <c r="AB457" s="7"/>
      <c r="AC457" s="7"/>
      <c r="AD457" s="7"/>
      <c r="AE457" s="7" t="s">
        <v>1848</v>
      </c>
      <c r="AF457" s="7" t="s">
        <v>3700</v>
      </c>
      <c r="AG457" s="7" t="s">
        <v>115</v>
      </c>
      <c r="AH457" s="7" t="s">
        <v>3701</v>
      </c>
      <c r="AI457" s="7" t="s">
        <v>1848</v>
      </c>
      <c r="AJ457" s="7" t="s">
        <v>3702</v>
      </c>
      <c r="AK457" s="7" t="s">
        <v>1848</v>
      </c>
      <c r="AL457" s="7" t="s">
        <v>3703</v>
      </c>
      <c r="AM457" s="7" t="s">
        <v>1848</v>
      </c>
      <c r="AN457" s="7" t="s">
        <v>3704</v>
      </c>
      <c r="AO457" s="7" t="s">
        <v>1848</v>
      </c>
      <c r="AP457" s="7" t="s">
        <v>3705</v>
      </c>
      <c r="AQ457" s="7" t="s">
        <v>1848</v>
      </c>
      <c r="AR457" s="7" t="s">
        <v>3706</v>
      </c>
      <c r="AS457" s="7" t="s">
        <v>1848</v>
      </c>
      <c r="AT457" s="7" t="s">
        <v>1856</v>
      </c>
      <c r="AU457" s="7" t="s">
        <v>1848</v>
      </c>
      <c r="AV457" s="7" t="s">
        <v>3707</v>
      </c>
      <c r="AW457" s="7" t="s">
        <v>1848</v>
      </c>
      <c r="AX457" s="7" t="s">
        <v>3708</v>
      </c>
      <c r="AY457" s="7" t="s">
        <v>1848</v>
      </c>
      <c r="AZ457" s="7" t="s">
        <v>3709</v>
      </c>
      <c r="BA457" s="7" t="s">
        <v>1848</v>
      </c>
      <c r="BB457" s="7" t="s">
        <v>2352</v>
      </c>
      <c r="BC457" s="7" t="s">
        <v>413</v>
      </c>
      <c r="BD457" s="7" t="s">
        <v>1861</v>
      </c>
      <c r="BE457" s="7" t="s">
        <v>127</v>
      </c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</row>
    <row r="458" customFormat="false" ht="15" hidden="false" customHeight="false" outlineLevel="0" collapsed="false">
      <c r="A458" s="7" t="s">
        <v>3710</v>
      </c>
      <c r="B458" s="7" t="s">
        <v>3711</v>
      </c>
      <c r="C458" s="7" t="s">
        <v>3712</v>
      </c>
      <c r="D458" s="7" t="s">
        <v>3713</v>
      </c>
      <c r="E458" s="7" t="s">
        <v>101</v>
      </c>
      <c r="F458" s="7" t="s">
        <v>101</v>
      </c>
      <c r="G458" s="7"/>
      <c r="H458" s="7" t="s">
        <v>102</v>
      </c>
      <c r="I458" s="7" t="s">
        <v>158</v>
      </c>
      <c r="J458" s="7" t="s">
        <v>104</v>
      </c>
      <c r="K458" s="7" t="s">
        <v>105</v>
      </c>
      <c r="L458" s="7" t="s">
        <v>353</v>
      </c>
      <c r="M458" s="7" t="s">
        <v>3714</v>
      </c>
      <c r="N458" s="7" t="s">
        <v>3715</v>
      </c>
      <c r="O458" s="7" t="s">
        <v>3715</v>
      </c>
      <c r="P458" s="7" t="s">
        <v>84</v>
      </c>
      <c r="Q458" s="7"/>
      <c r="R458" s="7" t="s">
        <v>84</v>
      </c>
      <c r="S458" s="7" t="s">
        <v>238</v>
      </c>
      <c r="T458" s="7" t="n">
        <v>0.153</v>
      </c>
      <c r="U458" s="7" t="n">
        <v>2</v>
      </c>
      <c r="V458" s="7" t="s">
        <v>2319</v>
      </c>
      <c r="W458" s="7" t="s">
        <v>3616</v>
      </c>
      <c r="X458" s="7" t="s">
        <v>3617</v>
      </c>
      <c r="Y458" s="7" t="s">
        <v>3715</v>
      </c>
      <c r="Z458" s="7" t="s">
        <v>3618</v>
      </c>
      <c r="AA458" s="7"/>
      <c r="AB458" s="7"/>
      <c r="AC458" s="7" t="n">
        <v>12</v>
      </c>
      <c r="AD458" s="7"/>
      <c r="AE458" s="7" t="s">
        <v>1848</v>
      </c>
      <c r="AF458" s="7" t="s">
        <v>3716</v>
      </c>
      <c r="AG458" s="7" t="s">
        <v>1848</v>
      </c>
      <c r="AH458" s="7" t="s">
        <v>3717</v>
      </c>
      <c r="AI458" s="7" t="s">
        <v>1848</v>
      </c>
      <c r="AJ458" s="7" t="s">
        <v>3718</v>
      </c>
      <c r="AK458" s="7" t="s">
        <v>1848</v>
      </c>
      <c r="AL458" s="7" t="s">
        <v>3719</v>
      </c>
      <c r="AM458" s="7" t="s">
        <v>1848</v>
      </c>
      <c r="AN458" s="7" t="s">
        <v>3720</v>
      </c>
      <c r="AO458" s="7" t="s">
        <v>1848</v>
      </c>
      <c r="AP458" s="7" t="s">
        <v>3721</v>
      </c>
      <c r="AQ458" s="7" t="s">
        <v>1848</v>
      </c>
      <c r="AR458" s="7" t="s">
        <v>3722</v>
      </c>
      <c r="AS458" s="7" t="s">
        <v>1848</v>
      </c>
      <c r="AT458" s="7" t="s">
        <v>1856</v>
      </c>
      <c r="AU458" s="7" t="s">
        <v>1848</v>
      </c>
      <c r="AV458" s="7" t="s">
        <v>3723</v>
      </c>
      <c r="AW458" s="7" t="s">
        <v>1848</v>
      </c>
      <c r="AX458" s="7" t="s">
        <v>3724</v>
      </c>
      <c r="AY458" s="7" t="s">
        <v>1848</v>
      </c>
      <c r="AZ458" s="7" t="s">
        <v>3725</v>
      </c>
      <c r="BA458" s="7" t="s">
        <v>1848</v>
      </c>
      <c r="BB458" s="7" t="s">
        <v>3726</v>
      </c>
      <c r="BC458" s="7" t="s">
        <v>413</v>
      </c>
      <c r="BD458" s="7" t="s">
        <v>1861</v>
      </c>
      <c r="BE458" s="7" t="s">
        <v>127</v>
      </c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</row>
    <row r="459" customFormat="false" ht="15" hidden="false" customHeight="false" outlineLevel="0" collapsed="false">
      <c r="A459" s="7" t="s">
        <v>3727</v>
      </c>
      <c r="B459" s="7" t="s">
        <v>3728</v>
      </c>
      <c r="C459" s="7" t="s">
        <v>3729</v>
      </c>
      <c r="D459" s="7" t="s">
        <v>3730</v>
      </c>
      <c r="E459" s="7" t="s">
        <v>101</v>
      </c>
      <c r="F459" s="7" t="s">
        <v>101</v>
      </c>
      <c r="G459" s="7"/>
      <c r="H459" s="7" t="s">
        <v>102</v>
      </c>
      <c r="I459" s="7" t="s">
        <v>132</v>
      </c>
      <c r="J459" s="7" t="s">
        <v>104</v>
      </c>
      <c r="K459" s="7" t="s">
        <v>105</v>
      </c>
      <c r="L459" s="7" t="s">
        <v>106</v>
      </c>
      <c r="M459" s="7" t="s">
        <v>3731</v>
      </c>
      <c r="N459" s="7" t="s">
        <v>3732</v>
      </c>
      <c r="O459" s="7" t="s">
        <v>3732</v>
      </c>
      <c r="P459" s="7" t="s">
        <v>84</v>
      </c>
      <c r="Q459" s="7"/>
      <c r="R459" s="7" t="s">
        <v>84</v>
      </c>
      <c r="S459" s="7" t="s">
        <v>238</v>
      </c>
      <c r="T459" s="7" t="n">
        <v>0.24</v>
      </c>
      <c r="U459" s="7" t="n">
        <v>2</v>
      </c>
      <c r="V459" s="7" t="s">
        <v>2319</v>
      </c>
      <c r="W459" s="7" t="s">
        <v>2011</v>
      </c>
      <c r="X459" s="7" t="s">
        <v>3733</v>
      </c>
      <c r="Y459" s="7" t="s">
        <v>3732</v>
      </c>
      <c r="Z459" s="7" t="s">
        <v>3734</v>
      </c>
      <c r="AA459" s="7"/>
      <c r="AB459" s="7"/>
      <c r="AC459" s="7" t="n">
        <v>12</v>
      </c>
      <c r="AD459" s="7"/>
      <c r="AE459" s="7" t="s">
        <v>1848</v>
      </c>
      <c r="AF459" s="7" t="s">
        <v>3735</v>
      </c>
      <c r="AG459" s="7" t="s">
        <v>1848</v>
      </c>
      <c r="AH459" s="7" t="s">
        <v>3736</v>
      </c>
      <c r="AI459" s="7" t="s">
        <v>1848</v>
      </c>
      <c r="AJ459" s="7" t="s">
        <v>3737</v>
      </c>
      <c r="AK459" s="7" t="s">
        <v>1848</v>
      </c>
      <c r="AL459" s="7" t="s">
        <v>3738</v>
      </c>
      <c r="AM459" s="7" t="s">
        <v>1848</v>
      </c>
      <c r="AN459" s="7" t="s">
        <v>3739</v>
      </c>
      <c r="AO459" s="7" t="s">
        <v>1848</v>
      </c>
      <c r="AP459" s="7" t="s">
        <v>3740</v>
      </c>
      <c r="AQ459" s="7" t="s">
        <v>1848</v>
      </c>
      <c r="AR459" s="7" t="s">
        <v>3741</v>
      </c>
      <c r="AS459" s="7" t="s">
        <v>1848</v>
      </c>
      <c r="AT459" s="7" t="s">
        <v>1856</v>
      </c>
      <c r="AU459" s="7" t="s">
        <v>1848</v>
      </c>
      <c r="AV459" s="7" t="s">
        <v>3742</v>
      </c>
      <c r="AW459" s="7" t="s">
        <v>1848</v>
      </c>
      <c r="AX459" s="7" t="s">
        <v>3743</v>
      </c>
      <c r="AY459" s="7" t="s">
        <v>1848</v>
      </c>
      <c r="AZ459" s="7" t="s">
        <v>3725</v>
      </c>
      <c r="BA459" s="7" t="s">
        <v>1848</v>
      </c>
      <c r="BB459" s="7" t="s">
        <v>3726</v>
      </c>
      <c r="BC459" s="7" t="s">
        <v>413</v>
      </c>
      <c r="BD459" s="7" t="s">
        <v>1861</v>
      </c>
      <c r="BE459" s="7" t="s">
        <v>127</v>
      </c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</row>
    <row r="460" customFormat="false" ht="15" hidden="false" customHeight="false" outlineLevel="0" collapsed="false">
      <c r="A460" s="7" t="s">
        <v>3744</v>
      </c>
      <c r="B460" s="7" t="s">
        <v>3745</v>
      </c>
      <c r="C460" s="7" t="s">
        <v>3746</v>
      </c>
      <c r="D460" s="7" t="s">
        <v>3747</v>
      </c>
      <c r="E460" s="7" t="s">
        <v>101</v>
      </c>
      <c r="F460" s="7" t="s">
        <v>101</v>
      </c>
      <c r="G460" s="7"/>
      <c r="H460" s="7" t="s">
        <v>102</v>
      </c>
      <c r="I460" s="7" t="s">
        <v>158</v>
      </c>
      <c r="J460" s="7" t="s">
        <v>104</v>
      </c>
      <c r="K460" s="7" t="s">
        <v>105</v>
      </c>
      <c r="L460" s="7" t="s">
        <v>353</v>
      </c>
      <c r="M460" s="7" t="s">
        <v>3748</v>
      </c>
      <c r="N460" s="7" t="s">
        <v>3749</v>
      </c>
      <c r="O460" s="7"/>
      <c r="P460" s="7" t="s">
        <v>84</v>
      </c>
      <c r="Q460" s="7"/>
      <c r="R460" s="7"/>
      <c r="S460" s="7"/>
      <c r="T460" s="7" t="n">
        <v>0.649</v>
      </c>
      <c r="U460" s="7" t="n">
        <v>2</v>
      </c>
      <c r="V460" s="7" t="s">
        <v>2319</v>
      </c>
      <c r="W460" s="7" t="s">
        <v>3750</v>
      </c>
      <c r="X460" s="7" t="s">
        <v>2816</v>
      </c>
      <c r="Y460" s="7" t="s">
        <v>3749</v>
      </c>
      <c r="Z460" s="7" t="s">
        <v>2817</v>
      </c>
      <c r="AA460" s="7"/>
      <c r="AB460" s="7"/>
      <c r="AC460" s="7"/>
      <c r="AD460" s="7"/>
      <c r="AE460" s="7" t="s">
        <v>1848</v>
      </c>
      <c r="AF460" s="7" t="s">
        <v>3751</v>
      </c>
      <c r="AG460" s="7" t="s">
        <v>1848</v>
      </c>
      <c r="AH460" s="7" t="s">
        <v>3752</v>
      </c>
      <c r="AI460" s="7" t="s">
        <v>1848</v>
      </c>
      <c r="AJ460" s="7" t="s">
        <v>3753</v>
      </c>
      <c r="AK460" s="7" t="s">
        <v>1848</v>
      </c>
      <c r="AL460" s="7" t="s">
        <v>3754</v>
      </c>
      <c r="AM460" s="7" t="s">
        <v>1848</v>
      </c>
      <c r="AN460" s="7" t="s">
        <v>3755</v>
      </c>
      <c r="AO460" s="7" t="s">
        <v>1848</v>
      </c>
      <c r="AP460" s="7" t="s">
        <v>3756</v>
      </c>
      <c r="AQ460" s="7" t="s">
        <v>1848</v>
      </c>
      <c r="AR460" s="7" t="s">
        <v>3757</v>
      </c>
      <c r="AS460" s="7" t="s">
        <v>1848</v>
      </c>
      <c r="AT460" s="7" t="s">
        <v>1856</v>
      </c>
      <c r="AU460" s="7" t="s">
        <v>1848</v>
      </c>
      <c r="AV460" s="7" t="s">
        <v>3758</v>
      </c>
      <c r="AW460" s="7" t="s">
        <v>1848</v>
      </c>
      <c r="AX460" s="7" t="s">
        <v>3759</v>
      </c>
      <c r="AY460" s="7" t="s">
        <v>1848</v>
      </c>
      <c r="AZ460" s="7" t="s">
        <v>3725</v>
      </c>
      <c r="BA460" s="7" t="s">
        <v>1848</v>
      </c>
      <c r="BB460" s="7" t="s">
        <v>3726</v>
      </c>
      <c r="BC460" s="7" t="s">
        <v>413</v>
      </c>
      <c r="BD460" s="7" t="s">
        <v>1861</v>
      </c>
      <c r="BE460" s="7" t="s">
        <v>127</v>
      </c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</row>
    <row r="461" customFormat="false" ht="15" hidden="false" customHeight="false" outlineLevel="0" collapsed="false">
      <c r="A461" s="7" t="s">
        <v>3760</v>
      </c>
      <c r="B461" s="7" t="s">
        <v>3761</v>
      </c>
      <c r="C461" s="7" t="s">
        <v>3762</v>
      </c>
      <c r="D461" s="7" t="s">
        <v>3763</v>
      </c>
      <c r="E461" s="7" t="s">
        <v>101</v>
      </c>
      <c r="F461" s="7" t="s">
        <v>101</v>
      </c>
      <c r="G461" s="7"/>
      <c r="H461" s="7" t="s">
        <v>102</v>
      </c>
      <c r="I461" s="7" t="s">
        <v>132</v>
      </c>
      <c r="J461" s="7" t="s">
        <v>104</v>
      </c>
      <c r="K461" s="7" t="s">
        <v>105</v>
      </c>
      <c r="L461" s="7" t="s">
        <v>106</v>
      </c>
      <c r="M461" s="7" t="s">
        <v>3764</v>
      </c>
      <c r="N461" s="7" t="s">
        <v>3765</v>
      </c>
      <c r="O461" s="7"/>
      <c r="P461" s="7" t="s">
        <v>84</v>
      </c>
      <c r="Q461" s="7"/>
      <c r="R461" s="7" t="s">
        <v>135</v>
      </c>
      <c r="S461" s="7" t="s">
        <v>136</v>
      </c>
      <c r="T461" s="7" t="n">
        <v>0.877</v>
      </c>
      <c r="U461" s="7" t="n">
        <v>2</v>
      </c>
      <c r="V461" s="7" t="s">
        <v>111</v>
      </c>
      <c r="W461" s="7"/>
      <c r="X461" s="7"/>
      <c r="Y461" s="7" t="s">
        <v>3765</v>
      </c>
      <c r="Z461" s="7"/>
      <c r="AA461" s="7"/>
      <c r="AB461" s="7"/>
      <c r="AC461" s="7" t="n">
        <v>5</v>
      </c>
      <c r="AD461" s="7" t="s">
        <v>1897</v>
      </c>
      <c r="AE461" s="7" t="s">
        <v>744</v>
      </c>
      <c r="AF461" s="7" t="s">
        <v>3766</v>
      </c>
      <c r="AG461" s="7" t="s">
        <v>744</v>
      </c>
      <c r="AH461" s="7" t="s">
        <v>3767</v>
      </c>
      <c r="AI461" s="7"/>
      <c r="AJ461" s="7"/>
      <c r="AK461" s="7"/>
      <c r="AL461" s="7"/>
      <c r="AM461" s="7" t="s">
        <v>744</v>
      </c>
      <c r="AN461" s="7" t="s">
        <v>3768</v>
      </c>
      <c r="AO461" s="7" t="s">
        <v>744</v>
      </c>
      <c r="AP461" s="7" t="s">
        <v>3769</v>
      </c>
      <c r="AQ461" s="7"/>
      <c r="AR461" s="7"/>
      <c r="AS461" s="7"/>
      <c r="AT461" s="7"/>
      <c r="AU461" s="7"/>
      <c r="AV461" s="7"/>
      <c r="AW461" s="7" t="s">
        <v>744</v>
      </c>
      <c r="AX461" s="7" t="s">
        <v>3765</v>
      </c>
      <c r="AY461" s="7"/>
      <c r="AZ461" s="7"/>
      <c r="BA461" s="7"/>
      <c r="BB461" s="7"/>
      <c r="BC461" s="7" t="s">
        <v>125</v>
      </c>
      <c r="BD461" s="7" t="s">
        <v>126</v>
      </c>
      <c r="BE461" s="7" t="s">
        <v>127</v>
      </c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</row>
    <row r="462" customFormat="false" ht="15" hidden="false" customHeight="false" outlineLevel="0" collapsed="false">
      <c r="A462" s="7" t="s">
        <v>3770</v>
      </c>
      <c r="B462" s="7" t="s">
        <v>3771</v>
      </c>
      <c r="C462" s="7" t="s">
        <v>3772</v>
      </c>
      <c r="D462" s="7"/>
      <c r="E462" s="7" t="s">
        <v>101</v>
      </c>
      <c r="F462" s="7" t="s">
        <v>101</v>
      </c>
      <c r="G462" s="7"/>
      <c r="H462" s="7" t="s">
        <v>102</v>
      </c>
      <c r="I462" s="7" t="s">
        <v>132</v>
      </c>
      <c r="J462" s="7" t="s">
        <v>104</v>
      </c>
      <c r="K462" s="7" t="s">
        <v>105</v>
      </c>
      <c r="L462" s="7" t="s">
        <v>106</v>
      </c>
      <c r="M462" s="7" t="s">
        <v>3773</v>
      </c>
      <c r="N462" s="7" t="s">
        <v>3774</v>
      </c>
      <c r="O462" s="7" t="s">
        <v>3774</v>
      </c>
      <c r="P462" s="7" t="s">
        <v>84</v>
      </c>
      <c r="Q462" s="7"/>
      <c r="R462" s="7" t="s">
        <v>84</v>
      </c>
      <c r="S462" s="7" t="s">
        <v>238</v>
      </c>
      <c r="T462" s="7" t="n">
        <v>0.842</v>
      </c>
      <c r="U462" s="7" t="n">
        <v>2</v>
      </c>
      <c r="V462" s="7" t="s">
        <v>479</v>
      </c>
      <c r="W462" s="7" t="s">
        <v>496</v>
      </c>
      <c r="X462" s="7" t="s">
        <v>497</v>
      </c>
      <c r="Y462" s="7" t="s">
        <v>3774</v>
      </c>
      <c r="Z462" s="7" t="s">
        <v>3775</v>
      </c>
      <c r="AA462" s="7"/>
      <c r="AB462" s="7"/>
      <c r="AC462" s="7" t="n">
        <v>12</v>
      </c>
      <c r="AD462" s="7"/>
      <c r="AE462" s="7" t="s">
        <v>3776</v>
      </c>
      <c r="AF462" s="7" t="s">
        <v>3777</v>
      </c>
      <c r="AG462" s="7" t="s">
        <v>3776</v>
      </c>
      <c r="AH462" s="7" t="s">
        <v>3778</v>
      </c>
      <c r="AI462" s="7" t="s">
        <v>3776</v>
      </c>
      <c r="AJ462" s="7" t="s">
        <v>145</v>
      </c>
      <c r="AK462" s="7" t="s">
        <v>3776</v>
      </c>
      <c r="AL462" s="7" t="s">
        <v>145</v>
      </c>
      <c r="AM462" s="7" t="s">
        <v>3776</v>
      </c>
      <c r="AN462" s="7" t="s">
        <v>145</v>
      </c>
      <c r="AO462" s="7" t="s">
        <v>3776</v>
      </c>
      <c r="AP462" s="7" t="s">
        <v>3779</v>
      </c>
      <c r="AQ462" s="7" t="s">
        <v>3776</v>
      </c>
      <c r="AR462" s="7" t="s">
        <v>3780</v>
      </c>
      <c r="AS462" s="7" t="s">
        <v>3776</v>
      </c>
      <c r="AT462" s="7" t="s">
        <v>3781</v>
      </c>
      <c r="AU462" s="7" t="s">
        <v>3776</v>
      </c>
      <c r="AV462" s="7" t="s">
        <v>145</v>
      </c>
      <c r="AW462" s="7" t="s">
        <v>3776</v>
      </c>
      <c r="AX462" s="7" t="s">
        <v>3782</v>
      </c>
      <c r="AY462" s="7" t="s">
        <v>3776</v>
      </c>
      <c r="AZ462" s="7" t="s">
        <v>145</v>
      </c>
      <c r="BA462" s="7" t="s">
        <v>3776</v>
      </c>
      <c r="BB462" s="7" t="s">
        <v>3783</v>
      </c>
      <c r="BC462" s="7" t="s">
        <v>151</v>
      </c>
      <c r="BD462" s="7" t="s">
        <v>126</v>
      </c>
      <c r="BE462" s="7" t="s">
        <v>127</v>
      </c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</row>
    <row r="463" customFormat="false" ht="15" hidden="false" customHeight="false" outlineLevel="0" collapsed="false">
      <c r="A463" s="7" t="s">
        <v>3784</v>
      </c>
      <c r="B463" s="7" t="s">
        <v>3785</v>
      </c>
      <c r="C463" s="7" t="s">
        <v>3786</v>
      </c>
      <c r="D463" s="7" t="s">
        <v>3345</v>
      </c>
      <c r="E463" s="7" t="s">
        <v>101</v>
      </c>
      <c r="F463" s="7" t="s">
        <v>101</v>
      </c>
      <c r="G463" s="7"/>
      <c r="H463" s="7" t="s">
        <v>102</v>
      </c>
      <c r="I463" s="7" t="s">
        <v>158</v>
      </c>
      <c r="J463" s="7" t="s">
        <v>104</v>
      </c>
      <c r="K463" s="7" t="s">
        <v>105</v>
      </c>
      <c r="L463" s="7" t="s">
        <v>106</v>
      </c>
      <c r="M463" s="7" t="s">
        <v>3787</v>
      </c>
      <c r="N463" s="7" t="s">
        <v>3788</v>
      </c>
      <c r="O463" s="7" t="s">
        <v>3788</v>
      </c>
      <c r="P463" s="7" t="s">
        <v>84</v>
      </c>
      <c r="Q463" s="7"/>
      <c r="R463" s="7" t="s">
        <v>84</v>
      </c>
      <c r="S463" s="7" t="s">
        <v>238</v>
      </c>
      <c r="T463" s="7" t="n">
        <v>0.675</v>
      </c>
      <c r="U463" s="7" t="n">
        <v>2</v>
      </c>
      <c r="V463" s="7" t="s">
        <v>479</v>
      </c>
      <c r="W463" s="7" t="s">
        <v>3789</v>
      </c>
      <c r="X463" s="7" t="s">
        <v>1807</v>
      </c>
      <c r="Y463" s="7" t="s">
        <v>3788</v>
      </c>
      <c r="Z463" s="7" t="s">
        <v>3790</v>
      </c>
      <c r="AA463" s="7"/>
      <c r="AB463" s="7"/>
      <c r="AC463" s="7" t="n">
        <v>12</v>
      </c>
      <c r="AD463" s="7"/>
      <c r="AE463" s="7" t="s">
        <v>189</v>
      </c>
      <c r="AF463" s="7" t="s">
        <v>3791</v>
      </c>
      <c r="AG463" s="7" t="s">
        <v>189</v>
      </c>
      <c r="AH463" s="7" t="s">
        <v>3792</v>
      </c>
      <c r="AI463" s="7" t="s">
        <v>619</v>
      </c>
      <c r="AJ463" s="7" t="s">
        <v>3793</v>
      </c>
      <c r="AK463" s="7" t="s">
        <v>619</v>
      </c>
      <c r="AL463" s="7" t="s">
        <v>3794</v>
      </c>
      <c r="AM463" s="7" t="s">
        <v>189</v>
      </c>
      <c r="AN463" s="7" t="s">
        <v>3795</v>
      </c>
      <c r="AO463" s="7" t="s">
        <v>189</v>
      </c>
      <c r="AP463" s="7" t="s">
        <v>3796</v>
      </c>
      <c r="AQ463" s="7" t="s">
        <v>619</v>
      </c>
      <c r="AR463" s="7" t="s">
        <v>3797</v>
      </c>
      <c r="AS463" s="7" t="s">
        <v>619</v>
      </c>
      <c r="AT463" s="7" t="s">
        <v>250</v>
      </c>
      <c r="AU463" s="7" t="s">
        <v>619</v>
      </c>
      <c r="AV463" s="7" t="s">
        <v>3798</v>
      </c>
      <c r="AW463" s="7" t="s">
        <v>189</v>
      </c>
      <c r="AX463" s="7" t="s">
        <v>3788</v>
      </c>
      <c r="AY463" s="7" t="s">
        <v>619</v>
      </c>
      <c r="AZ463" s="7" t="s">
        <v>3799</v>
      </c>
      <c r="BA463" s="7" t="s">
        <v>619</v>
      </c>
      <c r="BB463" s="7" t="s">
        <v>3800</v>
      </c>
      <c r="BC463" s="7" t="s">
        <v>151</v>
      </c>
      <c r="BD463" s="7" t="s">
        <v>126</v>
      </c>
      <c r="BE463" s="7" t="s">
        <v>127</v>
      </c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</row>
    <row r="464" customFormat="false" ht="15" hidden="false" customHeight="false" outlineLevel="0" collapsed="false">
      <c r="A464" s="7" t="s">
        <v>3801</v>
      </c>
      <c r="B464" s="7" t="s">
        <v>3802</v>
      </c>
      <c r="C464" s="7" t="s">
        <v>3803</v>
      </c>
      <c r="D464" s="7"/>
      <c r="E464" s="7" t="s">
        <v>101</v>
      </c>
      <c r="F464" s="7" t="s">
        <v>101</v>
      </c>
      <c r="G464" s="7"/>
      <c r="H464" s="7" t="s">
        <v>102</v>
      </c>
      <c r="I464" s="7" t="s">
        <v>1639</v>
      </c>
      <c r="J464" s="7" t="s">
        <v>104</v>
      </c>
      <c r="K464" s="7" t="s">
        <v>105</v>
      </c>
      <c r="L464" s="7" t="s">
        <v>106</v>
      </c>
      <c r="M464" s="7" t="s">
        <v>3804</v>
      </c>
      <c r="N464" s="7" t="s">
        <v>3805</v>
      </c>
      <c r="O464" s="7"/>
      <c r="P464" s="7" t="s">
        <v>84</v>
      </c>
      <c r="Q464" s="7"/>
      <c r="R464" s="7" t="s">
        <v>135</v>
      </c>
      <c r="S464" s="7" t="s">
        <v>136</v>
      </c>
      <c r="T464" s="7" t="n">
        <v>0.638</v>
      </c>
      <c r="U464" s="7" t="n">
        <v>2</v>
      </c>
      <c r="V464" s="7" t="s">
        <v>111</v>
      </c>
      <c r="W464" s="7"/>
      <c r="X464" s="7"/>
      <c r="Y464" s="7" t="s">
        <v>3805</v>
      </c>
      <c r="Z464" s="7"/>
      <c r="AA464" s="7"/>
      <c r="AB464" s="7"/>
      <c r="AC464" s="7" t="n">
        <v>5</v>
      </c>
      <c r="AD464" s="7" t="s">
        <v>743</v>
      </c>
      <c r="AE464" s="7" t="s">
        <v>744</v>
      </c>
      <c r="AF464" s="7" t="s">
        <v>3806</v>
      </c>
      <c r="AG464" s="7" t="s">
        <v>744</v>
      </c>
      <c r="AH464" s="7" t="s">
        <v>1063</v>
      </c>
      <c r="AI464" s="7"/>
      <c r="AJ464" s="7"/>
      <c r="AK464" s="7"/>
      <c r="AL464" s="7"/>
      <c r="AM464" s="7"/>
      <c r="AN464" s="7"/>
      <c r="AO464" s="7" t="s">
        <v>744</v>
      </c>
      <c r="AP464" s="7" t="s">
        <v>3807</v>
      </c>
      <c r="AQ464" s="7" t="s">
        <v>744</v>
      </c>
      <c r="AR464" s="7" t="s">
        <v>3808</v>
      </c>
      <c r="AS464" s="7"/>
      <c r="AT464" s="7"/>
      <c r="AU464" s="7"/>
      <c r="AV464" s="7"/>
      <c r="AW464" s="7" t="s">
        <v>744</v>
      </c>
      <c r="AX464" s="7" t="s">
        <v>3805</v>
      </c>
      <c r="AY464" s="7"/>
      <c r="AZ464" s="7"/>
      <c r="BA464" s="7"/>
      <c r="BB464" s="7"/>
      <c r="BC464" s="7" t="s">
        <v>125</v>
      </c>
      <c r="BD464" s="7" t="s">
        <v>126</v>
      </c>
      <c r="BE464" s="7" t="s">
        <v>127</v>
      </c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</row>
    <row r="465" customFormat="false" ht="15" hidden="false" customHeight="false" outlineLevel="0" collapsed="false">
      <c r="A465" s="7" t="s">
        <v>3809</v>
      </c>
      <c r="B465" s="7" t="s">
        <v>3810</v>
      </c>
      <c r="C465" s="7" t="s">
        <v>3811</v>
      </c>
      <c r="D465" s="7"/>
      <c r="E465" s="7" t="s">
        <v>101</v>
      </c>
      <c r="F465" s="7" t="s">
        <v>741</v>
      </c>
      <c r="G465" s="7"/>
      <c r="H465" s="7" t="s">
        <v>102</v>
      </c>
      <c r="I465" s="7" t="s">
        <v>158</v>
      </c>
      <c r="J465" s="7" t="s">
        <v>104</v>
      </c>
      <c r="K465" s="7" t="s">
        <v>105</v>
      </c>
      <c r="L465" s="7" t="s">
        <v>106</v>
      </c>
      <c r="M465" s="7" t="s">
        <v>419</v>
      </c>
      <c r="N465" s="7" t="s">
        <v>3812</v>
      </c>
      <c r="O465" s="7" t="s">
        <v>3812</v>
      </c>
      <c r="P465" s="7" t="s">
        <v>84</v>
      </c>
      <c r="Q465" s="7"/>
      <c r="R465" s="7" t="s">
        <v>109</v>
      </c>
      <c r="S465" s="7" t="s">
        <v>110</v>
      </c>
      <c r="T465" s="7" t="n">
        <v>0.756</v>
      </c>
      <c r="U465" s="7" t="n">
        <v>2</v>
      </c>
      <c r="V465" s="7" t="s">
        <v>111</v>
      </c>
      <c r="W465" s="7" t="s">
        <v>2279</v>
      </c>
      <c r="X465" s="7" t="s">
        <v>2901</v>
      </c>
      <c r="Y465" s="7" t="s">
        <v>3812</v>
      </c>
      <c r="Z465" s="7" t="s">
        <v>3813</v>
      </c>
      <c r="AA465" s="7"/>
      <c r="AB465" s="7"/>
      <c r="AC465" s="7" t="n">
        <v>10</v>
      </c>
      <c r="AD465" s="7" t="s">
        <v>3814</v>
      </c>
      <c r="AE465" s="7" t="s">
        <v>619</v>
      </c>
      <c r="AF465" s="7" t="s">
        <v>3815</v>
      </c>
      <c r="AG465" s="7" t="s">
        <v>619</v>
      </c>
      <c r="AH465" s="7" t="s">
        <v>3816</v>
      </c>
      <c r="AI465" s="7"/>
      <c r="AJ465" s="7"/>
      <c r="AK465" s="7" t="s">
        <v>619</v>
      </c>
      <c r="AL465" s="7" t="s">
        <v>3817</v>
      </c>
      <c r="AM465" s="7" t="s">
        <v>619</v>
      </c>
      <c r="AN465" s="7" t="s">
        <v>3818</v>
      </c>
      <c r="AO465" s="7" t="s">
        <v>619</v>
      </c>
      <c r="AP465" s="7" t="s">
        <v>3819</v>
      </c>
      <c r="AQ465" s="7" t="s">
        <v>619</v>
      </c>
      <c r="AR465" s="7" t="s">
        <v>3820</v>
      </c>
      <c r="AS465" s="7" t="s">
        <v>619</v>
      </c>
      <c r="AT465" s="7" t="s">
        <v>216</v>
      </c>
      <c r="AU465" s="7" t="s">
        <v>619</v>
      </c>
      <c r="AV465" s="7" t="s">
        <v>3821</v>
      </c>
      <c r="AW465" s="7" t="s">
        <v>619</v>
      </c>
      <c r="AX465" s="7" t="s">
        <v>3822</v>
      </c>
      <c r="AY465" s="7"/>
      <c r="AZ465" s="7"/>
      <c r="BA465" s="7" t="s">
        <v>619</v>
      </c>
      <c r="BB465" s="7" t="s">
        <v>3823</v>
      </c>
      <c r="BC465" s="7" t="s">
        <v>427</v>
      </c>
      <c r="BD465" s="7" t="s">
        <v>2372</v>
      </c>
      <c r="BE465" s="7" t="s">
        <v>127</v>
      </c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</row>
    <row r="466" customFormat="false" ht="15" hidden="false" customHeight="false" outlineLevel="0" collapsed="false">
      <c r="A466" s="7" t="s">
        <v>3824</v>
      </c>
      <c r="B466" s="7" t="s">
        <v>3825</v>
      </c>
      <c r="C466" s="7" t="s">
        <v>3826</v>
      </c>
      <c r="D466" s="7"/>
      <c r="E466" s="7" t="s">
        <v>101</v>
      </c>
      <c r="F466" s="7" t="s">
        <v>741</v>
      </c>
      <c r="G466" s="7"/>
      <c r="H466" s="7" t="s">
        <v>102</v>
      </c>
      <c r="I466" s="7" t="s">
        <v>158</v>
      </c>
      <c r="J466" s="7" t="s">
        <v>104</v>
      </c>
      <c r="K466" s="7" t="s">
        <v>105</v>
      </c>
      <c r="L466" s="7" t="s">
        <v>106</v>
      </c>
      <c r="M466" s="7" t="s">
        <v>419</v>
      </c>
      <c r="N466" s="7" t="s">
        <v>3827</v>
      </c>
      <c r="O466" s="7" t="s">
        <v>3827</v>
      </c>
      <c r="P466" s="7" t="s">
        <v>84</v>
      </c>
      <c r="Q466" s="7"/>
      <c r="R466" s="7" t="s">
        <v>84</v>
      </c>
      <c r="S466" s="7" t="s">
        <v>238</v>
      </c>
      <c r="T466" s="7" t="n">
        <v>0.547</v>
      </c>
      <c r="U466" s="7" t="n">
        <v>2</v>
      </c>
      <c r="V466" s="7" t="s">
        <v>479</v>
      </c>
      <c r="W466" s="7" t="s">
        <v>1591</v>
      </c>
      <c r="X466" s="7" t="s">
        <v>3828</v>
      </c>
      <c r="Y466" s="7" t="s">
        <v>3827</v>
      </c>
      <c r="Z466" s="7" t="s">
        <v>3829</v>
      </c>
      <c r="AA466" s="7"/>
      <c r="AB466" s="7"/>
      <c r="AC466" s="7" t="n">
        <v>12</v>
      </c>
      <c r="AD466" s="7"/>
      <c r="AE466" s="7" t="s">
        <v>619</v>
      </c>
      <c r="AF466" s="7" t="s">
        <v>3830</v>
      </c>
      <c r="AG466" s="7" t="s">
        <v>619</v>
      </c>
      <c r="AH466" s="7" t="s">
        <v>3831</v>
      </c>
      <c r="AI466" s="7" t="s">
        <v>619</v>
      </c>
      <c r="AJ466" s="7" t="s">
        <v>3832</v>
      </c>
      <c r="AK466" s="7" t="s">
        <v>619</v>
      </c>
      <c r="AL466" s="7" t="s">
        <v>3833</v>
      </c>
      <c r="AM466" s="7" t="s">
        <v>619</v>
      </c>
      <c r="AN466" s="7" t="s">
        <v>3834</v>
      </c>
      <c r="AO466" s="7" t="s">
        <v>619</v>
      </c>
      <c r="AP466" s="7" t="s">
        <v>3835</v>
      </c>
      <c r="AQ466" s="7" t="s">
        <v>619</v>
      </c>
      <c r="AR466" s="7" t="s">
        <v>3836</v>
      </c>
      <c r="AS466" s="7" t="s">
        <v>619</v>
      </c>
      <c r="AT466" s="7" t="s">
        <v>455</v>
      </c>
      <c r="AU466" s="7" t="s">
        <v>619</v>
      </c>
      <c r="AV466" s="7" t="s">
        <v>3837</v>
      </c>
      <c r="AW466" s="7" t="s">
        <v>619</v>
      </c>
      <c r="AX466" s="7" t="s">
        <v>3838</v>
      </c>
      <c r="AY466" s="7" t="s">
        <v>619</v>
      </c>
      <c r="AZ466" s="7" t="s">
        <v>3839</v>
      </c>
      <c r="BA466" s="7" t="s">
        <v>619</v>
      </c>
      <c r="BB466" s="7" t="s">
        <v>3840</v>
      </c>
      <c r="BC466" s="7" t="s">
        <v>427</v>
      </c>
      <c r="BD466" s="7" t="s">
        <v>2372</v>
      </c>
      <c r="BE466" s="7" t="s">
        <v>127</v>
      </c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</row>
    <row r="467" customFormat="false" ht="15" hidden="false" customHeight="false" outlineLevel="0" collapsed="false">
      <c r="A467" s="7" t="s">
        <v>3841</v>
      </c>
      <c r="B467" s="7" t="s">
        <v>3842</v>
      </c>
      <c r="C467" s="7" t="s">
        <v>3843</v>
      </c>
      <c r="D467" s="7" t="s">
        <v>3844</v>
      </c>
      <c r="E467" s="7" t="s">
        <v>101</v>
      </c>
      <c r="F467" s="7" t="s">
        <v>101</v>
      </c>
      <c r="G467" s="7"/>
      <c r="H467" s="7" t="s">
        <v>102</v>
      </c>
      <c r="I467" s="7" t="s">
        <v>158</v>
      </c>
      <c r="J467" s="7" t="s">
        <v>104</v>
      </c>
      <c r="K467" s="7" t="s">
        <v>105</v>
      </c>
      <c r="L467" s="7" t="s">
        <v>353</v>
      </c>
      <c r="M467" s="7" t="s">
        <v>419</v>
      </c>
      <c r="N467" s="7" t="s">
        <v>3845</v>
      </c>
      <c r="O467" s="7" t="s">
        <v>3845</v>
      </c>
      <c r="P467" s="7" t="s">
        <v>84</v>
      </c>
      <c r="Q467" s="7"/>
      <c r="R467" s="7" t="s">
        <v>109</v>
      </c>
      <c r="S467" s="7" t="s">
        <v>110</v>
      </c>
      <c r="T467" s="7" t="n">
        <v>0.086</v>
      </c>
      <c r="U467" s="7" t="n">
        <v>2</v>
      </c>
      <c r="V467" s="7" t="s">
        <v>479</v>
      </c>
      <c r="W467" s="7"/>
      <c r="X467" s="7"/>
      <c r="Y467" s="7"/>
      <c r="Z467" s="7"/>
      <c r="AA467" s="7"/>
      <c r="AB467" s="7"/>
      <c r="AC467" s="7" t="n">
        <v>0</v>
      </c>
      <c r="AD467" s="7" t="s">
        <v>388</v>
      </c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 t="s">
        <v>427</v>
      </c>
      <c r="BD467" s="7" t="s">
        <v>1861</v>
      </c>
      <c r="BE467" s="7" t="s">
        <v>127</v>
      </c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</row>
    <row r="468" customFormat="false" ht="15" hidden="false" customHeight="false" outlineLevel="0" collapsed="false">
      <c r="A468" s="7" t="s">
        <v>3846</v>
      </c>
      <c r="B468" s="7" t="s">
        <v>3847</v>
      </c>
      <c r="C468" s="7" t="s">
        <v>3848</v>
      </c>
      <c r="D468" s="7" t="s">
        <v>3849</v>
      </c>
      <c r="E468" s="7" t="s">
        <v>101</v>
      </c>
      <c r="F468" s="7" t="s">
        <v>101</v>
      </c>
      <c r="G468" s="7"/>
      <c r="H468" s="7" t="s">
        <v>102</v>
      </c>
      <c r="I468" s="7" t="s">
        <v>158</v>
      </c>
      <c r="J468" s="7" t="s">
        <v>104</v>
      </c>
      <c r="K468" s="7" t="s">
        <v>105</v>
      </c>
      <c r="L468" s="7" t="s">
        <v>353</v>
      </c>
      <c r="M468" s="7" t="s">
        <v>419</v>
      </c>
      <c r="N468" s="7" t="s">
        <v>3850</v>
      </c>
      <c r="O468" s="7"/>
      <c r="P468" s="7" t="s">
        <v>84</v>
      </c>
      <c r="Q468" s="7"/>
      <c r="R468" s="7"/>
      <c r="S468" s="7"/>
      <c r="T468" s="7" t="n">
        <v>0.279</v>
      </c>
      <c r="U468" s="7" t="n">
        <v>2</v>
      </c>
      <c r="V468" s="7" t="s">
        <v>111</v>
      </c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 t="s">
        <v>427</v>
      </c>
      <c r="BD468" s="7" t="s">
        <v>1861</v>
      </c>
      <c r="BE468" s="7" t="s">
        <v>127</v>
      </c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</row>
    <row r="469" customFormat="false" ht="15" hidden="false" customHeight="false" outlineLevel="0" collapsed="false">
      <c r="A469" s="7" t="s">
        <v>3851</v>
      </c>
      <c r="B469" s="7" t="s">
        <v>3852</v>
      </c>
      <c r="C469" s="7" t="s">
        <v>3853</v>
      </c>
      <c r="D469" s="7" t="s">
        <v>3854</v>
      </c>
      <c r="E469" s="7" t="s">
        <v>101</v>
      </c>
      <c r="F469" s="7" t="s">
        <v>101</v>
      </c>
      <c r="G469" s="7"/>
      <c r="H469" s="7" t="s">
        <v>102</v>
      </c>
      <c r="I469" s="7" t="s">
        <v>158</v>
      </c>
      <c r="J469" s="7" t="s">
        <v>104</v>
      </c>
      <c r="K469" s="7" t="s">
        <v>105</v>
      </c>
      <c r="L469" s="7" t="s">
        <v>353</v>
      </c>
      <c r="M469" s="7" t="s">
        <v>419</v>
      </c>
      <c r="N469" s="7" t="s">
        <v>3855</v>
      </c>
      <c r="O469" s="7"/>
      <c r="P469" s="7" t="s">
        <v>84</v>
      </c>
      <c r="Q469" s="7"/>
      <c r="R469" s="7"/>
      <c r="S469" s="7"/>
      <c r="T469" s="7" t="n">
        <v>0.366</v>
      </c>
      <c r="U469" s="7" t="n">
        <v>2</v>
      </c>
      <c r="V469" s="7" t="s">
        <v>111</v>
      </c>
      <c r="W469" s="7" t="s">
        <v>3856</v>
      </c>
      <c r="X469" s="7" t="s">
        <v>3857</v>
      </c>
      <c r="Y469" s="7" t="s">
        <v>3858</v>
      </c>
      <c r="Z469" s="7"/>
      <c r="AA469" s="7"/>
      <c r="AB469" s="7"/>
      <c r="AC469" s="7"/>
      <c r="AD469" s="7"/>
      <c r="AE469" s="7"/>
      <c r="AF469" s="7"/>
      <c r="AG469" s="7" t="s">
        <v>1848</v>
      </c>
      <c r="AH469" s="7" t="s">
        <v>1956</v>
      </c>
      <c r="AI469" s="7"/>
      <c r="AJ469" s="7"/>
      <c r="AK469" s="7"/>
      <c r="AL469" s="7"/>
      <c r="AM469" s="7" t="s">
        <v>1848</v>
      </c>
      <c r="AN469" s="7" t="s">
        <v>1957</v>
      </c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 t="s">
        <v>427</v>
      </c>
      <c r="BD469" s="7" t="s">
        <v>1861</v>
      </c>
      <c r="BE469" s="7" t="s">
        <v>127</v>
      </c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</row>
    <row r="470" customFormat="false" ht="15" hidden="false" customHeight="false" outlineLevel="0" collapsed="false">
      <c r="A470" s="7" t="s">
        <v>3859</v>
      </c>
      <c r="B470" s="7" t="s">
        <v>3860</v>
      </c>
      <c r="C470" s="7" t="s">
        <v>3861</v>
      </c>
      <c r="D470" s="7" t="s">
        <v>3862</v>
      </c>
      <c r="E470" s="7" t="s">
        <v>101</v>
      </c>
      <c r="F470" s="7" t="s">
        <v>101</v>
      </c>
      <c r="G470" s="7"/>
      <c r="H470" s="7" t="s">
        <v>102</v>
      </c>
      <c r="I470" s="7" t="s">
        <v>158</v>
      </c>
      <c r="J470" s="7" t="s">
        <v>104</v>
      </c>
      <c r="K470" s="7" t="s">
        <v>105</v>
      </c>
      <c r="L470" s="7" t="s">
        <v>353</v>
      </c>
      <c r="M470" s="7" t="s">
        <v>419</v>
      </c>
      <c r="N470" s="7" t="s">
        <v>3863</v>
      </c>
      <c r="O470" s="7"/>
      <c r="P470" s="7" t="s">
        <v>84</v>
      </c>
      <c r="Q470" s="7"/>
      <c r="R470" s="7"/>
      <c r="S470" s="7"/>
      <c r="T470" s="7" t="n">
        <v>0.385</v>
      </c>
      <c r="U470" s="7" t="n">
        <v>2</v>
      </c>
      <c r="V470" s="7" t="s">
        <v>111</v>
      </c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 t="s">
        <v>1848</v>
      </c>
      <c r="AH470" s="7" t="s">
        <v>1956</v>
      </c>
      <c r="AI470" s="7"/>
      <c r="AJ470" s="7"/>
      <c r="AK470" s="7"/>
      <c r="AL470" s="7"/>
      <c r="AM470" s="7" t="s">
        <v>1848</v>
      </c>
      <c r="AN470" s="7" t="s">
        <v>1957</v>
      </c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 t="s">
        <v>427</v>
      </c>
      <c r="BD470" s="7" t="s">
        <v>1861</v>
      </c>
      <c r="BE470" s="7" t="s">
        <v>127</v>
      </c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</row>
    <row r="471" customFormat="false" ht="15" hidden="false" customHeight="false" outlineLevel="0" collapsed="false">
      <c r="A471" s="7" t="s">
        <v>3864</v>
      </c>
      <c r="B471" s="7" t="s">
        <v>3865</v>
      </c>
      <c r="C471" s="7" t="s">
        <v>3866</v>
      </c>
      <c r="D471" s="7" t="s">
        <v>3867</v>
      </c>
      <c r="E471" s="7" t="s">
        <v>101</v>
      </c>
      <c r="F471" s="7" t="s">
        <v>101</v>
      </c>
      <c r="G471" s="7"/>
      <c r="H471" s="7" t="s">
        <v>102</v>
      </c>
      <c r="I471" s="7" t="s">
        <v>158</v>
      </c>
      <c r="J471" s="7" t="s">
        <v>104</v>
      </c>
      <c r="K471" s="7" t="s">
        <v>105</v>
      </c>
      <c r="L471" s="7" t="s">
        <v>353</v>
      </c>
      <c r="M471" s="7" t="s">
        <v>419</v>
      </c>
      <c r="N471" s="7" t="s">
        <v>3868</v>
      </c>
      <c r="O471" s="7" t="s">
        <v>3868</v>
      </c>
      <c r="P471" s="7" t="s">
        <v>84</v>
      </c>
      <c r="Q471" s="7"/>
      <c r="R471" s="7" t="s">
        <v>109</v>
      </c>
      <c r="S471" s="7" t="s">
        <v>110</v>
      </c>
      <c r="T471" s="7" t="n">
        <v>0.129</v>
      </c>
      <c r="U471" s="7" t="n">
        <v>2</v>
      </c>
      <c r="V471" s="7" t="s">
        <v>111</v>
      </c>
      <c r="W471" s="7"/>
      <c r="X471" s="7"/>
      <c r="Y471" s="7"/>
      <c r="Z471" s="7"/>
      <c r="AA471" s="7"/>
      <c r="AB471" s="7"/>
      <c r="AC471" s="7" t="n">
        <v>2</v>
      </c>
      <c r="AD471" s="7" t="s">
        <v>1954</v>
      </c>
      <c r="AE471" s="7"/>
      <c r="AF471" s="7"/>
      <c r="AG471" s="7" t="s">
        <v>1848</v>
      </c>
      <c r="AH471" s="7" t="s">
        <v>1956</v>
      </c>
      <c r="AI471" s="7"/>
      <c r="AJ471" s="7"/>
      <c r="AK471" s="7"/>
      <c r="AL471" s="7"/>
      <c r="AM471" s="7" t="s">
        <v>1848</v>
      </c>
      <c r="AN471" s="7" t="s">
        <v>1957</v>
      </c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 t="s">
        <v>427</v>
      </c>
      <c r="BD471" s="7" t="s">
        <v>1861</v>
      </c>
      <c r="BE471" s="7" t="s">
        <v>127</v>
      </c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</row>
    <row r="472" customFormat="false" ht="15" hidden="false" customHeight="false" outlineLevel="0" collapsed="false">
      <c r="A472" s="7" t="s">
        <v>3869</v>
      </c>
      <c r="B472" s="7" t="s">
        <v>3870</v>
      </c>
      <c r="C472" s="7" t="s">
        <v>3871</v>
      </c>
      <c r="D472" s="7" t="s">
        <v>3872</v>
      </c>
      <c r="E472" s="7" t="s">
        <v>101</v>
      </c>
      <c r="F472" s="7" t="s">
        <v>101</v>
      </c>
      <c r="G472" s="7"/>
      <c r="H472" s="7" t="s">
        <v>102</v>
      </c>
      <c r="I472" s="7" t="s">
        <v>158</v>
      </c>
      <c r="J472" s="7" t="s">
        <v>104</v>
      </c>
      <c r="K472" s="7" t="s">
        <v>105</v>
      </c>
      <c r="L472" s="7" t="s">
        <v>353</v>
      </c>
      <c r="M472" s="7" t="s">
        <v>419</v>
      </c>
      <c r="N472" s="7" t="s">
        <v>3873</v>
      </c>
      <c r="O472" s="7"/>
      <c r="P472" s="7" t="s">
        <v>84</v>
      </c>
      <c r="Q472" s="7"/>
      <c r="R472" s="7"/>
      <c r="S472" s="7"/>
      <c r="T472" s="7" t="n">
        <v>0.27</v>
      </c>
      <c r="U472" s="7" t="n">
        <v>2</v>
      </c>
      <c r="V472" s="7" t="s">
        <v>111</v>
      </c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 t="s">
        <v>1848</v>
      </c>
      <c r="AH472" s="7" t="s">
        <v>1956</v>
      </c>
      <c r="AI472" s="7"/>
      <c r="AJ472" s="7"/>
      <c r="AK472" s="7"/>
      <c r="AL472" s="7"/>
      <c r="AM472" s="7" t="s">
        <v>1848</v>
      </c>
      <c r="AN472" s="7" t="s">
        <v>1957</v>
      </c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 t="s">
        <v>427</v>
      </c>
      <c r="BD472" s="7" t="s">
        <v>1861</v>
      </c>
      <c r="BE472" s="7" t="s">
        <v>127</v>
      </c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</row>
    <row r="473" customFormat="false" ht="15" hidden="false" customHeight="false" outlineLevel="0" collapsed="false">
      <c r="A473" s="7" t="s">
        <v>3874</v>
      </c>
      <c r="B473" s="7" t="s">
        <v>3875</v>
      </c>
      <c r="C473" s="7" t="s">
        <v>3876</v>
      </c>
      <c r="D473" s="7" t="s">
        <v>3877</v>
      </c>
      <c r="E473" s="7" t="s">
        <v>101</v>
      </c>
      <c r="F473" s="7" t="s">
        <v>101</v>
      </c>
      <c r="G473" s="7"/>
      <c r="H473" s="7" t="s">
        <v>102</v>
      </c>
      <c r="I473" s="7" t="s">
        <v>158</v>
      </c>
      <c r="J473" s="7" t="s">
        <v>104</v>
      </c>
      <c r="K473" s="7" t="s">
        <v>105</v>
      </c>
      <c r="L473" s="7" t="s">
        <v>3878</v>
      </c>
      <c r="M473" s="7" t="s">
        <v>419</v>
      </c>
      <c r="N473" s="7" t="s">
        <v>3879</v>
      </c>
      <c r="O473" s="7"/>
      <c r="P473" s="7" t="s">
        <v>84</v>
      </c>
      <c r="Q473" s="7"/>
      <c r="R473" s="7"/>
      <c r="S473" s="7"/>
      <c r="T473" s="7" t="n">
        <v>0.197</v>
      </c>
      <c r="U473" s="7" t="n">
        <v>2</v>
      </c>
      <c r="V473" s="7" t="s">
        <v>111</v>
      </c>
      <c r="W473" s="7" t="s">
        <v>3880</v>
      </c>
      <c r="X473" s="7" t="s">
        <v>3881</v>
      </c>
      <c r="Y473" s="7" t="s">
        <v>3882</v>
      </c>
      <c r="Z473" s="7"/>
      <c r="AA473" s="7"/>
      <c r="AB473" s="7"/>
      <c r="AC473" s="7"/>
      <c r="AD473" s="7"/>
      <c r="AE473" s="7"/>
      <c r="AF473" s="7"/>
      <c r="AG473" s="7" t="s">
        <v>1848</v>
      </c>
      <c r="AH473" s="7" t="s">
        <v>1956</v>
      </c>
      <c r="AI473" s="7"/>
      <c r="AJ473" s="7"/>
      <c r="AK473" s="7"/>
      <c r="AL473" s="7"/>
      <c r="AM473" s="7" t="s">
        <v>1848</v>
      </c>
      <c r="AN473" s="7" t="s">
        <v>1957</v>
      </c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 t="s">
        <v>427</v>
      </c>
      <c r="BD473" s="7" t="s">
        <v>1861</v>
      </c>
      <c r="BE473" s="7" t="s">
        <v>127</v>
      </c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</row>
    <row r="474" customFormat="false" ht="15" hidden="false" customHeight="false" outlineLevel="0" collapsed="false">
      <c r="A474" s="7" t="s">
        <v>3883</v>
      </c>
      <c r="B474" s="7" t="s">
        <v>3884</v>
      </c>
      <c r="C474" s="7" t="s">
        <v>3885</v>
      </c>
      <c r="D474" s="7" t="s">
        <v>3886</v>
      </c>
      <c r="E474" s="7" t="s">
        <v>101</v>
      </c>
      <c r="F474" s="7" t="s">
        <v>101</v>
      </c>
      <c r="G474" s="7"/>
      <c r="H474" s="7" t="s">
        <v>102</v>
      </c>
      <c r="I474" s="7" t="s">
        <v>158</v>
      </c>
      <c r="J474" s="7" t="s">
        <v>104</v>
      </c>
      <c r="K474" s="7" t="s">
        <v>105</v>
      </c>
      <c r="L474" s="7" t="s">
        <v>353</v>
      </c>
      <c r="M474" s="7" t="s">
        <v>419</v>
      </c>
      <c r="N474" s="7" t="s">
        <v>3887</v>
      </c>
      <c r="O474" s="7" t="s">
        <v>3887</v>
      </c>
      <c r="P474" s="7" t="s">
        <v>84</v>
      </c>
      <c r="Q474" s="7"/>
      <c r="R474" s="7" t="s">
        <v>109</v>
      </c>
      <c r="S474" s="7" t="s">
        <v>110</v>
      </c>
      <c r="T474" s="7" t="n">
        <v>0.259</v>
      </c>
      <c r="U474" s="7" t="n">
        <v>2</v>
      </c>
      <c r="V474" s="7" t="s">
        <v>111</v>
      </c>
      <c r="W474" s="7" t="s">
        <v>3888</v>
      </c>
      <c r="X474" s="7" t="s">
        <v>3889</v>
      </c>
      <c r="Y474" s="7" t="s">
        <v>3890</v>
      </c>
      <c r="Z474" s="7"/>
      <c r="AA474" s="7"/>
      <c r="AB474" s="7"/>
      <c r="AC474" s="7" t="n">
        <v>2</v>
      </c>
      <c r="AD474" s="7" t="s">
        <v>1954</v>
      </c>
      <c r="AE474" s="7"/>
      <c r="AF474" s="7"/>
      <c r="AG474" s="7" t="s">
        <v>1848</v>
      </c>
      <c r="AH474" s="7" t="s">
        <v>1956</v>
      </c>
      <c r="AI474" s="7"/>
      <c r="AJ474" s="7"/>
      <c r="AK474" s="7"/>
      <c r="AL474" s="7"/>
      <c r="AM474" s="7" t="s">
        <v>1848</v>
      </c>
      <c r="AN474" s="7" t="s">
        <v>1957</v>
      </c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 t="s">
        <v>427</v>
      </c>
      <c r="BD474" s="7" t="s">
        <v>1861</v>
      </c>
      <c r="BE474" s="7" t="s">
        <v>127</v>
      </c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</row>
    <row r="475" customFormat="false" ht="15" hidden="false" customHeight="false" outlineLevel="0" collapsed="false">
      <c r="A475" s="7" t="s">
        <v>3891</v>
      </c>
      <c r="B475" s="7" t="s">
        <v>3892</v>
      </c>
      <c r="C475" s="7" t="s">
        <v>3893</v>
      </c>
      <c r="D475" s="7"/>
      <c r="E475" s="7" t="s">
        <v>101</v>
      </c>
      <c r="F475" s="7" t="s">
        <v>101</v>
      </c>
      <c r="G475" s="7"/>
      <c r="H475" s="7" t="s">
        <v>102</v>
      </c>
      <c r="I475" s="7" t="s">
        <v>132</v>
      </c>
      <c r="J475" s="7" t="s">
        <v>104</v>
      </c>
      <c r="K475" s="7" t="s">
        <v>105</v>
      </c>
      <c r="L475" s="7" t="s">
        <v>106</v>
      </c>
      <c r="M475" s="7" t="s">
        <v>419</v>
      </c>
      <c r="N475" s="7" t="s">
        <v>3894</v>
      </c>
      <c r="O475" s="7" t="s">
        <v>3894</v>
      </c>
      <c r="P475" s="7" t="s">
        <v>84</v>
      </c>
      <c r="Q475" s="7"/>
      <c r="R475" s="7" t="s">
        <v>109</v>
      </c>
      <c r="S475" s="7" t="s">
        <v>110</v>
      </c>
      <c r="T475" s="7" t="n">
        <v>0.445</v>
      </c>
      <c r="U475" s="7" t="n">
        <v>2</v>
      </c>
      <c r="V475" s="7" t="s">
        <v>111</v>
      </c>
      <c r="W475" s="7"/>
      <c r="X475" s="7"/>
      <c r="Y475" s="7" t="s">
        <v>3894</v>
      </c>
      <c r="Z475" s="7"/>
      <c r="AA475" s="7"/>
      <c r="AB475" s="7"/>
      <c r="AC475" s="7" t="n">
        <v>0</v>
      </c>
      <c r="AD475" s="7" t="s">
        <v>388</v>
      </c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 t="s">
        <v>427</v>
      </c>
      <c r="BD475" s="7" t="s">
        <v>126</v>
      </c>
      <c r="BE475" s="7" t="s">
        <v>127</v>
      </c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</row>
    <row r="476" customFormat="false" ht="15" hidden="false" customHeight="false" outlineLevel="0" collapsed="false">
      <c r="A476" s="7" t="s">
        <v>3895</v>
      </c>
      <c r="B476" s="7" t="s">
        <v>3896</v>
      </c>
      <c r="C476" s="7" t="s">
        <v>3897</v>
      </c>
      <c r="D476" s="7" t="s">
        <v>3898</v>
      </c>
      <c r="E476" s="7" t="s">
        <v>101</v>
      </c>
      <c r="F476" s="7" t="s">
        <v>101</v>
      </c>
      <c r="G476" s="7"/>
      <c r="H476" s="7" t="s">
        <v>102</v>
      </c>
      <c r="I476" s="7" t="s">
        <v>158</v>
      </c>
      <c r="J476" s="7" t="s">
        <v>104</v>
      </c>
      <c r="K476" s="7" t="s">
        <v>105</v>
      </c>
      <c r="L476" s="7" t="s">
        <v>353</v>
      </c>
      <c r="M476" s="7" t="s">
        <v>419</v>
      </c>
      <c r="N476" s="7" t="s">
        <v>3899</v>
      </c>
      <c r="O476" s="7" t="s">
        <v>3899</v>
      </c>
      <c r="P476" s="7" t="s">
        <v>84</v>
      </c>
      <c r="Q476" s="7"/>
      <c r="R476" s="7" t="s">
        <v>109</v>
      </c>
      <c r="S476" s="7" t="s">
        <v>110</v>
      </c>
      <c r="T476" s="7" t="n">
        <v>0.152</v>
      </c>
      <c r="U476" s="7" t="n">
        <v>2</v>
      </c>
      <c r="V476" s="7" t="s">
        <v>111</v>
      </c>
      <c r="W476" s="7" t="s">
        <v>3900</v>
      </c>
      <c r="X476" s="7" t="s">
        <v>3901</v>
      </c>
      <c r="Y476" s="7" t="s">
        <v>3902</v>
      </c>
      <c r="Z476" s="7"/>
      <c r="AA476" s="7"/>
      <c r="AB476" s="7"/>
      <c r="AC476" s="7" t="n">
        <v>0</v>
      </c>
      <c r="AD476" s="7" t="s">
        <v>388</v>
      </c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 t="s">
        <v>427</v>
      </c>
      <c r="BD476" s="7" t="s">
        <v>1861</v>
      </c>
      <c r="BE476" s="7" t="s">
        <v>127</v>
      </c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</row>
    <row r="477" customFormat="false" ht="15" hidden="false" customHeight="false" outlineLevel="0" collapsed="false">
      <c r="A477" s="7" t="s">
        <v>3903</v>
      </c>
      <c r="B477" s="7" t="s">
        <v>3904</v>
      </c>
      <c r="C477" s="7" t="s">
        <v>3905</v>
      </c>
      <c r="D477" s="7" t="s">
        <v>3906</v>
      </c>
      <c r="E477" s="7" t="s">
        <v>101</v>
      </c>
      <c r="F477" s="7" t="s">
        <v>101</v>
      </c>
      <c r="G477" s="7"/>
      <c r="H477" s="7" t="s">
        <v>102</v>
      </c>
      <c r="I477" s="7" t="s">
        <v>158</v>
      </c>
      <c r="J477" s="7" t="s">
        <v>104</v>
      </c>
      <c r="K477" s="7" t="s">
        <v>105</v>
      </c>
      <c r="L477" s="7" t="s">
        <v>353</v>
      </c>
      <c r="M477" s="7" t="s">
        <v>419</v>
      </c>
      <c r="N477" s="7" t="s">
        <v>3907</v>
      </c>
      <c r="O477" s="7"/>
      <c r="P477" s="7" t="s">
        <v>84</v>
      </c>
      <c r="Q477" s="7"/>
      <c r="R477" s="7"/>
      <c r="S477" s="7"/>
      <c r="T477" s="7" t="n">
        <v>0.126</v>
      </c>
      <c r="U477" s="7" t="n">
        <v>2</v>
      </c>
      <c r="V477" s="7" t="s">
        <v>111</v>
      </c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 t="s">
        <v>1848</v>
      </c>
      <c r="AH477" s="7" t="s">
        <v>1956</v>
      </c>
      <c r="AI477" s="7"/>
      <c r="AJ477" s="7"/>
      <c r="AK477" s="7"/>
      <c r="AL477" s="7"/>
      <c r="AM477" s="7" t="s">
        <v>1848</v>
      </c>
      <c r="AN477" s="7" t="s">
        <v>1957</v>
      </c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 t="s">
        <v>427</v>
      </c>
      <c r="BD477" s="7" t="s">
        <v>1861</v>
      </c>
      <c r="BE477" s="7" t="s">
        <v>127</v>
      </c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</row>
    <row r="478" customFormat="false" ht="15" hidden="false" customHeight="false" outlineLevel="0" collapsed="false">
      <c r="A478" s="7" t="s">
        <v>3908</v>
      </c>
      <c r="B478" s="7" t="s">
        <v>3909</v>
      </c>
      <c r="C478" s="7" t="s">
        <v>3910</v>
      </c>
      <c r="D478" s="7" t="s">
        <v>3911</v>
      </c>
      <c r="E478" s="7" t="s">
        <v>101</v>
      </c>
      <c r="F478" s="7" t="s">
        <v>101</v>
      </c>
      <c r="G478" s="7"/>
      <c r="H478" s="7" t="s">
        <v>102</v>
      </c>
      <c r="I478" s="7" t="s">
        <v>158</v>
      </c>
      <c r="J478" s="7" t="s">
        <v>104</v>
      </c>
      <c r="K478" s="7" t="s">
        <v>105</v>
      </c>
      <c r="L478" s="7" t="s">
        <v>353</v>
      </c>
      <c r="M478" s="7" t="s">
        <v>419</v>
      </c>
      <c r="N478" s="7" t="s">
        <v>3912</v>
      </c>
      <c r="O478" s="7"/>
      <c r="P478" s="7" t="s">
        <v>84</v>
      </c>
      <c r="Q478" s="7"/>
      <c r="R478" s="7"/>
      <c r="S478" s="7"/>
      <c r="T478" s="7" t="n">
        <v>0.249</v>
      </c>
      <c r="U478" s="7" t="n">
        <v>2</v>
      </c>
      <c r="V478" s="7" t="s">
        <v>111</v>
      </c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 t="s">
        <v>1848</v>
      </c>
      <c r="AH478" s="7" t="s">
        <v>1956</v>
      </c>
      <c r="AI478" s="7"/>
      <c r="AJ478" s="7"/>
      <c r="AK478" s="7"/>
      <c r="AL478" s="7"/>
      <c r="AM478" s="7" t="s">
        <v>1848</v>
      </c>
      <c r="AN478" s="7" t="s">
        <v>1957</v>
      </c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 t="s">
        <v>427</v>
      </c>
      <c r="BD478" s="7" t="s">
        <v>1861</v>
      </c>
      <c r="BE478" s="7" t="s">
        <v>127</v>
      </c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</row>
    <row r="479" customFormat="false" ht="15" hidden="false" customHeight="false" outlineLevel="0" collapsed="false">
      <c r="A479" s="7" t="s">
        <v>3913</v>
      </c>
      <c r="B479" s="7" t="s">
        <v>3914</v>
      </c>
      <c r="C479" s="7" t="s">
        <v>3915</v>
      </c>
      <c r="D479" s="7" t="s">
        <v>3916</v>
      </c>
      <c r="E479" s="7" t="s">
        <v>101</v>
      </c>
      <c r="F479" s="7" t="s">
        <v>101</v>
      </c>
      <c r="G479" s="7"/>
      <c r="H479" s="7" t="s">
        <v>102</v>
      </c>
      <c r="I479" s="7" t="s">
        <v>158</v>
      </c>
      <c r="J479" s="7" t="s">
        <v>104</v>
      </c>
      <c r="K479" s="7" t="s">
        <v>105</v>
      </c>
      <c r="L479" s="7" t="s">
        <v>353</v>
      </c>
      <c r="M479" s="7" t="s">
        <v>419</v>
      </c>
      <c r="N479" s="7" t="s">
        <v>3917</v>
      </c>
      <c r="O479" s="7" t="s">
        <v>3917</v>
      </c>
      <c r="P479" s="7" t="s">
        <v>84</v>
      </c>
      <c r="Q479" s="7"/>
      <c r="R479" s="7" t="s">
        <v>109</v>
      </c>
      <c r="S479" s="7" t="s">
        <v>110</v>
      </c>
      <c r="T479" s="7" t="n">
        <v>0.398</v>
      </c>
      <c r="U479" s="7" t="n">
        <v>2</v>
      </c>
      <c r="V479" s="7" t="s">
        <v>111</v>
      </c>
      <c r="W479" s="7"/>
      <c r="X479" s="7"/>
      <c r="Y479" s="7"/>
      <c r="Z479" s="7"/>
      <c r="AA479" s="7"/>
      <c r="AB479" s="7"/>
      <c r="AC479" s="7" t="n">
        <v>2</v>
      </c>
      <c r="AD479" s="7" t="s">
        <v>1954</v>
      </c>
      <c r="AE479" s="7"/>
      <c r="AF479" s="7"/>
      <c r="AG479" s="7" t="s">
        <v>1848</v>
      </c>
      <c r="AH479" s="7" t="s">
        <v>1956</v>
      </c>
      <c r="AI479" s="7"/>
      <c r="AJ479" s="7"/>
      <c r="AK479" s="7"/>
      <c r="AL479" s="7"/>
      <c r="AM479" s="7" t="s">
        <v>1848</v>
      </c>
      <c r="AN479" s="7" t="s">
        <v>1957</v>
      </c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 t="s">
        <v>427</v>
      </c>
      <c r="BD479" s="7" t="s">
        <v>1861</v>
      </c>
      <c r="BE479" s="7" t="s">
        <v>127</v>
      </c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</row>
    <row r="480" customFormat="false" ht="15" hidden="false" customHeight="false" outlineLevel="0" collapsed="false">
      <c r="A480" s="7" t="s">
        <v>3918</v>
      </c>
      <c r="B480" s="7" t="s">
        <v>3919</v>
      </c>
      <c r="C480" s="7" t="s">
        <v>3920</v>
      </c>
      <c r="D480" s="7" t="s">
        <v>3921</v>
      </c>
      <c r="E480" s="7" t="s">
        <v>101</v>
      </c>
      <c r="F480" s="7" t="s">
        <v>101</v>
      </c>
      <c r="G480" s="7"/>
      <c r="H480" s="7" t="s">
        <v>102</v>
      </c>
      <c r="I480" s="7" t="s">
        <v>158</v>
      </c>
      <c r="J480" s="7" t="s">
        <v>104</v>
      </c>
      <c r="K480" s="7" t="s">
        <v>105</v>
      </c>
      <c r="L480" s="7" t="s">
        <v>353</v>
      </c>
      <c r="M480" s="7" t="s">
        <v>419</v>
      </c>
      <c r="N480" s="7" t="s">
        <v>3922</v>
      </c>
      <c r="O480" s="7"/>
      <c r="P480" s="7" t="s">
        <v>84</v>
      </c>
      <c r="Q480" s="7"/>
      <c r="R480" s="7"/>
      <c r="S480" s="7"/>
      <c r="T480" s="7" t="n">
        <v>0.258</v>
      </c>
      <c r="U480" s="7" t="n">
        <v>2</v>
      </c>
      <c r="V480" s="7" t="s">
        <v>111</v>
      </c>
      <c r="W480" s="7" t="s">
        <v>3923</v>
      </c>
      <c r="X480" s="7" t="s">
        <v>3924</v>
      </c>
      <c r="Y480" s="7" t="s">
        <v>3925</v>
      </c>
      <c r="Z480" s="7"/>
      <c r="AA480" s="7"/>
      <c r="AB480" s="7"/>
      <c r="AC480" s="7"/>
      <c r="AD480" s="7"/>
      <c r="AE480" s="7"/>
      <c r="AF480" s="7"/>
      <c r="AG480" s="7" t="s">
        <v>1848</v>
      </c>
      <c r="AH480" s="7" t="s">
        <v>1956</v>
      </c>
      <c r="AI480" s="7"/>
      <c r="AJ480" s="7"/>
      <c r="AK480" s="7"/>
      <c r="AL480" s="7"/>
      <c r="AM480" s="7" t="s">
        <v>1848</v>
      </c>
      <c r="AN480" s="7" t="s">
        <v>1957</v>
      </c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 t="s">
        <v>427</v>
      </c>
      <c r="BD480" s="7" t="s">
        <v>1861</v>
      </c>
      <c r="BE480" s="7" t="s">
        <v>127</v>
      </c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</row>
    <row r="481" customFormat="false" ht="15" hidden="false" customHeight="false" outlineLevel="0" collapsed="false">
      <c r="A481" s="7" t="s">
        <v>3926</v>
      </c>
      <c r="B481" s="7" t="s">
        <v>3927</v>
      </c>
      <c r="C481" s="7" t="s">
        <v>3928</v>
      </c>
      <c r="D481" s="7" t="s">
        <v>3929</v>
      </c>
      <c r="E481" s="7" t="s">
        <v>101</v>
      </c>
      <c r="F481" s="7" t="s">
        <v>101</v>
      </c>
      <c r="G481" s="7"/>
      <c r="H481" s="7" t="s">
        <v>102</v>
      </c>
      <c r="I481" s="7" t="s">
        <v>158</v>
      </c>
      <c r="J481" s="7" t="s">
        <v>104</v>
      </c>
      <c r="K481" s="7" t="s">
        <v>105</v>
      </c>
      <c r="L481" s="7" t="s">
        <v>353</v>
      </c>
      <c r="M481" s="7" t="s">
        <v>419</v>
      </c>
      <c r="N481" s="7" t="s">
        <v>3930</v>
      </c>
      <c r="O481" s="7"/>
      <c r="P481" s="7" t="s">
        <v>84</v>
      </c>
      <c r="Q481" s="7"/>
      <c r="R481" s="7"/>
      <c r="S481" s="7"/>
      <c r="T481" s="7" t="n">
        <v>0.744</v>
      </c>
      <c r="U481" s="7" t="n">
        <v>2</v>
      </c>
      <c r="V481" s="7" t="s">
        <v>111</v>
      </c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 t="s">
        <v>1848</v>
      </c>
      <c r="AH481" s="7" t="s">
        <v>1956</v>
      </c>
      <c r="AI481" s="7"/>
      <c r="AJ481" s="7"/>
      <c r="AK481" s="7"/>
      <c r="AL481" s="7"/>
      <c r="AM481" s="7" t="s">
        <v>1848</v>
      </c>
      <c r="AN481" s="7" t="s">
        <v>1957</v>
      </c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 t="s">
        <v>427</v>
      </c>
      <c r="BD481" s="7" t="s">
        <v>1861</v>
      </c>
      <c r="BE481" s="7" t="s">
        <v>127</v>
      </c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</row>
    <row r="482" customFormat="false" ht="15" hidden="false" customHeight="false" outlineLevel="0" collapsed="false">
      <c r="A482" s="7" t="s">
        <v>3931</v>
      </c>
      <c r="B482" s="7" t="s">
        <v>3932</v>
      </c>
      <c r="C482" s="7" t="s">
        <v>3933</v>
      </c>
      <c r="D482" s="7" t="s">
        <v>3934</v>
      </c>
      <c r="E482" s="7" t="s">
        <v>101</v>
      </c>
      <c r="F482" s="7" t="s">
        <v>101</v>
      </c>
      <c r="G482" s="7"/>
      <c r="H482" s="7" t="s">
        <v>102</v>
      </c>
      <c r="I482" s="7" t="s">
        <v>158</v>
      </c>
      <c r="J482" s="7" t="s">
        <v>104</v>
      </c>
      <c r="K482" s="7" t="s">
        <v>105</v>
      </c>
      <c r="L482" s="7" t="s">
        <v>353</v>
      </c>
      <c r="M482" s="7" t="s">
        <v>419</v>
      </c>
      <c r="N482" s="7" t="s">
        <v>3935</v>
      </c>
      <c r="O482" s="7"/>
      <c r="P482" s="7" t="s">
        <v>84</v>
      </c>
      <c r="Q482" s="7"/>
      <c r="R482" s="7"/>
      <c r="S482" s="7"/>
      <c r="T482" s="7" t="n">
        <v>0.366</v>
      </c>
      <c r="U482" s="7" t="n">
        <v>2</v>
      </c>
      <c r="V482" s="7" t="s">
        <v>111</v>
      </c>
      <c r="W482" s="7" t="s">
        <v>3936</v>
      </c>
      <c r="X482" s="7" t="s">
        <v>2377</v>
      </c>
      <c r="Y482" s="7" t="s">
        <v>3937</v>
      </c>
      <c r="Z482" s="7"/>
      <c r="AA482" s="7"/>
      <c r="AB482" s="7"/>
      <c r="AC482" s="7"/>
      <c r="AD482" s="7"/>
      <c r="AE482" s="7"/>
      <c r="AF482" s="7"/>
      <c r="AG482" s="7" t="s">
        <v>1848</v>
      </c>
      <c r="AH482" s="7" t="s">
        <v>1956</v>
      </c>
      <c r="AI482" s="7"/>
      <c r="AJ482" s="7"/>
      <c r="AK482" s="7"/>
      <c r="AL482" s="7"/>
      <c r="AM482" s="7" t="s">
        <v>1848</v>
      </c>
      <c r="AN482" s="7" t="s">
        <v>1957</v>
      </c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 t="s">
        <v>427</v>
      </c>
      <c r="BD482" s="7" t="s">
        <v>1861</v>
      </c>
      <c r="BE482" s="7" t="s">
        <v>127</v>
      </c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</row>
    <row r="483" customFormat="false" ht="15" hidden="false" customHeight="false" outlineLevel="0" collapsed="false">
      <c r="A483" s="7" t="s">
        <v>3938</v>
      </c>
      <c r="B483" s="7" t="s">
        <v>3939</v>
      </c>
      <c r="C483" s="7" t="s">
        <v>3940</v>
      </c>
      <c r="D483" s="7" t="s">
        <v>3941</v>
      </c>
      <c r="E483" s="7" t="s">
        <v>101</v>
      </c>
      <c r="F483" s="7" t="s">
        <v>101</v>
      </c>
      <c r="G483" s="7"/>
      <c r="H483" s="7" t="s">
        <v>102</v>
      </c>
      <c r="I483" s="7" t="s">
        <v>158</v>
      </c>
      <c r="J483" s="7" t="s">
        <v>104</v>
      </c>
      <c r="K483" s="7" t="s">
        <v>105</v>
      </c>
      <c r="L483" s="7" t="s">
        <v>106</v>
      </c>
      <c r="M483" s="7" t="s">
        <v>419</v>
      </c>
      <c r="N483" s="7" t="s">
        <v>3942</v>
      </c>
      <c r="O483" s="7" t="s">
        <v>3942</v>
      </c>
      <c r="P483" s="7" t="s">
        <v>84</v>
      </c>
      <c r="Q483" s="7"/>
      <c r="R483" s="7" t="s">
        <v>109</v>
      </c>
      <c r="S483" s="7" t="s">
        <v>110</v>
      </c>
      <c r="T483" s="7" t="n">
        <v>0.478</v>
      </c>
      <c r="U483" s="7" t="n">
        <v>2</v>
      </c>
      <c r="V483" s="7" t="s">
        <v>479</v>
      </c>
      <c r="W483" s="7"/>
      <c r="X483" s="7"/>
      <c r="Y483" s="7"/>
      <c r="Z483" s="7"/>
      <c r="AA483" s="7"/>
      <c r="AB483" s="7"/>
      <c r="AC483" s="7" t="n">
        <v>2</v>
      </c>
      <c r="AD483" s="7" t="s">
        <v>1954</v>
      </c>
      <c r="AE483" s="7"/>
      <c r="AF483" s="7"/>
      <c r="AG483" s="7" t="s">
        <v>1848</v>
      </c>
      <c r="AH483" s="7" t="s">
        <v>1956</v>
      </c>
      <c r="AI483" s="7"/>
      <c r="AJ483" s="7"/>
      <c r="AK483" s="7"/>
      <c r="AL483" s="7"/>
      <c r="AM483" s="7" t="s">
        <v>1848</v>
      </c>
      <c r="AN483" s="7" t="s">
        <v>1957</v>
      </c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 t="s">
        <v>427</v>
      </c>
      <c r="BD483" s="7" t="s">
        <v>1861</v>
      </c>
      <c r="BE483" s="7" t="s">
        <v>127</v>
      </c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</row>
    <row r="484" customFormat="false" ht="15" hidden="false" customHeight="false" outlineLevel="0" collapsed="false">
      <c r="A484" s="7" t="s">
        <v>3943</v>
      </c>
      <c r="B484" s="7" t="s">
        <v>3944</v>
      </c>
      <c r="C484" s="7" t="s">
        <v>3945</v>
      </c>
      <c r="D484" s="7" t="s">
        <v>3946</v>
      </c>
      <c r="E484" s="7" t="s">
        <v>101</v>
      </c>
      <c r="F484" s="7" t="s">
        <v>101</v>
      </c>
      <c r="G484" s="7"/>
      <c r="H484" s="7" t="s">
        <v>102</v>
      </c>
      <c r="I484" s="7" t="s">
        <v>158</v>
      </c>
      <c r="J484" s="7" t="s">
        <v>104</v>
      </c>
      <c r="K484" s="7" t="s">
        <v>105</v>
      </c>
      <c r="L484" s="7" t="s">
        <v>106</v>
      </c>
      <c r="M484" s="7" t="s">
        <v>419</v>
      </c>
      <c r="N484" s="7" t="s">
        <v>3947</v>
      </c>
      <c r="O484" s="7" t="s">
        <v>3947</v>
      </c>
      <c r="P484" s="7" t="s">
        <v>84</v>
      </c>
      <c r="Q484" s="7"/>
      <c r="R484" s="7" t="s">
        <v>109</v>
      </c>
      <c r="S484" s="7" t="s">
        <v>110</v>
      </c>
      <c r="T484" s="7" t="n">
        <v>0.4</v>
      </c>
      <c r="U484" s="7" t="n">
        <v>2</v>
      </c>
      <c r="V484" s="7" t="s">
        <v>111</v>
      </c>
      <c r="W484" s="7"/>
      <c r="X484" s="7"/>
      <c r="Y484" s="7"/>
      <c r="Z484" s="7"/>
      <c r="AA484" s="7"/>
      <c r="AB484" s="7"/>
      <c r="AC484" s="7" t="n">
        <v>2</v>
      </c>
      <c r="AD484" s="7" t="s">
        <v>1954</v>
      </c>
      <c r="AE484" s="7"/>
      <c r="AF484" s="7"/>
      <c r="AG484" s="7" t="s">
        <v>1848</v>
      </c>
      <c r="AH484" s="7" t="s">
        <v>1956</v>
      </c>
      <c r="AI484" s="7"/>
      <c r="AJ484" s="7"/>
      <c r="AK484" s="7"/>
      <c r="AL484" s="7"/>
      <c r="AM484" s="7" t="s">
        <v>1848</v>
      </c>
      <c r="AN484" s="7" t="s">
        <v>1957</v>
      </c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 t="s">
        <v>427</v>
      </c>
      <c r="BD484" s="7" t="s">
        <v>1861</v>
      </c>
      <c r="BE484" s="7" t="s">
        <v>127</v>
      </c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</row>
    <row r="485" customFormat="false" ht="15" hidden="false" customHeight="false" outlineLevel="0" collapsed="false">
      <c r="A485" s="7" t="s">
        <v>3948</v>
      </c>
      <c r="B485" s="7" t="s">
        <v>3949</v>
      </c>
      <c r="C485" s="7" t="s">
        <v>3950</v>
      </c>
      <c r="D485" s="7" t="s">
        <v>3951</v>
      </c>
      <c r="E485" s="7" t="s">
        <v>101</v>
      </c>
      <c r="F485" s="7" t="s">
        <v>101</v>
      </c>
      <c r="G485" s="7"/>
      <c r="H485" s="7" t="s">
        <v>102</v>
      </c>
      <c r="I485" s="7" t="s">
        <v>158</v>
      </c>
      <c r="J485" s="7" t="s">
        <v>104</v>
      </c>
      <c r="K485" s="7" t="s">
        <v>105</v>
      </c>
      <c r="L485" s="7" t="s">
        <v>353</v>
      </c>
      <c r="M485" s="7" t="s">
        <v>419</v>
      </c>
      <c r="N485" s="7" t="s">
        <v>3952</v>
      </c>
      <c r="O485" s="7"/>
      <c r="P485" s="7" t="s">
        <v>84</v>
      </c>
      <c r="Q485" s="7"/>
      <c r="R485" s="7"/>
      <c r="S485" s="7"/>
      <c r="T485" s="7" t="n">
        <v>0.575</v>
      </c>
      <c r="U485" s="7" t="n">
        <v>2</v>
      </c>
      <c r="V485" s="7" t="s">
        <v>111</v>
      </c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 t="s">
        <v>1848</v>
      </c>
      <c r="AH485" s="7" t="s">
        <v>1956</v>
      </c>
      <c r="AI485" s="7"/>
      <c r="AJ485" s="7"/>
      <c r="AK485" s="7"/>
      <c r="AL485" s="7"/>
      <c r="AM485" s="7" t="s">
        <v>1848</v>
      </c>
      <c r="AN485" s="7" t="s">
        <v>1957</v>
      </c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 t="s">
        <v>427</v>
      </c>
      <c r="BD485" s="7" t="s">
        <v>1861</v>
      </c>
      <c r="BE485" s="7" t="s">
        <v>127</v>
      </c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</row>
    <row r="486" customFormat="false" ht="15" hidden="false" customHeight="false" outlineLevel="0" collapsed="false">
      <c r="A486" s="7" t="s">
        <v>3953</v>
      </c>
      <c r="B486" s="7" t="s">
        <v>3954</v>
      </c>
      <c r="C486" s="7" t="s">
        <v>3955</v>
      </c>
      <c r="D486" s="7" t="s">
        <v>3956</v>
      </c>
      <c r="E486" s="7" t="s">
        <v>101</v>
      </c>
      <c r="F486" s="7" t="s">
        <v>101</v>
      </c>
      <c r="G486" s="7"/>
      <c r="H486" s="7" t="s">
        <v>102</v>
      </c>
      <c r="I486" s="7" t="s">
        <v>208</v>
      </c>
      <c r="J486" s="7" t="s">
        <v>104</v>
      </c>
      <c r="K486" s="7" t="s">
        <v>105</v>
      </c>
      <c r="L486" s="7" t="s">
        <v>106</v>
      </c>
      <c r="M486" s="7" t="s">
        <v>419</v>
      </c>
      <c r="N486" s="7" t="s">
        <v>3957</v>
      </c>
      <c r="O486" s="7" t="s">
        <v>3958</v>
      </c>
      <c r="P486" s="7" t="s">
        <v>84</v>
      </c>
      <c r="Q486" s="7"/>
      <c r="R486" s="7" t="s">
        <v>109</v>
      </c>
      <c r="S486" s="7" t="s">
        <v>110</v>
      </c>
      <c r="T486" s="7" t="n">
        <v>0.923</v>
      </c>
      <c r="U486" s="7" t="n">
        <v>2</v>
      </c>
      <c r="V486" s="7" t="s">
        <v>3959</v>
      </c>
      <c r="W486" s="7" t="s">
        <v>3960</v>
      </c>
      <c r="X486" s="7" t="s">
        <v>3961</v>
      </c>
      <c r="Y486" s="7" t="s">
        <v>3957</v>
      </c>
      <c r="Z486" s="7" t="s">
        <v>3962</v>
      </c>
      <c r="AA486" s="7"/>
      <c r="AB486" s="7"/>
      <c r="AC486" s="7" t="n">
        <v>7</v>
      </c>
      <c r="AD486" s="7" t="s">
        <v>2439</v>
      </c>
      <c r="AE486" s="7" t="s">
        <v>1065</v>
      </c>
      <c r="AF486" s="7" t="s">
        <v>3963</v>
      </c>
      <c r="AG486" s="7" t="s">
        <v>1065</v>
      </c>
      <c r="AH486" s="7" t="s">
        <v>3964</v>
      </c>
      <c r="AI486" s="7"/>
      <c r="AJ486" s="7"/>
      <c r="AK486" s="7"/>
      <c r="AL486" s="7"/>
      <c r="AM486" s="7" t="s">
        <v>1065</v>
      </c>
      <c r="AN486" s="7" t="s">
        <v>3965</v>
      </c>
      <c r="AO486" s="7" t="s">
        <v>1065</v>
      </c>
      <c r="AP486" s="7" t="s">
        <v>3956</v>
      </c>
      <c r="AQ486" s="7" t="s">
        <v>1065</v>
      </c>
      <c r="AR486" s="7" t="s">
        <v>819</v>
      </c>
      <c r="AS486" s="7" t="s">
        <v>1065</v>
      </c>
      <c r="AT486" s="7" t="s">
        <v>216</v>
      </c>
      <c r="AU486" s="7"/>
      <c r="AV486" s="7"/>
      <c r="AW486" s="7"/>
      <c r="AX486" s="7"/>
      <c r="AY486" s="7"/>
      <c r="AZ486" s="7"/>
      <c r="BA486" s="7" t="s">
        <v>1065</v>
      </c>
      <c r="BB486" s="7" t="s">
        <v>3966</v>
      </c>
      <c r="BC486" s="7" t="s">
        <v>427</v>
      </c>
      <c r="BD486" s="7" t="s">
        <v>1861</v>
      </c>
      <c r="BE486" s="7" t="s">
        <v>127</v>
      </c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</row>
    <row r="487" customFormat="false" ht="15" hidden="false" customHeight="false" outlineLevel="0" collapsed="false">
      <c r="A487" s="7" t="s">
        <v>3967</v>
      </c>
      <c r="B487" s="7" t="s">
        <v>3968</v>
      </c>
      <c r="C487" s="7" t="s">
        <v>3969</v>
      </c>
      <c r="D487" s="7" t="s">
        <v>3970</v>
      </c>
      <c r="E487" s="7" t="s">
        <v>101</v>
      </c>
      <c r="F487" s="7" t="s">
        <v>101</v>
      </c>
      <c r="G487" s="7"/>
      <c r="H487" s="7" t="s">
        <v>102</v>
      </c>
      <c r="I487" s="7" t="s">
        <v>1104</v>
      </c>
      <c r="J487" s="7" t="s">
        <v>104</v>
      </c>
      <c r="K487" s="7" t="s">
        <v>105</v>
      </c>
      <c r="L487" s="7" t="s">
        <v>1106</v>
      </c>
      <c r="M487" s="7" t="s">
        <v>419</v>
      </c>
      <c r="N487" s="7" t="s">
        <v>3971</v>
      </c>
      <c r="O487" s="7" t="s">
        <v>3971</v>
      </c>
      <c r="P487" s="7" t="s">
        <v>84</v>
      </c>
      <c r="Q487" s="7"/>
      <c r="R487" s="7" t="s">
        <v>109</v>
      </c>
      <c r="S487" s="7" t="s">
        <v>110</v>
      </c>
      <c r="T487" s="7" t="n">
        <v>0.691</v>
      </c>
      <c r="U487" s="7" t="n">
        <v>2</v>
      </c>
      <c r="V487" s="7" t="s">
        <v>3972</v>
      </c>
      <c r="W487" s="7" t="s">
        <v>3973</v>
      </c>
      <c r="X487" s="7" t="s">
        <v>3974</v>
      </c>
      <c r="Y487" s="7" t="s">
        <v>3971</v>
      </c>
      <c r="Z487" s="7" t="s">
        <v>3975</v>
      </c>
      <c r="AA487" s="7"/>
      <c r="AB487" s="7"/>
      <c r="AC487" s="7" t="n">
        <v>7</v>
      </c>
      <c r="AD487" s="7" t="s">
        <v>2439</v>
      </c>
      <c r="AE487" s="7" t="s">
        <v>1065</v>
      </c>
      <c r="AF487" s="7" t="s">
        <v>3976</v>
      </c>
      <c r="AG487" s="7" t="s">
        <v>1065</v>
      </c>
      <c r="AH487" s="7" t="s">
        <v>3977</v>
      </c>
      <c r="AI487" s="7"/>
      <c r="AJ487" s="7"/>
      <c r="AK487" s="7"/>
      <c r="AL487" s="7"/>
      <c r="AM487" s="7" t="s">
        <v>1065</v>
      </c>
      <c r="AN487" s="7" t="s">
        <v>3978</v>
      </c>
      <c r="AO487" s="7" t="s">
        <v>1065</v>
      </c>
      <c r="AP487" s="7" t="s">
        <v>3970</v>
      </c>
      <c r="AQ487" s="7" t="s">
        <v>1065</v>
      </c>
      <c r="AR487" s="7" t="s">
        <v>3979</v>
      </c>
      <c r="AS487" s="7" t="s">
        <v>1065</v>
      </c>
      <c r="AT487" s="7" t="s">
        <v>1856</v>
      </c>
      <c r="AU487" s="7"/>
      <c r="AV487" s="7"/>
      <c r="AW487" s="7"/>
      <c r="AX487" s="7"/>
      <c r="AY487" s="7"/>
      <c r="AZ487" s="7"/>
      <c r="BA487" s="7" t="s">
        <v>1065</v>
      </c>
      <c r="BB487" s="7" t="s">
        <v>3980</v>
      </c>
      <c r="BC487" s="7" t="s">
        <v>427</v>
      </c>
      <c r="BD487" s="7" t="s">
        <v>1861</v>
      </c>
      <c r="BE487" s="7" t="s">
        <v>127</v>
      </c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</row>
    <row r="488" customFormat="false" ht="15" hidden="false" customHeight="false" outlineLevel="0" collapsed="false">
      <c r="A488" s="7" t="s">
        <v>3981</v>
      </c>
      <c r="B488" s="7" t="s">
        <v>3982</v>
      </c>
      <c r="C488" s="7" t="s">
        <v>3983</v>
      </c>
      <c r="D488" s="7" t="s">
        <v>2037</v>
      </c>
      <c r="E488" s="7" t="s">
        <v>101</v>
      </c>
      <c r="F488" s="7" t="s">
        <v>101</v>
      </c>
      <c r="G488" s="7"/>
      <c r="H488" s="7" t="s">
        <v>102</v>
      </c>
      <c r="I488" s="7" t="s">
        <v>158</v>
      </c>
      <c r="J488" s="7" t="s">
        <v>104</v>
      </c>
      <c r="K488" s="7" t="s">
        <v>105</v>
      </c>
      <c r="L488" s="7" t="s">
        <v>106</v>
      </c>
      <c r="M488" s="7"/>
      <c r="N488" s="7" t="s">
        <v>3984</v>
      </c>
      <c r="O488" s="7" t="s">
        <v>3984</v>
      </c>
      <c r="P488" s="7" t="s">
        <v>84</v>
      </c>
      <c r="Q488" s="7"/>
      <c r="R488" s="7" t="s">
        <v>109</v>
      </c>
      <c r="S488" s="7" t="s">
        <v>110</v>
      </c>
      <c r="T488" s="7" t="n">
        <v>0.699</v>
      </c>
      <c r="U488" s="7" t="n">
        <v>2</v>
      </c>
      <c r="V488" s="7" t="s">
        <v>479</v>
      </c>
      <c r="W488" s="7"/>
      <c r="X488" s="7"/>
      <c r="Y488" s="7" t="s">
        <v>3984</v>
      </c>
      <c r="Z488" s="7"/>
      <c r="AA488" s="7"/>
      <c r="AB488" s="7"/>
      <c r="AC488" s="7" t="n">
        <v>5</v>
      </c>
      <c r="AD488" s="7" t="s">
        <v>1897</v>
      </c>
      <c r="AE488" s="7" t="s">
        <v>744</v>
      </c>
      <c r="AF488" s="7" t="s">
        <v>3983</v>
      </c>
      <c r="AG488" s="7" t="s">
        <v>744</v>
      </c>
      <c r="AH488" s="7" t="s">
        <v>1113</v>
      </c>
      <c r="AI488" s="7"/>
      <c r="AJ488" s="7"/>
      <c r="AK488" s="7"/>
      <c r="AL488" s="7"/>
      <c r="AM488" s="7" t="s">
        <v>744</v>
      </c>
      <c r="AN488" s="7" t="s">
        <v>3985</v>
      </c>
      <c r="AO488" s="7" t="s">
        <v>744</v>
      </c>
      <c r="AP488" s="7" t="s">
        <v>3986</v>
      </c>
      <c r="AQ488" s="7"/>
      <c r="AR488" s="7"/>
      <c r="AS488" s="7"/>
      <c r="AT488" s="7"/>
      <c r="AU488" s="7"/>
      <c r="AV488" s="7"/>
      <c r="AW488" s="7" t="s">
        <v>744</v>
      </c>
      <c r="AX488" s="7" t="s">
        <v>3984</v>
      </c>
      <c r="AY488" s="7"/>
      <c r="AZ488" s="7"/>
      <c r="BA488" s="7"/>
      <c r="BB488" s="7"/>
      <c r="BC488" s="7"/>
      <c r="BD488" s="7" t="s">
        <v>126</v>
      </c>
      <c r="BE488" s="7" t="s">
        <v>127</v>
      </c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</row>
    <row r="489" customFormat="false" ht="15" hidden="false" customHeight="false" outlineLevel="0" collapsed="false">
      <c r="A489" s="7" t="s">
        <v>3987</v>
      </c>
      <c r="B489" s="7" t="s">
        <v>3988</v>
      </c>
      <c r="C489" s="7" t="s">
        <v>3989</v>
      </c>
      <c r="D489" s="7"/>
      <c r="E489" s="7" t="s">
        <v>101</v>
      </c>
      <c r="F489" s="7" t="s">
        <v>101</v>
      </c>
      <c r="G489" s="7"/>
      <c r="H489" s="7" t="s">
        <v>102</v>
      </c>
      <c r="I489" s="7" t="s">
        <v>158</v>
      </c>
      <c r="J489" s="7" t="s">
        <v>104</v>
      </c>
      <c r="K489" s="7" t="s">
        <v>105</v>
      </c>
      <c r="L489" s="7" t="s">
        <v>106</v>
      </c>
      <c r="M489" s="7"/>
      <c r="N489" s="7" t="s">
        <v>3990</v>
      </c>
      <c r="O489" s="7" t="s">
        <v>3990</v>
      </c>
      <c r="P489" s="7" t="s">
        <v>84</v>
      </c>
      <c r="Q489" s="7"/>
      <c r="R489" s="7" t="s">
        <v>109</v>
      </c>
      <c r="S489" s="7" t="s">
        <v>110</v>
      </c>
      <c r="T489" s="7" t="n">
        <v>0.715</v>
      </c>
      <c r="U489" s="7" t="n">
        <v>2</v>
      </c>
      <c r="V489" s="7" t="s">
        <v>479</v>
      </c>
      <c r="W489" s="7"/>
      <c r="X489" s="7"/>
      <c r="Y489" s="7" t="s">
        <v>3990</v>
      </c>
      <c r="Z489" s="7"/>
      <c r="AA489" s="7"/>
      <c r="AB489" s="7"/>
      <c r="AC489" s="7" t="n">
        <v>0</v>
      </c>
      <c r="AD489" s="7" t="s">
        <v>388</v>
      </c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 t="s">
        <v>3991</v>
      </c>
      <c r="BE489" s="7" t="s">
        <v>127</v>
      </c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</row>
    <row r="490" customFormat="false" ht="15" hidden="false" customHeight="false" outlineLevel="0" collapsed="false">
      <c r="A490" s="7" t="s">
        <v>3992</v>
      </c>
      <c r="B490" s="7" t="s">
        <v>3993</v>
      </c>
      <c r="C490" s="7" t="s">
        <v>3994</v>
      </c>
      <c r="D490" s="7" t="s">
        <v>2037</v>
      </c>
      <c r="E490" s="7" t="s">
        <v>101</v>
      </c>
      <c r="F490" s="7" t="s">
        <v>101</v>
      </c>
      <c r="G490" s="7"/>
      <c r="H490" s="7" t="s">
        <v>102</v>
      </c>
      <c r="I490" s="7" t="s">
        <v>374</v>
      </c>
      <c r="J490" s="7" t="s">
        <v>104</v>
      </c>
      <c r="K490" s="7" t="s">
        <v>105</v>
      </c>
      <c r="L490" s="7" t="s">
        <v>106</v>
      </c>
      <c r="M490" s="7"/>
      <c r="N490" s="7" t="s">
        <v>3995</v>
      </c>
      <c r="O490" s="7" t="s">
        <v>3995</v>
      </c>
      <c r="P490" s="7" t="s">
        <v>84</v>
      </c>
      <c r="Q490" s="7"/>
      <c r="R490" s="7" t="s">
        <v>109</v>
      </c>
      <c r="S490" s="7" t="s">
        <v>110</v>
      </c>
      <c r="T490" s="7" t="n">
        <v>0.564</v>
      </c>
      <c r="U490" s="7" t="n">
        <v>2</v>
      </c>
      <c r="V490" s="7" t="s">
        <v>479</v>
      </c>
      <c r="W490" s="7"/>
      <c r="X490" s="7"/>
      <c r="Y490" s="7" t="s">
        <v>3995</v>
      </c>
      <c r="Z490" s="7"/>
      <c r="AA490" s="7"/>
      <c r="AB490" s="7"/>
      <c r="AC490" s="7" t="n">
        <v>0</v>
      </c>
      <c r="AD490" s="7" t="s">
        <v>388</v>
      </c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 t="s">
        <v>563</v>
      </c>
      <c r="BE490" s="7" t="s">
        <v>127</v>
      </c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</row>
    <row r="491" customFormat="false" ht="15" hidden="false" customHeight="false" outlineLevel="0" collapsed="false">
      <c r="A491" s="7" t="s">
        <v>3996</v>
      </c>
      <c r="B491" s="7" t="s">
        <v>3997</v>
      </c>
      <c r="C491" s="7" t="s">
        <v>3998</v>
      </c>
      <c r="D491" s="7" t="s">
        <v>2037</v>
      </c>
      <c r="E491" s="7" t="s">
        <v>101</v>
      </c>
      <c r="F491" s="7" t="s">
        <v>101</v>
      </c>
      <c r="G491" s="7"/>
      <c r="H491" s="7" t="s">
        <v>102</v>
      </c>
      <c r="I491" s="7" t="s">
        <v>132</v>
      </c>
      <c r="J491" s="7" t="s">
        <v>104</v>
      </c>
      <c r="K491" s="7" t="s">
        <v>105</v>
      </c>
      <c r="L491" s="7" t="s">
        <v>106</v>
      </c>
      <c r="M491" s="7"/>
      <c r="N491" s="7" t="s">
        <v>3999</v>
      </c>
      <c r="O491" s="7" t="s">
        <v>3999</v>
      </c>
      <c r="P491" s="7" t="s">
        <v>84</v>
      </c>
      <c r="Q491" s="7"/>
      <c r="R491" s="7" t="s">
        <v>109</v>
      </c>
      <c r="S491" s="7" t="s">
        <v>110</v>
      </c>
      <c r="T491" s="7" t="n">
        <v>0.844</v>
      </c>
      <c r="U491" s="7" t="n">
        <v>2</v>
      </c>
      <c r="V491" s="7" t="s">
        <v>111</v>
      </c>
      <c r="W491" s="7"/>
      <c r="X491" s="7"/>
      <c r="Y491" s="7" t="s">
        <v>3999</v>
      </c>
      <c r="Z491" s="7"/>
      <c r="AA491" s="7"/>
      <c r="AB491" s="7"/>
      <c r="AC491" s="7" t="n">
        <v>0</v>
      </c>
      <c r="AD491" s="7" t="s">
        <v>388</v>
      </c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 t="s">
        <v>126</v>
      </c>
      <c r="BE491" s="7" t="s">
        <v>127</v>
      </c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</row>
    <row r="492" customFormat="false" ht="15" hidden="false" customHeight="false" outlineLevel="0" collapsed="false">
      <c r="A492" s="7" t="s">
        <v>4000</v>
      </c>
      <c r="B492" s="7" t="s">
        <v>4001</v>
      </c>
      <c r="C492" s="7" t="s">
        <v>4002</v>
      </c>
      <c r="D492" s="7"/>
      <c r="E492" s="7" t="s">
        <v>101</v>
      </c>
      <c r="F492" s="7" t="s">
        <v>507</v>
      </c>
      <c r="G492" s="7"/>
      <c r="H492" s="7" t="s">
        <v>102</v>
      </c>
      <c r="I492" s="7" t="s">
        <v>132</v>
      </c>
      <c r="J492" s="7" t="s">
        <v>104</v>
      </c>
      <c r="K492" s="7" t="s">
        <v>105</v>
      </c>
      <c r="L492" s="7" t="s">
        <v>106</v>
      </c>
      <c r="M492" s="7"/>
      <c r="N492" s="7" t="s">
        <v>4003</v>
      </c>
      <c r="O492" s="7" t="s">
        <v>4003</v>
      </c>
      <c r="P492" s="7" t="s">
        <v>84</v>
      </c>
      <c r="Q492" s="7"/>
      <c r="R492" s="7" t="s">
        <v>109</v>
      </c>
      <c r="S492" s="7" t="s">
        <v>110</v>
      </c>
      <c r="T492" s="7" t="n">
        <v>0.672</v>
      </c>
      <c r="U492" s="7" t="n">
        <v>2</v>
      </c>
      <c r="V492" s="7" t="s">
        <v>552</v>
      </c>
      <c r="W492" s="7"/>
      <c r="X492" s="7"/>
      <c r="Y492" s="7" t="s">
        <v>4003</v>
      </c>
      <c r="Z492" s="7"/>
      <c r="AA492" s="7"/>
      <c r="AB492" s="7"/>
      <c r="AC492" s="7" t="n">
        <v>0</v>
      </c>
      <c r="AD492" s="7" t="s">
        <v>388</v>
      </c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 t="s">
        <v>511</v>
      </c>
      <c r="BE492" s="7" t="s">
        <v>127</v>
      </c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</row>
    <row r="493" customFormat="false" ht="15" hidden="false" customHeight="false" outlineLevel="0" collapsed="false">
      <c r="A493" s="7" t="s">
        <v>4004</v>
      </c>
      <c r="B493" s="7" t="s">
        <v>4005</v>
      </c>
      <c r="C493" s="7" t="s">
        <v>4006</v>
      </c>
      <c r="D493" s="7" t="s">
        <v>3247</v>
      </c>
      <c r="E493" s="7" t="s">
        <v>101</v>
      </c>
      <c r="F493" s="7" t="s">
        <v>101</v>
      </c>
      <c r="G493" s="7"/>
      <c r="H493" s="7" t="s">
        <v>102</v>
      </c>
      <c r="I493" s="7" t="s">
        <v>132</v>
      </c>
      <c r="J493" s="7" t="s">
        <v>104</v>
      </c>
      <c r="K493" s="7" t="s">
        <v>105</v>
      </c>
      <c r="L493" s="7" t="s">
        <v>106</v>
      </c>
      <c r="M493" s="7"/>
      <c r="N493" s="7" t="s">
        <v>3249</v>
      </c>
      <c r="O493" s="7" t="s">
        <v>3249</v>
      </c>
      <c r="P493" s="7" t="s">
        <v>84</v>
      </c>
      <c r="Q493" s="7"/>
      <c r="R493" s="7" t="s">
        <v>109</v>
      </c>
      <c r="S493" s="7" t="s">
        <v>110</v>
      </c>
      <c r="T493" s="7" t="n">
        <v>0.717</v>
      </c>
      <c r="U493" s="7" t="n">
        <v>2</v>
      </c>
      <c r="V493" s="7" t="s">
        <v>479</v>
      </c>
      <c r="W493" s="7"/>
      <c r="X493" s="7"/>
      <c r="Y493" s="7"/>
      <c r="Z493" s="7"/>
      <c r="AA493" s="7"/>
      <c r="AB493" s="7"/>
      <c r="AC493" s="7" t="n">
        <v>0</v>
      </c>
      <c r="AD493" s="7" t="s">
        <v>388</v>
      </c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 t="s">
        <v>1861</v>
      </c>
      <c r="BE493" s="7" t="s">
        <v>127</v>
      </c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</row>
    <row r="494" customFormat="false" ht="15" hidden="false" customHeight="false" outlineLevel="0" collapsed="false">
      <c r="A494" s="7" t="s">
        <v>4007</v>
      </c>
      <c r="B494" s="7" t="s">
        <v>4008</v>
      </c>
      <c r="C494" s="7" t="s">
        <v>4009</v>
      </c>
      <c r="D494" s="7" t="s">
        <v>4010</v>
      </c>
      <c r="E494" s="7" t="s">
        <v>101</v>
      </c>
      <c r="F494" s="7" t="s">
        <v>101</v>
      </c>
      <c r="G494" s="7"/>
      <c r="H494" s="7" t="s">
        <v>102</v>
      </c>
      <c r="I494" s="7" t="s">
        <v>103</v>
      </c>
      <c r="J494" s="7" t="s">
        <v>104</v>
      </c>
      <c r="K494" s="7" t="s">
        <v>105</v>
      </c>
      <c r="L494" s="7" t="s">
        <v>106</v>
      </c>
      <c r="M494" s="7"/>
      <c r="N494" s="7" t="s">
        <v>4011</v>
      </c>
      <c r="O494" s="7" t="s">
        <v>4011</v>
      </c>
      <c r="P494" s="7" t="s">
        <v>84</v>
      </c>
      <c r="Q494" s="7"/>
      <c r="R494" s="7" t="s">
        <v>109</v>
      </c>
      <c r="S494" s="7" t="s">
        <v>110</v>
      </c>
      <c r="T494" s="7" t="n">
        <v>0.217</v>
      </c>
      <c r="U494" s="7" t="n">
        <v>2</v>
      </c>
      <c r="V494" s="7" t="s">
        <v>2435</v>
      </c>
      <c r="W494" s="7" t="s">
        <v>4012</v>
      </c>
      <c r="X494" s="7" t="s">
        <v>4013</v>
      </c>
      <c r="Y494" s="7" t="s">
        <v>4011</v>
      </c>
      <c r="Z494" s="7" t="s">
        <v>4014</v>
      </c>
      <c r="AA494" s="7"/>
      <c r="AB494" s="7"/>
      <c r="AC494" s="7" t="n">
        <v>7</v>
      </c>
      <c r="AD494" s="7" t="s">
        <v>2439</v>
      </c>
      <c r="AE494" s="7" t="s">
        <v>1065</v>
      </c>
      <c r="AF494" s="7" t="s">
        <v>4015</v>
      </c>
      <c r="AG494" s="7" t="s">
        <v>1065</v>
      </c>
      <c r="AH494" s="7" t="s">
        <v>4016</v>
      </c>
      <c r="AI494" s="7"/>
      <c r="AJ494" s="7"/>
      <c r="AK494" s="7"/>
      <c r="AL494" s="7"/>
      <c r="AM494" s="7" t="s">
        <v>1065</v>
      </c>
      <c r="AN494" s="7" t="s">
        <v>4017</v>
      </c>
      <c r="AO494" s="7" t="s">
        <v>1065</v>
      </c>
      <c r="AP494" s="7" t="s">
        <v>4010</v>
      </c>
      <c r="AQ494" s="7" t="s">
        <v>1065</v>
      </c>
      <c r="AR494" s="7" t="s">
        <v>4018</v>
      </c>
      <c r="AS494" s="7" t="s">
        <v>1065</v>
      </c>
      <c r="AT494" s="7" t="s">
        <v>216</v>
      </c>
      <c r="AU494" s="7"/>
      <c r="AV494" s="7"/>
      <c r="AW494" s="7"/>
      <c r="AX494" s="7"/>
      <c r="AY494" s="7"/>
      <c r="AZ494" s="7"/>
      <c r="BA494" s="7" t="s">
        <v>1065</v>
      </c>
      <c r="BB494" s="7" t="s">
        <v>4019</v>
      </c>
      <c r="BC494" s="7"/>
      <c r="BD494" s="7" t="s">
        <v>1861</v>
      </c>
      <c r="BE494" s="7" t="s">
        <v>127</v>
      </c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</row>
    <row r="495" customFormat="false" ht="15" hidden="false" customHeight="false" outlineLevel="0" collapsed="false">
      <c r="A495" s="7" t="s">
        <v>4020</v>
      </c>
      <c r="B495" s="7" t="s">
        <v>4021</v>
      </c>
      <c r="C495" s="7" t="s">
        <v>4022</v>
      </c>
      <c r="D495" s="7"/>
      <c r="E495" s="7" t="s">
        <v>101</v>
      </c>
      <c r="F495" s="7" t="s">
        <v>101</v>
      </c>
      <c r="G495" s="7"/>
      <c r="H495" s="7" t="s">
        <v>102</v>
      </c>
      <c r="I495" s="7" t="s">
        <v>132</v>
      </c>
      <c r="J495" s="7" t="s">
        <v>104</v>
      </c>
      <c r="K495" s="7" t="s">
        <v>105</v>
      </c>
      <c r="L495" s="7" t="s">
        <v>106</v>
      </c>
      <c r="M495" s="7"/>
      <c r="N495" s="7" t="s">
        <v>4023</v>
      </c>
      <c r="O495" s="7"/>
      <c r="P495" s="7" t="s">
        <v>84</v>
      </c>
      <c r="Q495" s="7"/>
      <c r="R495" s="7" t="s">
        <v>135</v>
      </c>
      <c r="S495" s="7" t="s">
        <v>136</v>
      </c>
      <c r="T495" s="7" t="n">
        <v>0.505</v>
      </c>
      <c r="U495" s="7" t="n">
        <v>2</v>
      </c>
      <c r="V495" s="7" t="s">
        <v>111</v>
      </c>
      <c r="W495" s="7"/>
      <c r="X495" s="7"/>
      <c r="Y495" s="7" t="s">
        <v>4023</v>
      </c>
      <c r="Z495" s="7"/>
      <c r="AA495" s="7"/>
      <c r="AB495" s="7"/>
      <c r="AC495" s="7" t="n">
        <v>1</v>
      </c>
      <c r="AD495" s="7" t="s">
        <v>3333</v>
      </c>
      <c r="AE495" s="7"/>
      <c r="AF495" s="7"/>
      <c r="AG495" s="7"/>
      <c r="AH495" s="7"/>
      <c r="AI495" s="7"/>
      <c r="AJ495" s="7"/>
      <c r="AK495" s="7" t="s">
        <v>4024</v>
      </c>
      <c r="AL495" s="7" t="s">
        <v>338</v>
      </c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 t="s">
        <v>126</v>
      </c>
      <c r="BE495" s="7" t="s">
        <v>127</v>
      </c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</row>
    <row r="496" customFormat="false" ht="15" hidden="false" customHeight="false" outlineLevel="0" collapsed="false">
      <c r="A496" s="7" t="s">
        <v>4025</v>
      </c>
      <c r="B496" s="7" t="s">
        <v>4026</v>
      </c>
      <c r="C496" s="7" t="s">
        <v>4027</v>
      </c>
      <c r="D496" s="7" t="s">
        <v>4028</v>
      </c>
      <c r="E496" s="7" t="s">
        <v>819</v>
      </c>
      <c r="F496" s="7" t="s">
        <v>819</v>
      </c>
      <c r="G496" s="7"/>
      <c r="H496" s="7" t="s">
        <v>207</v>
      </c>
      <c r="I496" s="7" t="s">
        <v>103</v>
      </c>
      <c r="J496" s="7" t="s">
        <v>104</v>
      </c>
      <c r="K496" s="7" t="s">
        <v>105</v>
      </c>
      <c r="L496" s="7" t="s">
        <v>106</v>
      </c>
      <c r="M496" s="7"/>
      <c r="N496" s="7" t="s">
        <v>4029</v>
      </c>
      <c r="O496" s="7" t="s">
        <v>4029</v>
      </c>
      <c r="P496" s="7" t="s">
        <v>84</v>
      </c>
      <c r="Q496" s="7"/>
      <c r="R496" s="7" t="s">
        <v>109</v>
      </c>
      <c r="S496" s="7" t="s">
        <v>110</v>
      </c>
      <c r="T496" s="7" t="n">
        <v>0.766</v>
      </c>
      <c r="U496" s="7" t="n">
        <v>2</v>
      </c>
      <c r="V496" s="7" t="s">
        <v>479</v>
      </c>
      <c r="W496" s="7"/>
      <c r="X496" s="7"/>
      <c r="Y496" s="7" t="s">
        <v>4029</v>
      </c>
      <c r="Z496" s="7"/>
      <c r="AA496" s="7"/>
      <c r="AB496" s="7"/>
      <c r="AC496" s="7" t="n">
        <v>0</v>
      </c>
      <c r="AD496" s="7" t="s">
        <v>388</v>
      </c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 t="s">
        <v>1861</v>
      </c>
      <c r="BE496" s="7" t="s">
        <v>127</v>
      </c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</row>
    <row r="497" customFormat="false" ht="15" hidden="false" customHeight="false" outlineLevel="0" collapsed="false">
      <c r="A497" s="7" t="s">
        <v>4030</v>
      </c>
      <c r="B497" s="7" t="s">
        <v>4031</v>
      </c>
      <c r="C497" s="7" t="s">
        <v>4032</v>
      </c>
      <c r="D497" s="7" t="s">
        <v>4033</v>
      </c>
      <c r="E497" s="7" t="s">
        <v>819</v>
      </c>
      <c r="F497" s="7" t="s">
        <v>819</v>
      </c>
      <c r="G497" s="7"/>
      <c r="H497" s="7" t="s">
        <v>207</v>
      </c>
      <c r="I497" s="7" t="s">
        <v>1104</v>
      </c>
      <c r="J497" s="7" t="s">
        <v>104</v>
      </c>
      <c r="K497" s="7" t="s">
        <v>105</v>
      </c>
      <c r="L497" s="7" t="s">
        <v>1106</v>
      </c>
      <c r="M497" s="7"/>
      <c r="N497" s="7" t="s">
        <v>4034</v>
      </c>
      <c r="O497" s="7" t="s">
        <v>4034</v>
      </c>
      <c r="P497" s="7" t="s">
        <v>84</v>
      </c>
      <c r="Q497" s="7"/>
      <c r="R497" s="7" t="s">
        <v>109</v>
      </c>
      <c r="S497" s="7" t="s">
        <v>110</v>
      </c>
      <c r="T497" s="7" t="n">
        <v>0.868</v>
      </c>
      <c r="U497" s="7" t="n">
        <v>2</v>
      </c>
      <c r="V497" s="7" t="s">
        <v>479</v>
      </c>
      <c r="W497" s="7"/>
      <c r="X497" s="7"/>
      <c r="Y497" s="7" t="s">
        <v>4034</v>
      </c>
      <c r="Z497" s="7"/>
      <c r="AA497" s="7"/>
      <c r="AB497" s="7"/>
      <c r="AC497" s="7" t="n">
        <v>0</v>
      </c>
      <c r="AD497" s="7" t="s">
        <v>388</v>
      </c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 t="s">
        <v>1861</v>
      </c>
      <c r="BE497" s="7" t="s">
        <v>127</v>
      </c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</row>
    <row r="498" customFormat="false" ht="15" hidden="false" customHeight="false" outlineLevel="0" collapsed="false">
      <c r="A498" s="7" t="s">
        <v>4035</v>
      </c>
      <c r="B498" s="7" t="s">
        <v>4036</v>
      </c>
      <c r="C498" s="7" t="s">
        <v>4037</v>
      </c>
      <c r="D498" s="7" t="s">
        <v>4038</v>
      </c>
      <c r="E498" s="7" t="s">
        <v>2296</v>
      </c>
      <c r="F498" s="7" t="s">
        <v>2296</v>
      </c>
      <c r="G498" s="7"/>
      <c r="H498" s="7" t="s">
        <v>207</v>
      </c>
      <c r="I498" s="7" t="s">
        <v>132</v>
      </c>
      <c r="J498" s="7" t="s">
        <v>104</v>
      </c>
      <c r="K498" s="7" t="s">
        <v>105</v>
      </c>
      <c r="L498" s="7" t="s">
        <v>106</v>
      </c>
      <c r="M498" s="7"/>
      <c r="N498" s="7" t="s">
        <v>2297</v>
      </c>
      <c r="O498" s="7" t="s">
        <v>2297</v>
      </c>
      <c r="P498" s="7" t="s">
        <v>84</v>
      </c>
      <c r="Q498" s="7"/>
      <c r="R498" s="7" t="s">
        <v>109</v>
      </c>
      <c r="S498" s="7" t="s">
        <v>110</v>
      </c>
      <c r="T498" s="7" t="n">
        <v>0.597</v>
      </c>
      <c r="U498" s="7" t="n">
        <v>2</v>
      </c>
      <c r="V498" s="7" t="s">
        <v>111</v>
      </c>
      <c r="W498" s="7"/>
      <c r="X498" s="7"/>
      <c r="Y498" s="7" t="s">
        <v>2297</v>
      </c>
      <c r="Z498" s="7"/>
      <c r="AA498" s="7"/>
      <c r="AB498" s="7"/>
      <c r="AC498" s="7" t="n">
        <v>0</v>
      </c>
      <c r="AD498" s="7" t="s">
        <v>388</v>
      </c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 t="s">
        <v>1861</v>
      </c>
      <c r="BE498" s="7" t="s">
        <v>127</v>
      </c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</row>
    <row r="499" customFormat="false" ht="15" hidden="false" customHeight="false" outlineLevel="0" collapsed="false">
      <c r="A499" s="7" t="s">
        <v>4039</v>
      </c>
      <c r="B499" s="7" t="s">
        <v>4040</v>
      </c>
      <c r="C499" s="7" t="s">
        <v>4041</v>
      </c>
      <c r="D499" s="7" t="s">
        <v>4042</v>
      </c>
      <c r="E499" s="7" t="s">
        <v>819</v>
      </c>
      <c r="F499" s="7" t="s">
        <v>819</v>
      </c>
      <c r="G499" s="7"/>
      <c r="H499" s="7" t="s">
        <v>207</v>
      </c>
      <c r="I499" s="7" t="s">
        <v>1104</v>
      </c>
      <c r="J499" s="7" t="s">
        <v>104</v>
      </c>
      <c r="K499" s="7" t="s">
        <v>105</v>
      </c>
      <c r="L499" s="7" t="s">
        <v>1106</v>
      </c>
      <c r="M499" s="7"/>
      <c r="N499" s="7" t="s">
        <v>4043</v>
      </c>
      <c r="O499" s="7" t="s">
        <v>4043</v>
      </c>
      <c r="P499" s="7" t="s">
        <v>84</v>
      </c>
      <c r="Q499" s="7"/>
      <c r="R499" s="7" t="s">
        <v>109</v>
      </c>
      <c r="S499" s="7" t="s">
        <v>110</v>
      </c>
      <c r="T499" s="7" t="n">
        <v>0.783</v>
      </c>
      <c r="U499" s="7" t="n">
        <v>2</v>
      </c>
      <c r="V499" s="7" t="s">
        <v>111</v>
      </c>
      <c r="W499" s="7" t="s">
        <v>4044</v>
      </c>
      <c r="X499" s="7" t="s">
        <v>4045</v>
      </c>
      <c r="Y499" s="7" t="s">
        <v>4046</v>
      </c>
      <c r="Z499" s="7"/>
      <c r="AA499" s="7"/>
      <c r="AB499" s="7"/>
      <c r="AC499" s="7" t="n">
        <v>0</v>
      </c>
      <c r="AD499" s="7" t="s">
        <v>388</v>
      </c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 t="s">
        <v>1861</v>
      </c>
      <c r="BE499" s="7" t="s">
        <v>127</v>
      </c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</row>
    <row r="500" customFormat="false" ht="15" hidden="false" customHeight="false" outlineLevel="0" collapsed="false">
      <c r="A500" s="7" t="s">
        <v>4047</v>
      </c>
      <c r="B500" s="7" t="s">
        <v>4048</v>
      </c>
      <c r="C500" s="7" t="s">
        <v>4049</v>
      </c>
      <c r="D500" s="7" t="s">
        <v>4050</v>
      </c>
      <c r="E500" s="7" t="s">
        <v>819</v>
      </c>
      <c r="F500" s="7" t="s">
        <v>819</v>
      </c>
      <c r="G500" s="7"/>
      <c r="H500" s="7" t="s">
        <v>207</v>
      </c>
      <c r="I500" s="7" t="s">
        <v>103</v>
      </c>
      <c r="J500" s="7" t="s">
        <v>104</v>
      </c>
      <c r="K500" s="7" t="s">
        <v>105</v>
      </c>
      <c r="L500" s="7" t="s">
        <v>1106</v>
      </c>
      <c r="M500" s="7"/>
      <c r="N500" s="7" t="s">
        <v>4051</v>
      </c>
      <c r="O500" s="7" t="s">
        <v>4051</v>
      </c>
      <c r="P500" s="7" t="s">
        <v>84</v>
      </c>
      <c r="Q500" s="7"/>
      <c r="R500" s="7" t="s">
        <v>109</v>
      </c>
      <c r="S500" s="7" t="s">
        <v>110</v>
      </c>
      <c r="T500" s="7" t="n">
        <v>0.687</v>
      </c>
      <c r="U500" s="7" t="n">
        <v>2</v>
      </c>
      <c r="V500" s="7" t="s">
        <v>111</v>
      </c>
      <c r="W500" s="7"/>
      <c r="X500" s="7"/>
      <c r="Y500" s="7" t="s">
        <v>4051</v>
      </c>
      <c r="Z500" s="7"/>
      <c r="AA500" s="7"/>
      <c r="AB500" s="7"/>
      <c r="AC500" s="7" t="n">
        <v>0</v>
      </c>
      <c r="AD500" s="7" t="s">
        <v>388</v>
      </c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 t="s">
        <v>1861</v>
      </c>
      <c r="BE500" s="7" t="s">
        <v>127</v>
      </c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</row>
    <row r="501" customFormat="false" ht="15" hidden="false" customHeight="false" outlineLevel="0" collapsed="false">
      <c r="A501" s="7" t="s">
        <v>4052</v>
      </c>
      <c r="B501" s="7" t="s">
        <v>4053</v>
      </c>
      <c r="C501" s="7" t="s">
        <v>4054</v>
      </c>
      <c r="D501" s="7" t="s">
        <v>4055</v>
      </c>
      <c r="E501" s="7" t="s">
        <v>819</v>
      </c>
      <c r="F501" s="7" t="s">
        <v>819</v>
      </c>
      <c r="G501" s="7"/>
      <c r="H501" s="7" t="s">
        <v>207</v>
      </c>
      <c r="I501" s="7" t="s">
        <v>103</v>
      </c>
      <c r="J501" s="7" t="s">
        <v>104</v>
      </c>
      <c r="K501" s="7" t="s">
        <v>105</v>
      </c>
      <c r="L501" s="7" t="s">
        <v>106</v>
      </c>
      <c r="M501" s="7"/>
      <c r="N501" s="7" t="s">
        <v>4056</v>
      </c>
      <c r="O501" s="7" t="s">
        <v>4056</v>
      </c>
      <c r="P501" s="7" t="s">
        <v>84</v>
      </c>
      <c r="Q501" s="7"/>
      <c r="R501" s="7" t="s">
        <v>109</v>
      </c>
      <c r="S501" s="7" t="s">
        <v>110</v>
      </c>
      <c r="T501" s="7" t="n">
        <v>0.729</v>
      </c>
      <c r="U501" s="7" t="n">
        <v>2</v>
      </c>
      <c r="V501" s="7" t="s">
        <v>479</v>
      </c>
      <c r="W501" s="7"/>
      <c r="X501" s="7"/>
      <c r="Y501" s="7" t="s">
        <v>4056</v>
      </c>
      <c r="Z501" s="7"/>
      <c r="AA501" s="7"/>
      <c r="AB501" s="7"/>
      <c r="AC501" s="7" t="n">
        <v>0</v>
      </c>
      <c r="AD501" s="7" t="s">
        <v>388</v>
      </c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 t="s">
        <v>1861</v>
      </c>
      <c r="BE501" s="7" t="s">
        <v>127</v>
      </c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</row>
    <row r="502" customFormat="false" ht="15" hidden="false" customHeight="false" outlineLevel="0" collapsed="false">
      <c r="A502" s="7" t="s">
        <v>4057</v>
      </c>
      <c r="B502" s="7" t="s">
        <v>4058</v>
      </c>
      <c r="C502" s="7" t="s">
        <v>4059</v>
      </c>
      <c r="D502" s="7"/>
      <c r="E502" s="7" t="s">
        <v>101</v>
      </c>
      <c r="F502" s="7" t="s">
        <v>101</v>
      </c>
      <c r="G502" s="7"/>
      <c r="H502" s="7" t="s">
        <v>102</v>
      </c>
      <c r="I502" s="7" t="s">
        <v>374</v>
      </c>
      <c r="J502" s="7" t="s">
        <v>104</v>
      </c>
      <c r="K502" s="7" t="s">
        <v>105</v>
      </c>
      <c r="L502" s="7" t="s">
        <v>106</v>
      </c>
      <c r="M502" s="7"/>
      <c r="N502" s="7" t="s">
        <v>4060</v>
      </c>
      <c r="O502" s="7"/>
      <c r="P502" s="7" t="s">
        <v>84</v>
      </c>
      <c r="Q502" s="7"/>
      <c r="R502" s="7" t="s">
        <v>135</v>
      </c>
      <c r="S502" s="7" t="s">
        <v>136</v>
      </c>
      <c r="T502" s="7" t="n">
        <v>0.343</v>
      </c>
      <c r="U502" s="7" t="n">
        <v>2</v>
      </c>
      <c r="V502" s="7" t="s">
        <v>111</v>
      </c>
      <c r="W502" s="7"/>
      <c r="X502" s="7"/>
      <c r="Y502" s="7" t="s">
        <v>4060</v>
      </c>
      <c r="Z502" s="7"/>
      <c r="AA502" s="7"/>
      <c r="AB502" s="7"/>
      <c r="AC502" s="7" t="n">
        <v>0</v>
      </c>
      <c r="AD502" s="7" t="s">
        <v>388</v>
      </c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 t="s">
        <v>126</v>
      </c>
      <c r="BE502" s="7" t="s">
        <v>127</v>
      </c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</row>
    <row r="503" customFormat="false" ht="15" hidden="false" customHeight="false" outlineLevel="0" collapsed="false">
      <c r="A503" s="7" t="s">
        <v>4061</v>
      </c>
      <c r="B503" s="7" t="s">
        <v>4062</v>
      </c>
      <c r="C503" s="7" t="s">
        <v>4063</v>
      </c>
      <c r="D503" s="7" t="s">
        <v>4064</v>
      </c>
      <c r="E503" s="7" t="s">
        <v>410</v>
      </c>
      <c r="F503" s="7" t="s">
        <v>410</v>
      </c>
      <c r="G503" s="7" t="s">
        <v>4065</v>
      </c>
      <c r="H503" s="7" t="s">
        <v>207</v>
      </c>
      <c r="I503" s="7" t="s">
        <v>158</v>
      </c>
      <c r="J503" s="7" t="s">
        <v>475</v>
      </c>
      <c r="K503" s="7" t="s">
        <v>476</v>
      </c>
      <c r="L503" s="7" t="s">
        <v>353</v>
      </c>
      <c r="M503" s="7"/>
      <c r="N503" s="7" t="s">
        <v>4066</v>
      </c>
      <c r="O503" s="7" t="s">
        <v>4066</v>
      </c>
      <c r="P503" s="7" t="s">
        <v>84</v>
      </c>
      <c r="Q503" s="7"/>
      <c r="R503" s="7" t="s">
        <v>109</v>
      </c>
      <c r="S503" s="7" t="s">
        <v>110</v>
      </c>
      <c r="T503" s="7" t="n">
        <v>0.671</v>
      </c>
      <c r="U503" s="7" t="n">
        <v>2</v>
      </c>
      <c r="V503" s="7" t="s">
        <v>1156</v>
      </c>
      <c r="W503" s="7" t="s">
        <v>4067</v>
      </c>
      <c r="X503" s="7" t="s">
        <v>4068</v>
      </c>
      <c r="Y503" s="7" t="s">
        <v>4069</v>
      </c>
      <c r="Z503" s="7" t="s">
        <v>4070</v>
      </c>
      <c r="AA503" s="7"/>
      <c r="AB503" s="7"/>
      <c r="AC503" s="7" t="n">
        <v>0</v>
      </c>
      <c r="AD503" s="7" t="s">
        <v>388</v>
      </c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 t="s">
        <v>1861</v>
      </c>
      <c r="BE503" s="7" t="s">
        <v>609</v>
      </c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</row>
    <row r="504" customFormat="false" ht="15" hidden="false" customHeight="false" outlineLevel="0" collapsed="false">
      <c r="A504" s="7" t="s">
        <v>4071</v>
      </c>
      <c r="B504" s="7" t="s">
        <v>4072</v>
      </c>
      <c r="C504" s="7" t="s">
        <v>4073</v>
      </c>
      <c r="D504" s="7"/>
      <c r="E504" s="7"/>
      <c r="F504" s="7" t="s">
        <v>101</v>
      </c>
      <c r="G504" s="7"/>
      <c r="H504" s="7"/>
      <c r="I504" s="7" t="s">
        <v>300</v>
      </c>
      <c r="J504" s="7" t="s">
        <v>104</v>
      </c>
      <c r="K504" s="7" t="s">
        <v>105</v>
      </c>
      <c r="L504" s="7" t="s">
        <v>106</v>
      </c>
      <c r="M504" s="7"/>
      <c r="N504" s="7" t="s">
        <v>4074</v>
      </c>
      <c r="O504" s="7"/>
      <c r="P504" s="7" t="s">
        <v>109</v>
      </c>
      <c r="Q504" s="7"/>
      <c r="R504" s="7" t="s">
        <v>135</v>
      </c>
      <c r="S504" s="7" t="s">
        <v>136</v>
      </c>
      <c r="T504" s="7" t="n">
        <v>0.55</v>
      </c>
      <c r="U504" s="7" t="n">
        <v>2</v>
      </c>
      <c r="V504" s="7" t="s">
        <v>1156</v>
      </c>
      <c r="W504" s="7" t="s">
        <v>4075</v>
      </c>
      <c r="X504" s="7"/>
      <c r="Y504" s="7" t="s">
        <v>4074</v>
      </c>
      <c r="Z504" s="7"/>
      <c r="AA504" s="7"/>
      <c r="AB504" s="7"/>
      <c r="AC504" s="7" t="n">
        <v>3</v>
      </c>
      <c r="AD504" s="7" t="s">
        <v>4076</v>
      </c>
      <c r="AE504" s="7" t="s">
        <v>4077</v>
      </c>
      <c r="AF504" s="7" t="s">
        <v>4078</v>
      </c>
      <c r="AG504" s="7" t="s">
        <v>4077</v>
      </c>
      <c r="AH504" s="7" t="s">
        <v>4079</v>
      </c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 t="s">
        <v>4077</v>
      </c>
      <c r="AX504" s="7" t="s">
        <v>4074</v>
      </c>
      <c r="AY504" s="7"/>
      <c r="AZ504" s="7"/>
      <c r="BA504" s="7"/>
      <c r="BB504" s="7"/>
      <c r="BC504" s="7"/>
      <c r="BD504" s="7" t="s">
        <v>126</v>
      </c>
      <c r="BE504" s="7" t="s">
        <v>127</v>
      </c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</row>
    <row r="505" customFormat="false" ht="15" hidden="false" customHeight="false" outlineLevel="0" collapsed="false">
      <c r="A505" s="7" t="s">
        <v>4080</v>
      </c>
      <c r="B505" s="7" t="s">
        <v>4081</v>
      </c>
      <c r="C505" s="7" t="s">
        <v>4082</v>
      </c>
      <c r="D505" s="7" t="s">
        <v>493</v>
      </c>
      <c r="E505" s="7"/>
      <c r="F505" s="7" t="s">
        <v>101</v>
      </c>
      <c r="G505" s="7"/>
      <c r="H505" s="7"/>
      <c r="I505" s="7" t="s">
        <v>158</v>
      </c>
      <c r="J505" s="7" t="s">
        <v>104</v>
      </c>
      <c r="K505" s="7" t="s">
        <v>105</v>
      </c>
      <c r="L505" s="7" t="s">
        <v>106</v>
      </c>
      <c r="M505" s="7"/>
      <c r="N505" s="7" t="s">
        <v>4083</v>
      </c>
      <c r="O505" s="7" t="s">
        <v>4083</v>
      </c>
      <c r="P505" s="7" t="s">
        <v>84</v>
      </c>
      <c r="Q505" s="7"/>
      <c r="R505" s="7" t="s">
        <v>109</v>
      </c>
      <c r="S505" s="7" t="s">
        <v>110</v>
      </c>
      <c r="T505" s="7" t="n">
        <v>0.664</v>
      </c>
      <c r="U505" s="7" t="n">
        <v>2</v>
      </c>
      <c r="V505" s="7" t="s">
        <v>111</v>
      </c>
      <c r="W505" s="7"/>
      <c r="X505" s="7" t="s">
        <v>4084</v>
      </c>
      <c r="Y505" s="7" t="s">
        <v>4083</v>
      </c>
      <c r="Z505" s="7"/>
      <c r="AA505" s="7"/>
      <c r="AB505" s="7"/>
      <c r="AC505" s="7" t="n">
        <v>5</v>
      </c>
      <c r="AD505" s="7" t="s">
        <v>1897</v>
      </c>
      <c r="AE505" s="7" t="s">
        <v>744</v>
      </c>
      <c r="AF505" s="7" t="s">
        <v>4082</v>
      </c>
      <c r="AG505" s="7" t="s">
        <v>744</v>
      </c>
      <c r="AH505" s="7" t="s">
        <v>4084</v>
      </c>
      <c r="AI505" s="7"/>
      <c r="AJ505" s="7"/>
      <c r="AK505" s="7"/>
      <c r="AL505" s="7"/>
      <c r="AM505" s="7" t="s">
        <v>744</v>
      </c>
      <c r="AN505" s="7" t="s">
        <v>4085</v>
      </c>
      <c r="AO505" s="7" t="s">
        <v>744</v>
      </c>
      <c r="AP505" s="7" t="s">
        <v>493</v>
      </c>
      <c r="AQ505" s="7"/>
      <c r="AR505" s="7"/>
      <c r="AS505" s="7"/>
      <c r="AT505" s="7"/>
      <c r="AU505" s="7"/>
      <c r="AV505" s="7"/>
      <c r="AW505" s="7" t="s">
        <v>744</v>
      </c>
      <c r="AX505" s="7" t="s">
        <v>4083</v>
      </c>
      <c r="AY505" s="7"/>
      <c r="AZ505" s="7"/>
      <c r="BA505" s="7"/>
      <c r="BB505" s="7"/>
      <c r="BC505" s="7"/>
      <c r="BD505" s="7" t="s">
        <v>126</v>
      </c>
      <c r="BE505" s="7" t="s">
        <v>127</v>
      </c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</row>
    <row r="506" customFormat="false" ht="15" hidden="false" customHeight="false" outlineLevel="0" collapsed="false">
      <c r="A506" s="7" t="s">
        <v>4086</v>
      </c>
      <c r="B506" s="7" t="s">
        <v>4087</v>
      </c>
      <c r="C506" s="7" t="s">
        <v>4088</v>
      </c>
      <c r="D506" s="7" t="s">
        <v>4089</v>
      </c>
      <c r="E506" s="7" t="s">
        <v>444</v>
      </c>
      <c r="F506" s="7" t="s">
        <v>444</v>
      </c>
      <c r="G506" s="7"/>
      <c r="H506" s="7"/>
      <c r="I506" s="7" t="s">
        <v>158</v>
      </c>
      <c r="J506" s="7" t="s">
        <v>104</v>
      </c>
      <c r="K506" s="7" t="s">
        <v>105</v>
      </c>
      <c r="L506" s="7" t="s">
        <v>106</v>
      </c>
      <c r="M506" s="7"/>
      <c r="N506" s="7" t="s">
        <v>4090</v>
      </c>
      <c r="O506" s="7" t="s">
        <v>4090</v>
      </c>
      <c r="P506" s="7" t="s">
        <v>84</v>
      </c>
      <c r="Q506" s="7"/>
      <c r="R506" s="7" t="s">
        <v>109</v>
      </c>
      <c r="S506" s="7" t="s">
        <v>110</v>
      </c>
      <c r="T506" s="7" t="n">
        <v>0.645</v>
      </c>
      <c r="U506" s="7" t="n">
        <v>2</v>
      </c>
      <c r="V506" s="7" t="s">
        <v>479</v>
      </c>
      <c r="W506" s="7"/>
      <c r="X506" s="7" t="s">
        <v>303</v>
      </c>
      <c r="Y506" s="7" t="s">
        <v>4090</v>
      </c>
      <c r="Z506" s="7"/>
      <c r="AA506" s="7"/>
      <c r="AB506" s="7"/>
      <c r="AC506" s="7" t="n">
        <v>5</v>
      </c>
      <c r="AD506" s="7" t="s">
        <v>743</v>
      </c>
      <c r="AE506" s="7" t="s">
        <v>744</v>
      </c>
      <c r="AF506" s="7" t="s">
        <v>4088</v>
      </c>
      <c r="AG506" s="7" t="s">
        <v>744</v>
      </c>
      <c r="AH506" s="7" t="s">
        <v>303</v>
      </c>
      <c r="AI506" s="7"/>
      <c r="AJ506" s="7"/>
      <c r="AK506" s="7"/>
      <c r="AL506" s="7"/>
      <c r="AM506" s="7"/>
      <c r="AN506" s="7"/>
      <c r="AO506" s="7" t="s">
        <v>744</v>
      </c>
      <c r="AP506" s="7" t="s">
        <v>4089</v>
      </c>
      <c r="AQ506" s="7" t="s">
        <v>744</v>
      </c>
      <c r="AR506" s="7" t="s">
        <v>444</v>
      </c>
      <c r="AS506" s="7"/>
      <c r="AT506" s="7"/>
      <c r="AU506" s="7"/>
      <c r="AV506" s="7"/>
      <c r="AW506" s="7" t="s">
        <v>744</v>
      </c>
      <c r="AX506" s="7" t="s">
        <v>4090</v>
      </c>
      <c r="AY506" s="7"/>
      <c r="AZ506" s="7"/>
      <c r="BA506" s="7"/>
      <c r="BB506" s="7"/>
      <c r="BC506" s="7"/>
      <c r="BD506" s="7" t="s">
        <v>1861</v>
      </c>
      <c r="BE506" s="7" t="s">
        <v>127</v>
      </c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</row>
    <row r="507" customFormat="false" ht="15" hidden="false" customHeight="false" outlineLevel="0" collapsed="false">
      <c r="A507" s="7" t="s">
        <v>4091</v>
      </c>
      <c r="B507" s="7" t="s">
        <v>4092</v>
      </c>
      <c r="C507" s="7" t="s">
        <v>4093</v>
      </c>
      <c r="D507" s="7" t="s">
        <v>4094</v>
      </c>
      <c r="E507" s="7" t="s">
        <v>410</v>
      </c>
      <c r="F507" s="7" t="s">
        <v>410</v>
      </c>
      <c r="G507" s="7"/>
      <c r="H507" s="7"/>
      <c r="I507" s="7" t="s">
        <v>132</v>
      </c>
      <c r="J507" s="7" t="s">
        <v>104</v>
      </c>
      <c r="K507" s="7" t="s">
        <v>105</v>
      </c>
      <c r="L507" s="7" t="s">
        <v>106</v>
      </c>
      <c r="M507" s="7"/>
      <c r="N507" s="7" t="s">
        <v>4095</v>
      </c>
      <c r="O507" s="7" t="s">
        <v>4095</v>
      </c>
      <c r="P507" s="7" t="s">
        <v>84</v>
      </c>
      <c r="Q507" s="7"/>
      <c r="R507" s="7" t="s">
        <v>109</v>
      </c>
      <c r="S507" s="7" t="s">
        <v>110</v>
      </c>
      <c r="T507" s="7" t="n">
        <v>0.564</v>
      </c>
      <c r="U507" s="7" t="n">
        <v>2</v>
      </c>
      <c r="V507" s="7" t="s">
        <v>479</v>
      </c>
      <c r="W507" s="7"/>
      <c r="X507" s="7" t="s">
        <v>509</v>
      </c>
      <c r="Y507" s="7" t="s">
        <v>4095</v>
      </c>
      <c r="Z507" s="7"/>
      <c r="AA507" s="7"/>
      <c r="AB507" s="7"/>
      <c r="AC507" s="7" t="n">
        <v>5</v>
      </c>
      <c r="AD507" s="7" t="s">
        <v>743</v>
      </c>
      <c r="AE507" s="7" t="s">
        <v>744</v>
      </c>
      <c r="AF507" s="7" t="s">
        <v>4093</v>
      </c>
      <c r="AG507" s="7" t="s">
        <v>744</v>
      </c>
      <c r="AH507" s="7" t="s">
        <v>509</v>
      </c>
      <c r="AI507" s="7"/>
      <c r="AJ507" s="7"/>
      <c r="AK507" s="7"/>
      <c r="AL507" s="7"/>
      <c r="AM507" s="7"/>
      <c r="AN507" s="7"/>
      <c r="AO507" s="7" t="s">
        <v>744</v>
      </c>
      <c r="AP507" s="7" t="s">
        <v>4094</v>
      </c>
      <c r="AQ507" s="7" t="s">
        <v>744</v>
      </c>
      <c r="AR507" s="7" t="s">
        <v>410</v>
      </c>
      <c r="AS507" s="7"/>
      <c r="AT507" s="7"/>
      <c r="AU507" s="7"/>
      <c r="AV507" s="7"/>
      <c r="AW507" s="7" t="s">
        <v>744</v>
      </c>
      <c r="AX507" s="7" t="s">
        <v>4095</v>
      </c>
      <c r="AY507" s="7"/>
      <c r="AZ507" s="7"/>
      <c r="BA507" s="7"/>
      <c r="BB507" s="7"/>
      <c r="BC507" s="7"/>
      <c r="BD507" s="7" t="s">
        <v>1861</v>
      </c>
      <c r="BE507" s="7" t="s">
        <v>127</v>
      </c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</row>
    <row r="508" customFormat="false" ht="15" hidden="false" customHeight="false" outlineLevel="0" collapsed="false">
      <c r="A508" s="7" t="s">
        <v>4096</v>
      </c>
      <c r="B508" s="7" t="s">
        <v>4097</v>
      </c>
      <c r="C508" s="7" t="s">
        <v>4098</v>
      </c>
      <c r="D508" s="7" t="s">
        <v>746</v>
      </c>
      <c r="E508" s="7" t="s">
        <v>507</v>
      </c>
      <c r="F508" s="7" t="s">
        <v>507</v>
      </c>
      <c r="G508" s="7"/>
      <c r="H508" s="7"/>
      <c r="I508" s="7" t="s">
        <v>158</v>
      </c>
      <c r="J508" s="7" t="s">
        <v>104</v>
      </c>
      <c r="K508" s="7" t="s">
        <v>105</v>
      </c>
      <c r="L508" s="7" t="s">
        <v>106</v>
      </c>
      <c r="M508" s="7"/>
      <c r="N508" s="7" t="s">
        <v>4099</v>
      </c>
      <c r="O508" s="7" t="s">
        <v>4099</v>
      </c>
      <c r="P508" s="7" t="s">
        <v>109</v>
      </c>
      <c r="Q508" s="7"/>
      <c r="R508" s="7" t="s">
        <v>109</v>
      </c>
      <c r="S508" s="7" t="s">
        <v>110</v>
      </c>
      <c r="T508" s="7" t="n">
        <v>0.587</v>
      </c>
      <c r="U508" s="7" t="n">
        <v>2</v>
      </c>
      <c r="V508" s="7" t="s">
        <v>479</v>
      </c>
      <c r="W508" s="7"/>
      <c r="X508" s="7" t="s">
        <v>3262</v>
      </c>
      <c r="Y508" s="7" t="s">
        <v>4099</v>
      </c>
      <c r="Z508" s="7"/>
      <c r="AA508" s="7"/>
      <c r="AB508" s="7"/>
      <c r="AC508" s="7" t="n">
        <v>5</v>
      </c>
      <c r="AD508" s="7" t="s">
        <v>743</v>
      </c>
      <c r="AE508" s="7" t="s">
        <v>744</v>
      </c>
      <c r="AF508" s="7" t="s">
        <v>4098</v>
      </c>
      <c r="AG508" s="7" t="s">
        <v>744</v>
      </c>
      <c r="AH508" s="7" t="s">
        <v>3262</v>
      </c>
      <c r="AI508" s="7"/>
      <c r="AJ508" s="7"/>
      <c r="AK508" s="7"/>
      <c r="AL508" s="7"/>
      <c r="AM508" s="7"/>
      <c r="AN508" s="7"/>
      <c r="AO508" s="7" t="s">
        <v>744</v>
      </c>
      <c r="AP508" s="7" t="s">
        <v>746</v>
      </c>
      <c r="AQ508" s="7" t="s">
        <v>744</v>
      </c>
      <c r="AR508" s="7" t="s">
        <v>507</v>
      </c>
      <c r="AS508" s="7"/>
      <c r="AT508" s="7"/>
      <c r="AU508" s="7"/>
      <c r="AV508" s="7"/>
      <c r="AW508" s="7" t="s">
        <v>744</v>
      </c>
      <c r="AX508" s="7" t="s">
        <v>4099</v>
      </c>
      <c r="AY508" s="7"/>
      <c r="AZ508" s="7"/>
      <c r="BA508" s="7"/>
      <c r="BB508" s="7"/>
      <c r="BC508" s="7"/>
      <c r="BD508" s="7" t="s">
        <v>511</v>
      </c>
      <c r="BE508" s="7" t="s">
        <v>127</v>
      </c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</row>
    <row r="509" customFormat="false" ht="15" hidden="false" customHeight="false" outlineLevel="0" collapsed="false">
      <c r="A509" s="7" t="s">
        <v>4100</v>
      </c>
      <c r="B509" s="7" t="s">
        <v>4101</v>
      </c>
      <c r="C509" s="7" t="s">
        <v>4102</v>
      </c>
      <c r="D509" s="7" t="s">
        <v>4103</v>
      </c>
      <c r="E509" s="7" t="s">
        <v>888</v>
      </c>
      <c r="F509" s="7" t="s">
        <v>888</v>
      </c>
      <c r="G509" s="7"/>
      <c r="H509" s="7"/>
      <c r="I509" s="7" t="s">
        <v>158</v>
      </c>
      <c r="J509" s="7" t="s">
        <v>104</v>
      </c>
      <c r="K509" s="7" t="s">
        <v>105</v>
      </c>
      <c r="L509" s="7" t="s">
        <v>353</v>
      </c>
      <c r="M509" s="7"/>
      <c r="N509" s="7" t="s">
        <v>4104</v>
      </c>
      <c r="O509" s="7" t="s">
        <v>4104</v>
      </c>
      <c r="P509" s="7" t="s">
        <v>84</v>
      </c>
      <c r="Q509" s="7"/>
      <c r="R509" s="7" t="s">
        <v>109</v>
      </c>
      <c r="S509" s="7" t="s">
        <v>110</v>
      </c>
      <c r="T509" s="7" t="n">
        <v>0.55</v>
      </c>
      <c r="U509" s="7" t="n">
        <v>2</v>
      </c>
      <c r="V509" s="7" t="s">
        <v>111</v>
      </c>
      <c r="W509" s="7"/>
      <c r="X509" s="7" t="s">
        <v>713</v>
      </c>
      <c r="Y509" s="7" t="s">
        <v>4104</v>
      </c>
      <c r="Z509" s="7"/>
      <c r="AA509" s="7"/>
      <c r="AB509" s="7"/>
      <c r="AC509" s="7" t="n">
        <v>5</v>
      </c>
      <c r="AD509" s="7" t="s">
        <v>743</v>
      </c>
      <c r="AE509" s="7" t="s">
        <v>744</v>
      </c>
      <c r="AF509" s="7" t="s">
        <v>4102</v>
      </c>
      <c r="AG509" s="7" t="s">
        <v>744</v>
      </c>
      <c r="AH509" s="7" t="s">
        <v>713</v>
      </c>
      <c r="AI509" s="7"/>
      <c r="AJ509" s="7"/>
      <c r="AK509" s="7"/>
      <c r="AL509" s="7"/>
      <c r="AM509" s="7"/>
      <c r="AN509" s="7"/>
      <c r="AO509" s="7" t="s">
        <v>744</v>
      </c>
      <c r="AP509" s="7" t="s">
        <v>4103</v>
      </c>
      <c r="AQ509" s="7" t="s">
        <v>744</v>
      </c>
      <c r="AR509" s="7" t="s">
        <v>888</v>
      </c>
      <c r="AS509" s="7"/>
      <c r="AT509" s="7"/>
      <c r="AU509" s="7"/>
      <c r="AV509" s="7"/>
      <c r="AW509" s="7" t="s">
        <v>744</v>
      </c>
      <c r="AX509" s="7" t="s">
        <v>4104</v>
      </c>
      <c r="AY509" s="7"/>
      <c r="AZ509" s="7"/>
      <c r="BA509" s="7"/>
      <c r="BB509" s="7"/>
      <c r="BC509" s="7"/>
      <c r="BD509" s="7" t="s">
        <v>1861</v>
      </c>
      <c r="BE509" s="7" t="s">
        <v>127</v>
      </c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</row>
    <row r="510" customFormat="false" ht="15" hidden="false" customHeight="false" outlineLevel="0" collapsed="false">
      <c r="A510" s="7" t="s">
        <v>4105</v>
      </c>
      <c r="B510" s="7" t="s">
        <v>4106</v>
      </c>
      <c r="C510" s="7" t="s">
        <v>4107</v>
      </c>
      <c r="D510" s="7" t="s">
        <v>3405</v>
      </c>
      <c r="E510" s="7" t="s">
        <v>82</v>
      </c>
      <c r="F510" s="7" t="s">
        <v>82</v>
      </c>
      <c r="G510" s="7" t="s">
        <v>3406</v>
      </c>
      <c r="H510" s="7"/>
      <c r="I510" s="7" t="s">
        <v>158</v>
      </c>
      <c r="J510" s="7" t="s">
        <v>104</v>
      </c>
      <c r="K510" s="7" t="s">
        <v>105</v>
      </c>
      <c r="L510" s="7" t="s">
        <v>106</v>
      </c>
      <c r="M510" s="7"/>
      <c r="N510" s="7" t="s">
        <v>4108</v>
      </c>
      <c r="O510" s="7" t="s">
        <v>4108</v>
      </c>
      <c r="P510" s="7" t="s">
        <v>84</v>
      </c>
      <c r="Q510" s="7"/>
      <c r="R510" s="7" t="s">
        <v>109</v>
      </c>
      <c r="S510" s="7" t="s">
        <v>110</v>
      </c>
      <c r="T510" s="7" t="n">
        <v>0.361</v>
      </c>
      <c r="U510" s="7" t="n">
        <v>2</v>
      </c>
      <c r="V510" s="7" t="s">
        <v>90</v>
      </c>
      <c r="W510" s="7"/>
      <c r="X510" s="7"/>
      <c r="Y510" s="7" t="s">
        <v>4108</v>
      </c>
      <c r="Z510" s="7"/>
      <c r="AA510" s="7"/>
      <c r="AB510" s="7"/>
      <c r="AC510" s="7" t="n">
        <v>9</v>
      </c>
      <c r="AD510" s="7" t="s">
        <v>405</v>
      </c>
      <c r="AE510" s="7" t="s">
        <v>2103</v>
      </c>
      <c r="AF510" s="7" t="s">
        <v>4109</v>
      </c>
      <c r="AG510" s="7"/>
      <c r="AH510" s="7"/>
      <c r="AI510" s="7"/>
      <c r="AJ510" s="7"/>
      <c r="AK510" s="7"/>
      <c r="AL510" s="7"/>
      <c r="AM510" s="7" t="s">
        <v>2103</v>
      </c>
      <c r="AN510" s="7" t="s">
        <v>4110</v>
      </c>
      <c r="AO510" s="7" t="s">
        <v>2103</v>
      </c>
      <c r="AP510" s="7" t="s">
        <v>3412</v>
      </c>
      <c r="AQ510" s="7" t="s">
        <v>1809</v>
      </c>
      <c r="AR510" s="7" t="s">
        <v>82</v>
      </c>
      <c r="AS510" s="7" t="s">
        <v>2103</v>
      </c>
      <c r="AT510" s="7" t="s">
        <v>216</v>
      </c>
      <c r="AU510" s="7" t="s">
        <v>2103</v>
      </c>
      <c r="AV510" s="7" t="s">
        <v>4111</v>
      </c>
      <c r="AW510" s="7" t="s">
        <v>2103</v>
      </c>
      <c r="AX510" s="7" t="s">
        <v>326</v>
      </c>
      <c r="AY510" s="7" t="s">
        <v>2103</v>
      </c>
      <c r="AZ510" s="7" t="s">
        <v>124</v>
      </c>
      <c r="BA510" s="7" t="s">
        <v>2103</v>
      </c>
      <c r="BB510" s="7" t="s">
        <v>369</v>
      </c>
      <c r="BC510" s="7"/>
      <c r="BD510" s="7" t="s">
        <v>220</v>
      </c>
      <c r="BE510" s="7" t="s">
        <v>127</v>
      </c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</row>
    <row r="511" customFormat="false" ht="15" hidden="false" customHeight="false" outlineLevel="0" collapsed="false">
      <c r="A511" s="7" t="s">
        <v>4112</v>
      </c>
      <c r="B511" s="7" t="s">
        <v>4113</v>
      </c>
      <c r="C511" s="7" t="s">
        <v>4114</v>
      </c>
      <c r="D511" s="7" t="s">
        <v>3405</v>
      </c>
      <c r="E511" s="7" t="s">
        <v>82</v>
      </c>
      <c r="F511" s="7" t="s">
        <v>82</v>
      </c>
      <c r="G511" s="7" t="s">
        <v>3406</v>
      </c>
      <c r="H511" s="7"/>
      <c r="I511" s="7" t="s">
        <v>132</v>
      </c>
      <c r="J511" s="7" t="s">
        <v>104</v>
      </c>
      <c r="K511" s="7" t="s">
        <v>105</v>
      </c>
      <c r="L511" s="7" t="s">
        <v>106</v>
      </c>
      <c r="M511" s="7"/>
      <c r="N511" s="7" t="s">
        <v>4115</v>
      </c>
      <c r="O511" s="7" t="s">
        <v>4115</v>
      </c>
      <c r="P511" s="7" t="s">
        <v>84</v>
      </c>
      <c r="Q511" s="7"/>
      <c r="R511" s="7" t="s">
        <v>109</v>
      </c>
      <c r="S511" s="7" t="s">
        <v>110</v>
      </c>
      <c r="T511" s="7" t="n">
        <v>0.495</v>
      </c>
      <c r="U511" s="7" t="n">
        <v>2</v>
      </c>
      <c r="V511" s="7" t="s">
        <v>90</v>
      </c>
      <c r="W511" s="7"/>
      <c r="X511" s="7"/>
      <c r="Y511" s="7" t="s">
        <v>4115</v>
      </c>
      <c r="Z511" s="7"/>
      <c r="AA511" s="7"/>
      <c r="AB511" s="7"/>
      <c r="AC511" s="7" t="n">
        <v>9</v>
      </c>
      <c r="AD511" s="7" t="s">
        <v>405</v>
      </c>
      <c r="AE511" s="7" t="s">
        <v>2103</v>
      </c>
      <c r="AF511" s="7" t="s">
        <v>4116</v>
      </c>
      <c r="AG511" s="7"/>
      <c r="AH511" s="7"/>
      <c r="AI511" s="7"/>
      <c r="AJ511" s="7"/>
      <c r="AK511" s="7"/>
      <c r="AL511" s="7"/>
      <c r="AM511" s="7" t="s">
        <v>2103</v>
      </c>
      <c r="AN511" s="7" t="s">
        <v>4117</v>
      </c>
      <c r="AO511" s="7" t="s">
        <v>2103</v>
      </c>
      <c r="AP511" s="7" t="s">
        <v>3412</v>
      </c>
      <c r="AQ511" s="7" t="s">
        <v>1809</v>
      </c>
      <c r="AR511" s="7" t="s">
        <v>82</v>
      </c>
      <c r="AS511" s="7" t="s">
        <v>2103</v>
      </c>
      <c r="AT511" s="7" t="s">
        <v>216</v>
      </c>
      <c r="AU511" s="7" t="s">
        <v>2103</v>
      </c>
      <c r="AV511" s="7" t="s">
        <v>4118</v>
      </c>
      <c r="AW511" s="7" t="s">
        <v>2103</v>
      </c>
      <c r="AX511" s="7" t="s">
        <v>326</v>
      </c>
      <c r="AY511" s="7" t="s">
        <v>2103</v>
      </c>
      <c r="AZ511" s="7" t="s">
        <v>124</v>
      </c>
      <c r="BA511" s="7" t="s">
        <v>2103</v>
      </c>
      <c r="BB511" s="7" t="s">
        <v>369</v>
      </c>
      <c r="BC511" s="7"/>
      <c r="BD511" s="7" t="s">
        <v>220</v>
      </c>
      <c r="BE511" s="7" t="s">
        <v>127</v>
      </c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</row>
    <row r="512" customFormat="false" ht="15" hidden="false" customHeight="false" outlineLevel="0" collapsed="false">
      <c r="A512" s="7" t="s">
        <v>4119</v>
      </c>
      <c r="B512" s="7" t="s">
        <v>4120</v>
      </c>
      <c r="C512" s="7" t="s">
        <v>3519</v>
      </c>
      <c r="D512" s="7" t="s">
        <v>900</v>
      </c>
      <c r="E512" s="7" t="s">
        <v>101</v>
      </c>
      <c r="F512" s="7" t="s">
        <v>82</v>
      </c>
      <c r="G512" s="7"/>
      <c r="H512" s="7" t="s">
        <v>102</v>
      </c>
      <c r="I512" s="7" t="s">
        <v>158</v>
      </c>
      <c r="J512" s="7" t="s">
        <v>104</v>
      </c>
      <c r="K512" s="7" t="s">
        <v>105</v>
      </c>
      <c r="L512" s="7" t="s">
        <v>106</v>
      </c>
      <c r="M512" s="7"/>
      <c r="N512" s="7" t="s">
        <v>4121</v>
      </c>
      <c r="O512" s="7" t="s">
        <v>4121</v>
      </c>
      <c r="P512" s="7" t="s">
        <v>135</v>
      </c>
      <c r="Q512" s="7"/>
      <c r="R512" s="7" t="s">
        <v>109</v>
      </c>
      <c r="S512" s="7" t="s">
        <v>110</v>
      </c>
      <c r="T512" s="7" t="n">
        <v>0.383</v>
      </c>
      <c r="U512" s="7" t="n">
        <v>2</v>
      </c>
      <c r="V512" s="7" t="s">
        <v>90</v>
      </c>
      <c r="W512" s="7"/>
      <c r="X512" s="7"/>
      <c r="Y512" s="7" t="s">
        <v>4122</v>
      </c>
      <c r="Z512" s="7"/>
      <c r="AA512" s="7"/>
      <c r="AB512" s="7"/>
      <c r="AC512" s="7" t="n">
        <v>10</v>
      </c>
      <c r="AD512" s="7" t="s">
        <v>359</v>
      </c>
      <c r="AE512" s="7" t="s">
        <v>2103</v>
      </c>
      <c r="AF512" s="7" t="s">
        <v>4123</v>
      </c>
      <c r="AG512" s="7" t="s">
        <v>115</v>
      </c>
      <c r="AH512" s="7" t="s">
        <v>116</v>
      </c>
      <c r="AI512" s="7"/>
      <c r="AJ512" s="7"/>
      <c r="AK512" s="7"/>
      <c r="AL512" s="7"/>
      <c r="AM512" s="7" t="s">
        <v>2103</v>
      </c>
      <c r="AN512" s="7" t="s">
        <v>4124</v>
      </c>
      <c r="AO512" s="7" t="s">
        <v>2103</v>
      </c>
      <c r="AP512" s="7" t="s">
        <v>4125</v>
      </c>
      <c r="AQ512" s="7" t="s">
        <v>2103</v>
      </c>
      <c r="AR512" s="7" t="s">
        <v>82</v>
      </c>
      <c r="AS512" s="7" t="s">
        <v>2103</v>
      </c>
      <c r="AT512" s="7" t="s">
        <v>122</v>
      </c>
      <c r="AU512" s="7" t="s">
        <v>2103</v>
      </c>
      <c r="AV512" s="7" t="s">
        <v>4126</v>
      </c>
      <c r="AW512" s="7" t="s">
        <v>2103</v>
      </c>
      <c r="AX512" s="7" t="s">
        <v>273</v>
      </c>
      <c r="AY512" s="7" t="s">
        <v>2103</v>
      </c>
      <c r="AZ512" s="7" t="s">
        <v>295</v>
      </c>
      <c r="BA512" s="7" t="s">
        <v>2103</v>
      </c>
      <c r="BB512" s="7" t="s">
        <v>369</v>
      </c>
      <c r="BC512" s="7"/>
      <c r="BD512" s="7"/>
      <c r="BE512" s="7" t="s">
        <v>127</v>
      </c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</row>
    <row r="513" customFormat="false" ht="15" hidden="false" customHeight="false" outlineLevel="0" collapsed="false">
      <c r="A513" s="7" t="s">
        <v>4127</v>
      </c>
      <c r="B513" s="7" t="s">
        <v>4128</v>
      </c>
      <c r="C513" s="7" t="s">
        <v>4129</v>
      </c>
      <c r="D513" s="7" t="s">
        <v>3345</v>
      </c>
      <c r="E513" s="7" t="s">
        <v>444</v>
      </c>
      <c r="F513" s="7" t="s">
        <v>444</v>
      </c>
      <c r="G513" s="7"/>
      <c r="H513" s="7" t="s">
        <v>102</v>
      </c>
      <c r="I513" s="7" t="s">
        <v>158</v>
      </c>
      <c r="J513" s="7" t="s">
        <v>104</v>
      </c>
      <c r="K513" s="7" t="s">
        <v>105</v>
      </c>
      <c r="L513" s="7" t="s">
        <v>106</v>
      </c>
      <c r="M513" s="7" t="s">
        <v>4130</v>
      </c>
      <c r="N513" s="7" t="s">
        <v>4131</v>
      </c>
      <c r="O513" s="7" t="s">
        <v>4131</v>
      </c>
      <c r="P513" s="7" t="s">
        <v>84</v>
      </c>
      <c r="Q513" s="7"/>
      <c r="R513" s="7" t="s">
        <v>109</v>
      </c>
      <c r="S513" s="7" t="s">
        <v>110</v>
      </c>
      <c r="T513" s="7" t="n">
        <v>0.71</v>
      </c>
      <c r="U513" s="7" t="n">
        <v>3</v>
      </c>
      <c r="V513" s="7" t="s">
        <v>479</v>
      </c>
      <c r="W513" s="7"/>
      <c r="X513" s="7" t="s">
        <v>752</v>
      </c>
      <c r="Y513" s="7" t="s">
        <v>4132</v>
      </c>
      <c r="Z513" s="7"/>
      <c r="AA513" s="7"/>
      <c r="AB513" s="7"/>
      <c r="AC513" s="7" t="n">
        <v>8</v>
      </c>
      <c r="AD513" s="7" t="s">
        <v>434</v>
      </c>
      <c r="AE513" s="7" t="s">
        <v>448</v>
      </c>
      <c r="AF513" s="7" t="s">
        <v>4133</v>
      </c>
      <c r="AG513" s="7" t="s">
        <v>448</v>
      </c>
      <c r="AH513" s="7" t="s">
        <v>752</v>
      </c>
      <c r="AI513" s="7"/>
      <c r="AJ513" s="7"/>
      <c r="AK513" s="7"/>
      <c r="AL513" s="7"/>
      <c r="AM513" s="7"/>
      <c r="AN513" s="7"/>
      <c r="AO513" s="7" t="s">
        <v>448</v>
      </c>
      <c r="AP513" s="7" t="s">
        <v>4134</v>
      </c>
      <c r="AQ513" s="7" t="s">
        <v>448</v>
      </c>
      <c r="AR513" s="7" t="s">
        <v>737</v>
      </c>
      <c r="AS513" s="7" t="s">
        <v>2103</v>
      </c>
      <c r="AT513" s="7" t="s">
        <v>216</v>
      </c>
      <c r="AU513" s="7"/>
      <c r="AV513" s="7"/>
      <c r="AW513" s="7" t="s">
        <v>448</v>
      </c>
      <c r="AX513" s="7" t="s">
        <v>4132</v>
      </c>
      <c r="AY513" s="7" t="s">
        <v>2103</v>
      </c>
      <c r="AZ513" s="7" t="s">
        <v>4135</v>
      </c>
      <c r="BA513" s="7" t="s">
        <v>2103</v>
      </c>
      <c r="BB513" s="7" t="s">
        <v>369</v>
      </c>
      <c r="BC513" s="7" t="s">
        <v>427</v>
      </c>
      <c r="BD513" s="7"/>
      <c r="BE513" s="7" t="s">
        <v>127</v>
      </c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</row>
    <row r="514" customFormat="false" ht="15" hidden="false" customHeight="false" outlineLevel="0" collapsed="false">
      <c r="A514" s="7" t="s">
        <v>4136</v>
      </c>
      <c r="B514" s="7" t="s">
        <v>4137</v>
      </c>
      <c r="C514" s="7" t="s">
        <v>4138</v>
      </c>
      <c r="D514" s="7"/>
      <c r="E514" s="7" t="s">
        <v>101</v>
      </c>
      <c r="F514" s="7" t="s">
        <v>101</v>
      </c>
      <c r="G514" s="7"/>
      <c r="H514" s="7" t="s">
        <v>102</v>
      </c>
      <c r="I514" s="7" t="s">
        <v>1104</v>
      </c>
      <c r="J514" s="7" t="s">
        <v>104</v>
      </c>
      <c r="K514" s="7" t="s">
        <v>105</v>
      </c>
      <c r="L514" s="7" t="s">
        <v>1106</v>
      </c>
      <c r="M514" s="7" t="s">
        <v>4139</v>
      </c>
      <c r="N514" s="7" t="s">
        <v>4140</v>
      </c>
      <c r="O514" s="7" t="s">
        <v>4140</v>
      </c>
      <c r="P514" s="7" t="s">
        <v>135</v>
      </c>
      <c r="Q514" s="7"/>
      <c r="R514" s="7" t="s">
        <v>109</v>
      </c>
      <c r="S514" s="7" t="s">
        <v>110</v>
      </c>
      <c r="T514" s="7" t="n">
        <v>0.817</v>
      </c>
      <c r="U514" s="7" t="n">
        <v>1</v>
      </c>
      <c r="V514" s="7" t="s">
        <v>90</v>
      </c>
      <c r="W514" s="7"/>
      <c r="X514" s="7"/>
      <c r="Y514" s="7" t="s">
        <v>4140</v>
      </c>
      <c r="Z514" s="7"/>
      <c r="AA514" s="7"/>
      <c r="AB514" s="7"/>
      <c r="AC514" s="7" t="n">
        <v>1</v>
      </c>
      <c r="AD514" s="7" t="s">
        <v>3333</v>
      </c>
      <c r="AE514" s="7"/>
      <c r="AF514" s="7"/>
      <c r="AG514" s="7"/>
      <c r="AH514" s="7"/>
      <c r="AI514" s="7"/>
      <c r="AJ514" s="7"/>
      <c r="AK514" s="7" t="s">
        <v>4141</v>
      </c>
      <c r="AL514" s="7" t="s">
        <v>1873</v>
      </c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 t="s">
        <v>125</v>
      </c>
      <c r="BD514" s="7"/>
      <c r="BE514" s="7" t="s">
        <v>127</v>
      </c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</row>
    <row r="515" customFormat="false" ht="15" hidden="false" customHeight="false" outlineLevel="0" collapsed="false">
      <c r="A515" s="7" t="s">
        <v>4142</v>
      </c>
      <c r="B515" s="7" t="s">
        <v>4143</v>
      </c>
      <c r="C515" s="7" t="s">
        <v>4144</v>
      </c>
      <c r="D515" s="7" t="s">
        <v>100</v>
      </c>
      <c r="E515" s="7" t="s">
        <v>101</v>
      </c>
      <c r="F515" s="7" t="s">
        <v>101</v>
      </c>
      <c r="G515" s="7"/>
      <c r="H515" s="7" t="s">
        <v>102</v>
      </c>
      <c r="I515" s="7" t="s">
        <v>300</v>
      </c>
      <c r="J515" s="7" t="s">
        <v>104</v>
      </c>
      <c r="K515" s="7" t="s">
        <v>105</v>
      </c>
      <c r="L515" s="7" t="s">
        <v>106</v>
      </c>
      <c r="M515" s="7"/>
      <c r="N515" s="7" t="s">
        <v>4145</v>
      </c>
      <c r="O515" s="7"/>
      <c r="P515" s="7" t="s">
        <v>135</v>
      </c>
      <c r="Q515" s="7"/>
      <c r="R515" s="7" t="s">
        <v>135</v>
      </c>
      <c r="S515" s="7" t="s">
        <v>136</v>
      </c>
      <c r="T515" s="7" t="n">
        <v>0.752</v>
      </c>
      <c r="U515" s="7" t="n">
        <v>1</v>
      </c>
      <c r="V515" s="7" t="s">
        <v>90</v>
      </c>
      <c r="W515" s="7"/>
      <c r="X515" s="7"/>
      <c r="Y515" s="7" t="s">
        <v>4145</v>
      </c>
      <c r="Z515" s="7"/>
      <c r="AA515" s="7"/>
      <c r="AB515" s="7"/>
      <c r="AC515" s="7" t="n">
        <v>0</v>
      </c>
      <c r="AD515" s="7" t="s">
        <v>388</v>
      </c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 t="s">
        <v>127</v>
      </c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</row>
    <row r="516" customFormat="false" ht="15" hidden="false" customHeight="false" outlineLevel="0" collapsed="false">
      <c r="A516" s="7" t="s">
        <v>4146</v>
      </c>
      <c r="B516" s="7" t="s">
        <v>4147</v>
      </c>
      <c r="C516" s="7" t="s">
        <v>4148</v>
      </c>
      <c r="D516" s="7" t="s">
        <v>1319</v>
      </c>
      <c r="E516" s="7" t="s">
        <v>101</v>
      </c>
      <c r="F516" s="7" t="s">
        <v>156</v>
      </c>
      <c r="G516" s="7"/>
      <c r="H516" s="7" t="s">
        <v>157</v>
      </c>
      <c r="I516" s="7" t="s">
        <v>374</v>
      </c>
      <c r="J516" s="7" t="s">
        <v>159</v>
      </c>
      <c r="K516" s="7" t="s">
        <v>476</v>
      </c>
      <c r="L516" s="7" t="s">
        <v>106</v>
      </c>
      <c r="M516" s="7" t="s">
        <v>4149</v>
      </c>
      <c r="N516" s="7" t="s">
        <v>4150</v>
      </c>
      <c r="O516" s="7"/>
      <c r="P516" s="7" t="s">
        <v>135</v>
      </c>
      <c r="Q516" s="7"/>
      <c r="R516" s="7" t="s">
        <v>135</v>
      </c>
      <c r="S516" s="7" t="s">
        <v>136</v>
      </c>
      <c r="T516" s="7" t="n">
        <v>0.748</v>
      </c>
      <c r="U516" s="7" t="n">
        <v>1</v>
      </c>
      <c r="V516" s="7" t="s">
        <v>582</v>
      </c>
      <c r="W516" s="7"/>
      <c r="X516" s="7" t="s">
        <v>139</v>
      </c>
      <c r="Y516" s="7" t="s">
        <v>4150</v>
      </c>
      <c r="Z516" s="7" t="s">
        <v>583</v>
      </c>
      <c r="AA516" s="7"/>
      <c r="AB516" s="7"/>
      <c r="AC516" s="7" t="n">
        <v>12</v>
      </c>
      <c r="AD516" s="7"/>
      <c r="AE516" s="7" t="s">
        <v>4151</v>
      </c>
      <c r="AF516" s="7" t="s">
        <v>4152</v>
      </c>
      <c r="AG516" s="7" t="s">
        <v>115</v>
      </c>
      <c r="AH516" s="7" t="s">
        <v>4153</v>
      </c>
      <c r="AI516" s="7" t="s">
        <v>115</v>
      </c>
      <c r="AJ516" s="7" t="s">
        <v>4154</v>
      </c>
      <c r="AK516" s="7" t="s">
        <v>115</v>
      </c>
      <c r="AL516" s="7" t="s">
        <v>145</v>
      </c>
      <c r="AM516" s="7" t="s">
        <v>115</v>
      </c>
      <c r="AN516" s="7" t="s">
        <v>145</v>
      </c>
      <c r="AO516" s="7" t="s">
        <v>4151</v>
      </c>
      <c r="AP516" s="7" t="s">
        <v>4155</v>
      </c>
      <c r="AQ516" s="7" t="s">
        <v>4151</v>
      </c>
      <c r="AR516" s="7" t="s">
        <v>4156</v>
      </c>
      <c r="AS516" s="7" t="s">
        <v>4151</v>
      </c>
      <c r="AT516" s="7" t="s">
        <v>4157</v>
      </c>
      <c r="AU516" s="7" t="s">
        <v>4151</v>
      </c>
      <c r="AV516" s="7" t="s">
        <v>4158</v>
      </c>
      <c r="AW516" s="7" t="s">
        <v>115</v>
      </c>
      <c r="AX516" s="7" t="s">
        <v>145</v>
      </c>
      <c r="AY516" s="7" t="s">
        <v>4151</v>
      </c>
      <c r="AZ516" s="7" t="s">
        <v>4159</v>
      </c>
      <c r="BA516" s="7" t="s">
        <v>4151</v>
      </c>
      <c r="BB516" s="7" t="s">
        <v>4160</v>
      </c>
      <c r="BC516" s="7" t="s">
        <v>707</v>
      </c>
      <c r="BD516" s="7" t="s">
        <v>4161</v>
      </c>
      <c r="BE516" s="7" t="s">
        <v>590</v>
      </c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</row>
    <row r="517" customFormat="false" ht="15" hidden="false" customHeight="false" outlineLevel="0" collapsed="false">
      <c r="A517" s="7" t="s">
        <v>4162</v>
      </c>
      <c r="B517" s="7" t="s">
        <v>4163</v>
      </c>
      <c r="C517" s="7" t="s">
        <v>4164</v>
      </c>
      <c r="D517" s="7" t="s">
        <v>4165</v>
      </c>
      <c r="E517" s="7" t="s">
        <v>82</v>
      </c>
      <c r="F517" s="7" t="s">
        <v>82</v>
      </c>
      <c r="G517" s="7"/>
      <c r="H517" s="7" t="s">
        <v>207</v>
      </c>
      <c r="I517" s="7" t="s">
        <v>132</v>
      </c>
      <c r="J517" s="7" t="s">
        <v>104</v>
      </c>
      <c r="K517" s="7" t="s">
        <v>105</v>
      </c>
      <c r="L517" s="7" t="s">
        <v>106</v>
      </c>
      <c r="M517" s="7"/>
      <c r="N517" s="7" t="s">
        <v>4166</v>
      </c>
      <c r="O517" s="7"/>
      <c r="P517" s="7" t="s">
        <v>135</v>
      </c>
      <c r="Q517" s="7"/>
      <c r="R517" s="7" t="s">
        <v>135</v>
      </c>
      <c r="S517" s="7" t="s">
        <v>136</v>
      </c>
      <c r="T517" s="7" t="n">
        <v>0.441</v>
      </c>
      <c r="U517" s="7" t="n">
        <v>1</v>
      </c>
      <c r="V517" s="7" t="s">
        <v>90</v>
      </c>
      <c r="W517" s="7"/>
      <c r="X517" s="7"/>
      <c r="Y517" s="7" t="s">
        <v>4166</v>
      </c>
      <c r="Z517" s="7"/>
      <c r="AA517" s="7"/>
      <c r="AB517" s="7"/>
      <c r="AC517" s="7" t="n">
        <v>0</v>
      </c>
      <c r="AD517" s="7" t="s">
        <v>388</v>
      </c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 t="s">
        <v>4167</v>
      </c>
      <c r="BE517" s="7" t="s">
        <v>127</v>
      </c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</row>
    <row r="518" customFormat="false" ht="15" hidden="false" customHeight="false" outlineLevel="0" collapsed="false">
      <c r="A518" s="7" t="s">
        <v>4168</v>
      </c>
      <c r="B518" s="7" t="s">
        <v>4169</v>
      </c>
      <c r="C518" s="7" t="s">
        <v>4170</v>
      </c>
      <c r="D518" s="7" t="s">
        <v>1138</v>
      </c>
      <c r="E518" s="7" t="s">
        <v>82</v>
      </c>
      <c r="F518" s="7" t="s">
        <v>82</v>
      </c>
      <c r="G518" s="7"/>
      <c r="H518" s="7" t="s">
        <v>207</v>
      </c>
      <c r="I518" s="7" t="s">
        <v>1140</v>
      </c>
      <c r="J518" s="7" t="s">
        <v>104</v>
      </c>
      <c r="K518" s="7" t="s">
        <v>105</v>
      </c>
      <c r="L518" s="7" t="s">
        <v>106</v>
      </c>
      <c r="M518" s="7"/>
      <c r="N518" s="7" t="s">
        <v>4171</v>
      </c>
      <c r="O518" s="7" t="s">
        <v>4171</v>
      </c>
      <c r="P518" s="7" t="s">
        <v>135</v>
      </c>
      <c r="Q518" s="7"/>
      <c r="R518" s="7" t="s">
        <v>109</v>
      </c>
      <c r="S518" s="7" t="s">
        <v>110</v>
      </c>
      <c r="T518" s="7" t="n">
        <v>0.373</v>
      </c>
      <c r="U518" s="7" t="n">
        <v>1</v>
      </c>
      <c r="V518" s="7" t="s">
        <v>90</v>
      </c>
      <c r="W518" s="7"/>
      <c r="X518" s="7"/>
      <c r="Y518" s="7" t="s">
        <v>4171</v>
      </c>
      <c r="Z518" s="7"/>
      <c r="AA518" s="7"/>
      <c r="AB518" s="7"/>
      <c r="AC518" s="7" t="n">
        <v>0</v>
      </c>
      <c r="AD518" s="7" t="s">
        <v>388</v>
      </c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 t="s">
        <v>220</v>
      </c>
      <c r="BE518" s="7" t="s">
        <v>127</v>
      </c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</row>
    <row r="519" customFormat="false" ht="15" hidden="false" customHeight="false" outlineLevel="0" collapsed="false">
      <c r="A519" s="7" t="s">
        <v>4172</v>
      </c>
      <c r="B519" s="7" t="s">
        <v>4173</v>
      </c>
      <c r="C519" s="7" t="s">
        <v>4174</v>
      </c>
      <c r="D519" s="7" t="s">
        <v>1138</v>
      </c>
      <c r="E519" s="7" t="s">
        <v>82</v>
      </c>
      <c r="F519" s="7" t="s">
        <v>82</v>
      </c>
      <c r="G519" s="7"/>
      <c r="H519" s="7" t="s">
        <v>207</v>
      </c>
      <c r="I519" s="7" t="s">
        <v>1140</v>
      </c>
      <c r="J519" s="7" t="s">
        <v>104</v>
      </c>
      <c r="K519" s="7" t="s">
        <v>105</v>
      </c>
      <c r="L519" s="7" t="s">
        <v>106</v>
      </c>
      <c r="M519" s="7"/>
      <c r="N519" s="7" t="s">
        <v>4175</v>
      </c>
      <c r="O519" s="7" t="s">
        <v>4175</v>
      </c>
      <c r="P519" s="7" t="s">
        <v>135</v>
      </c>
      <c r="Q519" s="7"/>
      <c r="R519" s="7" t="s">
        <v>109</v>
      </c>
      <c r="S519" s="7" t="s">
        <v>110</v>
      </c>
      <c r="T519" s="7" t="n">
        <v>0.387</v>
      </c>
      <c r="U519" s="7" t="n">
        <v>1</v>
      </c>
      <c r="V519" s="7" t="s">
        <v>90</v>
      </c>
      <c r="W519" s="7"/>
      <c r="X519" s="7"/>
      <c r="Y519" s="7" t="s">
        <v>4175</v>
      </c>
      <c r="Z519" s="7"/>
      <c r="AA519" s="7"/>
      <c r="AB519" s="7"/>
      <c r="AC519" s="7" t="n">
        <v>0</v>
      </c>
      <c r="AD519" s="7" t="s">
        <v>388</v>
      </c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 t="s">
        <v>4176</v>
      </c>
      <c r="BE519" s="7" t="s">
        <v>127</v>
      </c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</row>
    <row r="520" customFormat="false" ht="15" hidden="false" customHeight="false" outlineLevel="0" collapsed="false">
      <c r="A520" s="7" t="s">
        <v>4177</v>
      </c>
      <c r="B520" s="7" t="s">
        <v>4178</v>
      </c>
      <c r="C520" s="7" t="s">
        <v>4179</v>
      </c>
      <c r="D520" s="7" t="s">
        <v>4180</v>
      </c>
      <c r="E520" s="7" t="s">
        <v>101</v>
      </c>
      <c r="F520" s="7" t="s">
        <v>101</v>
      </c>
      <c r="G520" s="7"/>
      <c r="H520" s="7" t="s">
        <v>102</v>
      </c>
      <c r="I520" s="7" t="s">
        <v>132</v>
      </c>
      <c r="J520" s="7" t="s">
        <v>104</v>
      </c>
      <c r="K520" s="7" t="s">
        <v>105</v>
      </c>
      <c r="L520" s="7" t="s">
        <v>106</v>
      </c>
      <c r="M520" s="7"/>
      <c r="N520" s="7" t="s">
        <v>4181</v>
      </c>
      <c r="O520" s="7" t="s">
        <v>4181</v>
      </c>
      <c r="P520" s="7" t="s">
        <v>135</v>
      </c>
      <c r="Q520" s="7"/>
      <c r="R520" s="7" t="s">
        <v>109</v>
      </c>
      <c r="S520" s="7" t="s">
        <v>110</v>
      </c>
      <c r="T520" s="7" t="n">
        <v>0.86</v>
      </c>
      <c r="U520" s="7" t="n">
        <v>1</v>
      </c>
      <c r="V520" s="7" t="s">
        <v>90</v>
      </c>
      <c r="W520" s="7"/>
      <c r="X520" s="7" t="s">
        <v>304</v>
      </c>
      <c r="Y520" s="7" t="s">
        <v>4181</v>
      </c>
      <c r="Z520" s="7" t="s">
        <v>4182</v>
      </c>
      <c r="AA520" s="7"/>
      <c r="AB520" s="7"/>
      <c r="AC520" s="7" t="n">
        <v>0</v>
      </c>
      <c r="AD520" s="7" t="s">
        <v>388</v>
      </c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 t="s">
        <v>127</v>
      </c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</row>
    <row r="521" customFormat="false" ht="15" hidden="false" customHeight="false" outlineLevel="0" collapsed="false">
      <c r="A521" s="7" t="s">
        <v>4183</v>
      </c>
      <c r="B521" s="7" t="s">
        <v>4184</v>
      </c>
      <c r="C521" s="7" t="s">
        <v>4185</v>
      </c>
      <c r="D521" s="7" t="s">
        <v>100</v>
      </c>
      <c r="E521" s="7" t="s">
        <v>101</v>
      </c>
      <c r="F521" s="7" t="s">
        <v>101</v>
      </c>
      <c r="G521" s="7"/>
      <c r="H521" s="7" t="s">
        <v>102</v>
      </c>
      <c r="I521" s="7" t="s">
        <v>158</v>
      </c>
      <c r="J521" s="7" t="s">
        <v>104</v>
      </c>
      <c r="K521" s="7" t="s">
        <v>105</v>
      </c>
      <c r="L521" s="7" t="s">
        <v>106</v>
      </c>
      <c r="M521" s="7"/>
      <c r="N521" s="7" t="s">
        <v>4186</v>
      </c>
      <c r="O521" s="7"/>
      <c r="P521" s="7" t="s">
        <v>135</v>
      </c>
      <c r="Q521" s="7"/>
      <c r="R521" s="7" t="s">
        <v>135</v>
      </c>
      <c r="S521" s="7" t="s">
        <v>136</v>
      </c>
      <c r="T521" s="7" t="n">
        <v>0.876</v>
      </c>
      <c r="U521" s="7" t="n">
        <v>1</v>
      </c>
      <c r="V521" s="7" t="s">
        <v>90</v>
      </c>
      <c r="W521" s="7"/>
      <c r="X521" s="7"/>
      <c r="Y521" s="7" t="s">
        <v>4186</v>
      </c>
      <c r="Z521" s="7"/>
      <c r="AA521" s="7"/>
      <c r="AB521" s="7"/>
      <c r="AC521" s="7" t="n">
        <v>0</v>
      </c>
      <c r="AD521" s="7" t="s">
        <v>388</v>
      </c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 t="s">
        <v>127</v>
      </c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</row>
    <row r="522" customFormat="false" ht="15" hidden="false" customHeight="false" outlineLevel="0" collapsed="false">
      <c r="A522" s="7" t="s">
        <v>4187</v>
      </c>
      <c r="B522" s="7" t="s">
        <v>4188</v>
      </c>
      <c r="C522" s="7" t="s">
        <v>4189</v>
      </c>
      <c r="D522" s="7" t="s">
        <v>1478</v>
      </c>
      <c r="E522" s="7" t="s">
        <v>82</v>
      </c>
      <c r="F522" s="7" t="s">
        <v>82</v>
      </c>
      <c r="G522" s="7"/>
      <c r="H522" s="7" t="s">
        <v>207</v>
      </c>
      <c r="I522" s="7" t="s">
        <v>300</v>
      </c>
      <c r="J522" s="7" t="s">
        <v>104</v>
      </c>
      <c r="K522" s="7" t="s">
        <v>105</v>
      </c>
      <c r="L522" s="7" t="s">
        <v>106</v>
      </c>
      <c r="M522" s="7"/>
      <c r="N522" s="7" t="s">
        <v>4190</v>
      </c>
      <c r="O522" s="7" t="s">
        <v>4190</v>
      </c>
      <c r="P522" s="7" t="s">
        <v>135</v>
      </c>
      <c r="Q522" s="7"/>
      <c r="R522" s="7" t="s">
        <v>109</v>
      </c>
      <c r="S522" s="7" t="s">
        <v>110</v>
      </c>
      <c r="T522" s="7" t="n">
        <v>0.201</v>
      </c>
      <c r="U522" s="7" t="n">
        <v>1</v>
      </c>
      <c r="V522" s="7" t="s">
        <v>90</v>
      </c>
      <c r="W522" s="7"/>
      <c r="X522" s="7"/>
      <c r="Y522" s="7" t="s">
        <v>4190</v>
      </c>
      <c r="Z522" s="7"/>
      <c r="AA522" s="7"/>
      <c r="AB522" s="7"/>
      <c r="AC522" s="7" t="n">
        <v>0</v>
      </c>
      <c r="AD522" s="7" t="s">
        <v>388</v>
      </c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 t="s">
        <v>220</v>
      </c>
      <c r="BE522" s="7" t="s">
        <v>127</v>
      </c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</row>
    <row r="523" customFormat="false" ht="15" hidden="false" customHeight="false" outlineLevel="0" collapsed="false">
      <c r="A523" s="7" t="s">
        <v>4191</v>
      </c>
      <c r="B523" s="7" t="s">
        <v>4192</v>
      </c>
      <c r="C523" s="7" t="s">
        <v>4193</v>
      </c>
      <c r="D523" s="7" t="s">
        <v>100</v>
      </c>
      <c r="E523" s="7" t="s">
        <v>101</v>
      </c>
      <c r="F523" s="7" t="s">
        <v>101</v>
      </c>
      <c r="G523" s="7"/>
      <c r="H523" s="7" t="s">
        <v>102</v>
      </c>
      <c r="I523" s="7" t="s">
        <v>132</v>
      </c>
      <c r="J523" s="7" t="s">
        <v>475</v>
      </c>
      <c r="K523" s="7" t="s">
        <v>476</v>
      </c>
      <c r="L523" s="7" t="s">
        <v>106</v>
      </c>
      <c r="M523" s="7" t="s">
        <v>4194</v>
      </c>
      <c r="N523" s="7" t="s">
        <v>4195</v>
      </c>
      <c r="O523" s="7"/>
      <c r="P523" s="7" t="s">
        <v>135</v>
      </c>
      <c r="Q523" s="7"/>
      <c r="R523" s="7" t="s">
        <v>135</v>
      </c>
      <c r="S523" s="7" t="s">
        <v>136</v>
      </c>
      <c r="T523" s="7" t="n">
        <v>0.57</v>
      </c>
      <c r="U523" s="7" t="n">
        <v>1</v>
      </c>
      <c r="V523" s="7" t="s">
        <v>90</v>
      </c>
      <c r="W523" s="7" t="s">
        <v>1258</v>
      </c>
      <c r="X523" s="7" t="s">
        <v>332</v>
      </c>
      <c r="Y523" s="7" t="s">
        <v>4195</v>
      </c>
      <c r="Z523" s="7" t="s">
        <v>4196</v>
      </c>
      <c r="AA523" s="7"/>
      <c r="AB523" s="7"/>
      <c r="AC523" s="7" t="n">
        <v>12</v>
      </c>
      <c r="AD523" s="7"/>
      <c r="AE523" s="7" t="s">
        <v>3776</v>
      </c>
      <c r="AF523" s="7" t="s">
        <v>4197</v>
      </c>
      <c r="AG523" s="7" t="s">
        <v>3776</v>
      </c>
      <c r="AH523" s="7" t="s">
        <v>4198</v>
      </c>
      <c r="AI523" s="7" t="s">
        <v>3776</v>
      </c>
      <c r="AJ523" s="7" t="s">
        <v>4199</v>
      </c>
      <c r="AK523" s="7" t="s">
        <v>115</v>
      </c>
      <c r="AL523" s="7" t="s">
        <v>4200</v>
      </c>
      <c r="AM523" s="7" t="s">
        <v>3776</v>
      </c>
      <c r="AN523" s="7" t="s">
        <v>145</v>
      </c>
      <c r="AO523" s="7" t="s">
        <v>3776</v>
      </c>
      <c r="AP523" s="7" t="s">
        <v>4201</v>
      </c>
      <c r="AQ523" s="7" t="s">
        <v>3776</v>
      </c>
      <c r="AR523" s="7" t="s">
        <v>3561</v>
      </c>
      <c r="AS523" s="7" t="s">
        <v>3776</v>
      </c>
      <c r="AT523" s="7" t="s">
        <v>4202</v>
      </c>
      <c r="AU523" s="7" t="s">
        <v>3776</v>
      </c>
      <c r="AV523" s="7" t="s">
        <v>4203</v>
      </c>
      <c r="AW523" s="7" t="s">
        <v>3776</v>
      </c>
      <c r="AX523" s="7" t="s">
        <v>4204</v>
      </c>
      <c r="AY523" s="7" t="s">
        <v>3776</v>
      </c>
      <c r="AZ523" s="7" t="s">
        <v>4205</v>
      </c>
      <c r="BA523" s="7" t="s">
        <v>3776</v>
      </c>
      <c r="BB523" s="7" t="s">
        <v>4206</v>
      </c>
      <c r="BC523" s="7" t="s">
        <v>151</v>
      </c>
      <c r="BD523" s="7" t="s">
        <v>4207</v>
      </c>
      <c r="BE523" s="7" t="s">
        <v>590</v>
      </c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</row>
    <row r="524" customFormat="false" ht="15" hidden="false" customHeight="false" outlineLevel="0" collapsed="false">
      <c r="A524" s="7" t="s">
        <v>4208</v>
      </c>
      <c r="B524" s="7" t="s">
        <v>4209</v>
      </c>
      <c r="C524" s="7" t="s">
        <v>4210</v>
      </c>
      <c r="D524" s="7" t="s">
        <v>100</v>
      </c>
      <c r="E524" s="7" t="s">
        <v>101</v>
      </c>
      <c r="F524" s="7" t="s">
        <v>101</v>
      </c>
      <c r="G524" s="7"/>
      <c r="H524" s="7" t="s">
        <v>102</v>
      </c>
      <c r="I524" s="7" t="s">
        <v>158</v>
      </c>
      <c r="J524" s="7" t="s">
        <v>475</v>
      </c>
      <c r="K524" s="7" t="s">
        <v>476</v>
      </c>
      <c r="L524" s="7" t="s">
        <v>106</v>
      </c>
      <c r="M524" s="7" t="s">
        <v>4211</v>
      </c>
      <c r="N524" s="7" t="s">
        <v>4212</v>
      </c>
      <c r="O524" s="7"/>
      <c r="P524" s="7" t="s">
        <v>135</v>
      </c>
      <c r="Q524" s="7"/>
      <c r="R524" s="7" t="s">
        <v>135</v>
      </c>
      <c r="S524" s="7" t="s">
        <v>136</v>
      </c>
      <c r="T524" s="7" t="n">
        <v>0.533</v>
      </c>
      <c r="U524" s="7" t="n">
        <v>2</v>
      </c>
      <c r="V524" s="7" t="s">
        <v>90</v>
      </c>
      <c r="W524" s="7"/>
      <c r="X524" s="7" t="s">
        <v>4213</v>
      </c>
      <c r="Y524" s="7" t="s">
        <v>4212</v>
      </c>
      <c r="Z524" s="7" t="s">
        <v>4214</v>
      </c>
      <c r="AA524" s="7"/>
      <c r="AB524" s="7"/>
      <c r="AC524" s="7" t="n">
        <v>12</v>
      </c>
      <c r="AD524" s="7"/>
      <c r="AE524" s="7" t="s">
        <v>448</v>
      </c>
      <c r="AF524" s="7" t="s">
        <v>4210</v>
      </c>
      <c r="AG524" s="7" t="s">
        <v>149</v>
      </c>
      <c r="AH524" s="7" t="s">
        <v>4215</v>
      </c>
      <c r="AI524" s="7" t="s">
        <v>149</v>
      </c>
      <c r="AJ524" s="7" t="s">
        <v>145</v>
      </c>
      <c r="AK524" s="7" t="s">
        <v>115</v>
      </c>
      <c r="AL524" s="7" t="s">
        <v>4216</v>
      </c>
      <c r="AM524" s="7" t="s">
        <v>149</v>
      </c>
      <c r="AN524" s="7" t="s">
        <v>145</v>
      </c>
      <c r="AO524" s="7" t="s">
        <v>149</v>
      </c>
      <c r="AP524" s="7" t="s">
        <v>4217</v>
      </c>
      <c r="AQ524" s="7" t="s">
        <v>149</v>
      </c>
      <c r="AR524" s="7" t="s">
        <v>4218</v>
      </c>
      <c r="AS524" s="7" t="s">
        <v>149</v>
      </c>
      <c r="AT524" s="7" t="s">
        <v>4219</v>
      </c>
      <c r="AU524" s="7" t="s">
        <v>149</v>
      </c>
      <c r="AV524" s="7" t="s">
        <v>4220</v>
      </c>
      <c r="AW524" s="7" t="s">
        <v>448</v>
      </c>
      <c r="AX524" s="7" t="s">
        <v>4221</v>
      </c>
      <c r="AY524" s="7" t="s">
        <v>149</v>
      </c>
      <c r="AZ524" s="7" t="s">
        <v>4222</v>
      </c>
      <c r="BA524" s="7" t="s">
        <v>149</v>
      </c>
      <c r="BB524" s="7" t="s">
        <v>4223</v>
      </c>
      <c r="BC524" s="7" t="s">
        <v>413</v>
      </c>
      <c r="BD524" s="7"/>
      <c r="BE524" s="7" t="s">
        <v>590</v>
      </c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</row>
    <row r="525" customFormat="false" ht="15" hidden="false" customHeight="false" outlineLevel="0" collapsed="false">
      <c r="A525" s="7" t="s">
        <v>4224</v>
      </c>
      <c r="B525" s="7" t="s">
        <v>4225</v>
      </c>
      <c r="C525" s="7" t="s">
        <v>4226</v>
      </c>
      <c r="D525" s="7" t="s">
        <v>392</v>
      </c>
      <c r="E525" s="7" t="s">
        <v>101</v>
      </c>
      <c r="F525" s="7" t="s">
        <v>101</v>
      </c>
      <c r="G525" s="7"/>
      <c r="H525" s="7" t="s">
        <v>102</v>
      </c>
      <c r="I525" s="7" t="s">
        <v>132</v>
      </c>
      <c r="J525" s="7" t="s">
        <v>104</v>
      </c>
      <c r="K525" s="7" t="s">
        <v>105</v>
      </c>
      <c r="L525" s="7" t="s">
        <v>106</v>
      </c>
      <c r="M525" s="7"/>
      <c r="N525" s="7" t="s">
        <v>4227</v>
      </c>
      <c r="O525" s="7"/>
      <c r="P525" s="7" t="s">
        <v>135</v>
      </c>
      <c r="Q525" s="7"/>
      <c r="R525" s="7" t="s">
        <v>135</v>
      </c>
      <c r="S525" s="7" t="s">
        <v>136</v>
      </c>
      <c r="T525" s="7" t="n">
        <v>0.737</v>
      </c>
      <c r="U525" s="7" t="n">
        <v>1</v>
      </c>
      <c r="V525" s="7" t="s">
        <v>90</v>
      </c>
      <c r="W525" s="7"/>
      <c r="X525" s="7"/>
      <c r="Y525" s="7" t="s">
        <v>4227</v>
      </c>
      <c r="Z525" s="7"/>
      <c r="AA525" s="7"/>
      <c r="AB525" s="7"/>
      <c r="AC525" s="7" t="n">
        <v>0</v>
      </c>
      <c r="AD525" s="7" t="s">
        <v>388</v>
      </c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 t="s">
        <v>127</v>
      </c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</row>
    <row r="526" customFormat="false" ht="15" hidden="false" customHeight="false" outlineLevel="0" collapsed="false">
      <c r="A526" s="7" t="s">
        <v>4228</v>
      </c>
      <c r="B526" s="7" t="s">
        <v>4229</v>
      </c>
      <c r="C526" s="7" t="s">
        <v>4230</v>
      </c>
      <c r="D526" s="7" t="s">
        <v>392</v>
      </c>
      <c r="E526" s="7" t="s">
        <v>101</v>
      </c>
      <c r="F526" s="7" t="s">
        <v>101</v>
      </c>
      <c r="G526" s="7"/>
      <c r="H526" s="7" t="s">
        <v>102</v>
      </c>
      <c r="I526" s="7" t="s">
        <v>132</v>
      </c>
      <c r="J526" s="7" t="s">
        <v>104</v>
      </c>
      <c r="K526" s="7" t="s">
        <v>105</v>
      </c>
      <c r="L526" s="7" t="s">
        <v>106</v>
      </c>
      <c r="M526" s="7"/>
      <c r="N526" s="7" t="s">
        <v>4231</v>
      </c>
      <c r="O526" s="7"/>
      <c r="P526" s="7" t="s">
        <v>135</v>
      </c>
      <c r="Q526" s="7"/>
      <c r="R526" s="7" t="s">
        <v>135</v>
      </c>
      <c r="S526" s="7" t="s">
        <v>136</v>
      </c>
      <c r="T526" s="7" t="n">
        <v>0.517</v>
      </c>
      <c r="U526" s="7" t="n">
        <v>1</v>
      </c>
      <c r="V526" s="7" t="s">
        <v>90</v>
      </c>
      <c r="W526" s="7"/>
      <c r="X526" s="7"/>
      <c r="Y526" s="7" t="s">
        <v>4231</v>
      </c>
      <c r="Z526" s="7"/>
      <c r="AA526" s="7"/>
      <c r="AB526" s="7"/>
      <c r="AC526" s="7" t="n">
        <v>0</v>
      </c>
      <c r="AD526" s="7" t="s">
        <v>388</v>
      </c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 t="s">
        <v>127</v>
      </c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</row>
    <row r="527" customFormat="false" ht="15" hidden="false" customHeight="false" outlineLevel="0" collapsed="false">
      <c r="A527" s="7" t="s">
        <v>4232</v>
      </c>
      <c r="B527" s="7" t="s">
        <v>4233</v>
      </c>
      <c r="C527" s="7" t="s">
        <v>4234</v>
      </c>
      <c r="D527" s="7" t="s">
        <v>392</v>
      </c>
      <c r="E527" s="7" t="s">
        <v>101</v>
      </c>
      <c r="F527" s="7" t="s">
        <v>101</v>
      </c>
      <c r="G527" s="7"/>
      <c r="H527" s="7" t="s">
        <v>102</v>
      </c>
      <c r="I527" s="7" t="s">
        <v>132</v>
      </c>
      <c r="J527" s="7" t="s">
        <v>104</v>
      </c>
      <c r="K527" s="7" t="s">
        <v>105</v>
      </c>
      <c r="L527" s="7" t="s">
        <v>106</v>
      </c>
      <c r="M527" s="7"/>
      <c r="N527" s="7" t="s">
        <v>4235</v>
      </c>
      <c r="O527" s="7"/>
      <c r="P527" s="7" t="s">
        <v>135</v>
      </c>
      <c r="Q527" s="7"/>
      <c r="R527" s="7" t="s">
        <v>135</v>
      </c>
      <c r="S527" s="7" t="s">
        <v>136</v>
      </c>
      <c r="T527" s="7" t="n">
        <v>0.713</v>
      </c>
      <c r="U527" s="7" t="n">
        <v>1</v>
      </c>
      <c r="V527" s="7" t="s">
        <v>90</v>
      </c>
      <c r="W527" s="7"/>
      <c r="X527" s="7"/>
      <c r="Y527" s="7" t="s">
        <v>4235</v>
      </c>
      <c r="Z527" s="7"/>
      <c r="AA527" s="7"/>
      <c r="AB527" s="7"/>
      <c r="AC527" s="7" t="n">
        <v>0</v>
      </c>
      <c r="AD527" s="7" t="s">
        <v>388</v>
      </c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 t="s">
        <v>127</v>
      </c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</row>
    <row r="528" customFormat="false" ht="15" hidden="false" customHeight="false" outlineLevel="0" collapsed="false">
      <c r="A528" s="7" t="s">
        <v>4236</v>
      </c>
      <c r="B528" s="7" t="s">
        <v>4237</v>
      </c>
      <c r="C528" s="7" t="s">
        <v>4238</v>
      </c>
      <c r="D528" s="7" t="s">
        <v>392</v>
      </c>
      <c r="E528" s="7" t="s">
        <v>101</v>
      </c>
      <c r="F528" s="7" t="s">
        <v>101</v>
      </c>
      <c r="G528" s="7"/>
      <c r="H528" s="7" t="s">
        <v>102</v>
      </c>
      <c r="I528" s="7" t="s">
        <v>132</v>
      </c>
      <c r="J528" s="7" t="s">
        <v>104</v>
      </c>
      <c r="K528" s="7" t="s">
        <v>105</v>
      </c>
      <c r="L528" s="7" t="s">
        <v>106</v>
      </c>
      <c r="M528" s="7"/>
      <c r="N528" s="7" t="s">
        <v>4239</v>
      </c>
      <c r="O528" s="7"/>
      <c r="P528" s="7" t="s">
        <v>135</v>
      </c>
      <c r="Q528" s="7"/>
      <c r="R528" s="7" t="s">
        <v>135</v>
      </c>
      <c r="S528" s="7" t="s">
        <v>136</v>
      </c>
      <c r="T528" s="7" t="n">
        <v>0.411</v>
      </c>
      <c r="U528" s="7" t="n">
        <v>1</v>
      </c>
      <c r="V528" s="7" t="s">
        <v>90</v>
      </c>
      <c r="W528" s="7"/>
      <c r="X528" s="7"/>
      <c r="Y528" s="7" t="s">
        <v>4239</v>
      </c>
      <c r="Z528" s="7"/>
      <c r="AA528" s="7"/>
      <c r="AB528" s="7"/>
      <c r="AC528" s="7" t="n">
        <v>0</v>
      </c>
      <c r="AD528" s="7" t="s">
        <v>388</v>
      </c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 t="s">
        <v>127</v>
      </c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</row>
    <row r="529" customFormat="false" ht="15" hidden="false" customHeight="false" outlineLevel="0" collapsed="false">
      <c r="A529" s="7" t="s">
        <v>4240</v>
      </c>
      <c r="B529" s="7" t="s">
        <v>4241</v>
      </c>
      <c r="C529" s="7" t="s">
        <v>4242</v>
      </c>
      <c r="D529" s="7" t="s">
        <v>1397</v>
      </c>
      <c r="E529" s="7" t="s">
        <v>737</v>
      </c>
      <c r="F529" s="7" t="s">
        <v>737</v>
      </c>
      <c r="G529" s="7"/>
      <c r="H529" s="7" t="s">
        <v>207</v>
      </c>
      <c r="I529" s="7" t="s">
        <v>374</v>
      </c>
      <c r="J529" s="7" t="s">
        <v>475</v>
      </c>
      <c r="K529" s="7" t="s">
        <v>476</v>
      </c>
      <c r="L529" s="7" t="s">
        <v>106</v>
      </c>
      <c r="M529" s="7"/>
      <c r="N529" s="7" t="s">
        <v>4243</v>
      </c>
      <c r="O529" s="7"/>
      <c r="P529" s="7" t="s">
        <v>135</v>
      </c>
      <c r="Q529" s="7"/>
      <c r="R529" s="7" t="s">
        <v>135</v>
      </c>
      <c r="S529" s="7" t="s">
        <v>136</v>
      </c>
      <c r="T529" s="7" t="n">
        <v>0.419</v>
      </c>
      <c r="U529" s="7" t="n">
        <v>1</v>
      </c>
      <c r="V529" s="7" t="s">
        <v>90</v>
      </c>
      <c r="W529" s="7"/>
      <c r="X529" s="7"/>
      <c r="Y529" s="7" t="s">
        <v>4243</v>
      </c>
      <c r="Z529" s="7"/>
      <c r="AA529" s="7"/>
      <c r="AB529" s="7"/>
      <c r="AC529" s="7" t="n">
        <v>1</v>
      </c>
      <c r="AD529" s="7" t="s">
        <v>3333</v>
      </c>
      <c r="AE529" s="7"/>
      <c r="AF529" s="7"/>
      <c r="AG529" s="7"/>
      <c r="AH529" s="7"/>
      <c r="AI529" s="7"/>
      <c r="AJ529" s="7"/>
      <c r="AK529" s="7" t="s">
        <v>4244</v>
      </c>
      <c r="AL529" s="7" t="s">
        <v>338</v>
      </c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 t="s">
        <v>1400</v>
      </c>
      <c r="BE529" s="7" t="s">
        <v>127</v>
      </c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</row>
    <row r="530" customFormat="false" ht="15" hidden="false" customHeight="false" outlineLevel="0" collapsed="false">
      <c r="A530" s="7" t="s">
        <v>4245</v>
      </c>
      <c r="B530" s="7" t="s">
        <v>4246</v>
      </c>
      <c r="C530" s="7" t="s">
        <v>4247</v>
      </c>
      <c r="D530" s="7" t="s">
        <v>392</v>
      </c>
      <c r="E530" s="7" t="s">
        <v>101</v>
      </c>
      <c r="F530" s="7" t="s">
        <v>101</v>
      </c>
      <c r="G530" s="7"/>
      <c r="H530" s="7" t="s">
        <v>102</v>
      </c>
      <c r="I530" s="7" t="s">
        <v>132</v>
      </c>
      <c r="J530" s="7" t="s">
        <v>104</v>
      </c>
      <c r="K530" s="7" t="s">
        <v>105</v>
      </c>
      <c r="L530" s="7" t="s">
        <v>106</v>
      </c>
      <c r="M530" s="7"/>
      <c r="N530" s="7" t="s">
        <v>4248</v>
      </c>
      <c r="O530" s="7"/>
      <c r="P530" s="7" t="s">
        <v>135</v>
      </c>
      <c r="Q530" s="7"/>
      <c r="R530" s="7" t="s">
        <v>135</v>
      </c>
      <c r="S530" s="7" t="s">
        <v>136</v>
      </c>
      <c r="T530" s="7" t="n">
        <v>0.197</v>
      </c>
      <c r="U530" s="7" t="n">
        <v>1</v>
      </c>
      <c r="V530" s="7" t="s">
        <v>90</v>
      </c>
      <c r="W530" s="7"/>
      <c r="X530" s="7"/>
      <c r="Y530" s="7" t="s">
        <v>4248</v>
      </c>
      <c r="Z530" s="7"/>
      <c r="AA530" s="7"/>
      <c r="AB530" s="7"/>
      <c r="AC530" s="7" t="n">
        <v>0</v>
      </c>
      <c r="AD530" s="7" t="s">
        <v>388</v>
      </c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 t="s">
        <v>127</v>
      </c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</row>
    <row r="531" customFormat="false" ht="15" hidden="false" customHeight="false" outlineLevel="0" collapsed="false">
      <c r="A531" s="7" t="s">
        <v>4249</v>
      </c>
      <c r="B531" s="7" t="s">
        <v>4250</v>
      </c>
      <c r="C531" s="7" t="s">
        <v>4251</v>
      </c>
      <c r="D531" s="7" t="s">
        <v>2276</v>
      </c>
      <c r="E531" s="7" t="s">
        <v>101</v>
      </c>
      <c r="F531" s="7" t="s">
        <v>156</v>
      </c>
      <c r="G531" s="7"/>
      <c r="H531" s="7" t="s">
        <v>157</v>
      </c>
      <c r="I531" s="7" t="s">
        <v>158</v>
      </c>
      <c r="J531" s="7" t="s">
        <v>159</v>
      </c>
      <c r="K531" s="7" t="s">
        <v>105</v>
      </c>
      <c r="L531" s="7" t="s">
        <v>106</v>
      </c>
      <c r="M531" s="7" t="s">
        <v>4252</v>
      </c>
      <c r="N531" s="7" t="s">
        <v>4253</v>
      </c>
      <c r="O531" s="7"/>
      <c r="P531" s="7" t="s">
        <v>135</v>
      </c>
      <c r="Q531" s="7"/>
      <c r="R531" s="7" t="s">
        <v>135</v>
      </c>
      <c r="S531" s="7" t="s">
        <v>136</v>
      </c>
      <c r="T531" s="7" t="n">
        <v>0.38</v>
      </c>
      <c r="U531" s="7" t="n">
        <v>1</v>
      </c>
      <c r="V531" s="7" t="s">
        <v>90</v>
      </c>
      <c r="W531" s="7"/>
      <c r="X531" s="7" t="s">
        <v>4254</v>
      </c>
      <c r="Y531" s="7" t="s">
        <v>4253</v>
      </c>
      <c r="Z531" s="7" t="s">
        <v>4255</v>
      </c>
      <c r="AA531" s="7"/>
      <c r="AB531" s="7"/>
      <c r="AC531" s="7" t="n">
        <v>12</v>
      </c>
      <c r="AD531" s="7"/>
      <c r="AE531" s="7" t="s">
        <v>166</v>
      </c>
      <c r="AF531" s="7" t="s">
        <v>4256</v>
      </c>
      <c r="AG531" s="7" t="s">
        <v>166</v>
      </c>
      <c r="AH531" s="7" t="s">
        <v>4257</v>
      </c>
      <c r="AI531" s="7" t="s">
        <v>619</v>
      </c>
      <c r="AJ531" s="7" t="s">
        <v>145</v>
      </c>
      <c r="AK531" s="7" t="s">
        <v>115</v>
      </c>
      <c r="AL531" s="7" t="s">
        <v>116</v>
      </c>
      <c r="AM531" s="7" t="s">
        <v>115</v>
      </c>
      <c r="AN531" s="7" t="s">
        <v>4258</v>
      </c>
      <c r="AO531" s="7" t="s">
        <v>166</v>
      </c>
      <c r="AP531" s="7" t="s">
        <v>4259</v>
      </c>
      <c r="AQ531" s="7" t="s">
        <v>166</v>
      </c>
      <c r="AR531" s="7" t="s">
        <v>4260</v>
      </c>
      <c r="AS531" s="7" t="s">
        <v>166</v>
      </c>
      <c r="AT531" s="7" t="s">
        <v>4261</v>
      </c>
      <c r="AU531" s="7" t="s">
        <v>166</v>
      </c>
      <c r="AV531" s="7" t="s">
        <v>4262</v>
      </c>
      <c r="AW531" s="7" t="s">
        <v>166</v>
      </c>
      <c r="AX531" s="7" t="s">
        <v>4263</v>
      </c>
      <c r="AY531" s="7" t="s">
        <v>166</v>
      </c>
      <c r="AZ531" s="7" t="s">
        <v>4264</v>
      </c>
      <c r="BA531" s="7" t="s">
        <v>166</v>
      </c>
      <c r="BB531" s="7" t="s">
        <v>4265</v>
      </c>
      <c r="BC531" s="7" t="s">
        <v>178</v>
      </c>
      <c r="BD531" s="7" t="s">
        <v>4266</v>
      </c>
      <c r="BE531" s="7" t="s">
        <v>127</v>
      </c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</row>
    <row r="532" customFormat="false" ht="15" hidden="false" customHeight="false" outlineLevel="0" collapsed="false">
      <c r="A532" s="7" t="s">
        <v>4267</v>
      </c>
      <c r="B532" s="7" t="s">
        <v>4268</v>
      </c>
      <c r="C532" s="7" t="s">
        <v>4269</v>
      </c>
      <c r="D532" s="7" t="s">
        <v>2276</v>
      </c>
      <c r="E532" s="7" t="s">
        <v>101</v>
      </c>
      <c r="F532" s="7" t="s">
        <v>156</v>
      </c>
      <c r="G532" s="7"/>
      <c r="H532" s="7" t="s">
        <v>157</v>
      </c>
      <c r="I532" s="7" t="s">
        <v>158</v>
      </c>
      <c r="J532" s="7" t="s">
        <v>159</v>
      </c>
      <c r="K532" s="7" t="s">
        <v>105</v>
      </c>
      <c r="L532" s="7" t="s">
        <v>106</v>
      </c>
      <c r="M532" s="7" t="s">
        <v>4270</v>
      </c>
      <c r="N532" s="7" t="s">
        <v>4271</v>
      </c>
      <c r="O532" s="7"/>
      <c r="P532" s="7" t="s">
        <v>135</v>
      </c>
      <c r="Q532" s="7"/>
      <c r="R532" s="7" t="s">
        <v>135</v>
      </c>
      <c r="S532" s="7" t="s">
        <v>136</v>
      </c>
      <c r="T532" s="7" t="n">
        <v>0.647</v>
      </c>
      <c r="U532" s="7" t="n">
        <v>1</v>
      </c>
      <c r="V532" s="7" t="s">
        <v>90</v>
      </c>
      <c r="W532" s="7"/>
      <c r="X532" s="7" t="s">
        <v>4272</v>
      </c>
      <c r="Y532" s="7" t="s">
        <v>4271</v>
      </c>
      <c r="Z532" s="7" t="s">
        <v>4273</v>
      </c>
      <c r="AA532" s="7"/>
      <c r="AB532" s="7"/>
      <c r="AC532" s="7" t="n">
        <v>12</v>
      </c>
      <c r="AD532" s="7"/>
      <c r="AE532" s="7" t="s">
        <v>166</v>
      </c>
      <c r="AF532" s="7" t="s">
        <v>4274</v>
      </c>
      <c r="AG532" s="7" t="s">
        <v>166</v>
      </c>
      <c r="AH532" s="7" t="s">
        <v>4275</v>
      </c>
      <c r="AI532" s="7" t="s">
        <v>619</v>
      </c>
      <c r="AJ532" s="7" t="s">
        <v>145</v>
      </c>
      <c r="AK532" s="7" t="s">
        <v>115</v>
      </c>
      <c r="AL532" s="7" t="s">
        <v>116</v>
      </c>
      <c r="AM532" s="7" t="s">
        <v>166</v>
      </c>
      <c r="AN532" s="7" t="s">
        <v>4276</v>
      </c>
      <c r="AO532" s="7" t="s">
        <v>166</v>
      </c>
      <c r="AP532" s="7" t="s">
        <v>4277</v>
      </c>
      <c r="AQ532" s="7" t="s">
        <v>166</v>
      </c>
      <c r="AR532" s="7" t="s">
        <v>4278</v>
      </c>
      <c r="AS532" s="7" t="s">
        <v>166</v>
      </c>
      <c r="AT532" s="7" t="s">
        <v>4279</v>
      </c>
      <c r="AU532" s="7" t="s">
        <v>166</v>
      </c>
      <c r="AV532" s="7" t="s">
        <v>4280</v>
      </c>
      <c r="AW532" s="7" t="s">
        <v>166</v>
      </c>
      <c r="AX532" s="7" t="s">
        <v>4281</v>
      </c>
      <c r="AY532" s="7" t="s">
        <v>166</v>
      </c>
      <c r="AZ532" s="7" t="s">
        <v>4282</v>
      </c>
      <c r="BA532" s="7" t="s">
        <v>166</v>
      </c>
      <c r="BB532" s="7" t="s">
        <v>4283</v>
      </c>
      <c r="BC532" s="7" t="s">
        <v>178</v>
      </c>
      <c r="BD532" s="7" t="s">
        <v>4284</v>
      </c>
      <c r="BE532" s="7" t="s">
        <v>127</v>
      </c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</row>
    <row r="533" customFormat="false" ht="15" hidden="false" customHeight="false" outlineLevel="0" collapsed="false">
      <c r="A533" s="7" t="s">
        <v>4285</v>
      </c>
      <c r="B533" s="7" t="s">
        <v>4286</v>
      </c>
      <c r="C533" s="7" t="s">
        <v>4287</v>
      </c>
      <c r="D533" s="7" t="s">
        <v>4288</v>
      </c>
      <c r="E533" s="7" t="s">
        <v>82</v>
      </c>
      <c r="F533" s="7" t="s">
        <v>82</v>
      </c>
      <c r="G533" s="7"/>
      <c r="H533" s="7" t="s">
        <v>207</v>
      </c>
      <c r="I533" s="7" t="s">
        <v>132</v>
      </c>
      <c r="J533" s="7" t="s">
        <v>104</v>
      </c>
      <c r="K533" s="7" t="s">
        <v>105</v>
      </c>
      <c r="L533" s="7" t="s">
        <v>106</v>
      </c>
      <c r="M533" s="7"/>
      <c r="N533" s="7" t="s">
        <v>4289</v>
      </c>
      <c r="O533" s="7" t="s">
        <v>4289</v>
      </c>
      <c r="P533" s="7" t="s">
        <v>135</v>
      </c>
      <c r="Q533" s="7"/>
      <c r="R533" s="7" t="s">
        <v>109</v>
      </c>
      <c r="S533" s="7" t="s">
        <v>110</v>
      </c>
      <c r="T533" s="7" t="n">
        <v>0.357</v>
      </c>
      <c r="U533" s="7" t="n">
        <v>1</v>
      </c>
      <c r="V533" s="7" t="s">
        <v>90</v>
      </c>
      <c r="W533" s="7"/>
      <c r="X533" s="7"/>
      <c r="Y533" s="7" t="s">
        <v>4289</v>
      </c>
      <c r="Z533" s="7"/>
      <c r="AA533" s="7"/>
      <c r="AB533" s="7"/>
      <c r="AC533" s="7" t="n">
        <v>0</v>
      </c>
      <c r="AD533" s="7" t="s">
        <v>388</v>
      </c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 t="s">
        <v>220</v>
      </c>
      <c r="BE533" s="7" t="s">
        <v>127</v>
      </c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</row>
    <row r="534" customFormat="false" ht="15" hidden="false" customHeight="false" outlineLevel="0" collapsed="false">
      <c r="A534" s="7" t="s">
        <v>4290</v>
      </c>
      <c r="B534" s="7" t="s">
        <v>4291</v>
      </c>
      <c r="C534" s="7" t="s">
        <v>4292</v>
      </c>
      <c r="D534" s="7" t="s">
        <v>4293</v>
      </c>
      <c r="E534" s="7" t="s">
        <v>101</v>
      </c>
      <c r="F534" s="7" t="s">
        <v>101</v>
      </c>
      <c r="G534" s="7"/>
      <c r="H534" s="7" t="s">
        <v>102</v>
      </c>
      <c r="I534" s="7" t="s">
        <v>103</v>
      </c>
      <c r="J534" s="7" t="s">
        <v>104</v>
      </c>
      <c r="K534" s="7" t="s">
        <v>105</v>
      </c>
      <c r="L534" s="7" t="s">
        <v>106</v>
      </c>
      <c r="M534" s="7"/>
      <c r="N534" s="7" t="s">
        <v>4294</v>
      </c>
      <c r="O534" s="7"/>
      <c r="P534" s="7" t="s">
        <v>135</v>
      </c>
      <c r="Q534" s="7"/>
      <c r="R534" s="7" t="s">
        <v>135</v>
      </c>
      <c r="S534" s="7" t="s">
        <v>136</v>
      </c>
      <c r="T534" s="7" t="n">
        <v>0.365</v>
      </c>
      <c r="U534" s="7" t="n">
        <v>1</v>
      </c>
      <c r="V534" s="7" t="s">
        <v>90</v>
      </c>
      <c r="W534" s="7"/>
      <c r="X534" s="7"/>
      <c r="Y534" s="7" t="s">
        <v>4294</v>
      </c>
      <c r="Z534" s="7"/>
      <c r="AA534" s="7"/>
      <c r="AB534" s="7"/>
      <c r="AC534" s="7" t="n">
        <v>11</v>
      </c>
      <c r="AD534" s="7" t="s">
        <v>4295</v>
      </c>
      <c r="AE534" s="7" t="s">
        <v>758</v>
      </c>
      <c r="AF534" s="7" t="s">
        <v>816</v>
      </c>
      <c r="AG534" s="7" t="s">
        <v>115</v>
      </c>
      <c r="AH534" s="7" t="s">
        <v>116</v>
      </c>
      <c r="AI534" s="7" t="s">
        <v>758</v>
      </c>
      <c r="AJ534" s="7" t="s">
        <v>817</v>
      </c>
      <c r="AK534" s="7" t="s">
        <v>758</v>
      </c>
      <c r="AL534" s="7" t="s">
        <v>338</v>
      </c>
      <c r="AM534" s="7"/>
      <c r="AN534" s="7"/>
      <c r="AO534" s="7" t="s">
        <v>758</v>
      </c>
      <c r="AP534" s="7" t="s">
        <v>818</v>
      </c>
      <c r="AQ534" s="7" t="s">
        <v>758</v>
      </c>
      <c r="AR534" s="7" t="s">
        <v>819</v>
      </c>
      <c r="AS534" s="7" t="s">
        <v>758</v>
      </c>
      <c r="AT534" s="7" t="s">
        <v>147</v>
      </c>
      <c r="AU534" s="7" t="s">
        <v>758</v>
      </c>
      <c r="AV534" s="7" t="s">
        <v>820</v>
      </c>
      <c r="AW534" s="7" t="s">
        <v>758</v>
      </c>
      <c r="AX534" s="7" t="s">
        <v>326</v>
      </c>
      <c r="AY534" s="7" t="s">
        <v>758</v>
      </c>
      <c r="AZ534" s="7" t="s">
        <v>124</v>
      </c>
      <c r="BA534" s="7" t="s">
        <v>758</v>
      </c>
      <c r="BB534" s="7" t="s">
        <v>230</v>
      </c>
      <c r="BC534" s="7"/>
      <c r="BD534" s="7"/>
      <c r="BE534" s="7" t="s">
        <v>127</v>
      </c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</row>
    <row r="535" customFormat="false" ht="15" hidden="false" customHeight="false" outlineLevel="0" collapsed="false">
      <c r="A535" s="7" t="s">
        <v>4296</v>
      </c>
      <c r="B535" s="7" t="s">
        <v>4297</v>
      </c>
      <c r="C535" s="7" t="s">
        <v>4298</v>
      </c>
      <c r="D535" s="7"/>
      <c r="E535" s="7" t="s">
        <v>101</v>
      </c>
      <c r="F535" s="7" t="s">
        <v>101</v>
      </c>
      <c r="G535" s="7"/>
      <c r="H535" s="7" t="s">
        <v>102</v>
      </c>
      <c r="I535" s="7" t="s">
        <v>103</v>
      </c>
      <c r="J535" s="7" t="s">
        <v>104</v>
      </c>
      <c r="K535" s="7" t="s">
        <v>105</v>
      </c>
      <c r="L535" s="7" t="s">
        <v>106</v>
      </c>
      <c r="M535" s="7"/>
      <c r="N535" s="7" t="s">
        <v>4299</v>
      </c>
      <c r="O535" s="7" t="s">
        <v>4299</v>
      </c>
      <c r="P535" s="7" t="s">
        <v>135</v>
      </c>
      <c r="Q535" s="7"/>
      <c r="R535" s="7" t="s">
        <v>109</v>
      </c>
      <c r="S535" s="7" t="s">
        <v>110</v>
      </c>
      <c r="T535" s="7" t="n">
        <v>0.264</v>
      </c>
      <c r="U535" s="7" t="n">
        <v>1</v>
      </c>
      <c r="V535" s="7" t="s">
        <v>90</v>
      </c>
      <c r="W535" s="7"/>
      <c r="X535" s="7"/>
      <c r="Y535" s="7"/>
      <c r="Z535" s="7"/>
      <c r="AA535" s="7"/>
      <c r="AB535" s="7"/>
      <c r="AC535" s="7" t="n">
        <v>0</v>
      </c>
      <c r="AD535" s="7" t="s">
        <v>388</v>
      </c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 t="s">
        <v>2797</v>
      </c>
      <c r="BE535" s="7" t="s">
        <v>127</v>
      </c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</row>
    <row r="536" customFormat="false" ht="15" hidden="false" customHeight="false" outlineLevel="0" collapsed="false">
      <c r="A536" s="7" t="s">
        <v>4300</v>
      </c>
      <c r="B536" s="7" t="s">
        <v>4301</v>
      </c>
      <c r="C536" s="7" t="s">
        <v>770</v>
      </c>
      <c r="D536" s="7" t="s">
        <v>783</v>
      </c>
      <c r="E536" s="7" t="s">
        <v>101</v>
      </c>
      <c r="F536" s="7" t="s">
        <v>82</v>
      </c>
      <c r="G536" s="7" t="s">
        <v>772</v>
      </c>
      <c r="H536" s="7" t="s">
        <v>102</v>
      </c>
      <c r="I536" s="7" t="s">
        <v>158</v>
      </c>
      <c r="J536" s="7" t="s">
        <v>104</v>
      </c>
      <c r="K536" s="7" t="s">
        <v>105</v>
      </c>
      <c r="L536" s="7" t="s">
        <v>106</v>
      </c>
      <c r="M536" s="7" t="s">
        <v>773</v>
      </c>
      <c r="N536" s="7" t="s">
        <v>774</v>
      </c>
      <c r="O536" s="7" t="s">
        <v>4302</v>
      </c>
      <c r="P536" s="7" t="s">
        <v>135</v>
      </c>
      <c r="Q536" s="7"/>
      <c r="R536" s="7" t="s">
        <v>84</v>
      </c>
      <c r="S536" s="7" t="s">
        <v>238</v>
      </c>
      <c r="T536" s="7" t="n">
        <v>0.768</v>
      </c>
      <c r="U536" s="7" t="n">
        <v>1</v>
      </c>
      <c r="V536" s="7" t="s">
        <v>90</v>
      </c>
      <c r="W536" s="7" t="s">
        <v>597</v>
      </c>
      <c r="X536" s="7" t="s">
        <v>239</v>
      </c>
      <c r="Y536" s="7" t="s">
        <v>774</v>
      </c>
      <c r="Z536" s="7" t="s">
        <v>775</v>
      </c>
      <c r="AA536" s="7"/>
      <c r="AB536" s="7"/>
      <c r="AC536" s="7" t="n">
        <v>12</v>
      </c>
      <c r="AD536" s="7"/>
      <c r="AE536" s="7" t="s">
        <v>2103</v>
      </c>
      <c r="AF536" s="7" t="s">
        <v>4303</v>
      </c>
      <c r="AG536" s="7" t="s">
        <v>2103</v>
      </c>
      <c r="AH536" s="7" t="s">
        <v>4304</v>
      </c>
      <c r="AI536" s="7" t="s">
        <v>248</v>
      </c>
      <c r="AJ536" s="7" t="s">
        <v>780</v>
      </c>
      <c r="AK536" s="7" t="s">
        <v>248</v>
      </c>
      <c r="AL536" s="7" t="s">
        <v>781</v>
      </c>
      <c r="AM536" s="7" t="s">
        <v>248</v>
      </c>
      <c r="AN536" s="7" t="s">
        <v>782</v>
      </c>
      <c r="AO536" s="7" t="s">
        <v>113</v>
      </c>
      <c r="AP536" s="7" t="s">
        <v>783</v>
      </c>
      <c r="AQ536" s="7" t="s">
        <v>2103</v>
      </c>
      <c r="AR536" s="7" t="s">
        <v>4305</v>
      </c>
      <c r="AS536" s="7" t="s">
        <v>113</v>
      </c>
      <c r="AT536" s="7" t="s">
        <v>216</v>
      </c>
      <c r="AU536" s="7" t="s">
        <v>248</v>
      </c>
      <c r="AV536" s="7" t="s">
        <v>785</v>
      </c>
      <c r="AW536" s="7" t="s">
        <v>248</v>
      </c>
      <c r="AX536" s="7" t="s">
        <v>786</v>
      </c>
      <c r="AY536" s="7" t="s">
        <v>248</v>
      </c>
      <c r="AZ536" s="7" t="s">
        <v>787</v>
      </c>
      <c r="BA536" s="7" t="s">
        <v>248</v>
      </c>
      <c r="BB536" s="7" t="s">
        <v>369</v>
      </c>
      <c r="BC536" s="7" t="s">
        <v>413</v>
      </c>
      <c r="BD536" s="7" t="s">
        <v>220</v>
      </c>
      <c r="BE536" s="7" t="s">
        <v>127</v>
      </c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</row>
    <row r="537" customFormat="false" ht="15" hidden="false" customHeight="false" outlineLevel="0" collapsed="false">
      <c r="A537" s="7" t="s">
        <v>4306</v>
      </c>
      <c r="B537" s="7" t="s">
        <v>4307</v>
      </c>
      <c r="C537" s="7" t="s">
        <v>4308</v>
      </c>
      <c r="D537" s="7"/>
      <c r="E537" s="7" t="s">
        <v>101</v>
      </c>
      <c r="F537" s="7" t="s">
        <v>101</v>
      </c>
      <c r="G537" s="7"/>
      <c r="H537" s="7" t="s">
        <v>102</v>
      </c>
      <c r="I537" s="7" t="s">
        <v>132</v>
      </c>
      <c r="J537" s="7" t="s">
        <v>104</v>
      </c>
      <c r="K537" s="7" t="s">
        <v>105</v>
      </c>
      <c r="L537" s="7" t="s">
        <v>106</v>
      </c>
      <c r="M537" s="7" t="s">
        <v>4309</v>
      </c>
      <c r="N537" s="7" t="s">
        <v>4310</v>
      </c>
      <c r="O537" s="7"/>
      <c r="P537" s="7" t="s">
        <v>135</v>
      </c>
      <c r="Q537" s="7"/>
      <c r="R537" s="7"/>
      <c r="S537" s="7"/>
      <c r="T537" s="7" t="n">
        <v>0.634</v>
      </c>
      <c r="U537" s="7" t="n">
        <v>1</v>
      </c>
      <c r="V537" s="7" t="s">
        <v>90</v>
      </c>
      <c r="W537" s="7"/>
      <c r="X537" s="7"/>
      <c r="Y537" s="7" t="s">
        <v>4310</v>
      </c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 t="s">
        <v>125</v>
      </c>
      <c r="BD537" s="7" t="s">
        <v>4311</v>
      </c>
      <c r="BE537" s="7" t="s">
        <v>127</v>
      </c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</row>
    <row r="538" customFormat="false" ht="15" hidden="false" customHeight="false" outlineLevel="0" collapsed="false">
      <c r="A538" s="7" t="s">
        <v>4312</v>
      </c>
      <c r="B538" s="7" t="s">
        <v>4313</v>
      </c>
      <c r="C538" s="7" t="s">
        <v>4314</v>
      </c>
      <c r="D538" s="7"/>
      <c r="E538" s="7" t="s">
        <v>101</v>
      </c>
      <c r="F538" s="7" t="s">
        <v>101</v>
      </c>
      <c r="G538" s="7"/>
      <c r="H538" s="7" t="s">
        <v>102</v>
      </c>
      <c r="I538" s="7" t="s">
        <v>132</v>
      </c>
      <c r="J538" s="7" t="s">
        <v>104</v>
      </c>
      <c r="K538" s="7" t="s">
        <v>105</v>
      </c>
      <c r="L538" s="7" t="s">
        <v>106</v>
      </c>
      <c r="M538" s="7" t="s">
        <v>4315</v>
      </c>
      <c r="N538" s="7" t="s">
        <v>4316</v>
      </c>
      <c r="O538" s="7"/>
      <c r="P538" s="7" t="s">
        <v>135</v>
      </c>
      <c r="Q538" s="7"/>
      <c r="R538" s="7"/>
      <c r="S538" s="7"/>
      <c r="T538" s="7" t="n">
        <v>0.119</v>
      </c>
      <c r="U538" s="7" t="n">
        <v>1</v>
      </c>
      <c r="V538" s="7" t="s">
        <v>90</v>
      </c>
      <c r="W538" s="7"/>
      <c r="X538" s="7"/>
      <c r="Y538" s="7" t="s">
        <v>4316</v>
      </c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 t="s">
        <v>219</v>
      </c>
      <c r="BD538" s="7"/>
      <c r="BE538" s="7" t="s">
        <v>127</v>
      </c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</row>
    <row r="539" customFormat="false" ht="15" hidden="false" customHeight="false" outlineLevel="0" collapsed="false">
      <c r="A539" s="7" t="s">
        <v>4317</v>
      </c>
      <c r="B539" s="7" t="s">
        <v>4318</v>
      </c>
      <c r="C539" s="7" t="s">
        <v>4319</v>
      </c>
      <c r="D539" s="7" t="s">
        <v>4320</v>
      </c>
      <c r="E539" s="7" t="s">
        <v>101</v>
      </c>
      <c r="F539" s="7" t="s">
        <v>82</v>
      </c>
      <c r="G539" s="7" t="s">
        <v>772</v>
      </c>
      <c r="H539" s="7" t="s">
        <v>102</v>
      </c>
      <c r="I539" s="7" t="s">
        <v>132</v>
      </c>
      <c r="J539" s="7" t="s">
        <v>104</v>
      </c>
      <c r="K539" s="7" t="s">
        <v>105</v>
      </c>
      <c r="L539" s="7" t="s">
        <v>106</v>
      </c>
      <c r="M539" s="7" t="s">
        <v>773</v>
      </c>
      <c r="N539" s="7" t="s">
        <v>4321</v>
      </c>
      <c r="O539" s="7" t="s">
        <v>4322</v>
      </c>
      <c r="P539" s="7" t="s">
        <v>135</v>
      </c>
      <c r="Q539" s="7"/>
      <c r="R539" s="7" t="s">
        <v>84</v>
      </c>
      <c r="S539" s="7" t="s">
        <v>238</v>
      </c>
      <c r="T539" s="7" t="n">
        <v>0.644</v>
      </c>
      <c r="U539" s="7" t="n">
        <v>1</v>
      </c>
      <c r="V539" s="7" t="s">
        <v>90</v>
      </c>
      <c r="W539" s="7" t="s">
        <v>597</v>
      </c>
      <c r="X539" s="7" t="s">
        <v>239</v>
      </c>
      <c r="Y539" s="7" t="s">
        <v>4321</v>
      </c>
      <c r="Z539" s="7" t="s">
        <v>775</v>
      </c>
      <c r="AA539" s="7"/>
      <c r="AB539" s="7"/>
      <c r="AC539" s="7" t="n">
        <v>12</v>
      </c>
      <c r="AD539" s="7"/>
      <c r="AE539" s="7" t="s">
        <v>4323</v>
      </c>
      <c r="AF539" s="7" t="s">
        <v>4324</v>
      </c>
      <c r="AG539" s="7" t="s">
        <v>4323</v>
      </c>
      <c r="AH539" s="7" t="s">
        <v>4325</v>
      </c>
      <c r="AI539" s="7" t="s">
        <v>4326</v>
      </c>
      <c r="AJ539" s="7" t="s">
        <v>780</v>
      </c>
      <c r="AK539" s="7" t="s">
        <v>4326</v>
      </c>
      <c r="AL539" s="7" t="s">
        <v>781</v>
      </c>
      <c r="AM539" s="7" t="s">
        <v>4326</v>
      </c>
      <c r="AN539" s="7" t="s">
        <v>782</v>
      </c>
      <c r="AO539" s="7" t="s">
        <v>4323</v>
      </c>
      <c r="AP539" s="7" t="s">
        <v>4327</v>
      </c>
      <c r="AQ539" s="7" t="s">
        <v>4323</v>
      </c>
      <c r="AR539" s="7" t="s">
        <v>4305</v>
      </c>
      <c r="AS539" s="7" t="s">
        <v>4326</v>
      </c>
      <c r="AT539" s="7" t="s">
        <v>216</v>
      </c>
      <c r="AU539" s="7" t="s">
        <v>4326</v>
      </c>
      <c r="AV539" s="7" t="s">
        <v>785</v>
      </c>
      <c r="AW539" s="7" t="s">
        <v>4326</v>
      </c>
      <c r="AX539" s="7" t="s">
        <v>786</v>
      </c>
      <c r="AY539" s="7" t="s">
        <v>4323</v>
      </c>
      <c r="AZ539" s="7" t="s">
        <v>4328</v>
      </c>
      <c r="BA539" s="7" t="s">
        <v>4326</v>
      </c>
      <c r="BB539" s="7" t="s">
        <v>369</v>
      </c>
      <c r="BC539" s="7" t="s">
        <v>413</v>
      </c>
      <c r="BD539" s="7" t="s">
        <v>220</v>
      </c>
      <c r="BE539" s="7" t="s">
        <v>127</v>
      </c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</row>
    <row r="540" customFormat="false" ht="15" hidden="false" customHeight="false" outlineLevel="0" collapsed="false">
      <c r="A540" s="7" t="s">
        <v>4329</v>
      </c>
      <c r="B540" s="7" t="s">
        <v>4330</v>
      </c>
      <c r="C540" s="7" t="s">
        <v>4331</v>
      </c>
      <c r="D540" s="7" t="s">
        <v>4332</v>
      </c>
      <c r="E540" s="7" t="s">
        <v>101</v>
      </c>
      <c r="F540" s="7" t="s">
        <v>82</v>
      </c>
      <c r="G540" s="7"/>
      <c r="H540" s="7" t="s">
        <v>102</v>
      </c>
      <c r="I540" s="7" t="s">
        <v>132</v>
      </c>
      <c r="J540" s="7" t="s">
        <v>104</v>
      </c>
      <c r="K540" s="7" t="s">
        <v>105</v>
      </c>
      <c r="L540" s="7" t="s">
        <v>106</v>
      </c>
      <c r="M540" s="7" t="s">
        <v>4333</v>
      </c>
      <c r="N540" s="7" t="s">
        <v>4334</v>
      </c>
      <c r="O540" s="7" t="s">
        <v>4335</v>
      </c>
      <c r="P540" s="7" t="s">
        <v>135</v>
      </c>
      <c r="Q540" s="7"/>
      <c r="R540" s="7" t="s">
        <v>84</v>
      </c>
      <c r="S540" s="7" t="s">
        <v>238</v>
      </c>
      <c r="T540" s="7" t="n">
        <v>0.579</v>
      </c>
      <c r="U540" s="7" t="n">
        <v>1</v>
      </c>
      <c r="V540" s="7" t="s">
        <v>90</v>
      </c>
      <c r="W540" s="7"/>
      <c r="X540" s="7" t="s">
        <v>658</v>
      </c>
      <c r="Y540" s="7" t="s">
        <v>4334</v>
      </c>
      <c r="Z540" s="7" t="s">
        <v>3074</v>
      </c>
      <c r="AA540" s="7"/>
      <c r="AB540" s="7"/>
      <c r="AC540" s="7" t="n">
        <v>12</v>
      </c>
      <c r="AD540" s="7"/>
      <c r="AE540" s="7" t="s">
        <v>4326</v>
      </c>
      <c r="AF540" s="7" t="s">
        <v>4336</v>
      </c>
      <c r="AG540" s="7" t="s">
        <v>4326</v>
      </c>
      <c r="AH540" s="7" t="s">
        <v>4337</v>
      </c>
      <c r="AI540" s="7" t="s">
        <v>4326</v>
      </c>
      <c r="AJ540" s="7" t="s">
        <v>145</v>
      </c>
      <c r="AK540" s="7" t="s">
        <v>4326</v>
      </c>
      <c r="AL540" s="7" t="s">
        <v>4338</v>
      </c>
      <c r="AM540" s="7" t="s">
        <v>4326</v>
      </c>
      <c r="AN540" s="7" t="s">
        <v>4339</v>
      </c>
      <c r="AO540" s="7" t="s">
        <v>4326</v>
      </c>
      <c r="AP540" s="7" t="s">
        <v>4340</v>
      </c>
      <c r="AQ540" s="7" t="s">
        <v>4326</v>
      </c>
      <c r="AR540" s="7" t="s">
        <v>910</v>
      </c>
      <c r="AS540" s="7" t="s">
        <v>4326</v>
      </c>
      <c r="AT540" s="7" t="s">
        <v>122</v>
      </c>
      <c r="AU540" s="7" t="s">
        <v>4326</v>
      </c>
      <c r="AV540" s="7" t="s">
        <v>4341</v>
      </c>
      <c r="AW540" s="7" t="s">
        <v>4326</v>
      </c>
      <c r="AX540" s="7" t="s">
        <v>4342</v>
      </c>
      <c r="AY540" s="7" t="s">
        <v>4326</v>
      </c>
      <c r="AZ540" s="7" t="s">
        <v>438</v>
      </c>
      <c r="BA540" s="7" t="s">
        <v>4326</v>
      </c>
      <c r="BB540" s="7" t="s">
        <v>4343</v>
      </c>
      <c r="BC540" s="7" t="s">
        <v>151</v>
      </c>
      <c r="BD540" s="7" t="s">
        <v>220</v>
      </c>
      <c r="BE540" s="7" t="s">
        <v>127</v>
      </c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</row>
    <row r="541" customFormat="false" ht="15" hidden="false" customHeight="false" outlineLevel="0" collapsed="false">
      <c r="A541" s="7" t="s">
        <v>4344</v>
      </c>
      <c r="B541" s="7" t="s">
        <v>3236</v>
      </c>
      <c r="C541" s="7" t="s">
        <v>1598</v>
      </c>
      <c r="D541" s="7" t="s">
        <v>654</v>
      </c>
      <c r="E541" s="7" t="s">
        <v>101</v>
      </c>
      <c r="F541" s="7" t="s">
        <v>82</v>
      </c>
      <c r="G541" s="7" t="s">
        <v>1601</v>
      </c>
      <c r="H541" s="7" t="s">
        <v>102</v>
      </c>
      <c r="I541" s="7" t="s">
        <v>132</v>
      </c>
      <c r="J541" s="7" t="s">
        <v>104</v>
      </c>
      <c r="K541" s="7" t="s">
        <v>105</v>
      </c>
      <c r="L541" s="7" t="s">
        <v>106</v>
      </c>
      <c r="M541" s="7" t="s">
        <v>4345</v>
      </c>
      <c r="N541" s="7" t="s">
        <v>4346</v>
      </c>
      <c r="O541" s="7"/>
      <c r="P541" s="7" t="s">
        <v>135</v>
      </c>
      <c r="Q541" s="7"/>
      <c r="R541" s="7"/>
      <c r="S541" s="7"/>
      <c r="T541" s="7" t="n">
        <v>0.157</v>
      </c>
      <c r="U541" s="7" t="n">
        <v>1</v>
      </c>
      <c r="V541" s="7" t="s">
        <v>90</v>
      </c>
      <c r="W541" s="7"/>
      <c r="X541" s="7"/>
      <c r="Y541" s="7" t="s">
        <v>4346</v>
      </c>
      <c r="Z541" s="7"/>
      <c r="AA541" s="7"/>
      <c r="AB541" s="7"/>
      <c r="AC541" s="7"/>
      <c r="AD541" s="7"/>
      <c r="AE541" s="7" t="s">
        <v>265</v>
      </c>
      <c r="AF541" s="7" t="s">
        <v>4347</v>
      </c>
      <c r="AG541" s="7"/>
      <c r="AH541" s="7"/>
      <c r="AI541" s="7"/>
      <c r="AJ541" s="7"/>
      <c r="AK541" s="7"/>
      <c r="AL541" s="7"/>
      <c r="AM541" s="7"/>
      <c r="AN541" s="7"/>
      <c r="AO541" s="7" t="s">
        <v>265</v>
      </c>
      <c r="AP541" s="7" t="s">
        <v>1605</v>
      </c>
      <c r="AQ541" s="7" t="s">
        <v>265</v>
      </c>
      <c r="AR541" s="7" t="s">
        <v>82</v>
      </c>
      <c r="AS541" s="7" t="s">
        <v>265</v>
      </c>
      <c r="AT541" s="7" t="s">
        <v>216</v>
      </c>
      <c r="AU541" s="7"/>
      <c r="AV541" s="7"/>
      <c r="AW541" s="7" t="s">
        <v>265</v>
      </c>
      <c r="AX541" s="7" t="s">
        <v>273</v>
      </c>
      <c r="AY541" s="7"/>
      <c r="AZ541" s="7"/>
      <c r="BA541" s="7"/>
      <c r="BB541" s="7"/>
      <c r="BC541" s="7" t="s">
        <v>219</v>
      </c>
      <c r="BD541" s="7" t="s">
        <v>1606</v>
      </c>
      <c r="BE541" s="7" t="s">
        <v>127</v>
      </c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</row>
    <row r="542" customFormat="false" ht="15" hidden="false" customHeight="false" outlineLevel="0" collapsed="false">
      <c r="A542" s="7" t="s">
        <v>4348</v>
      </c>
      <c r="B542" s="7" t="s">
        <v>4349</v>
      </c>
      <c r="C542" s="7" t="s">
        <v>4350</v>
      </c>
      <c r="D542" s="7" t="s">
        <v>313</v>
      </c>
      <c r="E542" s="7" t="s">
        <v>101</v>
      </c>
      <c r="F542" s="7" t="s">
        <v>101</v>
      </c>
      <c r="G542" s="7"/>
      <c r="H542" s="7" t="s">
        <v>102</v>
      </c>
      <c r="I542" s="7" t="s">
        <v>208</v>
      </c>
      <c r="J542" s="7" t="s">
        <v>104</v>
      </c>
      <c r="K542" s="7" t="s">
        <v>105</v>
      </c>
      <c r="L542" s="7" t="s">
        <v>106</v>
      </c>
      <c r="M542" s="7"/>
      <c r="N542" s="7" t="s">
        <v>4351</v>
      </c>
      <c r="O542" s="7" t="s">
        <v>4351</v>
      </c>
      <c r="P542" s="7" t="s">
        <v>135</v>
      </c>
      <c r="Q542" s="7"/>
      <c r="R542" s="7" t="s">
        <v>109</v>
      </c>
      <c r="S542" s="7" t="s">
        <v>110</v>
      </c>
      <c r="T542" s="7" t="n">
        <v>0.379</v>
      </c>
      <c r="U542" s="7" t="n">
        <v>1</v>
      </c>
      <c r="V542" s="7" t="s">
        <v>90</v>
      </c>
      <c r="W542" s="7"/>
      <c r="X542" s="7"/>
      <c r="Y542" s="7"/>
      <c r="Z542" s="7"/>
      <c r="AA542" s="7"/>
      <c r="AB542" s="7"/>
      <c r="AC542" s="7" t="n">
        <v>0</v>
      </c>
      <c r="AD542" s="7" t="s">
        <v>388</v>
      </c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 t="s">
        <v>2797</v>
      </c>
      <c r="BE542" s="7" t="s">
        <v>127</v>
      </c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</row>
    <row r="543" customFormat="false" ht="15" hidden="false" customHeight="false" outlineLevel="0" collapsed="false">
      <c r="A543" s="7" t="s">
        <v>4352</v>
      </c>
      <c r="B543" s="7" t="s">
        <v>4353</v>
      </c>
      <c r="C543" s="7" t="s">
        <v>4354</v>
      </c>
      <c r="D543" s="7"/>
      <c r="E543" s="7" t="s">
        <v>101</v>
      </c>
      <c r="F543" s="7" t="s">
        <v>101</v>
      </c>
      <c r="G543" s="7"/>
      <c r="H543" s="7" t="s">
        <v>102</v>
      </c>
      <c r="I543" s="7" t="s">
        <v>132</v>
      </c>
      <c r="J543" s="7" t="s">
        <v>104</v>
      </c>
      <c r="K543" s="7" t="s">
        <v>105</v>
      </c>
      <c r="L543" s="7" t="s">
        <v>106</v>
      </c>
      <c r="M543" s="7"/>
      <c r="N543" s="7" t="s">
        <v>4355</v>
      </c>
      <c r="O543" s="7"/>
      <c r="P543" s="7" t="s">
        <v>135</v>
      </c>
      <c r="Q543" s="7"/>
      <c r="R543" s="7" t="s">
        <v>135</v>
      </c>
      <c r="S543" s="7" t="s">
        <v>136</v>
      </c>
      <c r="T543" s="7" t="n">
        <v>0.419</v>
      </c>
      <c r="U543" s="7" t="n">
        <v>1</v>
      </c>
      <c r="V543" s="7" t="s">
        <v>90</v>
      </c>
      <c r="W543" s="7"/>
      <c r="X543" s="7"/>
      <c r="Y543" s="7"/>
      <c r="Z543" s="7"/>
      <c r="AA543" s="7"/>
      <c r="AB543" s="7"/>
      <c r="AC543" s="7" t="n">
        <v>0</v>
      </c>
      <c r="AD543" s="7" t="s">
        <v>388</v>
      </c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 t="s">
        <v>127</v>
      </c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</row>
    <row r="544" customFormat="false" ht="15" hidden="false" customHeight="false" outlineLevel="0" collapsed="false">
      <c r="A544" s="7" t="s">
        <v>4356</v>
      </c>
      <c r="B544" s="7" t="s">
        <v>4357</v>
      </c>
      <c r="C544" s="7" t="s">
        <v>4358</v>
      </c>
      <c r="D544" s="7" t="s">
        <v>1374</v>
      </c>
      <c r="E544" s="7" t="s">
        <v>82</v>
      </c>
      <c r="F544" s="7" t="s">
        <v>82</v>
      </c>
      <c r="G544" s="7"/>
      <c r="H544" s="7" t="s">
        <v>207</v>
      </c>
      <c r="I544" s="7" t="s">
        <v>1104</v>
      </c>
      <c r="J544" s="7" t="s">
        <v>104</v>
      </c>
      <c r="K544" s="7" t="s">
        <v>105</v>
      </c>
      <c r="L544" s="7" t="s">
        <v>106</v>
      </c>
      <c r="M544" s="7"/>
      <c r="N544" s="7" t="s">
        <v>4359</v>
      </c>
      <c r="O544" s="7" t="s">
        <v>4359</v>
      </c>
      <c r="P544" s="7" t="s">
        <v>135</v>
      </c>
      <c r="Q544" s="7"/>
      <c r="R544" s="7" t="s">
        <v>109</v>
      </c>
      <c r="S544" s="7" t="s">
        <v>110</v>
      </c>
      <c r="T544" s="7" t="n">
        <v>0.164</v>
      </c>
      <c r="U544" s="7" t="n">
        <v>1</v>
      </c>
      <c r="V544" s="7" t="s">
        <v>90</v>
      </c>
      <c r="W544" s="7"/>
      <c r="X544" s="7"/>
      <c r="Y544" s="7" t="s">
        <v>4359</v>
      </c>
      <c r="Z544" s="7"/>
      <c r="AA544" s="7"/>
      <c r="AB544" s="7"/>
      <c r="AC544" s="7" t="n">
        <v>0</v>
      </c>
      <c r="AD544" s="7" t="s">
        <v>388</v>
      </c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 t="s">
        <v>220</v>
      </c>
      <c r="BE544" s="7" t="s">
        <v>127</v>
      </c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</row>
    <row r="545" customFormat="false" ht="15" hidden="false" customHeight="false" outlineLevel="0" collapsed="false">
      <c r="A545" s="7" t="s">
        <v>4360</v>
      </c>
      <c r="B545" s="7" t="s">
        <v>4361</v>
      </c>
      <c r="C545" s="7" t="s">
        <v>4362</v>
      </c>
      <c r="D545" s="7" t="s">
        <v>4363</v>
      </c>
      <c r="E545" s="7" t="s">
        <v>516</v>
      </c>
      <c r="F545" s="7" t="s">
        <v>516</v>
      </c>
      <c r="G545" s="7" t="s">
        <v>2455</v>
      </c>
      <c r="H545" s="7" t="s">
        <v>207</v>
      </c>
      <c r="I545" s="7" t="s">
        <v>132</v>
      </c>
      <c r="J545" s="7" t="s">
        <v>104</v>
      </c>
      <c r="K545" s="7" t="s">
        <v>105</v>
      </c>
      <c r="L545" s="7" t="s">
        <v>106</v>
      </c>
      <c r="M545" s="7"/>
      <c r="N545" s="7" t="s">
        <v>4364</v>
      </c>
      <c r="O545" s="7" t="s">
        <v>4364</v>
      </c>
      <c r="P545" s="7" t="s">
        <v>135</v>
      </c>
      <c r="Q545" s="7"/>
      <c r="R545" s="7" t="s">
        <v>109</v>
      </c>
      <c r="S545" s="7" t="s">
        <v>110</v>
      </c>
      <c r="T545" s="7" t="n">
        <v>0.294</v>
      </c>
      <c r="U545" s="7" t="n">
        <v>1</v>
      </c>
      <c r="V545" s="7" t="s">
        <v>90</v>
      </c>
      <c r="W545" s="7"/>
      <c r="X545" s="7"/>
      <c r="Y545" s="7" t="s">
        <v>4364</v>
      </c>
      <c r="Z545" s="7"/>
      <c r="AA545" s="7"/>
      <c r="AB545" s="7"/>
      <c r="AC545" s="7" t="n">
        <v>0</v>
      </c>
      <c r="AD545" s="7" t="s">
        <v>388</v>
      </c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 t="s">
        <v>440</v>
      </c>
      <c r="BE545" s="7" t="s">
        <v>127</v>
      </c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</row>
    <row r="546" customFormat="false" ht="15" hidden="false" customHeight="false" outlineLevel="0" collapsed="false">
      <c r="A546" s="7" t="s">
        <v>4365</v>
      </c>
      <c r="B546" s="7" t="s">
        <v>4366</v>
      </c>
      <c r="C546" s="7" t="s">
        <v>4367</v>
      </c>
      <c r="D546" s="7" t="s">
        <v>671</v>
      </c>
      <c r="E546" s="7" t="s">
        <v>101</v>
      </c>
      <c r="F546" s="7" t="s">
        <v>101</v>
      </c>
      <c r="G546" s="7"/>
      <c r="H546" s="7" t="s">
        <v>102</v>
      </c>
      <c r="I546" s="7" t="s">
        <v>208</v>
      </c>
      <c r="J546" s="7" t="s">
        <v>104</v>
      </c>
      <c r="K546" s="7" t="s">
        <v>105</v>
      </c>
      <c r="L546" s="7" t="s">
        <v>106</v>
      </c>
      <c r="M546" s="7"/>
      <c r="N546" s="7" t="s">
        <v>4368</v>
      </c>
      <c r="O546" s="7"/>
      <c r="P546" s="7" t="s">
        <v>135</v>
      </c>
      <c r="Q546" s="7"/>
      <c r="R546" s="7" t="s">
        <v>135</v>
      </c>
      <c r="S546" s="7" t="s">
        <v>136</v>
      </c>
      <c r="T546" s="7" t="n">
        <v>0.587</v>
      </c>
      <c r="U546" s="7" t="n">
        <v>1</v>
      </c>
      <c r="V546" s="7" t="s">
        <v>90</v>
      </c>
      <c r="W546" s="7"/>
      <c r="X546" s="7"/>
      <c r="Y546" s="7" t="s">
        <v>4368</v>
      </c>
      <c r="Z546" s="7"/>
      <c r="AA546" s="7"/>
      <c r="AB546" s="7"/>
      <c r="AC546" s="7" t="n">
        <v>0</v>
      </c>
      <c r="AD546" s="7" t="s">
        <v>388</v>
      </c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 t="s">
        <v>127</v>
      </c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</row>
    <row r="547" customFormat="false" ht="15" hidden="false" customHeight="false" outlineLevel="0" collapsed="false">
      <c r="A547" s="7" t="s">
        <v>4369</v>
      </c>
      <c r="B547" s="7" t="s">
        <v>4370</v>
      </c>
      <c r="C547" s="7" t="s">
        <v>4371</v>
      </c>
      <c r="D547" s="7" t="s">
        <v>4372</v>
      </c>
      <c r="E547" s="7" t="s">
        <v>82</v>
      </c>
      <c r="F547" s="7" t="s">
        <v>82</v>
      </c>
      <c r="G547" s="7"/>
      <c r="H547" s="7" t="s">
        <v>207</v>
      </c>
      <c r="I547" s="7" t="s">
        <v>208</v>
      </c>
      <c r="J547" s="7" t="s">
        <v>104</v>
      </c>
      <c r="K547" s="7" t="s">
        <v>105</v>
      </c>
      <c r="L547" s="7" t="s">
        <v>106</v>
      </c>
      <c r="M547" s="7"/>
      <c r="N547" s="7" t="s">
        <v>4373</v>
      </c>
      <c r="O547" s="7" t="s">
        <v>4373</v>
      </c>
      <c r="P547" s="7" t="s">
        <v>135</v>
      </c>
      <c r="Q547" s="7"/>
      <c r="R547" s="7" t="s">
        <v>109</v>
      </c>
      <c r="S547" s="7" t="s">
        <v>110</v>
      </c>
      <c r="T547" s="7" t="n">
        <v>0.328</v>
      </c>
      <c r="U547" s="7" t="n">
        <v>1</v>
      </c>
      <c r="V547" s="7" t="s">
        <v>90</v>
      </c>
      <c r="W547" s="7"/>
      <c r="X547" s="7"/>
      <c r="Y547" s="7" t="s">
        <v>4373</v>
      </c>
      <c r="Z547" s="7"/>
      <c r="AA547" s="7"/>
      <c r="AB547" s="7"/>
      <c r="AC547" s="7" t="n">
        <v>0</v>
      </c>
      <c r="AD547" s="7" t="s">
        <v>388</v>
      </c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 t="s">
        <v>220</v>
      </c>
      <c r="BE547" s="7" t="s">
        <v>127</v>
      </c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</row>
    <row r="548" customFormat="false" ht="15" hidden="false" customHeight="false" outlineLevel="0" collapsed="false">
      <c r="A548" s="7" t="s">
        <v>4374</v>
      </c>
      <c r="B548" s="7" t="s">
        <v>4375</v>
      </c>
      <c r="C548" s="7" t="s">
        <v>4376</v>
      </c>
      <c r="D548" s="7" t="s">
        <v>4377</v>
      </c>
      <c r="E548" s="7" t="s">
        <v>431</v>
      </c>
      <c r="F548" s="7" t="s">
        <v>431</v>
      </c>
      <c r="G548" s="7"/>
      <c r="H548" s="7" t="s">
        <v>207</v>
      </c>
      <c r="I548" s="7" t="s">
        <v>158</v>
      </c>
      <c r="J548" s="7" t="s">
        <v>104</v>
      </c>
      <c r="K548" s="7" t="s">
        <v>105</v>
      </c>
      <c r="L548" s="7" t="s">
        <v>106</v>
      </c>
      <c r="M548" s="7"/>
      <c r="N548" s="7" t="s">
        <v>4378</v>
      </c>
      <c r="O548" s="7" t="s">
        <v>4378</v>
      </c>
      <c r="P548" s="7" t="s">
        <v>109</v>
      </c>
      <c r="Q548" s="7"/>
      <c r="R548" s="7" t="s">
        <v>109</v>
      </c>
      <c r="S548" s="7" t="s">
        <v>110</v>
      </c>
      <c r="T548" s="7" t="n">
        <v>0.47</v>
      </c>
      <c r="U548" s="7" t="n">
        <v>1</v>
      </c>
      <c r="V548" s="7" t="s">
        <v>1156</v>
      </c>
      <c r="W548" s="7"/>
      <c r="X548" s="7"/>
      <c r="Y548" s="7" t="s">
        <v>4378</v>
      </c>
      <c r="Z548" s="7"/>
      <c r="AA548" s="7"/>
      <c r="AB548" s="7"/>
      <c r="AC548" s="7" t="n">
        <v>0</v>
      </c>
      <c r="AD548" s="7" t="s">
        <v>388</v>
      </c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 t="s">
        <v>127</v>
      </c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</row>
    <row r="549" customFormat="false" ht="15" hidden="false" customHeight="false" outlineLevel="0" collapsed="false">
      <c r="A549" s="7" t="s">
        <v>4379</v>
      </c>
      <c r="B549" s="7" t="s">
        <v>4380</v>
      </c>
      <c r="C549" s="7" t="s">
        <v>4381</v>
      </c>
      <c r="D549" s="7" t="s">
        <v>392</v>
      </c>
      <c r="E549" s="7" t="s">
        <v>101</v>
      </c>
      <c r="F549" s="7" t="s">
        <v>101</v>
      </c>
      <c r="G549" s="7"/>
      <c r="H549" s="7" t="s">
        <v>102</v>
      </c>
      <c r="I549" s="7" t="s">
        <v>132</v>
      </c>
      <c r="J549" s="7" t="s">
        <v>104</v>
      </c>
      <c r="K549" s="7" t="s">
        <v>105</v>
      </c>
      <c r="L549" s="7" t="s">
        <v>106</v>
      </c>
      <c r="M549" s="7"/>
      <c r="N549" s="7" t="s">
        <v>4382</v>
      </c>
      <c r="O549" s="7"/>
      <c r="P549" s="7" t="s">
        <v>135</v>
      </c>
      <c r="Q549" s="7"/>
      <c r="R549" s="7" t="s">
        <v>135</v>
      </c>
      <c r="S549" s="7" t="s">
        <v>136</v>
      </c>
      <c r="T549" s="7" t="n">
        <v>0.36</v>
      </c>
      <c r="U549" s="7" t="n">
        <v>1</v>
      </c>
      <c r="V549" s="7" t="s">
        <v>90</v>
      </c>
      <c r="W549" s="7"/>
      <c r="X549" s="7"/>
      <c r="Y549" s="7" t="s">
        <v>4382</v>
      </c>
      <c r="Z549" s="7"/>
      <c r="AA549" s="7"/>
      <c r="AB549" s="7"/>
      <c r="AC549" s="7" t="n">
        <v>0</v>
      </c>
      <c r="AD549" s="7" t="s">
        <v>388</v>
      </c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 t="s">
        <v>127</v>
      </c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</row>
    <row r="550" customFormat="false" ht="15" hidden="false" customHeight="false" outlineLevel="0" collapsed="false">
      <c r="A550" s="7" t="s">
        <v>4383</v>
      </c>
      <c r="B550" s="7" t="s">
        <v>4384</v>
      </c>
      <c r="C550" s="7" t="s">
        <v>4385</v>
      </c>
      <c r="D550" s="7" t="s">
        <v>392</v>
      </c>
      <c r="E550" s="7" t="s">
        <v>101</v>
      </c>
      <c r="F550" s="7" t="s">
        <v>101</v>
      </c>
      <c r="G550" s="7"/>
      <c r="H550" s="7" t="s">
        <v>102</v>
      </c>
      <c r="I550" s="7" t="s">
        <v>234</v>
      </c>
      <c r="J550" s="7" t="s">
        <v>104</v>
      </c>
      <c r="K550" s="7" t="s">
        <v>105</v>
      </c>
      <c r="L550" s="7" t="s">
        <v>235</v>
      </c>
      <c r="M550" s="7"/>
      <c r="N550" s="7" t="s">
        <v>4386</v>
      </c>
      <c r="O550" s="7"/>
      <c r="P550" s="7" t="s">
        <v>135</v>
      </c>
      <c r="Q550" s="7"/>
      <c r="R550" s="7" t="s">
        <v>135</v>
      </c>
      <c r="S550" s="7" t="s">
        <v>136</v>
      </c>
      <c r="T550" s="7" t="n">
        <v>0.38</v>
      </c>
      <c r="U550" s="7" t="n">
        <v>1</v>
      </c>
      <c r="V550" s="7" t="s">
        <v>90</v>
      </c>
      <c r="W550" s="7"/>
      <c r="X550" s="7"/>
      <c r="Y550" s="7" t="s">
        <v>4386</v>
      </c>
      <c r="Z550" s="7"/>
      <c r="AA550" s="7"/>
      <c r="AB550" s="7"/>
      <c r="AC550" s="7" t="n">
        <v>0</v>
      </c>
      <c r="AD550" s="7" t="s">
        <v>388</v>
      </c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 t="s">
        <v>127</v>
      </c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</row>
    <row r="551" customFormat="false" ht="15" hidden="false" customHeight="false" outlineLevel="0" collapsed="false">
      <c r="A551" s="7" t="s">
        <v>4387</v>
      </c>
      <c r="B551" s="7" t="s">
        <v>4388</v>
      </c>
      <c r="C551" s="7" t="s">
        <v>4389</v>
      </c>
      <c r="D551" s="7" t="s">
        <v>686</v>
      </c>
      <c r="E551" s="7" t="s">
        <v>101</v>
      </c>
      <c r="F551" s="7" t="s">
        <v>101</v>
      </c>
      <c r="G551" s="7"/>
      <c r="H551" s="7" t="s">
        <v>102</v>
      </c>
      <c r="I551" s="7" t="s">
        <v>158</v>
      </c>
      <c r="J551" s="7" t="s">
        <v>104</v>
      </c>
      <c r="K551" s="7" t="s">
        <v>105</v>
      </c>
      <c r="L551" s="7" t="s">
        <v>106</v>
      </c>
      <c r="M551" s="7"/>
      <c r="N551" s="7" t="s">
        <v>4390</v>
      </c>
      <c r="O551" s="7"/>
      <c r="P551" s="7" t="s">
        <v>135</v>
      </c>
      <c r="Q551" s="7"/>
      <c r="R551" s="7" t="s">
        <v>135</v>
      </c>
      <c r="S551" s="7" t="s">
        <v>136</v>
      </c>
      <c r="T551" s="7" t="n">
        <v>0.773</v>
      </c>
      <c r="U551" s="7" t="n">
        <v>1</v>
      </c>
      <c r="V551" s="7" t="s">
        <v>90</v>
      </c>
      <c r="W551" s="7"/>
      <c r="X551" s="7"/>
      <c r="Y551" s="7" t="s">
        <v>4390</v>
      </c>
      <c r="Z551" s="7"/>
      <c r="AA551" s="7"/>
      <c r="AB551" s="7"/>
      <c r="AC551" s="7" t="n">
        <v>0</v>
      </c>
      <c r="AD551" s="7" t="s">
        <v>388</v>
      </c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 t="s">
        <v>127</v>
      </c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</row>
    <row r="552" customFormat="false" ht="15" hidden="false" customHeight="false" outlineLevel="0" collapsed="false">
      <c r="A552" s="7" t="s">
        <v>4391</v>
      </c>
      <c r="B552" s="7" t="s">
        <v>4392</v>
      </c>
      <c r="C552" s="7" t="s">
        <v>4393</v>
      </c>
      <c r="D552" s="7" t="s">
        <v>671</v>
      </c>
      <c r="E552" s="7" t="s">
        <v>101</v>
      </c>
      <c r="F552" s="7" t="s">
        <v>101</v>
      </c>
      <c r="G552" s="7"/>
      <c r="H552" s="7" t="s">
        <v>102</v>
      </c>
      <c r="I552" s="7" t="s">
        <v>132</v>
      </c>
      <c r="J552" s="7" t="s">
        <v>104</v>
      </c>
      <c r="K552" s="7" t="s">
        <v>105</v>
      </c>
      <c r="L552" s="7" t="s">
        <v>106</v>
      </c>
      <c r="M552" s="7"/>
      <c r="N552" s="7" t="s">
        <v>4394</v>
      </c>
      <c r="O552" s="7"/>
      <c r="P552" s="7" t="s">
        <v>135</v>
      </c>
      <c r="Q552" s="7"/>
      <c r="R552" s="7" t="s">
        <v>135</v>
      </c>
      <c r="S552" s="7" t="s">
        <v>136</v>
      </c>
      <c r="T552" s="7" t="n">
        <v>0.657</v>
      </c>
      <c r="U552" s="7" t="n">
        <v>1</v>
      </c>
      <c r="V552" s="7" t="s">
        <v>90</v>
      </c>
      <c r="W552" s="7"/>
      <c r="X552" s="7"/>
      <c r="Y552" s="7" t="s">
        <v>4394</v>
      </c>
      <c r="Z552" s="7"/>
      <c r="AA552" s="7"/>
      <c r="AB552" s="7"/>
      <c r="AC552" s="7" t="n">
        <v>0</v>
      </c>
      <c r="AD552" s="7" t="s">
        <v>388</v>
      </c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 t="s">
        <v>127</v>
      </c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</row>
    <row r="553" customFormat="false" ht="15" hidden="false" customHeight="false" outlineLevel="0" collapsed="false">
      <c r="A553" s="7" t="s">
        <v>4395</v>
      </c>
      <c r="B553" s="7" t="s">
        <v>4396</v>
      </c>
      <c r="C553" s="7" t="s">
        <v>4397</v>
      </c>
      <c r="D553" s="7" t="s">
        <v>392</v>
      </c>
      <c r="E553" s="7" t="s">
        <v>101</v>
      </c>
      <c r="F553" s="7" t="s">
        <v>101</v>
      </c>
      <c r="G553" s="7"/>
      <c r="H553" s="7" t="s">
        <v>102</v>
      </c>
      <c r="I553" s="7" t="s">
        <v>158</v>
      </c>
      <c r="J553" s="7" t="s">
        <v>104</v>
      </c>
      <c r="K553" s="7" t="s">
        <v>105</v>
      </c>
      <c r="L553" s="7" t="s">
        <v>106</v>
      </c>
      <c r="M553" s="7"/>
      <c r="N553" s="7" t="s">
        <v>4398</v>
      </c>
      <c r="O553" s="7"/>
      <c r="P553" s="7" t="s">
        <v>135</v>
      </c>
      <c r="Q553" s="7"/>
      <c r="R553" s="7" t="s">
        <v>135</v>
      </c>
      <c r="S553" s="7" t="s">
        <v>136</v>
      </c>
      <c r="T553" s="7" t="n">
        <v>0.838</v>
      </c>
      <c r="U553" s="7" t="n">
        <v>1</v>
      </c>
      <c r="V553" s="7" t="s">
        <v>90</v>
      </c>
      <c r="W553" s="7"/>
      <c r="X553" s="7"/>
      <c r="Y553" s="7" t="s">
        <v>4398</v>
      </c>
      <c r="Z553" s="7"/>
      <c r="AA553" s="7"/>
      <c r="AB553" s="7"/>
      <c r="AC553" s="7" t="n">
        <v>0</v>
      </c>
      <c r="AD553" s="7" t="s">
        <v>388</v>
      </c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 t="s">
        <v>127</v>
      </c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</row>
    <row r="554" customFormat="false" ht="15" hidden="false" customHeight="false" outlineLevel="0" collapsed="false">
      <c r="A554" s="7" t="s">
        <v>4399</v>
      </c>
      <c r="B554" s="7" t="s">
        <v>4400</v>
      </c>
      <c r="C554" s="7" t="s">
        <v>4401</v>
      </c>
      <c r="D554" s="7" t="s">
        <v>392</v>
      </c>
      <c r="E554" s="7" t="s">
        <v>101</v>
      </c>
      <c r="F554" s="7" t="s">
        <v>101</v>
      </c>
      <c r="G554" s="7"/>
      <c r="H554" s="7" t="s">
        <v>102</v>
      </c>
      <c r="I554" s="7" t="s">
        <v>208</v>
      </c>
      <c r="J554" s="7" t="s">
        <v>104</v>
      </c>
      <c r="K554" s="7" t="s">
        <v>105</v>
      </c>
      <c r="L554" s="7" t="s">
        <v>106</v>
      </c>
      <c r="M554" s="7"/>
      <c r="N554" s="7" t="s">
        <v>4402</v>
      </c>
      <c r="O554" s="7"/>
      <c r="P554" s="7" t="s">
        <v>135</v>
      </c>
      <c r="Q554" s="7"/>
      <c r="R554" s="7" t="s">
        <v>135</v>
      </c>
      <c r="S554" s="7" t="s">
        <v>136</v>
      </c>
      <c r="T554" s="7" t="n">
        <v>0.506</v>
      </c>
      <c r="U554" s="7" t="n">
        <v>1</v>
      </c>
      <c r="V554" s="7" t="s">
        <v>90</v>
      </c>
      <c r="W554" s="7"/>
      <c r="X554" s="7"/>
      <c r="Y554" s="7" t="s">
        <v>4402</v>
      </c>
      <c r="Z554" s="7"/>
      <c r="AA554" s="7"/>
      <c r="AB554" s="7"/>
      <c r="AC554" s="7" t="n">
        <v>0</v>
      </c>
      <c r="AD554" s="7" t="s">
        <v>388</v>
      </c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 t="s">
        <v>127</v>
      </c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</row>
    <row r="555" customFormat="false" ht="15" hidden="false" customHeight="false" outlineLevel="0" collapsed="false">
      <c r="A555" s="7" t="s">
        <v>4403</v>
      </c>
      <c r="B555" s="7" t="s">
        <v>4404</v>
      </c>
      <c r="C555" s="7" t="s">
        <v>4405</v>
      </c>
      <c r="D555" s="7" t="s">
        <v>4406</v>
      </c>
      <c r="E555" s="7" t="s">
        <v>101</v>
      </c>
      <c r="F555" s="7" t="s">
        <v>101</v>
      </c>
      <c r="G555" s="7"/>
      <c r="H555" s="7" t="s">
        <v>102</v>
      </c>
      <c r="I555" s="7" t="s">
        <v>158</v>
      </c>
      <c r="J555" s="7" t="s">
        <v>104</v>
      </c>
      <c r="K555" s="7" t="s">
        <v>105</v>
      </c>
      <c r="L555" s="7" t="s">
        <v>106</v>
      </c>
      <c r="M555" s="7"/>
      <c r="N555" s="7" t="s">
        <v>4407</v>
      </c>
      <c r="O555" s="7" t="s">
        <v>4407</v>
      </c>
      <c r="P555" s="7" t="s">
        <v>135</v>
      </c>
      <c r="Q555" s="7"/>
      <c r="R555" s="7" t="s">
        <v>109</v>
      </c>
      <c r="S555" s="7" t="s">
        <v>110</v>
      </c>
      <c r="T555" s="7" t="n">
        <v>0.441</v>
      </c>
      <c r="U555" s="7" t="n">
        <v>1</v>
      </c>
      <c r="V555" s="7" t="s">
        <v>90</v>
      </c>
      <c r="W555" s="7"/>
      <c r="X555" s="7"/>
      <c r="Y555" s="7" t="s">
        <v>4407</v>
      </c>
      <c r="Z555" s="7"/>
      <c r="AA555" s="7"/>
      <c r="AB555" s="7"/>
      <c r="AC555" s="7" t="n">
        <v>0</v>
      </c>
      <c r="AD555" s="7" t="s">
        <v>388</v>
      </c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 t="s">
        <v>127</v>
      </c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</row>
    <row r="556" customFormat="false" ht="15" hidden="false" customHeight="false" outlineLevel="0" collapsed="false">
      <c r="A556" s="7" t="s">
        <v>4408</v>
      </c>
      <c r="B556" s="7" t="s">
        <v>4409</v>
      </c>
      <c r="C556" s="7" t="s">
        <v>4410</v>
      </c>
      <c r="D556" s="7" t="s">
        <v>392</v>
      </c>
      <c r="E556" s="7" t="s">
        <v>101</v>
      </c>
      <c r="F556" s="7" t="s">
        <v>101</v>
      </c>
      <c r="G556" s="7"/>
      <c r="H556" s="7" t="s">
        <v>102</v>
      </c>
      <c r="I556" s="7" t="s">
        <v>1104</v>
      </c>
      <c r="J556" s="7" t="s">
        <v>104</v>
      </c>
      <c r="K556" s="7" t="s">
        <v>105</v>
      </c>
      <c r="L556" s="7" t="s">
        <v>4411</v>
      </c>
      <c r="M556" s="7"/>
      <c r="N556" s="7" t="s">
        <v>4412</v>
      </c>
      <c r="O556" s="7"/>
      <c r="P556" s="7" t="s">
        <v>135</v>
      </c>
      <c r="Q556" s="7"/>
      <c r="R556" s="7" t="s">
        <v>135</v>
      </c>
      <c r="S556" s="7" t="s">
        <v>136</v>
      </c>
      <c r="T556" s="7" t="n">
        <v>0.273</v>
      </c>
      <c r="U556" s="7" t="n">
        <v>1</v>
      </c>
      <c r="V556" s="7" t="s">
        <v>90</v>
      </c>
      <c r="W556" s="7"/>
      <c r="X556" s="7"/>
      <c r="Y556" s="7" t="s">
        <v>4412</v>
      </c>
      <c r="Z556" s="7"/>
      <c r="AA556" s="7"/>
      <c r="AB556" s="7"/>
      <c r="AC556" s="7" t="n">
        <v>0</v>
      </c>
      <c r="AD556" s="7" t="s">
        <v>388</v>
      </c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 t="s">
        <v>127</v>
      </c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</row>
    <row r="557" customFormat="false" ht="15" hidden="false" customHeight="false" outlineLevel="0" collapsed="false">
      <c r="A557" s="7" t="s">
        <v>4413</v>
      </c>
      <c r="B557" s="7" t="s">
        <v>4414</v>
      </c>
      <c r="C557" s="7" t="s">
        <v>4415</v>
      </c>
      <c r="D557" s="7" t="s">
        <v>4416</v>
      </c>
      <c r="E557" s="7" t="s">
        <v>82</v>
      </c>
      <c r="F557" s="7" t="s">
        <v>82</v>
      </c>
      <c r="G557" s="7"/>
      <c r="H557" s="7" t="s">
        <v>207</v>
      </c>
      <c r="I557" s="7" t="s">
        <v>158</v>
      </c>
      <c r="J557" s="7" t="s">
        <v>104</v>
      </c>
      <c r="K557" s="7" t="s">
        <v>105</v>
      </c>
      <c r="L557" s="7" t="s">
        <v>106</v>
      </c>
      <c r="M557" s="7"/>
      <c r="N557" s="7" t="s">
        <v>4417</v>
      </c>
      <c r="O557" s="7" t="s">
        <v>4417</v>
      </c>
      <c r="P557" s="7" t="s">
        <v>109</v>
      </c>
      <c r="Q557" s="7"/>
      <c r="R557" s="7" t="s">
        <v>109</v>
      </c>
      <c r="S557" s="7" t="s">
        <v>110</v>
      </c>
      <c r="T557" s="7" t="n">
        <v>0.622</v>
      </c>
      <c r="U557" s="7" t="n">
        <v>1</v>
      </c>
      <c r="V557" s="7" t="s">
        <v>1156</v>
      </c>
      <c r="W557" s="7"/>
      <c r="X557" s="7"/>
      <c r="Y557" s="7" t="s">
        <v>4417</v>
      </c>
      <c r="Z557" s="7"/>
      <c r="AA557" s="7"/>
      <c r="AB557" s="7"/>
      <c r="AC557" s="7" t="n">
        <v>0</v>
      </c>
      <c r="AD557" s="7" t="s">
        <v>388</v>
      </c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 t="s">
        <v>220</v>
      </c>
      <c r="BE557" s="7" t="s">
        <v>127</v>
      </c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</row>
    <row r="558" customFormat="false" ht="15" hidden="false" customHeight="false" outlineLevel="0" collapsed="false">
      <c r="A558" s="7" t="s">
        <v>4418</v>
      </c>
      <c r="B558" s="7" t="s">
        <v>4419</v>
      </c>
      <c r="C558" s="7" t="s">
        <v>4420</v>
      </c>
      <c r="D558" s="7" t="s">
        <v>4421</v>
      </c>
      <c r="E558" s="7" t="s">
        <v>444</v>
      </c>
      <c r="F558" s="7" t="s">
        <v>444</v>
      </c>
      <c r="G558" s="7"/>
      <c r="H558" s="7" t="s">
        <v>207</v>
      </c>
      <c r="I558" s="7" t="s">
        <v>208</v>
      </c>
      <c r="J558" s="7" t="s">
        <v>104</v>
      </c>
      <c r="K558" s="7" t="s">
        <v>105</v>
      </c>
      <c r="L558" s="7" t="s">
        <v>106</v>
      </c>
      <c r="M558" s="7"/>
      <c r="N558" s="7" t="s">
        <v>4422</v>
      </c>
      <c r="O558" s="7" t="s">
        <v>4422</v>
      </c>
      <c r="P558" s="7" t="s">
        <v>135</v>
      </c>
      <c r="Q558" s="7"/>
      <c r="R558" s="7" t="s">
        <v>109</v>
      </c>
      <c r="S558" s="7" t="s">
        <v>110</v>
      </c>
      <c r="T558" s="7" t="n">
        <v>0.413</v>
      </c>
      <c r="U558" s="7" t="n">
        <v>1</v>
      </c>
      <c r="V558" s="7" t="s">
        <v>90</v>
      </c>
      <c r="W558" s="7"/>
      <c r="X558" s="7"/>
      <c r="Y558" s="7" t="s">
        <v>4422</v>
      </c>
      <c r="Z558" s="7"/>
      <c r="AA558" s="7"/>
      <c r="AB558" s="7"/>
      <c r="AC558" s="7" t="n">
        <v>0</v>
      </c>
      <c r="AD558" s="7" t="s">
        <v>388</v>
      </c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 t="s">
        <v>440</v>
      </c>
      <c r="BE558" s="7" t="s">
        <v>127</v>
      </c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</row>
    <row r="559" customFormat="false" ht="15" hidden="false" customHeight="false" outlineLevel="0" collapsed="false">
      <c r="A559" s="7" t="s">
        <v>4423</v>
      </c>
      <c r="B559" s="7" t="s">
        <v>4424</v>
      </c>
      <c r="C559" s="7" t="s">
        <v>4425</v>
      </c>
      <c r="D559" s="7" t="s">
        <v>392</v>
      </c>
      <c r="E559" s="7" t="s">
        <v>101</v>
      </c>
      <c r="F559" s="7" t="s">
        <v>101</v>
      </c>
      <c r="G559" s="7"/>
      <c r="H559" s="7" t="s">
        <v>102</v>
      </c>
      <c r="I559" s="7" t="s">
        <v>300</v>
      </c>
      <c r="J559" s="7" t="s">
        <v>104</v>
      </c>
      <c r="K559" s="7" t="s">
        <v>105</v>
      </c>
      <c r="L559" s="7" t="s">
        <v>106</v>
      </c>
      <c r="M559" s="7"/>
      <c r="N559" s="7" t="s">
        <v>4426</v>
      </c>
      <c r="O559" s="7"/>
      <c r="P559" s="7" t="s">
        <v>135</v>
      </c>
      <c r="Q559" s="7"/>
      <c r="R559" s="7" t="s">
        <v>135</v>
      </c>
      <c r="S559" s="7" t="s">
        <v>136</v>
      </c>
      <c r="T559" s="7" t="n">
        <v>0.794</v>
      </c>
      <c r="U559" s="7" t="n">
        <v>1</v>
      </c>
      <c r="V559" s="7" t="s">
        <v>90</v>
      </c>
      <c r="W559" s="7"/>
      <c r="X559" s="7"/>
      <c r="Y559" s="7" t="s">
        <v>4426</v>
      </c>
      <c r="Z559" s="7"/>
      <c r="AA559" s="7"/>
      <c r="AB559" s="7"/>
      <c r="AC559" s="7" t="n">
        <v>0</v>
      </c>
      <c r="AD559" s="7" t="s">
        <v>388</v>
      </c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 t="s">
        <v>127</v>
      </c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</row>
    <row r="560" customFormat="false" ht="15" hidden="false" customHeight="false" outlineLevel="0" collapsed="false">
      <c r="A560" s="7" t="s">
        <v>4427</v>
      </c>
      <c r="B560" s="7" t="s">
        <v>4428</v>
      </c>
      <c r="C560" s="7" t="s">
        <v>4429</v>
      </c>
      <c r="D560" s="7" t="s">
        <v>392</v>
      </c>
      <c r="E560" s="7" t="s">
        <v>101</v>
      </c>
      <c r="F560" s="7" t="s">
        <v>101</v>
      </c>
      <c r="G560" s="7"/>
      <c r="H560" s="7" t="s">
        <v>102</v>
      </c>
      <c r="I560" s="7" t="s">
        <v>132</v>
      </c>
      <c r="J560" s="7" t="s">
        <v>104</v>
      </c>
      <c r="K560" s="7" t="s">
        <v>105</v>
      </c>
      <c r="L560" s="7" t="s">
        <v>106</v>
      </c>
      <c r="M560" s="7"/>
      <c r="N560" s="7" t="s">
        <v>4430</v>
      </c>
      <c r="O560" s="7"/>
      <c r="P560" s="7" t="s">
        <v>135</v>
      </c>
      <c r="Q560" s="7"/>
      <c r="R560" s="7" t="s">
        <v>135</v>
      </c>
      <c r="S560" s="7" t="s">
        <v>136</v>
      </c>
      <c r="T560" s="7" t="n">
        <v>0.426</v>
      </c>
      <c r="U560" s="7" t="n">
        <v>1</v>
      </c>
      <c r="V560" s="7" t="s">
        <v>90</v>
      </c>
      <c r="W560" s="7"/>
      <c r="X560" s="7"/>
      <c r="Y560" s="7" t="s">
        <v>4430</v>
      </c>
      <c r="Z560" s="7"/>
      <c r="AA560" s="7"/>
      <c r="AB560" s="7"/>
      <c r="AC560" s="7" t="n">
        <v>0</v>
      </c>
      <c r="AD560" s="7" t="s">
        <v>388</v>
      </c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 t="s">
        <v>4431</v>
      </c>
      <c r="BE560" s="7" t="s">
        <v>127</v>
      </c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</row>
    <row r="561" customFormat="false" ht="15" hidden="false" customHeight="false" outlineLevel="0" collapsed="false">
      <c r="A561" s="7" t="s">
        <v>4432</v>
      </c>
      <c r="B561" s="7" t="s">
        <v>4433</v>
      </c>
      <c r="C561" s="7" t="s">
        <v>4434</v>
      </c>
      <c r="D561" s="7" t="s">
        <v>2146</v>
      </c>
      <c r="E561" s="7" t="s">
        <v>1966</v>
      </c>
      <c r="F561" s="7" t="s">
        <v>1966</v>
      </c>
      <c r="G561" s="7"/>
      <c r="H561" s="7" t="s">
        <v>207</v>
      </c>
      <c r="I561" s="7" t="s">
        <v>208</v>
      </c>
      <c r="J561" s="7" t="s">
        <v>104</v>
      </c>
      <c r="K561" s="7" t="s">
        <v>105</v>
      </c>
      <c r="L561" s="7" t="s">
        <v>106</v>
      </c>
      <c r="M561" s="7"/>
      <c r="N561" s="7" t="s">
        <v>4435</v>
      </c>
      <c r="O561" s="7" t="s">
        <v>4435</v>
      </c>
      <c r="P561" s="7" t="s">
        <v>135</v>
      </c>
      <c r="Q561" s="7"/>
      <c r="R561" s="7" t="s">
        <v>109</v>
      </c>
      <c r="S561" s="7" t="s">
        <v>110</v>
      </c>
      <c r="T561" s="7" t="n">
        <v>0.442</v>
      </c>
      <c r="U561" s="7" t="n">
        <v>1</v>
      </c>
      <c r="V561" s="7" t="s">
        <v>90</v>
      </c>
      <c r="W561" s="7"/>
      <c r="X561" s="7"/>
      <c r="Y561" s="7" t="s">
        <v>4435</v>
      </c>
      <c r="Z561" s="7"/>
      <c r="AA561" s="7"/>
      <c r="AB561" s="7"/>
      <c r="AC561" s="7" t="n">
        <v>0</v>
      </c>
      <c r="AD561" s="7" t="s">
        <v>388</v>
      </c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 t="s">
        <v>440</v>
      </c>
      <c r="BE561" s="7" t="s">
        <v>127</v>
      </c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</row>
    <row r="562" customFormat="false" ht="15" hidden="false" customHeight="false" outlineLevel="0" collapsed="false">
      <c r="A562" s="7" t="s">
        <v>4436</v>
      </c>
      <c r="B562" s="7" t="s">
        <v>4437</v>
      </c>
      <c r="C562" s="9" t="s">
        <v>4438</v>
      </c>
      <c r="D562" s="7" t="s">
        <v>4439</v>
      </c>
      <c r="E562" s="7" t="s">
        <v>737</v>
      </c>
      <c r="F562" s="7" t="s">
        <v>737</v>
      </c>
      <c r="G562" s="7"/>
      <c r="H562" s="7" t="s">
        <v>207</v>
      </c>
      <c r="I562" s="7" t="s">
        <v>1639</v>
      </c>
      <c r="J562" s="7" t="s">
        <v>104</v>
      </c>
      <c r="K562" s="7" t="s">
        <v>105</v>
      </c>
      <c r="L562" s="7" t="s">
        <v>106</v>
      </c>
      <c r="M562" s="7"/>
      <c r="N562" s="7" t="s">
        <v>4440</v>
      </c>
      <c r="O562" s="7" t="s">
        <v>4440</v>
      </c>
      <c r="P562" s="7" t="s">
        <v>135</v>
      </c>
      <c r="Q562" s="7"/>
      <c r="R562" s="7" t="s">
        <v>109</v>
      </c>
      <c r="S562" s="7" t="s">
        <v>110</v>
      </c>
      <c r="T562" s="7" t="n">
        <v>0.343</v>
      </c>
      <c r="U562" s="7" t="n">
        <v>1</v>
      </c>
      <c r="V562" s="7" t="s">
        <v>90</v>
      </c>
      <c r="W562" s="7"/>
      <c r="X562" s="7"/>
      <c r="Y562" s="7" t="s">
        <v>4440</v>
      </c>
      <c r="Z562" s="7"/>
      <c r="AA562" s="7"/>
      <c r="AB562" s="7"/>
      <c r="AC562" s="7" t="n">
        <v>0</v>
      </c>
      <c r="AD562" s="7" t="s">
        <v>388</v>
      </c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 t="s">
        <v>2797</v>
      </c>
      <c r="BE562" s="7" t="s">
        <v>127</v>
      </c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</row>
    <row r="563" customFormat="false" ht="15" hidden="false" customHeight="false" outlineLevel="0" collapsed="false">
      <c r="A563" s="7" t="s">
        <v>4441</v>
      </c>
      <c r="B563" s="7" t="s">
        <v>4442</v>
      </c>
      <c r="C563" s="7" t="s">
        <v>4443</v>
      </c>
      <c r="D563" s="7" t="s">
        <v>4444</v>
      </c>
      <c r="E563" s="7" t="s">
        <v>1966</v>
      </c>
      <c r="F563" s="7" t="s">
        <v>1966</v>
      </c>
      <c r="G563" s="7"/>
      <c r="H563" s="7" t="s">
        <v>207</v>
      </c>
      <c r="I563" s="7" t="s">
        <v>300</v>
      </c>
      <c r="J563" s="7" t="s">
        <v>104</v>
      </c>
      <c r="K563" s="7" t="s">
        <v>105</v>
      </c>
      <c r="L563" s="7" t="s">
        <v>106</v>
      </c>
      <c r="M563" s="7"/>
      <c r="N563" s="7" t="s">
        <v>4445</v>
      </c>
      <c r="O563" s="7" t="s">
        <v>4445</v>
      </c>
      <c r="P563" s="7" t="s">
        <v>135</v>
      </c>
      <c r="Q563" s="7"/>
      <c r="R563" s="7" t="s">
        <v>109</v>
      </c>
      <c r="S563" s="7" t="s">
        <v>110</v>
      </c>
      <c r="T563" s="7" t="n">
        <v>0.588</v>
      </c>
      <c r="U563" s="7" t="n">
        <v>1</v>
      </c>
      <c r="V563" s="7" t="s">
        <v>90</v>
      </c>
      <c r="W563" s="7"/>
      <c r="X563" s="7"/>
      <c r="Y563" s="7" t="s">
        <v>4445</v>
      </c>
      <c r="Z563" s="7"/>
      <c r="AA563" s="7"/>
      <c r="AB563" s="7"/>
      <c r="AC563" s="7" t="n">
        <v>0</v>
      </c>
      <c r="AD563" s="7" t="s">
        <v>388</v>
      </c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 t="s">
        <v>2797</v>
      </c>
      <c r="BE563" s="7" t="s">
        <v>127</v>
      </c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</row>
    <row r="564" customFormat="false" ht="15" hidden="false" customHeight="false" outlineLevel="0" collapsed="false">
      <c r="A564" s="7" t="s">
        <v>4446</v>
      </c>
      <c r="B564" s="7" t="s">
        <v>4447</v>
      </c>
      <c r="C564" s="7" t="s">
        <v>4448</v>
      </c>
      <c r="D564" s="7" t="s">
        <v>4449</v>
      </c>
      <c r="E564" s="7" t="s">
        <v>1966</v>
      </c>
      <c r="F564" s="7" t="s">
        <v>1966</v>
      </c>
      <c r="G564" s="7"/>
      <c r="H564" s="7" t="s">
        <v>207</v>
      </c>
      <c r="I564" s="7" t="s">
        <v>208</v>
      </c>
      <c r="J564" s="7" t="s">
        <v>104</v>
      </c>
      <c r="K564" s="7" t="s">
        <v>105</v>
      </c>
      <c r="L564" s="7" t="s">
        <v>106</v>
      </c>
      <c r="M564" s="7"/>
      <c r="N564" s="7" t="s">
        <v>4450</v>
      </c>
      <c r="O564" s="7" t="s">
        <v>4450</v>
      </c>
      <c r="P564" s="7" t="s">
        <v>135</v>
      </c>
      <c r="Q564" s="7"/>
      <c r="R564" s="7" t="s">
        <v>109</v>
      </c>
      <c r="S564" s="7" t="s">
        <v>110</v>
      </c>
      <c r="T564" s="7" t="n">
        <v>0.385</v>
      </c>
      <c r="U564" s="7" t="n">
        <v>1</v>
      </c>
      <c r="V564" s="7" t="s">
        <v>90</v>
      </c>
      <c r="W564" s="7"/>
      <c r="X564" s="7"/>
      <c r="Y564" s="7" t="s">
        <v>4450</v>
      </c>
      <c r="Z564" s="7"/>
      <c r="AA564" s="7"/>
      <c r="AB564" s="7"/>
      <c r="AC564" s="7" t="n">
        <v>0</v>
      </c>
      <c r="AD564" s="7" t="s">
        <v>388</v>
      </c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 t="s">
        <v>440</v>
      </c>
      <c r="BE564" s="7" t="s">
        <v>127</v>
      </c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</row>
    <row r="565" customFormat="false" ht="15" hidden="false" customHeight="false" outlineLevel="0" collapsed="false">
      <c r="A565" s="7" t="s">
        <v>4451</v>
      </c>
      <c r="B565" s="7" t="s">
        <v>4452</v>
      </c>
      <c r="C565" s="7" t="s">
        <v>4453</v>
      </c>
      <c r="D565" s="7" t="s">
        <v>686</v>
      </c>
      <c r="E565" s="7" t="s">
        <v>101</v>
      </c>
      <c r="F565" s="7" t="s">
        <v>101</v>
      </c>
      <c r="G565" s="7"/>
      <c r="H565" s="7" t="s">
        <v>102</v>
      </c>
      <c r="I565" s="7" t="s">
        <v>132</v>
      </c>
      <c r="J565" s="7" t="s">
        <v>104</v>
      </c>
      <c r="K565" s="7" t="s">
        <v>105</v>
      </c>
      <c r="L565" s="7" t="s">
        <v>106</v>
      </c>
      <c r="M565" s="7"/>
      <c r="N565" s="7" t="s">
        <v>4454</v>
      </c>
      <c r="O565" s="7"/>
      <c r="P565" s="7" t="s">
        <v>135</v>
      </c>
      <c r="Q565" s="7"/>
      <c r="R565" s="7" t="s">
        <v>135</v>
      </c>
      <c r="S565" s="7" t="s">
        <v>136</v>
      </c>
      <c r="T565" s="7" t="n">
        <v>0.339</v>
      </c>
      <c r="U565" s="7" t="n">
        <v>1</v>
      </c>
      <c r="V565" s="7" t="s">
        <v>90</v>
      </c>
      <c r="W565" s="7"/>
      <c r="X565" s="7"/>
      <c r="Y565" s="7" t="s">
        <v>4454</v>
      </c>
      <c r="Z565" s="7"/>
      <c r="AA565" s="7"/>
      <c r="AB565" s="7"/>
      <c r="AC565" s="7" t="n">
        <v>0</v>
      </c>
      <c r="AD565" s="7" t="s">
        <v>388</v>
      </c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 t="s">
        <v>127</v>
      </c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</row>
    <row r="566" customFormat="false" ht="15" hidden="false" customHeight="false" outlineLevel="0" collapsed="false">
      <c r="A566" s="7" t="s">
        <v>4455</v>
      </c>
      <c r="B566" s="7" t="s">
        <v>4456</v>
      </c>
      <c r="C566" s="7" t="s">
        <v>4457</v>
      </c>
      <c r="D566" s="7" t="s">
        <v>4458</v>
      </c>
      <c r="E566" s="7" t="s">
        <v>677</v>
      </c>
      <c r="F566" s="7" t="s">
        <v>677</v>
      </c>
      <c r="G566" s="7"/>
      <c r="H566" s="7" t="s">
        <v>207</v>
      </c>
      <c r="I566" s="7" t="s">
        <v>132</v>
      </c>
      <c r="J566" s="7" t="s">
        <v>104</v>
      </c>
      <c r="K566" s="7" t="s">
        <v>105</v>
      </c>
      <c r="L566" s="7" t="s">
        <v>106</v>
      </c>
      <c r="M566" s="7"/>
      <c r="N566" s="7" t="s">
        <v>4459</v>
      </c>
      <c r="O566" s="7" t="s">
        <v>4459</v>
      </c>
      <c r="P566" s="7" t="s">
        <v>135</v>
      </c>
      <c r="Q566" s="7"/>
      <c r="R566" s="7" t="s">
        <v>109</v>
      </c>
      <c r="S566" s="7" t="s">
        <v>110</v>
      </c>
      <c r="T566" s="7" t="n">
        <v>0.487</v>
      </c>
      <c r="U566" s="7" t="n">
        <v>1</v>
      </c>
      <c r="V566" s="7" t="s">
        <v>90</v>
      </c>
      <c r="W566" s="7"/>
      <c r="X566" s="7"/>
      <c r="Y566" s="7" t="s">
        <v>4459</v>
      </c>
      <c r="Z566" s="7"/>
      <c r="AA566" s="7"/>
      <c r="AB566" s="7"/>
      <c r="AC566" s="7" t="n">
        <v>0</v>
      </c>
      <c r="AD566" s="7" t="s">
        <v>388</v>
      </c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 t="s">
        <v>440</v>
      </c>
      <c r="BE566" s="7" t="s">
        <v>127</v>
      </c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</row>
    <row r="567" customFormat="false" ht="15" hidden="false" customHeight="false" outlineLevel="0" collapsed="false">
      <c r="A567" s="7" t="s">
        <v>4460</v>
      </c>
      <c r="B567" s="7" t="s">
        <v>4461</v>
      </c>
      <c r="C567" s="7" t="s">
        <v>4462</v>
      </c>
      <c r="D567" s="7" t="s">
        <v>4463</v>
      </c>
      <c r="E567" s="7" t="s">
        <v>444</v>
      </c>
      <c r="F567" s="7" t="s">
        <v>444</v>
      </c>
      <c r="G567" s="7"/>
      <c r="H567" s="7" t="s">
        <v>207</v>
      </c>
      <c r="I567" s="7" t="s">
        <v>208</v>
      </c>
      <c r="J567" s="7" t="s">
        <v>104</v>
      </c>
      <c r="K567" s="7" t="s">
        <v>105</v>
      </c>
      <c r="L567" s="7" t="s">
        <v>106</v>
      </c>
      <c r="M567" s="7"/>
      <c r="N567" s="7" t="s">
        <v>4464</v>
      </c>
      <c r="O567" s="7" t="s">
        <v>4464</v>
      </c>
      <c r="P567" s="7" t="s">
        <v>135</v>
      </c>
      <c r="Q567" s="7"/>
      <c r="R567" s="7" t="s">
        <v>109</v>
      </c>
      <c r="S567" s="7" t="s">
        <v>110</v>
      </c>
      <c r="T567" s="7" t="n">
        <v>0.393</v>
      </c>
      <c r="U567" s="7" t="n">
        <v>1</v>
      </c>
      <c r="V567" s="7" t="s">
        <v>90</v>
      </c>
      <c r="W567" s="7"/>
      <c r="X567" s="7"/>
      <c r="Y567" s="7" t="s">
        <v>4464</v>
      </c>
      <c r="Z567" s="7"/>
      <c r="AA567" s="7"/>
      <c r="AB567" s="7"/>
      <c r="AC567" s="7" t="n">
        <v>0</v>
      </c>
      <c r="AD567" s="7" t="s">
        <v>388</v>
      </c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 t="s">
        <v>2797</v>
      </c>
      <c r="BE567" s="7" t="s">
        <v>127</v>
      </c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</row>
    <row r="568" customFormat="false" ht="15" hidden="false" customHeight="false" outlineLevel="0" collapsed="false">
      <c r="A568" s="7" t="s">
        <v>4465</v>
      </c>
      <c r="B568" s="7" t="s">
        <v>4466</v>
      </c>
      <c r="C568" s="7" t="s">
        <v>4467</v>
      </c>
      <c r="D568" s="7" t="s">
        <v>392</v>
      </c>
      <c r="E568" s="7" t="s">
        <v>101</v>
      </c>
      <c r="F568" s="7" t="s">
        <v>101</v>
      </c>
      <c r="G568" s="7"/>
      <c r="H568" s="7" t="s">
        <v>102</v>
      </c>
      <c r="I568" s="7" t="s">
        <v>132</v>
      </c>
      <c r="J568" s="7" t="s">
        <v>104</v>
      </c>
      <c r="K568" s="7" t="s">
        <v>105</v>
      </c>
      <c r="L568" s="7" t="s">
        <v>106</v>
      </c>
      <c r="M568" s="7"/>
      <c r="N568" s="7" t="s">
        <v>4468</v>
      </c>
      <c r="O568" s="7"/>
      <c r="P568" s="7" t="s">
        <v>135</v>
      </c>
      <c r="Q568" s="7"/>
      <c r="R568" s="7" t="s">
        <v>135</v>
      </c>
      <c r="S568" s="7" t="s">
        <v>136</v>
      </c>
      <c r="T568" s="7" t="n">
        <v>0.645</v>
      </c>
      <c r="U568" s="7" t="n">
        <v>1</v>
      </c>
      <c r="V568" s="7" t="s">
        <v>90</v>
      </c>
      <c r="W568" s="7"/>
      <c r="X568" s="7"/>
      <c r="Y568" s="7" t="s">
        <v>4468</v>
      </c>
      <c r="Z568" s="7"/>
      <c r="AA568" s="7"/>
      <c r="AB568" s="7"/>
      <c r="AC568" s="7" t="n">
        <v>0</v>
      </c>
      <c r="AD568" s="7" t="s">
        <v>388</v>
      </c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 t="s">
        <v>127</v>
      </c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</row>
    <row r="569" customFormat="false" ht="15" hidden="false" customHeight="false" outlineLevel="0" collapsed="false">
      <c r="A569" s="7" t="s">
        <v>4469</v>
      </c>
      <c r="B569" s="7" t="s">
        <v>4470</v>
      </c>
      <c r="C569" s="7" t="s">
        <v>4471</v>
      </c>
      <c r="D569" s="7" t="s">
        <v>4472</v>
      </c>
      <c r="E569" s="7" t="s">
        <v>4473</v>
      </c>
      <c r="F569" s="7" t="s">
        <v>4473</v>
      </c>
      <c r="G569" s="7"/>
      <c r="H569" s="7" t="s">
        <v>207</v>
      </c>
      <c r="I569" s="7" t="s">
        <v>132</v>
      </c>
      <c r="J569" s="7" t="s">
        <v>104</v>
      </c>
      <c r="K569" s="7" t="s">
        <v>105</v>
      </c>
      <c r="L569" s="7" t="s">
        <v>106</v>
      </c>
      <c r="M569" s="7"/>
      <c r="N569" s="7" t="s">
        <v>4474</v>
      </c>
      <c r="O569" s="7" t="s">
        <v>4474</v>
      </c>
      <c r="P569" s="7" t="s">
        <v>135</v>
      </c>
      <c r="Q569" s="7"/>
      <c r="R569" s="7" t="s">
        <v>109</v>
      </c>
      <c r="S569" s="7" t="s">
        <v>110</v>
      </c>
      <c r="T569" s="7" t="n">
        <v>0.309</v>
      </c>
      <c r="U569" s="7" t="n">
        <v>1</v>
      </c>
      <c r="V569" s="7" t="s">
        <v>90</v>
      </c>
      <c r="W569" s="7"/>
      <c r="X569" s="7"/>
      <c r="Y569" s="7" t="s">
        <v>4474</v>
      </c>
      <c r="Z569" s="7"/>
      <c r="AA569" s="7"/>
      <c r="AB569" s="7"/>
      <c r="AC569" s="7" t="n">
        <v>0</v>
      </c>
      <c r="AD569" s="7" t="s">
        <v>388</v>
      </c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 t="s">
        <v>440</v>
      </c>
      <c r="BE569" s="7" t="s">
        <v>127</v>
      </c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</row>
    <row r="570" customFormat="false" ht="15" hidden="false" customHeight="false" outlineLevel="0" collapsed="false">
      <c r="A570" s="7" t="s">
        <v>4475</v>
      </c>
      <c r="B570" s="7" t="s">
        <v>4350</v>
      </c>
      <c r="C570" s="7" t="s">
        <v>4476</v>
      </c>
      <c r="D570" s="7" t="s">
        <v>4477</v>
      </c>
      <c r="E570" s="7" t="s">
        <v>82</v>
      </c>
      <c r="F570" s="7" t="s">
        <v>82</v>
      </c>
      <c r="G570" s="7"/>
      <c r="H570" s="7" t="s">
        <v>207</v>
      </c>
      <c r="I570" s="7" t="s">
        <v>208</v>
      </c>
      <c r="J570" s="7" t="s">
        <v>104</v>
      </c>
      <c r="K570" s="7" t="s">
        <v>105</v>
      </c>
      <c r="L570" s="7" t="s">
        <v>106</v>
      </c>
      <c r="M570" s="7"/>
      <c r="N570" s="7" t="s">
        <v>4351</v>
      </c>
      <c r="O570" s="7" t="s">
        <v>4351</v>
      </c>
      <c r="P570" s="7" t="s">
        <v>135</v>
      </c>
      <c r="Q570" s="7"/>
      <c r="R570" s="7" t="s">
        <v>109</v>
      </c>
      <c r="S570" s="7" t="s">
        <v>110</v>
      </c>
      <c r="T570" s="7" t="n">
        <v>0.399</v>
      </c>
      <c r="U570" s="7" t="n">
        <v>1</v>
      </c>
      <c r="V570" s="7" t="s">
        <v>90</v>
      </c>
      <c r="W570" s="7"/>
      <c r="X570" s="7"/>
      <c r="Y570" s="7" t="s">
        <v>4351</v>
      </c>
      <c r="Z570" s="7"/>
      <c r="AA570" s="7"/>
      <c r="AB570" s="7"/>
      <c r="AC570" s="7" t="n">
        <v>0</v>
      </c>
      <c r="AD570" s="7" t="s">
        <v>388</v>
      </c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 t="s">
        <v>220</v>
      </c>
      <c r="BE570" s="7" t="s">
        <v>127</v>
      </c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</row>
    <row r="571" customFormat="false" ht="15" hidden="false" customHeight="false" outlineLevel="0" collapsed="false">
      <c r="A571" s="7" t="s">
        <v>4478</v>
      </c>
      <c r="B571" s="7" t="s">
        <v>4479</v>
      </c>
      <c r="C571" s="7" t="s">
        <v>4480</v>
      </c>
      <c r="D571" s="7" t="s">
        <v>686</v>
      </c>
      <c r="E571" s="7" t="s">
        <v>101</v>
      </c>
      <c r="F571" s="7" t="s">
        <v>101</v>
      </c>
      <c r="G571" s="7"/>
      <c r="H571" s="7" t="s">
        <v>102</v>
      </c>
      <c r="I571" s="7" t="s">
        <v>132</v>
      </c>
      <c r="J571" s="7" t="s">
        <v>104</v>
      </c>
      <c r="K571" s="7" t="s">
        <v>105</v>
      </c>
      <c r="L571" s="7" t="s">
        <v>106</v>
      </c>
      <c r="M571" s="7"/>
      <c r="N571" s="7" t="s">
        <v>4481</v>
      </c>
      <c r="O571" s="7"/>
      <c r="P571" s="7" t="s">
        <v>135</v>
      </c>
      <c r="Q571" s="7"/>
      <c r="R571" s="7" t="s">
        <v>135</v>
      </c>
      <c r="S571" s="7" t="s">
        <v>136</v>
      </c>
      <c r="T571" s="7" t="n">
        <v>0.213</v>
      </c>
      <c r="U571" s="7" t="n">
        <v>1</v>
      </c>
      <c r="V571" s="7" t="s">
        <v>90</v>
      </c>
      <c r="W571" s="7"/>
      <c r="X571" s="7" t="s">
        <v>713</v>
      </c>
      <c r="Y571" s="7" t="s">
        <v>4481</v>
      </c>
      <c r="Z571" s="7"/>
      <c r="AA571" s="7"/>
      <c r="AB571" s="7"/>
      <c r="AC571" s="7" t="n">
        <v>0</v>
      </c>
      <c r="AD571" s="7" t="s">
        <v>388</v>
      </c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 t="s">
        <v>127</v>
      </c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</row>
    <row r="572" customFormat="false" ht="15" hidden="false" customHeight="false" outlineLevel="0" collapsed="false">
      <c r="A572" s="7" t="s">
        <v>4482</v>
      </c>
      <c r="B572" s="7" t="s">
        <v>4483</v>
      </c>
      <c r="C572" s="9" t="s">
        <v>4484</v>
      </c>
      <c r="D572" s="7" t="s">
        <v>4485</v>
      </c>
      <c r="E572" s="7" t="s">
        <v>431</v>
      </c>
      <c r="F572" s="7" t="s">
        <v>431</v>
      </c>
      <c r="G572" s="7"/>
      <c r="H572" s="7" t="s">
        <v>207</v>
      </c>
      <c r="I572" s="7" t="s">
        <v>132</v>
      </c>
      <c r="J572" s="7" t="s">
        <v>104</v>
      </c>
      <c r="K572" s="7" t="s">
        <v>105</v>
      </c>
      <c r="L572" s="7" t="s">
        <v>106</v>
      </c>
      <c r="M572" s="7"/>
      <c r="N572" s="7" t="s">
        <v>4486</v>
      </c>
      <c r="O572" s="7" t="s">
        <v>4486</v>
      </c>
      <c r="P572" s="7" t="s">
        <v>135</v>
      </c>
      <c r="Q572" s="7"/>
      <c r="R572" s="7" t="s">
        <v>109</v>
      </c>
      <c r="S572" s="7" t="s">
        <v>110</v>
      </c>
      <c r="T572" s="7" t="n">
        <v>0.373</v>
      </c>
      <c r="U572" s="7" t="n">
        <v>1</v>
      </c>
      <c r="V572" s="7" t="s">
        <v>90</v>
      </c>
      <c r="W572" s="7"/>
      <c r="X572" s="7"/>
      <c r="Y572" s="7" t="s">
        <v>4486</v>
      </c>
      <c r="Z572" s="7"/>
      <c r="AA572" s="7"/>
      <c r="AB572" s="7"/>
      <c r="AC572" s="7" t="n">
        <v>0</v>
      </c>
      <c r="AD572" s="7" t="s">
        <v>388</v>
      </c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 t="s">
        <v>127</v>
      </c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</row>
    <row r="573" customFormat="false" ht="15" hidden="false" customHeight="false" outlineLevel="0" collapsed="false">
      <c r="A573" s="7" t="s">
        <v>4487</v>
      </c>
      <c r="B573" s="7" t="s">
        <v>4488</v>
      </c>
      <c r="C573" s="7" t="s">
        <v>4489</v>
      </c>
      <c r="D573" s="7" t="s">
        <v>4363</v>
      </c>
      <c r="E573" s="7" t="s">
        <v>516</v>
      </c>
      <c r="F573" s="7" t="s">
        <v>156</v>
      </c>
      <c r="G573" s="7"/>
      <c r="H573" s="7" t="s">
        <v>157</v>
      </c>
      <c r="I573" s="7" t="s">
        <v>103</v>
      </c>
      <c r="J573" s="7" t="s">
        <v>159</v>
      </c>
      <c r="K573" s="7" t="s">
        <v>105</v>
      </c>
      <c r="L573" s="7" t="s">
        <v>106</v>
      </c>
      <c r="M573" s="7"/>
      <c r="N573" s="7" t="s">
        <v>4490</v>
      </c>
      <c r="O573" s="7" t="s">
        <v>4490</v>
      </c>
      <c r="P573" s="7" t="s">
        <v>135</v>
      </c>
      <c r="Q573" s="7"/>
      <c r="R573" s="7" t="s">
        <v>109</v>
      </c>
      <c r="S573" s="7" t="s">
        <v>2188</v>
      </c>
      <c r="T573" s="7" t="n">
        <v>0.2</v>
      </c>
      <c r="U573" s="7" t="n">
        <v>1</v>
      </c>
      <c r="V573" s="7" t="s">
        <v>90</v>
      </c>
      <c r="W573" s="7"/>
      <c r="X573" s="7"/>
      <c r="Y573" s="7" t="s">
        <v>4490</v>
      </c>
      <c r="Z573" s="7"/>
      <c r="AA573" s="7"/>
      <c r="AB573" s="7"/>
      <c r="AC573" s="7" t="n">
        <v>12</v>
      </c>
      <c r="AD573" s="7"/>
      <c r="AE573" s="7" t="s">
        <v>115</v>
      </c>
      <c r="AF573" s="7"/>
      <c r="AG573" s="7" t="s">
        <v>115</v>
      </c>
      <c r="AH573" s="7"/>
      <c r="AI573" s="7" t="s">
        <v>115</v>
      </c>
      <c r="AJ573" s="7"/>
      <c r="AK573" s="7" t="s">
        <v>115</v>
      </c>
      <c r="AL573" s="7"/>
      <c r="AM573" s="7" t="s">
        <v>115</v>
      </c>
      <c r="AN573" s="7"/>
      <c r="AO573" s="7" t="s">
        <v>115</v>
      </c>
      <c r="AP573" s="7"/>
      <c r="AQ573" s="7" t="s">
        <v>115</v>
      </c>
      <c r="AR573" s="7"/>
      <c r="AS573" s="7" t="s">
        <v>115</v>
      </c>
      <c r="AT573" s="7"/>
      <c r="AU573" s="7" t="s">
        <v>115</v>
      </c>
      <c r="AV573" s="7"/>
      <c r="AW573" s="7" t="s">
        <v>115</v>
      </c>
      <c r="AX573" s="7"/>
      <c r="AY573" s="7" t="s">
        <v>115</v>
      </c>
      <c r="AZ573" s="7"/>
      <c r="BA573" s="7" t="s">
        <v>115</v>
      </c>
      <c r="BB573" s="7"/>
      <c r="BC573" s="7" t="s">
        <v>178</v>
      </c>
      <c r="BD573" s="7" t="s">
        <v>2626</v>
      </c>
      <c r="BE573" s="7" t="s">
        <v>127</v>
      </c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</row>
    <row r="574" customFormat="false" ht="15" hidden="false" customHeight="false" outlineLevel="0" collapsed="false">
      <c r="A574" s="7" t="s">
        <v>4491</v>
      </c>
      <c r="B574" s="7" t="s">
        <v>4492</v>
      </c>
      <c r="C574" s="7" t="s">
        <v>4493</v>
      </c>
      <c r="D574" s="7" t="s">
        <v>392</v>
      </c>
      <c r="E574" s="7" t="s">
        <v>101</v>
      </c>
      <c r="F574" s="7" t="s">
        <v>101</v>
      </c>
      <c r="G574" s="7"/>
      <c r="H574" s="7" t="s">
        <v>102</v>
      </c>
      <c r="I574" s="7" t="s">
        <v>208</v>
      </c>
      <c r="J574" s="7" t="s">
        <v>104</v>
      </c>
      <c r="K574" s="7" t="s">
        <v>105</v>
      </c>
      <c r="L574" s="7" t="s">
        <v>106</v>
      </c>
      <c r="M574" s="7"/>
      <c r="N574" s="7" t="s">
        <v>4494</v>
      </c>
      <c r="O574" s="7"/>
      <c r="P574" s="7" t="s">
        <v>135</v>
      </c>
      <c r="Q574" s="7"/>
      <c r="R574" s="7" t="s">
        <v>135</v>
      </c>
      <c r="S574" s="7" t="s">
        <v>136</v>
      </c>
      <c r="T574" s="7" t="n">
        <v>0.646</v>
      </c>
      <c r="U574" s="7" t="n">
        <v>1</v>
      </c>
      <c r="V574" s="7" t="s">
        <v>90</v>
      </c>
      <c r="W574" s="7"/>
      <c r="X574" s="7"/>
      <c r="Y574" s="7" t="s">
        <v>4494</v>
      </c>
      <c r="Z574" s="7"/>
      <c r="AA574" s="7"/>
      <c r="AB574" s="7"/>
      <c r="AC574" s="7" t="n">
        <v>0</v>
      </c>
      <c r="AD574" s="7" t="s">
        <v>388</v>
      </c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 t="s">
        <v>127</v>
      </c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</row>
    <row r="575" customFormat="false" ht="15" hidden="false" customHeight="false" outlineLevel="0" collapsed="false">
      <c r="A575" s="7" t="s">
        <v>4495</v>
      </c>
      <c r="B575" s="7" t="s">
        <v>4496</v>
      </c>
      <c r="C575" s="7" t="s">
        <v>4497</v>
      </c>
      <c r="D575" s="7" t="s">
        <v>671</v>
      </c>
      <c r="E575" s="7" t="s">
        <v>101</v>
      </c>
      <c r="F575" s="7" t="s">
        <v>101</v>
      </c>
      <c r="G575" s="7"/>
      <c r="H575" s="7" t="s">
        <v>102</v>
      </c>
      <c r="I575" s="7" t="s">
        <v>234</v>
      </c>
      <c r="J575" s="7" t="s">
        <v>104</v>
      </c>
      <c r="K575" s="7" t="s">
        <v>105</v>
      </c>
      <c r="L575" s="7" t="s">
        <v>235</v>
      </c>
      <c r="M575" s="7"/>
      <c r="N575" s="7" t="s">
        <v>4498</v>
      </c>
      <c r="O575" s="7"/>
      <c r="P575" s="7" t="s">
        <v>135</v>
      </c>
      <c r="Q575" s="7"/>
      <c r="R575" s="7" t="s">
        <v>135</v>
      </c>
      <c r="S575" s="7" t="s">
        <v>136</v>
      </c>
      <c r="T575" s="7" t="n">
        <v>0.78</v>
      </c>
      <c r="U575" s="7" t="n">
        <v>1</v>
      </c>
      <c r="V575" s="7" t="s">
        <v>90</v>
      </c>
      <c r="W575" s="7"/>
      <c r="X575" s="7"/>
      <c r="Y575" s="7" t="s">
        <v>4498</v>
      </c>
      <c r="Z575" s="7"/>
      <c r="AA575" s="7"/>
      <c r="AB575" s="7"/>
      <c r="AC575" s="7" t="n">
        <v>0</v>
      </c>
      <c r="AD575" s="7" t="s">
        <v>388</v>
      </c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 t="s">
        <v>127</v>
      </c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</row>
    <row r="576" customFormat="false" ht="15" hidden="false" customHeight="false" outlineLevel="0" collapsed="false">
      <c r="A576" s="7" t="s">
        <v>4499</v>
      </c>
      <c r="B576" s="7" t="s">
        <v>4500</v>
      </c>
      <c r="C576" s="7" t="s">
        <v>4501</v>
      </c>
      <c r="D576" s="7" t="s">
        <v>1478</v>
      </c>
      <c r="E576" s="7" t="s">
        <v>82</v>
      </c>
      <c r="F576" s="7" t="s">
        <v>82</v>
      </c>
      <c r="G576" s="7"/>
      <c r="H576" s="7" t="s">
        <v>207</v>
      </c>
      <c r="I576" s="7" t="s">
        <v>132</v>
      </c>
      <c r="J576" s="7" t="s">
        <v>104</v>
      </c>
      <c r="K576" s="7" t="s">
        <v>105</v>
      </c>
      <c r="L576" s="7" t="s">
        <v>2656</v>
      </c>
      <c r="M576" s="7"/>
      <c r="N576" s="7" t="s">
        <v>4502</v>
      </c>
      <c r="O576" s="7"/>
      <c r="P576" s="7" t="s">
        <v>135</v>
      </c>
      <c r="Q576" s="7"/>
      <c r="R576" s="7"/>
      <c r="S576" s="7"/>
      <c r="T576" s="7" t="n">
        <v>0.527</v>
      </c>
      <c r="U576" s="7" t="n">
        <v>1</v>
      </c>
      <c r="V576" s="7" t="s">
        <v>90</v>
      </c>
      <c r="W576" s="7"/>
      <c r="X576" s="7"/>
      <c r="Y576" s="7" t="s">
        <v>4502</v>
      </c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 t="s">
        <v>220</v>
      </c>
      <c r="BE576" s="7" t="s">
        <v>127</v>
      </c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</row>
    <row r="577" customFormat="false" ht="15" hidden="false" customHeight="false" outlineLevel="0" collapsed="false">
      <c r="A577" s="7" t="s">
        <v>4503</v>
      </c>
      <c r="B577" s="7" t="s">
        <v>4504</v>
      </c>
      <c r="C577" s="7" t="s">
        <v>4505</v>
      </c>
      <c r="D577" s="7" t="s">
        <v>4506</v>
      </c>
      <c r="E577" s="7" t="s">
        <v>82</v>
      </c>
      <c r="F577" s="7" t="s">
        <v>82</v>
      </c>
      <c r="G577" s="7"/>
      <c r="H577" s="7" t="s">
        <v>207</v>
      </c>
      <c r="I577" s="7" t="s">
        <v>208</v>
      </c>
      <c r="J577" s="7" t="s">
        <v>104</v>
      </c>
      <c r="K577" s="7" t="s">
        <v>105</v>
      </c>
      <c r="L577" s="7" t="s">
        <v>106</v>
      </c>
      <c r="M577" s="7"/>
      <c r="N577" s="7" t="s">
        <v>4507</v>
      </c>
      <c r="O577" s="7" t="s">
        <v>4507</v>
      </c>
      <c r="P577" s="7" t="s">
        <v>135</v>
      </c>
      <c r="Q577" s="7"/>
      <c r="R577" s="7" t="s">
        <v>109</v>
      </c>
      <c r="S577" s="7" t="s">
        <v>110</v>
      </c>
      <c r="T577" s="7" t="n">
        <v>0.47</v>
      </c>
      <c r="U577" s="7" t="n">
        <v>1</v>
      </c>
      <c r="V577" s="7" t="s">
        <v>90</v>
      </c>
      <c r="W577" s="7"/>
      <c r="X577" s="7"/>
      <c r="Y577" s="7" t="s">
        <v>4507</v>
      </c>
      <c r="Z577" s="7"/>
      <c r="AA577" s="7"/>
      <c r="AB577" s="7"/>
      <c r="AC577" s="7" t="n">
        <v>0</v>
      </c>
      <c r="AD577" s="7" t="s">
        <v>388</v>
      </c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 t="s">
        <v>220</v>
      </c>
      <c r="BE577" s="7" t="s">
        <v>127</v>
      </c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</row>
    <row r="578" customFormat="false" ht="15" hidden="false" customHeight="false" outlineLevel="0" collapsed="false">
      <c r="A578" s="7" t="s">
        <v>4508</v>
      </c>
      <c r="B578" s="7" t="s">
        <v>4509</v>
      </c>
      <c r="C578" s="7" t="s">
        <v>4510</v>
      </c>
      <c r="D578" s="7" t="s">
        <v>1076</v>
      </c>
      <c r="E578" s="7" t="s">
        <v>101</v>
      </c>
      <c r="F578" s="7" t="s">
        <v>101</v>
      </c>
      <c r="G578" s="7"/>
      <c r="H578" s="7" t="s">
        <v>102</v>
      </c>
      <c r="I578" s="7" t="s">
        <v>300</v>
      </c>
      <c r="J578" s="7" t="s">
        <v>104</v>
      </c>
      <c r="K578" s="7" t="s">
        <v>105</v>
      </c>
      <c r="L578" s="7" t="s">
        <v>106</v>
      </c>
      <c r="M578" s="7"/>
      <c r="N578" s="7" t="s">
        <v>4511</v>
      </c>
      <c r="O578" s="7"/>
      <c r="P578" s="7" t="s">
        <v>135</v>
      </c>
      <c r="Q578" s="7"/>
      <c r="R578" s="7" t="s">
        <v>135</v>
      </c>
      <c r="S578" s="7" t="s">
        <v>136</v>
      </c>
      <c r="T578" s="7" t="n">
        <v>0.27</v>
      </c>
      <c r="U578" s="7" t="n">
        <v>1</v>
      </c>
      <c r="V578" s="7" t="s">
        <v>90</v>
      </c>
      <c r="W578" s="7"/>
      <c r="X578" s="7"/>
      <c r="Y578" s="7" t="s">
        <v>4511</v>
      </c>
      <c r="Z578" s="7"/>
      <c r="AA578" s="7"/>
      <c r="AB578" s="7"/>
      <c r="AC578" s="7" t="n">
        <v>5</v>
      </c>
      <c r="AD578" s="7" t="s">
        <v>1897</v>
      </c>
      <c r="AE578" s="7" t="s">
        <v>744</v>
      </c>
      <c r="AF578" s="7" t="s">
        <v>4510</v>
      </c>
      <c r="AG578" s="7" t="s">
        <v>744</v>
      </c>
      <c r="AH578" s="7" t="s">
        <v>4512</v>
      </c>
      <c r="AI578" s="7"/>
      <c r="AJ578" s="7"/>
      <c r="AK578" s="7"/>
      <c r="AL578" s="7"/>
      <c r="AM578" s="7" t="s">
        <v>744</v>
      </c>
      <c r="AN578" s="7" t="s">
        <v>4513</v>
      </c>
      <c r="AO578" s="7" t="s">
        <v>744</v>
      </c>
      <c r="AP578" s="7" t="s">
        <v>4514</v>
      </c>
      <c r="AQ578" s="7"/>
      <c r="AR578" s="7"/>
      <c r="AS578" s="7"/>
      <c r="AT578" s="7"/>
      <c r="AU578" s="7"/>
      <c r="AV578" s="7"/>
      <c r="AW578" s="7" t="s">
        <v>744</v>
      </c>
      <c r="AX578" s="7" t="s">
        <v>4515</v>
      </c>
      <c r="AY578" s="7"/>
      <c r="AZ578" s="7"/>
      <c r="BA578" s="7"/>
      <c r="BB578" s="7"/>
      <c r="BC578" s="7"/>
      <c r="BD578" s="7" t="s">
        <v>4516</v>
      </c>
      <c r="BE578" s="7" t="s">
        <v>127</v>
      </c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</row>
    <row r="579" customFormat="false" ht="15" hidden="false" customHeight="false" outlineLevel="0" collapsed="false">
      <c r="A579" s="7" t="s">
        <v>4517</v>
      </c>
      <c r="B579" s="7" t="s">
        <v>4518</v>
      </c>
      <c r="C579" s="7" t="s">
        <v>4519</v>
      </c>
      <c r="D579" s="7" t="s">
        <v>671</v>
      </c>
      <c r="E579" s="7" t="s">
        <v>101</v>
      </c>
      <c r="F579" s="7" t="s">
        <v>101</v>
      </c>
      <c r="G579" s="7"/>
      <c r="H579" s="7" t="s">
        <v>102</v>
      </c>
      <c r="I579" s="7" t="s">
        <v>103</v>
      </c>
      <c r="J579" s="7" t="s">
        <v>104</v>
      </c>
      <c r="K579" s="7" t="s">
        <v>105</v>
      </c>
      <c r="L579" s="7" t="s">
        <v>106</v>
      </c>
      <c r="M579" s="7"/>
      <c r="N579" s="7" t="s">
        <v>4520</v>
      </c>
      <c r="O579" s="7"/>
      <c r="P579" s="7" t="s">
        <v>135</v>
      </c>
      <c r="Q579" s="7"/>
      <c r="R579" s="7" t="s">
        <v>135</v>
      </c>
      <c r="S579" s="7" t="s">
        <v>136</v>
      </c>
      <c r="T579" s="7" t="n">
        <v>0.376</v>
      </c>
      <c r="U579" s="7" t="n">
        <v>1</v>
      </c>
      <c r="V579" s="7" t="s">
        <v>90</v>
      </c>
      <c r="W579" s="7"/>
      <c r="X579" s="7"/>
      <c r="Y579" s="7" t="s">
        <v>4520</v>
      </c>
      <c r="Z579" s="7"/>
      <c r="AA579" s="7"/>
      <c r="AB579" s="7"/>
      <c r="AC579" s="7" t="n">
        <v>0</v>
      </c>
      <c r="AD579" s="7" t="s">
        <v>388</v>
      </c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 t="s">
        <v>127</v>
      </c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</row>
    <row r="580" customFormat="false" ht="15" hidden="false" customHeight="false" outlineLevel="0" collapsed="false">
      <c r="A580" s="7" t="s">
        <v>4521</v>
      </c>
      <c r="B580" s="7" t="s">
        <v>4522</v>
      </c>
      <c r="C580" s="7" t="s">
        <v>4523</v>
      </c>
      <c r="D580" s="7" t="s">
        <v>1076</v>
      </c>
      <c r="E580" s="7" t="s">
        <v>101</v>
      </c>
      <c r="F580" s="7" t="s">
        <v>101</v>
      </c>
      <c r="G580" s="7"/>
      <c r="H580" s="7" t="s">
        <v>102</v>
      </c>
      <c r="I580" s="7" t="s">
        <v>300</v>
      </c>
      <c r="J580" s="7" t="s">
        <v>104</v>
      </c>
      <c r="K580" s="7" t="s">
        <v>105</v>
      </c>
      <c r="L580" s="7" t="s">
        <v>106</v>
      </c>
      <c r="M580" s="7"/>
      <c r="N580" s="7" t="s">
        <v>4524</v>
      </c>
      <c r="O580" s="7"/>
      <c r="P580" s="7" t="s">
        <v>135</v>
      </c>
      <c r="Q580" s="7"/>
      <c r="R580" s="7" t="s">
        <v>135</v>
      </c>
      <c r="S580" s="7" t="s">
        <v>136</v>
      </c>
      <c r="T580" s="7" t="n">
        <v>0.517</v>
      </c>
      <c r="U580" s="7" t="n">
        <v>1</v>
      </c>
      <c r="V580" s="7" t="s">
        <v>90</v>
      </c>
      <c r="W580" s="7"/>
      <c r="X580" s="7"/>
      <c r="Y580" s="7" t="s">
        <v>4524</v>
      </c>
      <c r="Z580" s="7"/>
      <c r="AA580" s="7"/>
      <c r="AB580" s="7"/>
      <c r="AC580" s="7" t="n">
        <v>5</v>
      </c>
      <c r="AD580" s="7" t="s">
        <v>1897</v>
      </c>
      <c r="AE580" s="7" t="s">
        <v>744</v>
      </c>
      <c r="AF580" s="7" t="s">
        <v>4525</v>
      </c>
      <c r="AG580" s="7" t="s">
        <v>744</v>
      </c>
      <c r="AH580" s="7" t="s">
        <v>4526</v>
      </c>
      <c r="AI580" s="7"/>
      <c r="AJ580" s="7"/>
      <c r="AK580" s="7"/>
      <c r="AL580" s="7"/>
      <c r="AM580" s="7" t="s">
        <v>744</v>
      </c>
      <c r="AN580" s="7" t="s">
        <v>4527</v>
      </c>
      <c r="AO580" s="7" t="s">
        <v>744</v>
      </c>
      <c r="AP580" s="7" t="s">
        <v>4514</v>
      </c>
      <c r="AQ580" s="7"/>
      <c r="AR580" s="7"/>
      <c r="AS580" s="7"/>
      <c r="AT580" s="7"/>
      <c r="AU580" s="7"/>
      <c r="AV580" s="7"/>
      <c r="AW580" s="7" t="s">
        <v>744</v>
      </c>
      <c r="AX580" s="7" t="s">
        <v>4528</v>
      </c>
      <c r="AY580" s="7"/>
      <c r="AZ580" s="7"/>
      <c r="BA580" s="7"/>
      <c r="BB580" s="7"/>
      <c r="BC580" s="7"/>
      <c r="BD580" s="7" t="s">
        <v>4516</v>
      </c>
      <c r="BE580" s="7" t="s">
        <v>127</v>
      </c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</row>
    <row r="581" customFormat="false" ht="15" hidden="false" customHeight="false" outlineLevel="0" collapsed="false">
      <c r="A581" s="7" t="s">
        <v>4529</v>
      </c>
      <c r="B581" s="7" t="s">
        <v>4530</v>
      </c>
      <c r="C581" s="7" t="s">
        <v>4531</v>
      </c>
      <c r="D581" s="7" t="s">
        <v>2146</v>
      </c>
      <c r="E581" s="7" t="s">
        <v>1966</v>
      </c>
      <c r="F581" s="7" t="s">
        <v>1966</v>
      </c>
      <c r="G581" s="7"/>
      <c r="H581" s="7" t="s">
        <v>207</v>
      </c>
      <c r="I581" s="7" t="s">
        <v>208</v>
      </c>
      <c r="J581" s="7" t="s">
        <v>104</v>
      </c>
      <c r="K581" s="7" t="s">
        <v>105</v>
      </c>
      <c r="L581" s="7" t="s">
        <v>106</v>
      </c>
      <c r="M581" s="7"/>
      <c r="N581" s="7" t="s">
        <v>4532</v>
      </c>
      <c r="O581" s="7"/>
      <c r="P581" s="7" t="s">
        <v>135</v>
      </c>
      <c r="Q581" s="7"/>
      <c r="R581" s="7"/>
      <c r="S581" s="7"/>
      <c r="T581" s="7" t="n">
        <v>0.256</v>
      </c>
      <c r="U581" s="7" t="n">
        <v>1</v>
      </c>
      <c r="V581" s="7" t="s">
        <v>90</v>
      </c>
      <c r="W581" s="7"/>
      <c r="X581" s="7"/>
      <c r="Y581" s="7" t="s">
        <v>4532</v>
      </c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 t="s">
        <v>2797</v>
      </c>
      <c r="BE581" s="7" t="s">
        <v>127</v>
      </c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</row>
    <row r="582" customFormat="false" ht="15" hidden="false" customHeight="false" outlineLevel="0" collapsed="false">
      <c r="A582" s="7" t="s">
        <v>4533</v>
      </c>
      <c r="B582" s="7" t="s">
        <v>4534</v>
      </c>
      <c r="C582" s="7" t="s">
        <v>4535</v>
      </c>
      <c r="D582" s="7" t="s">
        <v>4536</v>
      </c>
      <c r="E582" s="7" t="s">
        <v>737</v>
      </c>
      <c r="F582" s="7" t="s">
        <v>737</v>
      </c>
      <c r="G582" s="7"/>
      <c r="H582" s="7" t="s">
        <v>207</v>
      </c>
      <c r="I582" s="7" t="s">
        <v>158</v>
      </c>
      <c r="J582" s="7" t="s">
        <v>104</v>
      </c>
      <c r="K582" s="7" t="s">
        <v>105</v>
      </c>
      <c r="L582" s="7" t="s">
        <v>353</v>
      </c>
      <c r="M582" s="7"/>
      <c r="N582" s="7" t="s">
        <v>4537</v>
      </c>
      <c r="O582" s="7" t="s">
        <v>4537</v>
      </c>
      <c r="P582" s="7" t="s">
        <v>135</v>
      </c>
      <c r="Q582" s="7"/>
      <c r="R582" s="7" t="s">
        <v>109</v>
      </c>
      <c r="S582" s="7" t="s">
        <v>110</v>
      </c>
      <c r="T582" s="7" t="n">
        <v>0.532</v>
      </c>
      <c r="U582" s="7" t="n">
        <v>1</v>
      </c>
      <c r="V582" s="7" t="s">
        <v>90</v>
      </c>
      <c r="W582" s="7"/>
      <c r="X582" s="7"/>
      <c r="Y582" s="7" t="s">
        <v>4537</v>
      </c>
      <c r="Z582" s="7"/>
      <c r="AA582" s="7"/>
      <c r="AB582" s="7"/>
      <c r="AC582" s="7" t="n">
        <v>0</v>
      </c>
      <c r="AD582" s="7" t="s">
        <v>388</v>
      </c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 t="s">
        <v>440</v>
      </c>
      <c r="BE582" s="7" t="s">
        <v>127</v>
      </c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</row>
    <row r="583" customFormat="false" ht="15" hidden="false" customHeight="false" outlineLevel="0" collapsed="false">
      <c r="A583" s="7" t="s">
        <v>4538</v>
      </c>
      <c r="B583" s="7" t="s">
        <v>4539</v>
      </c>
      <c r="C583" s="7" t="s">
        <v>4540</v>
      </c>
      <c r="D583" s="7" t="s">
        <v>686</v>
      </c>
      <c r="E583" s="7" t="s">
        <v>101</v>
      </c>
      <c r="F583" s="7" t="s">
        <v>101</v>
      </c>
      <c r="G583" s="7"/>
      <c r="H583" s="7" t="s">
        <v>102</v>
      </c>
      <c r="I583" s="7" t="s">
        <v>103</v>
      </c>
      <c r="J583" s="7" t="s">
        <v>104</v>
      </c>
      <c r="K583" s="7" t="s">
        <v>105</v>
      </c>
      <c r="L583" s="7" t="s">
        <v>106</v>
      </c>
      <c r="M583" s="7"/>
      <c r="N583" s="7" t="s">
        <v>4541</v>
      </c>
      <c r="O583" s="7"/>
      <c r="P583" s="7" t="s">
        <v>135</v>
      </c>
      <c r="Q583" s="7"/>
      <c r="R583" s="7" t="s">
        <v>135</v>
      </c>
      <c r="S583" s="7" t="s">
        <v>136</v>
      </c>
      <c r="T583" s="7" t="n">
        <v>0.368</v>
      </c>
      <c r="U583" s="7" t="n">
        <v>1</v>
      </c>
      <c r="V583" s="7" t="s">
        <v>90</v>
      </c>
      <c r="W583" s="7"/>
      <c r="X583" s="7"/>
      <c r="Y583" s="7" t="s">
        <v>4541</v>
      </c>
      <c r="Z583" s="7"/>
      <c r="AA583" s="7"/>
      <c r="AB583" s="7"/>
      <c r="AC583" s="7" t="n">
        <v>0</v>
      </c>
      <c r="AD583" s="7" t="s">
        <v>388</v>
      </c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 t="s">
        <v>127</v>
      </c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</row>
    <row r="584" customFormat="false" ht="15" hidden="false" customHeight="false" outlineLevel="0" collapsed="false">
      <c r="A584" s="7" t="s">
        <v>4542</v>
      </c>
      <c r="B584" s="7" t="s">
        <v>4543</v>
      </c>
      <c r="C584" s="7" t="s">
        <v>4544</v>
      </c>
      <c r="D584" s="7" t="s">
        <v>686</v>
      </c>
      <c r="E584" s="7" t="s">
        <v>101</v>
      </c>
      <c r="F584" s="7" t="s">
        <v>101</v>
      </c>
      <c r="G584" s="7"/>
      <c r="H584" s="7" t="s">
        <v>102</v>
      </c>
      <c r="I584" s="7" t="s">
        <v>1726</v>
      </c>
      <c r="J584" s="7" t="s">
        <v>104</v>
      </c>
      <c r="K584" s="7" t="s">
        <v>105</v>
      </c>
      <c r="L584" s="7" t="s">
        <v>1447</v>
      </c>
      <c r="M584" s="7"/>
      <c r="N584" s="7" t="s">
        <v>4545</v>
      </c>
      <c r="O584" s="7"/>
      <c r="P584" s="7" t="s">
        <v>135</v>
      </c>
      <c r="Q584" s="7"/>
      <c r="R584" s="7" t="s">
        <v>135</v>
      </c>
      <c r="S584" s="7" t="s">
        <v>136</v>
      </c>
      <c r="T584" s="7" t="n">
        <v>0.492</v>
      </c>
      <c r="U584" s="7" t="n">
        <v>1</v>
      </c>
      <c r="V584" s="7" t="s">
        <v>90</v>
      </c>
      <c r="W584" s="7"/>
      <c r="X584" s="7"/>
      <c r="Y584" s="7" t="s">
        <v>4545</v>
      </c>
      <c r="Z584" s="7"/>
      <c r="AA584" s="7"/>
      <c r="AB584" s="7"/>
      <c r="AC584" s="7" t="n">
        <v>0</v>
      </c>
      <c r="AD584" s="7" t="s">
        <v>388</v>
      </c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 t="s">
        <v>127</v>
      </c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</row>
    <row r="585" customFormat="false" ht="15" hidden="false" customHeight="false" outlineLevel="0" collapsed="false">
      <c r="A585" s="7" t="s">
        <v>4546</v>
      </c>
      <c r="B585" s="7" t="s">
        <v>4547</v>
      </c>
      <c r="C585" s="7" t="s">
        <v>4548</v>
      </c>
      <c r="D585" s="7" t="s">
        <v>686</v>
      </c>
      <c r="E585" s="7" t="s">
        <v>101</v>
      </c>
      <c r="F585" s="7" t="s">
        <v>101</v>
      </c>
      <c r="G585" s="7"/>
      <c r="H585" s="7" t="s">
        <v>102</v>
      </c>
      <c r="I585" s="7" t="s">
        <v>300</v>
      </c>
      <c r="J585" s="7" t="s">
        <v>104</v>
      </c>
      <c r="K585" s="7" t="s">
        <v>105</v>
      </c>
      <c r="L585" s="7" t="s">
        <v>106</v>
      </c>
      <c r="M585" s="7"/>
      <c r="N585" s="7" t="s">
        <v>4549</v>
      </c>
      <c r="O585" s="7"/>
      <c r="P585" s="7" t="s">
        <v>135</v>
      </c>
      <c r="Q585" s="7"/>
      <c r="R585" s="7" t="s">
        <v>135</v>
      </c>
      <c r="S585" s="7" t="s">
        <v>136</v>
      </c>
      <c r="T585" s="7" t="n">
        <v>0.518</v>
      </c>
      <c r="U585" s="7" t="n">
        <v>1</v>
      </c>
      <c r="V585" s="7" t="s">
        <v>90</v>
      </c>
      <c r="W585" s="7"/>
      <c r="X585" s="7"/>
      <c r="Y585" s="7" t="s">
        <v>4549</v>
      </c>
      <c r="Z585" s="7"/>
      <c r="AA585" s="7"/>
      <c r="AB585" s="7"/>
      <c r="AC585" s="7" t="n">
        <v>0</v>
      </c>
      <c r="AD585" s="7" t="s">
        <v>388</v>
      </c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 t="s">
        <v>127</v>
      </c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</row>
    <row r="586" customFormat="false" ht="15" hidden="false" customHeight="false" outlineLevel="0" collapsed="false">
      <c r="A586" s="7" t="s">
        <v>4550</v>
      </c>
      <c r="B586" s="7" t="s">
        <v>4551</v>
      </c>
      <c r="C586" s="7" t="s">
        <v>4552</v>
      </c>
      <c r="D586" s="7" t="s">
        <v>686</v>
      </c>
      <c r="E586" s="7" t="s">
        <v>101</v>
      </c>
      <c r="F586" s="7" t="s">
        <v>101</v>
      </c>
      <c r="G586" s="7"/>
      <c r="H586" s="7" t="s">
        <v>102</v>
      </c>
      <c r="I586" s="7" t="s">
        <v>132</v>
      </c>
      <c r="J586" s="7" t="s">
        <v>104</v>
      </c>
      <c r="K586" s="7" t="s">
        <v>105</v>
      </c>
      <c r="L586" s="7" t="s">
        <v>106</v>
      </c>
      <c r="M586" s="7"/>
      <c r="N586" s="7" t="s">
        <v>4553</v>
      </c>
      <c r="O586" s="7"/>
      <c r="P586" s="7" t="s">
        <v>135</v>
      </c>
      <c r="Q586" s="7"/>
      <c r="R586" s="7" t="s">
        <v>135</v>
      </c>
      <c r="S586" s="7" t="s">
        <v>136</v>
      </c>
      <c r="T586" s="7" t="n">
        <v>0.856</v>
      </c>
      <c r="U586" s="7" t="n">
        <v>1</v>
      </c>
      <c r="V586" s="7" t="s">
        <v>90</v>
      </c>
      <c r="W586" s="7"/>
      <c r="X586" s="7"/>
      <c r="Y586" s="7" t="s">
        <v>4553</v>
      </c>
      <c r="Z586" s="7"/>
      <c r="AA586" s="7"/>
      <c r="AB586" s="7"/>
      <c r="AC586" s="7" t="n">
        <v>0</v>
      </c>
      <c r="AD586" s="7" t="s">
        <v>388</v>
      </c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 t="s">
        <v>127</v>
      </c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</row>
    <row r="587" customFormat="false" ht="15" hidden="false" customHeight="false" outlineLevel="0" collapsed="false">
      <c r="A587" s="7" t="s">
        <v>4554</v>
      </c>
      <c r="B587" s="7" t="s">
        <v>4555</v>
      </c>
      <c r="C587" s="7" t="s">
        <v>4556</v>
      </c>
      <c r="D587" s="7" t="s">
        <v>686</v>
      </c>
      <c r="E587" s="7" t="s">
        <v>101</v>
      </c>
      <c r="F587" s="7" t="s">
        <v>101</v>
      </c>
      <c r="G587" s="7"/>
      <c r="H587" s="7" t="s">
        <v>102</v>
      </c>
      <c r="I587" s="7" t="s">
        <v>132</v>
      </c>
      <c r="J587" s="7" t="s">
        <v>104</v>
      </c>
      <c r="K587" s="7" t="s">
        <v>105</v>
      </c>
      <c r="L587" s="7" t="s">
        <v>106</v>
      </c>
      <c r="M587" s="7"/>
      <c r="N587" s="7" t="s">
        <v>4557</v>
      </c>
      <c r="O587" s="7"/>
      <c r="P587" s="7" t="s">
        <v>135</v>
      </c>
      <c r="Q587" s="7"/>
      <c r="R587" s="7" t="s">
        <v>135</v>
      </c>
      <c r="S587" s="7" t="s">
        <v>136</v>
      </c>
      <c r="T587" s="7" t="n">
        <v>0.235</v>
      </c>
      <c r="U587" s="7" t="n">
        <v>1</v>
      </c>
      <c r="V587" s="7" t="s">
        <v>90</v>
      </c>
      <c r="W587" s="7"/>
      <c r="X587" s="7"/>
      <c r="Y587" s="7" t="s">
        <v>4557</v>
      </c>
      <c r="Z587" s="7"/>
      <c r="AA587" s="7"/>
      <c r="AB587" s="7"/>
      <c r="AC587" s="7" t="n">
        <v>0</v>
      </c>
      <c r="AD587" s="7" t="s">
        <v>388</v>
      </c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 t="s">
        <v>127</v>
      </c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</row>
    <row r="588" customFormat="false" ht="15" hidden="false" customHeight="false" outlineLevel="0" collapsed="false">
      <c r="A588" s="7" t="s">
        <v>4558</v>
      </c>
      <c r="B588" s="7" t="s">
        <v>4559</v>
      </c>
      <c r="C588" s="7" t="s">
        <v>4560</v>
      </c>
      <c r="D588" s="7" t="s">
        <v>4561</v>
      </c>
      <c r="E588" s="7" t="s">
        <v>82</v>
      </c>
      <c r="F588" s="7" t="s">
        <v>82</v>
      </c>
      <c r="G588" s="7"/>
      <c r="H588" s="7"/>
      <c r="I588" s="7" t="s">
        <v>132</v>
      </c>
      <c r="J588" s="7" t="s">
        <v>104</v>
      </c>
      <c r="K588" s="7" t="s">
        <v>105</v>
      </c>
      <c r="L588" s="7" t="s">
        <v>106</v>
      </c>
      <c r="M588" s="7"/>
      <c r="N588" s="7" t="s">
        <v>4562</v>
      </c>
      <c r="O588" s="7" t="s">
        <v>4562</v>
      </c>
      <c r="P588" s="7" t="s">
        <v>109</v>
      </c>
      <c r="Q588" s="7"/>
      <c r="R588" s="7" t="s">
        <v>109</v>
      </c>
      <c r="S588" s="7" t="s">
        <v>110</v>
      </c>
      <c r="T588" s="7" t="n">
        <v>0.424</v>
      </c>
      <c r="U588" s="7" t="n">
        <v>1</v>
      </c>
      <c r="V588" s="7"/>
      <c r="W588" s="7"/>
      <c r="X588" s="7"/>
      <c r="Y588" s="7" t="s">
        <v>4562</v>
      </c>
      <c r="Z588" s="7"/>
      <c r="AA588" s="7"/>
      <c r="AB588" s="7"/>
      <c r="AC588" s="7" t="n">
        <v>4</v>
      </c>
      <c r="AD588" s="7" t="s">
        <v>1376</v>
      </c>
      <c r="AE588" s="7" t="s">
        <v>2032</v>
      </c>
      <c r="AF588" s="7" t="s">
        <v>4560</v>
      </c>
      <c r="AG588" s="7"/>
      <c r="AH588" s="7"/>
      <c r="AI588" s="7"/>
      <c r="AJ588" s="7"/>
      <c r="AK588" s="7"/>
      <c r="AL588" s="7"/>
      <c r="AM588" s="7"/>
      <c r="AN588" s="7"/>
      <c r="AO588" s="7" t="s">
        <v>2032</v>
      </c>
      <c r="AP588" s="7" t="s">
        <v>4561</v>
      </c>
      <c r="AQ588" s="7" t="s">
        <v>2032</v>
      </c>
      <c r="AR588" s="7" t="s">
        <v>82</v>
      </c>
      <c r="AS588" s="7"/>
      <c r="AT588" s="7"/>
      <c r="AU588" s="7"/>
      <c r="AV588" s="7"/>
      <c r="AW588" s="7" t="s">
        <v>2032</v>
      </c>
      <c r="AX588" s="7" t="s">
        <v>4562</v>
      </c>
      <c r="AY588" s="7"/>
      <c r="AZ588" s="7"/>
      <c r="BA588" s="7"/>
      <c r="BB588" s="7"/>
      <c r="BC588" s="7"/>
      <c r="BD588" s="7" t="s">
        <v>220</v>
      </c>
      <c r="BE588" s="7" t="s">
        <v>127</v>
      </c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</row>
    <row r="589" customFormat="false" ht="15" hidden="false" customHeight="false" outlineLevel="0" collapsed="false">
      <c r="A589" s="7" t="s">
        <v>4563</v>
      </c>
      <c r="B589" s="7" t="s">
        <v>4564</v>
      </c>
      <c r="C589" s="7" t="s">
        <v>4565</v>
      </c>
      <c r="D589" s="7" t="s">
        <v>2724</v>
      </c>
      <c r="E589" s="7" t="s">
        <v>82</v>
      </c>
      <c r="F589" s="7" t="s">
        <v>82</v>
      </c>
      <c r="G589" s="7"/>
      <c r="H589" s="7"/>
      <c r="I589" s="7" t="s">
        <v>132</v>
      </c>
      <c r="J589" s="7" t="s">
        <v>104</v>
      </c>
      <c r="K589" s="7" t="s">
        <v>105</v>
      </c>
      <c r="L589" s="7" t="s">
        <v>4566</v>
      </c>
      <c r="M589" s="7"/>
      <c r="N589" s="7" t="s">
        <v>4567</v>
      </c>
      <c r="O589" s="7" t="s">
        <v>4567</v>
      </c>
      <c r="P589" s="7" t="s">
        <v>135</v>
      </c>
      <c r="Q589" s="7"/>
      <c r="R589" s="7" t="s">
        <v>109</v>
      </c>
      <c r="S589" s="7" t="s">
        <v>110</v>
      </c>
      <c r="T589" s="7" t="n">
        <v>0.881</v>
      </c>
      <c r="U589" s="7" t="n">
        <v>1</v>
      </c>
      <c r="V589" s="7"/>
      <c r="W589" s="7"/>
      <c r="X589" s="7"/>
      <c r="Y589" s="7" t="s">
        <v>4567</v>
      </c>
      <c r="Z589" s="7"/>
      <c r="AA589" s="7"/>
      <c r="AB589" s="7"/>
      <c r="AC589" s="7" t="n">
        <v>4</v>
      </c>
      <c r="AD589" s="7" t="s">
        <v>1376</v>
      </c>
      <c r="AE589" s="7" t="s">
        <v>2032</v>
      </c>
      <c r="AF589" s="7" t="s">
        <v>4565</v>
      </c>
      <c r="AG589" s="7"/>
      <c r="AH589" s="7"/>
      <c r="AI589" s="7"/>
      <c r="AJ589" s="7"/>
      <c r="AK589" s="7"/>
      <c r="AL589" s="7"/>
      <c r="AM589" s="7"/>
      <c r="AN589" s="7"/>
      <c r="AO589" s="7" t="s">
        <v>2032</v>
      </c>
      <c r="AP589" s="7" t="s">
        <v>2724</v>
      </c>
      <c r="AQ589" s="7" t="s">
        <v>2032</v>
      </c>
      <c r="AR589" s="7" t="s">
        <v>82</v>
      </c>
      <c r="AS589" s="7"/>
      <c r="AT589" s="7"/>
      <c r="AU589" s="7"/>
      <c r="AV589" s="7"/>
      <c r="AW589" s="7" t="s">
        <v>2032</v>
      </c>
      <c r="AX589" s="7" t="s">
        <v>4567</v>
      </c>
      <c r="AY589" s="7"/>
      <c r="AZ589" s="7"/>
      <c r="BA589" s="7"/>
      <c r="BB589" s="7"/>
      <c r="BC589" s="7"/>
      <c r="BD589" s="7" t="s">
        <v>4568</v>
      </c>
      <c r="BE589" s="7" t="s">
        <v>127</v>
      </c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</row>
    <row r="590" customFormat="false" ht="15" hidden="false" customHeight="false" outlineLevel="0" collapsed="false">
      <c r="A590" s="7" t="s">
        <v>4569</v>
      </c>
      <c r="B590" s="7" t="s">
        <v>4570</v>
      </c>
      <c r="C590" s="7" t="s">
        <v>4571</v>
      </c>
      <c r="D590" s="7" t="s">
        <v>2724</v>
      </c>
      <c r="E590" s="7" t="s">
        <v>82</v>
      </c>
      <c r="F590" s="7" t="s">
        <v>82</v>
      </c>
      <c r="G590" s="7"/>
      <c r="H590" s="7"/>
      <c r="I590" s="7" t="s">
        <v>132</v>
      </c>
      <c r="J590" s="7" t="s">
        <v>104</v>
      </c>
      <c r="K590" s="7" t="s">
        <v>105</v>
      </c>
      <c r="L590" s="7" t="s">
        <v>106</v>
      </c>
      <c r="M590" s="7"/>
      <c r="N590" s="7" t="s">
        <v>4572</v>
      </c>
      <c r="O590" s="7" t="s">
        <v>4572</v>
      </c>
      <c r="P590" s="7" t="s">
        <v>109</v>
      </c>
      <c r="Q590" s="7"/>
      <c r="R590" s="7" t="s">
        <v>109</v>
      </c>
      <c r="S590" s="7" t="s">
        <v>110</v>
      </c>
      <c r="T590" s="7" t="n">
        <v>0.757</v>
      </c>
      <c r="U590" s="7" t="n">
        <v>1</v>
      </c>
      <c r="V590" s="7" t="s">
        <v>86</v>
      </c>
      <c r="W590" s="7"/>
      <c r="X590" s="7" t="s">
        <v>4573</v>
      </c>
      <c r="Y590" s="7" t="s">
        <v>4572</v>
      </c>
      <c r="Z590" s="7"/>
      <c r="AA590" s="7"/>
      <c r="AB590" s="7"/>
      <c r="AC590" s="7" t="n">
        <v>5</v>
      </c>
      <c r="AD590" s="7" t="s">
        <v>743</v>
      </c>
      <c r="AE590" s="7" t="s">
        <v>2032</v>
      </c>
      <c r="AF590" s="7" t="s">
        <v>4571</v>
      </c>
      <c r="AG590" s="7" t="s">
        <v>2032</v>
      </c>
      <c r="AH590" s="7" t="s">
        <v>4573</v>
      </c>
      <c r="AI590" s="7"/>
      <c r="AJ590" s="7"/>
      <c r="AK590" s="7"/>
      <c r="AL590" s="7"/>
      <c r="AM590" s="7"/>
      <c r="AN590" s="7"/>
      <c r="AO590" s="7" t="s">
        <v>2032</v>
      </c>
      <c r="AP590" s="7" t="s">
        <v>2724</v>
      </c>
      <c r="AQ590" s="7" t="s">
        <v>2032</v>
      </c>
      <c r="AR590" s="7" t="s">
        <v>82</v>
      </c>
      <c r="AS590" s="7"/>
      <c r="AT590" s="7"/>
      <c r="AU590" s="7"/>
      <c r="AV590" s="7"/>
      <c r="AW590" s="7" t="s">
        <v>2032</v>
      </c>
      <c r="AX590" s="7" t="s">
        <v>4572</v>
      </c>
      <c r="AY590" s="7"/>
      <c r="AZ590" s="7"/>
      <c r="BA590" s="7"/>
      <c r="BB590" s="7"/>
      <c r="BC590" s="7"/>
      <c r="BD590" s="7" t="s">
        <v>220</v>
      </c>
      <c r="BE590" s="7" t="s">
        <v>127</v>
      </c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</row>
    <row r="591" customFormat="false" ht="15" hidden="false" customHeight="false" outlineLevel="0" collapsed="false">
      <c r="A591" s="7" t="s">
        <v>4574</v>
      </c>
      <c r="B591" s="7" t="s">
        <v>4575</v>
      </c>
      <c r="C591" s="7" t="s">
        <v>4576</v>
      </c>
      <c r="D591" s="7" t="s">
        <v>2028</v>
      </c>
      <c r="E591" s="7" t="s">
        <v>82</v>
      </c>
      <c r="F591" s="7" t="s">
        <v>82</v>
      </c>
      <c r="G591" s="7"/>
      <c r="H591" s="7"/>
      <c r="I591" s="7" t="s">
        <v>158</v>
      </c>
      <c r="J591" s="7" t="s">
        <v>104</v>
      </c>
      <c r="K591" s="7" t="s">
        <v>105</v>
      </c>
      <c r="L591" s="7" t="s">
        <v>353</v>
      </c>
      <c r="M591" s="7"/>
      <c r="N591" s="7" t="s">
        <v>355</v>
      </c>
      <c r="O591" s="7" t="s">
        <v>355</v>
      </c>
      <c r="P591" s="7" t="s">
        <v>135</v>
      </c>
      <c r="Q591" s="7"/>
      <c r="R591" s="7" t="s">
        <v>109</v>
      </c>
      <c r="S591" s="7" t="s">
        <v>110</v>
      </c>
      <c r="T591" s="7" t="n">
        <v>0.549</v>
      </c>
      <c r="U591" s="7" t="n">
        <v>1</v>
      </c>
      <c r="V591" s="7"/>
      <c r="W591" s="7"/>
      <c r="X591" s="7"/>
      <c r="Y591" s="7" t="s">
        <v>355</v>
      </c>
      <c r="Z591" s="7"/>
      <c r="AA591" s="7"/>
      <c r="AB591" s="7"/>
      <c r="AC591" s="7" t="n">
        <v>4</v>
      </c>
      <c r="AD591" s="7" t="s">
        <v>1376</v>
      </c>
      <c r="AE591" s="7" t="s">
        <v>2032</v>
      </c>
      <c r="AF591" s="7" t="s">
        <v>4576</v>
      </c>
      <c r="AG591" s="7"/>
      <c r="AH591" s="7"/>
      <c r="AI591" s="7"/>
      <c r="AJ591" s="7"/>
      <c r="AK591" s="7"/>
      <c r="AL591" s="7"/>
      <c r="AM591" s="7"/>
      <c r="AN591" s="7"/>
      <c r="AO591" s="7" t="s">
        <v>2032</v>
      </c>
      <c r="AP591" s="7" t="s">
        <v>2028</v>
      </c>
      <c r="AQ591" s="7" t="s">
        <v>2032</v>
      </c>
      <c r="AR591" s="7" t="s">
        <v>82</v>
      </c>
      <c r="AS591" s="7"/>
      <c r="AT591" s="7"/>
      <c r="AU591" s="7"/>
      <c r="AV591" s="7"/>
      <c r="AW591" s="7" t="s">
        <v>2032</v>
      </c>
      <c r="AX591" s="7" t="s">
        <v>355</v>
      </c>
      <c r="AY591" s="7"/>
      <c r="AZ591" s="7"/>
      <c r="BA591" s="7"/>
      <c r="BB591" s="7"/>
      <c r="BC591" s="7"/>
      <c r="BD591" s="7" t="s">
        <v>370</v>
      </c>
      <c r="BE591" s="7" t="s">
        <v>127</v>
      </c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</row>
    <row r="592" customFormat="false" ht="15" hidden="false" customHeight="false" outlineLevel="0" collapsed="false">
      <c r="A592" s="7" t="s">
        <v>4577</v>
      </c>
      <c r="B592" s="7" t="s">
        <v>4578</v>
      </c>
      <c r="C592" s="7" t="s">
        <v>4579</v>
      </c>
      <c r="D592" s="7"/>
      <c r="E592" s="7" t="s">
        <v>101</v>
      </c>
      <c r="F592" s="7" t="s">
        <v>101</v>
      </c>
      <c r="G592" s="7"/>
      <c r="H592" s="7" t="s">
        <v>102</v>
      </c>
      <c r="I592" s="7" t="s">
        <v>158</v>
      </c>
      <c r="J592" s="7" t="s">
        <v>104</v>
      </c>
      <c r="K592" s="7" t="s">
        <v>105</v>
      </c>
      <c r="L592" s="7" t="s">
        <v>353</v>
      </c>
      <c r="M592" s="7" t="s">
        <v>4580</v>
      </c>
      <c r="N592" s="7" t="s">
        <v>4581</v>
      </c>
      <c r="O592" s="7"/>
      <c r="P592" s="7" t="s">
        <v>135</v>
      </c>
      <c r="Q592" s="7"/>
      <c r="R592" s="7"/>
      <c r="S592" s="7"/>
      <c r="T592" s="7" t="n">
        <v>0.127</v>
      </c>
      <c r="U592" s="7" t="n">
        <v>1</v>
      </c>
      <c r="V592" s="7" t="s">
        <v>90</v>
      </c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 t="s">
        <v>219</v>
      </c>
      <c r="BD592" s="7" t="s">
        <v>440</v>
      </c>
      <c r="BE592" s="7" t="s">
        <v>127</v>
      </c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</row>
    <row r="593" customFormat="false" ht="15" hidden="false" customHeight="false" outlineLevel="0" collapsed="false">
      <c r="A593" s="7" t="s">
        <v>4582</v>
      </c>
      <c r="B593" s="7" t="s">
        <v>4583</v>
      </c>
      <c r="C593" s="7" t="s">
        <v>4584</v>
      </c>
      <c r="D593" s="7"/>
      <c r="E593" s="7" t="s">
        <v>101</v>
      </c>
      <c r="F593" s="7" t="s">
        <v>507</v>
      </c>
      <c r="G593" s="7"/>
      <c r="H593" s="7" t="s">
        <v>102</v>
      </c>
      <c r="I593" s="7" t="s">
        <v>158</v>
      </c>
      <c r="J593" s="7" t="s">
        <v>104</v>
      </c>
      <c r="K593" s="7" t="s">
        <v>105</v>
      </c>
      <c r="L593" s="7" t="s">
        <v>106</v>
      </c>
      <c r="M593" s="7" t="s">
        <v>419</v>
      </c>
      <c r="N593" s="7" t="s">
        <v>4585</v>
      </c>
      <c r="O593" s="7" t="s">
        <v>4585</v>
      </c>
      <c r="P593" s="7" t="s">
        <v>135</v>
      </c>
      <c r="Q593" s="7"/>
      <c r="R593" s="7" t="s">
        <v>84</v>
      </c>
      <c r="S593" s="7" t="s">
        <v>238</v>
      </c>
      <c r="T593" s="7" t="n">
        <v>0.765</v>
      </c>
      <c r="U593" s="7" t="n">
        <v>1</v>
      </c>
      <c r="V593" s="7" t="s">
        <v>90</v>
      </c>
      <c r="W593" s="7" t="s">
        <v>509</v>
      </c>
      <c r="X593" s="7" t="s">
        <v>1952</v>
      </c>
      <c r="Y593" s="7" t="s">
        <v>4585</v>
      </c>
      <c r="Z593" s="7" t="s">
        <v>4586</v>
      </c>
      <c r="AA593" s="7"/>
      <c r="AB593" s="7"/>
      <c r="AC593" s="7" t="n">
        <v>12</v>
      </c>
      <c r="AD593" s="7"/>
      <c r="AE593" s="7" t="s">
        <v>448</v>
      </c>
      <c r="AF593" s="7" t="s">
        <v>4584</v>
      </c>
      <c r="AG593" s="7" t="s">
        <v>619</v>
      </c>
      <c r="AH593" s="7" t="s">
        <v>4587</v>
      </c>
      <c r="AI593" s="7" t="s">
        <v>619</v>
      </c>
      <c r="AJ593" s="7" t="s">
        <v>145</v>
      </c>
      <c r="AK593" s="7" t="s">
        <v>619</v>
      </c>
      <c r="AL593" s="7" t="s">
        <v>145</v>
      </c>
      <c r="AM593" s="7" t="s">
        <v>619</v>
      </c>
      <c r="AN593" s="7" t="s">
        <v>145</v>
      </c>
      <c r="AO593" s="7" t="s">
        <v>619</v>
      </c>
      <c r="AP593" s="7" t="s">
        <v>4588</v>
      </c>
      <c r="AQ593" s="7" t="s">
        <v>619</v>
      </c>
      <c r="AR593" s="7" t="s">
        <v>4589</v>
      </c>
      <c r="AS593" s="7" t="s">
        <v>619</v>
      </c>
      <c r="AT593" s="7" t="s">
        <v>4590</v>
      </c>
      <c r="AU593" s="7" t="s">
        <v>619</v>
      </c>
      <c r="AV593" s="7" t="s">
        <v>145</v>
      </c>
      <c r="AW593" s="7" t="s">
        <v>448</v>
      </c>
      <c r="AX593" s="7" t="s">
        <v>4585</v>
      </c>
      <c r="AY593" s="7" t="s">
        <v>619</v>
      </c>
      <c r="AZ593" s="7" t="s">
        <v>4591</v>
      </c>
      <c r="BA593" s="7" t="s">
        <v>619</v>
      </c>
      <c r="BB593" s="7" t="s">
        <v>369</v>
      </c>
      <c r="BC593" s="7" t="s">
        <v>427</v>
      </c>
      <c r="BD593" s="7" t="s">
        <v>747</v>
      </c>
      <c r="BE593" s="7" t="s">
        <v>127</v>
      </c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</row>
    <row r="594" customFormat="false" ht="15" hidden="false" customHeight="false" outlineLevel="0" collapsed="false">
      <c r="A594" s="7" t="s">
        <v>4592</v>
      </c>
      <c r="B594" s="7" t="s">
        <v>4593</v>
      </c>
      <c r="C594" s="7" t="s">
        <v>4594</v>
      </c>
      <c r="D594" s="7"/>
      <c r="E594" s="7" t="s">
        <v>101</v>
      </c>
      <c r="F594" s="7" t="s">
        <v>741</v>
      </c>
      <c r="G594" s="7"/>
      <c r="H594" s="7" t="s">
        <v>102</v>
      </c>
      <c r="I594" s="7" t="s">
        <v>158</v>
      </c>
      <c r="J594" s="7" t="s">
        <v>104</v>
      </c>
      <c r="K594" s="7" t="s">
        <v>105</v>
      </c>
      <c r="L594" s="7" t="s">
        <v>106</v>
      </c>
      <c r="M594" s="7" t="s">
        <v>419</v>
      </c>
      <c r="N594" s="7" t="s">
        <v>4595</v>
      </c>
      <c r="O594" s="7" t="s">
        <v>4595</v>
      </c>
      <c r="P594" s="7" t="s">
        <v>135</v>
      </c>
      <c r="Q594" s="7"/>
      <c r="R594" s="7" t="s">
        <v>109</v>
      </c>
      <c r="S594" s="7" t="s">
        <v>110</v>
      </c>
      <c r="T594" s="7" t="n">
        <v>0.574</v>
      </c>
      <c r="U594" s="7" t="n">
        <v>1</v>
      </c>
      <c r="V594" s="7" t="s">
        <v>90</v>
      </c>
      <c r="W594" s="7" t="s">
        <v>2279</v>
      </c>
      <c r="X594" s="7" t="s">
        <v>1952</v>
      </c>
      <c r="Y594" s="7" t="s">
        <v>4595</v>
      </c>
      <c r="Z594" s="7" t="s">
        <v>4596</v>
      </c>
      <c r="AA594" s="7"/>
      <c r="AB594" s="7"/>
      <c r="AC594" s="7" t="n">
        <v>7</v>
      </c>
      <c r="AD594" s="7" t="s">
        <v>4597</v>
      </c>
      <c r="AE594" s="7" t="s">
        <v>448</v>
      </c>
      <c r="AF594" s="7" t="s">
        <v>4594</v>
      </c>
      <c r="AG594" s="7" t="s">
        <v>619</v>
      </c>
      <c r="AH594" s="7" t="s">
        <v>4598</v>
      </c>
      <c r="AI594" s="7"/>
      <c r="AJ594" s="7"/>
      <c r="AK594" s="7"/>
      <c r="AL594" s="7"/>
      <c r="AM594" s="7"/>
      <c r="AN594" s="7"/>
      <c r="AO594" s="7" t="s">
        <v>619</v>
      </c>
      <c r="AP594" s="7" t="s">
        <v>4599</v>
      </c>
      <c r="AQ594" s="7" t="s">
        <v>619</v>
      </c>
      <c r="AR594" s="7" t="s">
        <v>4600</v>
      </c>
      <c r="AS594" s="7" t="s">
        <v>619</v>
      </c>
      <c r="AT594" s="7" t="s">
        <v>4601</v>
      </c>
      <c r="AU594" s="7"/>
      <c r="AV594" s="7"/>
      <c r="AW594" s="7" t="s">
        <v>448</v>
      </c>
      <c r="AX594" s="7" t="s">
        <v>4595</v>
      </c>
      <c r="AY594" s="7"/>
      <c r="AZ594" s="7"/>
      <c r="BA594" s="7" t="s">
        <v>619</v>
      </c>
      <c r="BB594" s="7" t="s">
        <v>4602</v>
      </c>
      <c r="BC594" s="7" t="s">
        <v>427</v>
      </c>
      <c r="BD594" s="7" t="s">
        <v>747</v>
      </c>
      <c r="BE594" s="7" t="s">
        <v>127</v>
      </c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</row>
    <row r="595" customFormat="false" ht="15" hidden="false" customHeight="false" outlineLevel="0" collapsed="false">
      <c r="A595" s="7" t="s">
        <v>4603</v>
      </c>
      <c r="B595" s="7" t="s">
        <v>4604</v>
      </c>
      <c r="C595" s="7" t="s">
        <v>4605</v>
      </c>
      <c r="D595" s="7"/>
      <c r="E595" s="7" t="s">
        <v>101</v>
      </c>
      <c r="F595" s="7" t="s">
        <v>741</v>
      </c>
      <c r="G595" s="7"/>
      <c r="H595" s="7" t="s">
        <v>102</v>
      </c>
      <c r="I595" s="7" t="s">
        <v>158</v>
      </c>
      <c r="J595" s="7" t="s">
        <v>104</v>
      </c>
      <c r="K595" s="7" t="s">
        <v>105</v>
      </c>
      <c r="L595" s="7" t="s">
        <v>106</v>
      </c>
      <c r="M595" s="7" t="s">
        <v>419</v>
      </c>
      <c r="N595" s="7" t="s">
        <v>4606</v>
      </c>
      <c r="O595" s="7" t="s">
        <v>4606</v>
      </c>
      <c r="P595" s="7" t="s">
        <v>135</v>
      </c>
      <c r="Q595" s="7"/>
      <c r="R595" s="7" t="s">
        <v>109</v>
      </c>
      <c r="S595" s="7" t="s">
        <v>110</v>
      </c>
      <c r="T595" s="7" t="n">
        <v>0.367</v>
      </c>
      <c r="U595" s="7" t="n">
        <v>1</v>
      </c>
      <c r="V595" s="7" t="s">
        <v>90</v>
      </c>
      <c r="W595" s="7"/>
      <c r="X595" s="7"/>
      <c r="Y595" s="7" t="s">
        <v>4606</v>
      </c>
      <c r="Z595" s="7"/>
      <c r="AA595" s="7"/>
      <c r="AB595" s="7"/>
      <c r="AC595" s="7" t="n">
        <v>3</v>
      </c>
      <c r="AD595" s="7" t="s">
        <v>4607</v>
      </c>
      <c r="AE595" s="7" t="s">
        <v>435</v>
      </c>
      <c r="AF595" s="7" t="s">
        <v>4605</v>
      </c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 t="s">
        <v>435</v>
      </c>
      <c r="AR595" s="7" t="s">
        <v>741</v>
      </c>
      <c r="AS595" s="7"/>
      <c r="AT595" s="7"/>
      <c r="AU595" s="7"/>
      <c r="AV595" s="7"/>
      <c r="AW595" s="7" t="s">
        <v>435</v>
      </c>
      <c r="AX595" s="7" t="s">
        <v>4606</v>
      </c>
      <c r="AY595" s="7"/>
      <c r="AZ595" s="7"/>
      <c r="BA595" s="7"/>
      <c r="BB595" s="7"/>
      <c r="BC595" s="7" t="s">
        <v>427</v>
      </c>
      <c r="BD595" s="7" t="s">
        <v>747</v>
      </c>
      <c r="BE595" s="7" t="s">
        <v>127</v>
      </c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</row>
    <row r="596" customFormat="false" ht="15" hidden="false" customHeight="false" outlineLevel="0" collapsed="false">
      <c r="A596" s="7" t="s">
        <v>4608</v>
      </c>
      <c r="B596" s="7" t="s">
        <v>4609</v>
      </c>
      <c r="C596" s="7" t="s">
        <v>4610</v>
      </c>
      <c r="D596" s="7"/>
      <c r="E596" s="7" t="s">
        <v>101</v>
      </c>
      <c r="F596" s="7" t="s">
        <v>507</v>
      </c>
      <c r="G596" s="7"/>
      <c r="H596" s="7" t="s">
        <v>102</v>
      </c>
      <c r="I596" s="7" t="s">
        <v>132</v>
      </c>
      <c r="J596" s="7" t="s">
        <v>104</v>
      </c>
      <c r="K596" s="7" t="s">
        <v>105</v>
      </c>
      <c r="L596" s="7" t="s">
        <v>106</v>
      </c>
      <c r="M596" s="7" t="s">
        <v>419</v>
      </c>
      <c r="N596" s="7" t="s">
        <v>4611</v>
      </c>
      <c r="O596" s="7" t="s">
        <v>4611</v>
      </c>
      <c r="P596" s="7" t="s">
        <v>135</v>
      </c>
      <c r="Q596" s="7"/>
      <c r="R596" s="7" t="s">
        <v>84</v>
      </c>
      <c r="S596" s="7" t="s">
        <v>238</v>
      </c>
      <c r="T596" s="7" t="n">
        <v>0.509</v>
      </c>
      <c r="U596" s="7" t="n">
        <v>1</v>
      </c>
      <c r="V596" s="7" t="s">
        <v>90</v>
      </c>
      <c r="W596" s="7" t="s">
        <v>4612</v>
      </c>
      <c r="X596" s="7" t="s">
        <v>841</v>
      </c>
      <c r="Y596" s="7" t="s">
        <v>4611</v>
      </c>
      <c r="Z596" s="7" t="s">
        <v>4613</v>
      </c>
      <c r="AA596" s="7"/>
      <c r="AB596" s="7"/>
      <c r="AC596" s="7" t="n">
        <v>12</v>
      </c>
      <c r="AD596" s="7"/>
      <c r="AE596" s="7" t="s">
        <v>448</v>
      </c>
      <c r="AF596" s="7" t="s">
        <v>4610</v>
      </c>
      <c r="AG596" s="7" t="s">
        <v>619</v>
      </c>
      <c r="AH596" s="7" t="s">
        <v>4614</v>
      </c>
      <c r="AI596" s="7" t="s">
        <v>619</v>
      </c>
      <c r="AJ596" s="7" t="s">
        <v>145</v>
      </c>
      <c r="AK596" s="7" t="s">
        <v>619</v>
      </c>
      <c r="AL596" s="7" t="s">
        <v>145</v>
      </c>
      <c r="AM596" s="7" t="s">
        <v>619</v>
      </c>
      <c r="AN596" s="7" t="s">
        <v>145</v>
      </c>
      <c r="AO596" s="7" t="s">
        <v>619</v>
      </c>
      <c r="AP596" s="7" t="s">
        <v>4615</v>
      </c>
      <c r="AQ596" s="7" t="s">
        <v>448</v>
      </c>
      <c r="AR596" s="7" t="s">
        <v>507</v>
      </c>
      <c r="AS596" s="7" t="s">
        <v>619</v>
      </c>
      <c r="AT596" s="7" t="s">
        <v>4590</v>
      </c>
      <c r="AU596" s="7" t="s">
        <v>619</v>
      </c>
      <c r="AV596" s="7" t="s">
        <v>145</v>
      </c>
      <c r="AW596" s="7" t="s">
        <v>448</v>
      </c>
      <c r="AX596" s="7" t="s">
        <v>4611</v>
      </c>
      <c r="AY596" s="7" t="s">
        <v>619</v>
      </c>
      <c r="AZ596" s="7" t="s">
        <v>4616</v>
      </c>
      <c r="BA596" s="7" t="s">
        <v>619</v>
      </c>
      <c r="BB596" s="7" t="s">
        <v>369</v>
      </c>
      <c r="BC596" s="7" t="s">
        <v>427</v>
      </c>
      <c r="BD596" s="7" t="s">
        <v>747</v>
      </c>
      <c r="BE596" s="7" t="s">
        <v>127</v>
      </c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</row>
    <row r="597" customFormat="false" ht="15" hidden="false" customHeight="false" outlineLevel="0" collapsed="false">
      <c r="A597" s="7" t="s">
        <v>4617</v>
      </c>
      <c r="B597" s="7" t="s">
        <v>4618</v>
      </c>
      <c r="C597" s="7" t="s">
        <v>4619</v>
      </c>
      <c r="D597" s="7"/>
      <c r="E597" s="7" t="s">
        <v>101</v>
      </c>
      <c r="F597" s="7" t="s">
        <v>507</v>
      </c>
      <c r="G597" s="7"/>
      <c r="H597" s="7" t="s">
        <v>102</v>
      </c>
      <c r="I597" s="7" t="s">
        <v>132</v>
      </c>
      <c r="J597" s="7" t="s">
        <v>104</v>
      </c>
      <c r="K597" s="7" t="s">
        <v>105</v>
      </c>
      <c r="L597" s="7" t="s">
        <v>106</v>
      </c>
      <c r="M597" s="7" t="s">
        <v>419</v>
      </c>
      <c r="N597" s="7" t="s">
        <v>4620</v>
      </c>
      <c r="O597" s="7" t="s">
        <v>4620</v>
      </c>
      <c r="P597" s="7" t="s">
        <v>135</v>
      </c>
      <c r="Q597" s="7"/>
      <c r="R597" s="7" t="s">
        <v>84</v>
      </c>
      <c r="S597" s="7" t="s">
        <v>238</v>
      </c>
      <c r="T597" s="7" t="n">
        <v>0.441</v>
      </c>
      <c r="U597" s="7" t="n">
        <v>1</v>
      </c>
      <c r="V597" s="7" t="s">
        <v>90</v>
      </c>
      <c r="W597" s="7" t="s">
        <v>4612</v>
      </c>
      <c r="X597" s="7" t="s">
        <v>841</v>
      </c>
      <c r="Y597" s="7" t="s">
        <v>4620</v>
      </c>
      <c r="Z597" s="7" t="s">
        <v>4613</v>
      </c>
      <c r="AA597" s="7"/>
      <c r="AB597" s="7"/>
      <c r="AC597" s="7" t="n">
        <v>12</v>
      </c>
      <c r="AD597" s="7"/>
      <c r="AE597" s="7" t="s">
        <v>448</v>
      </c>
      <c r="AF597" s="7" t="s">
        <v>4619</v>
      </c>
      <c r="AG597" s="7" t="s">
        <v>619</v>
      </c>
      <c r="AH597" s="7" t="s">
        <v>4621</v>
      </c>
      <c r="AI597" s="7" t="s">
        <v>619</v>
      </c>
      <c r="AJ597" s="7" t="s">
        <v>4622</v>
      </c>
      <c r="AK597" s="7" t="s">
        <v>619</v>
      </c>
      <c r="AL597" s="7" t="s">
        <v>4623</v>
      </c>
      <c r="AM597" s="7" t="s">
        <v>619</v>
      </c>
      <c r="AN597" s="7" t="s">
        <v>4624</v>
      </c>
      <c r="AO597" s="7" t="s">
        <v>619</v>
      </c>
      <c r="AP597" s="7" t="s">
        <v>4625</v>
      </c>
      <c r="AQ597" s="7" t="s">
        <v>448</v>
      </c>
      <c r="AR597" s="7" t="s">
        <v>507</v>
      </c>
      <c r="AS597" s="7" t="s">
        <v>619</v>
      </c>
      <c r="AT597" s="7" t="s">
        <v>4626</v>
      </c>
      <c r="AU597" s="7" t="s">
        <v>619</v>
      </c>
      <c r="AV597" s="7" t="s">
        <v>4627</v>
      </c>
      <c r="AW597" s="7" t="s">
        <v>448</v>
      </c>
      <c r="AX597" s="7" t="s">
        <v>4620</v>
      </c>
      <c r="AY597" s="7" t="s">
        <v>619</v>
      </c>
      <c r="AZ597" s="7" t="s">
        <v>4628</v>
      </c>
      <c r="BA597" s="7" t="s">
        <v>619</v>
      </c>
      <c r="BB597" s="7" t="s">
        <v>4629</v>
      </c>
      <c r="BC597" s="7" t="s">
        <v>427</v>
      </c>
      <c r="BD597" s="7" t="s">
        <v>747</v>
      </c>
      <c r="BE597" s="7" t="s">
        <v>127</v>
      </c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</row>
    <row r="598" customFormat="false" ht="15" hidden="false" customHeight="false" outlineLevel="0" collapsed="false">
      <c r="A598" s="7" t="s">
        <v>4630</v>
      </c>
      <c r="B598" s="7" t="s">
        <v>4631</v>
      </c>
      <c r="C598" s="7" t="s">
        <v>4632</v>
      </c>
      <c r="D598" s="7"/>
      <c r="E598" s="7" t="s">
        <v>101</v>
      </c>
      <c r="F598" s="7" t="s">
        <v>507</v>
      </c>
      <c r="G598" s="7"/>
      <c r="H598" s="7" t="s">
        <v>102</v>
      </c>
      <c r="I598" s="7" t="s">
        <v>158</v>
      </c>
      <c r="J598" s="7" t="s">
        <v>104</v>
      </c>
      <c r="K598" s="7" t="s">
        <v>105</v>
      </c>
      <c r="L598" s="7" t="s">
        <v>353</v>
      </c>
      <c r="M598" s="7" t="s">
        <v>419</v>
      </c>
      <c r="N598" s="7" t="s">
        <v>4633</v>
      </c>
      <c r="O598" s="7" t="s">
        <v>4633</v>
      </c>
      <c r="P598" s="7" t="s">
        <v>135</v>
      </c>
      <c r="Q598" s="7"/>
      <c r="R598" s="7" t="s">
        <v>84</v>
      </c>
      <c r="S598" s="7" t="s">
        <v>238</v>
      </c>
      <c r="T598" s="7" t="n">
        <v>0.638</v>
      </c>
      <c r="U598" s="7" t="n">
        <v>1</v>
      </c>
      <c r="V598" s="7" t="s">
        <v>90</v>
      </c>
      <c r="W598" s="7" t="s">
        <v>4612</v>
      </c>
      <c r="X598" s="7" t="s">
        <v>841</v>
      </c>
      <c r="Y598" s="7" t="s">
        <v>4633</v>
      </c>
      <c r="Z598" s="7" t="s">
        <v>4613</v>
      </c>
      <c r="AA598" s="7"/>
      <c r="AB598" s="7"/>
      <c r="AC598" s="7" t="n">
        <v>12</v>
      </c>
      <c r="AD598" s="7"/>
      <c r="AE598" s="7" t="s">
        <v>448</v>
      </c>
      <c r="AF598" s="7" t="s">
        <v>4632</v>
      </c>
      <c r="AG598" s="7" t="s">
        <v>619</v>
      </c>
      <c r="AH598" s="7" t="s">
        <v>4614</v>
      </c>
      <c r="AI598" s="7" t="s">
        <v>619</v>
      </c>
      <c r="AJ598" s="7" t="s">
        <v>145</v>
      </c>
      <c r="AK598" s="7" t="s">
        <v>619</v>
      </c>
      <c r="AL598" s="7" t="s">
        <v>145</v>
      </c>
      <c r="AM598" s="7" t="s">
        <v>619</v>
      </c>
      <c r="AN598" s="7" t="s">
        <v>145</v>
      </c>
      <c r="AO598" s="7" t="s">
        <v>619</v>
      </c>
      <c r="AP598" s="7" t="s">
        <v>4615</v>
      </c>
      <c r="AQ598" s="7" t="s">
        <v>448</v>
      </c>
      <c r="AR598" s="7" t="s">
        <v>507</v>
      </c>
      <c r="AS598" s="7" t="s">
        <v>619</v>
      </c>
      <c r="AT598" s="7" t="s">
        <v>4590</v>
      </c>
      <c r="AU598" s="7" t="s">
        <v>619</v>
      </c>
      <c r="AV598" s="7" t="s">
        <v>145</v>
      </c>
      <c r="AW598" s="7" t="s">
        <v>448</v>
      </c>
      <c r="AX598" s="7" t="s">
        <v>4633</v>
      </c>
      <c r="AY598" s="7" t="s">
        <v>619</v>
      </c>
      <c r="AZ598" s="7" t="s">
        <v>4616</v>
      </c>
      <c r="BA598" s="7" t="s">
        <v>619</v>
      </c>
      <c r="BB598" s="7" t="s">
        <v>369</v>
      </c>
      <c r="BC598" s="7" t="s">
        <v>427</v>
      </c>
      <c r="BD598" s="7" t="s">
        <v>747</v>
      </c>
      <c r="BE598" s="7" t="s">
        <v>127</v>
      </c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</row>
    <row r="599" customFormat="false" ht="15" hidden="false" customHeight="false" outlineLevel="0" collapsed="false">
      <c r="A599" s="7" t="s">
        <v>4634</v>
      </c>
      <c r="B599" s="7" t="s">
        <v>4635</v>
      </c>
      <c r="C599" s="7" t="s">
        <v>4636</v>
      </c>
      <c r="D599" s="7"/>
      <c r="E599" s="7" t="s">
        <v>101</v>
      </c>
      <c r="F599" s="7" t="s">
        <v>507</v>
      </c>
      <c r="G599" s="7"/>
      <c r="H599" s="7" t="s">
        <v>102</v>
      </c>
      <c r="I599" s="7" t="s">
        <v>158</v>
      </c>
      <c r="J599" s="7" t="s">
        <v>104</v>
      </c>
      <c r="K599" s="7" t="s">
        <v>105</v>
      </c>
      <c r="L599" s="7" t="s">
        <v>106</v>
      </c>
      <c r="M599" s="7" t="s">
        <v>419</v>
      </c>
      <c r="N599" s="7" t="s">
        <v>4637</v>
      </c>
      <c r="O599" s="7" t="s">
        <v>4637</v>
      </c>
      <c r="P599" s="7" t="s">
        <v>135</v>
      </c>
      <c r="Q599" s="7"/>
      <c r="R599" s="7" t="s">
        <v>84</v>
      </c>
      <c r="S599" s="7" t="s">
        <v>238</v>
      </c>
      <c r="T599" s="7" t="n">
        <v>0.474</v>
      </c>
      <c r="U599" s="7" t="n">
        <v>1</v>
      </c>
      <c r="V599" s="7" t="s">
        <v>90</v>
      </c>
      <c r="W599" s="7" t="s">
        <v>4612</v>
      </c>
      <c r="X599" s="7" t="s">
        <v>841</v>
      </c>
      <c r="Y599" s="7" t="s">
        <v>4637</v>
      </c>
      <c r="Z599" s="7" t="s">
        <v>4613</v>
      </c>
      <c r="AA599" s="7"/>
      <c r="AB599" s="7"/>
      <c r="AC599" s="7" t="n">
        <v>12</v>
      </c>
      <c r="AD599" s="7"/>
      <c r="AE599" s="7" t="s">
        <v>448</v>
      </c>
      <c r="AF599" s="7" t="s">
        <v>4636</v>
      </c>
      <c r="AG599" s="7" t="s">
        <v>619</v>
      </c>
      <c r="AH599" s="7" t="s">
        <v>4614</v>
      </c>
      <c r="AI599" s="7" t="s">
        <v>619</v>
      </c>
      <c r="AJ599" s="7" t="s">
        <v>145</v>
      </c>
      <c r="AK599" s="7" t="s">
        <v>619</v>
      </c>
      <c r="AL599" s="7" t="s">
        <v>145</v>
      </c>
      <c r="AM599" s="7" t="s">
        <v>619</v>
      </c>
      <c r="AN599" s="7" t="s">
        <v>145</v>
      </c>
      <c r="AO599" s="7" t="s">
        <v>619</v>
      </c>
      <c r="AP599" s="7" t="s">
        <v>4615</v>
      </c>
      <c r="AQ599" s="7" t="s">
        <v>448</v>
      </c>
      <c r="AR599" s="7" t="s">
        <v>507</v>
      </c>
      <c r="AS599" s="7" t="s">
        <v>619</v>
      </c>
      <c r="AT599" s="7" t="s">
        <v>4590</v>
      </c>
      <c r="AU599" s="7" t="s">
        <v>619</v>
      </c>
      <c r="AV599" s="7" t="s">
        <v>145</v>
      </c>
      <c r="AW599" s="7" t="s">
        <v>448</v>
      </c>
      <c r="AX599" s="7" t="s">
        <v>4637</v>
      </c>
      <c r="AY599" s="7" t="s">
        <v>619</v>
      </c>
      <c r="AZ599" s="7" t="s">
        <v>4616</v>
      </c>
      <c r="BA599" s="7" t="s">
        <v>619</v>
      </c>
      <c r="BB599" s="7" t="s">
        <v>369</v>
      </c>
      <c r="BC599" s="7" t="s">
        <v>427</v>
      </c>
      <c r="BD599" s="7" t="s">
        <v>747</v>
      </c>
      <c r="BE599" s="7" t="s">
        <v>127</v>
      </c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</row>
    <row r="600" customFormat="false" ht="15" hidden="false" customHeight="false" outlineLevel="0" collapsed="false">
      <c r="A600" s="7" t="s">
        <v>4638</v>
      </c>
      <c r="B600" s="7" t="s">
        <v>4639</v>
      </c>
      <c r="C600" s="7" t="s">
        <v>4640</v>
      </c>
      <c r="D600" s="7" t="s">
        <v>2879</v>
      </c>
      <c r="E600" s="7" t="s">
        <v>101</v>
      </c>
      <c r="F600" s="7" t="s">
        <v>101</v>
      </c>
      <c r="G600" s="7"/>
      <c r="H600" s="7" t="s">
        <v>102</v>
      </c>
      <c r="I600" s="7" t="s">
        <v>374</v>
      </c>
      <c r="J600" s="7" t="s">
        <v>104</v>
      </c>
      <c r="K600" s="7" t="s">
        <v>105</v>
      </c>
      <c r="L600" s="7" t="s">
        <v>106</v>
      </c>
      <c r="M600" s="7" t="s">
        <v>419</v>
      </c>
      <c r="N600" s="7" t="s">
        <v>4641</v>
      </c>
      <c r="O600" s="7"/>
      <c r="P600" s="7" t="s">
        <v>135</v>
      </c>
      <c r="Q600" s="7"/>
      <c r="R600" s="7"/>
      <c r="S600" s="7"/>
      <c r="T600" s="7" t="n">
        <v>0.461</v>
      </c>
      <c r="U600" s="7" t="n">
        <v>1</v>
      </c>
      <c r="V600" s="7" t="s">
        <v>90</v>
      </c>
      <c r="W600" s="7"/>
      <c r="X600" s="7" t="s">
        <v>263</v>
      </c>
      <c r="Y600" s="7"/>
      <c r="Z600" s="7" t="s">
        <v>768</v>
      </c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 t="s">
        <v>427</v>
      </c>
      <c r="BD600" s="7" t="s">
        <v>440</v>
      </c>
      <c r="BE600" s="7" t="s">
        <v>127</v>
      </c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</row>
    <row r="601" customFormat="false" ht="15" hidden="false" customHeight="false" outlineLevel="0" collapsed="false">
      <c r="A601" s="7" t="s">
        <v>4642</v>
      </c>
      <c r="B601" s="7" t="s">
        <v>4643</v>
      </c>
      <c r="C601" s="7" t="s">
        <v>4644</v>
      </c>
      <c r="D601" s="7" t="s">
        <v>4645</v>
      </c>
      <c r="E601" s="7" t="s">
        <v>101</v>
      </c>
      <c r="F601" s="7" t="s">
        <v>101</v>
      </c>
      <c r="G601" s="7"/>
      <c r="H601" s="7" t="s">
        <v>102</v>
      </c>
      <c r="I601" s="7" t="s">
        <v>132</v>
      </c>
      <c r="J601" s="7" t="s">
        <v>104</v>
      </c>
      <c r="K601" s="7" t="s">
        <v>105</v>
      </c>
      <c r="L601" s="7" t="s">
        <v>106</v>
      </c>
      <c r="M601" s="7" t="s">
        <v>419</v>
      </c>
      <c r="N601" s="7" t="s">
        <v>4646</v>
      </c>
      <c r="O601" s="7" t="s">
        <v>4646</v>
      </c>
      <c r="P601" s="7" t="s">
        <v>135</v>
      </c>
      <c r="Q601" s="7"/>
      <c r="R601" s="7" t="s">
        <v>109</v>
      </c>
      <c r="S601" s="7" t="s">
        <v>110</v>
      </c>
      <c r="T601" s="7" t="n">
        <v>0.104</v>
      </c>
      <c r="U601" s="7" t="n">
        <v>1</v>
      </c>
      <c r="V601" s="7" t="s">
        <v>2781</v>
      </c>
      <c r="W601" s="7" t="s">
        <v>4647</v>
      </c>
      <c r="X601" s="7" t="s">
        <v>4648</v>
      </c>
      <c r="Y601" s="7" t="s">
        <v>4646</v>
      </c>
      <c r="Z601" s="7" t="s">
        <v>4649</v>
      </c>
      <c r="AA601" s="7"/>
      <c r="AB601" s="7"/>
      <c r="AC601" s="7" t="n">
        <v>0</v>
      </c>
      <c r="AD601" s="7" t="s">
        <v>388</v>
      </c>
      <c r="AE601" s="7" t="s">
        <v>1065</v>
      </c>
      <c r="AF601" s="7" t="s">
        <v>4650</v>
      </c>
      <c r="AG601" s="7" t="s">
        <v>1065</v>
      </c>
      <c r="AH601" s="7" t="s">
        <v>4651</v>
      </c>
      <c r="AI601" s="7"/>
      <c r="AJ601" s="7"/>
      <c r="AK601" s="7"/>
      <c r="AL601" s="7"/>
      <c r="AM601" s="7" t="s">
        <v>1065</v>
      </c>
      <c r="AN601" s="7" t="s">
        <v>145</v>
      </c>
      <c r="AO601" s="7" t="s">
        <v>1065</v>
      </c>
      <c r="AP601" s="7" t="s">
        <v>4645</v>
      </c>
      <c r="AQ601" s="7" t="s">
        <v>1065</v>
      </c>
      <c r="AR601" s="7" t="s">
        <v>4652</v>
      </c>
      <c r="AS601" s="7" t="s">
        <v>1065</v>
      </c>
      <c r="AT601" s="7" t="s">
        <v>122</v>
      </c>
      <c r="AU601" s="7"/>
      <c r="AV601" s="7"/>
      <c r="AW601" s="7"/>
      <c r="AX601" s="7"/>
      <c r="AY601" s="7"/>
      <c r="AZ601" s="7"/>
      <c r="BA601" s="7" t="s">
        <v>1065</v>
      </c>
      <c r="BB601" s="7" t="s">
        <v>4653</v>
      </c>
      <c r="BC601" s="7" t="s">
        <v>427</v>
      </c>
      <c r="BD601" s="7" t="s">
        <v>440</v>
      </c>
      <c r="BE601" s="7" t="s">
        <v>127</v>
      </c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</row>
    <row r="602" customFormat="false" ht="15" hidden="false" customHeight="false" outlineLevel="0" collapsed="false">
      <c r="A602" s="7" t="s">
        <v>4654</v>
      </c>
      <c r="B602" s="7" t="s">
        <v>4655</v>
      </c>
      <c r="C602" s="7" t="s">
        <v>4656</v>
      </c>
      <c r="D602" s="7" t="s">
        <v>4657</v>
      </c>
      <c r="E602" s="7" t="s">
        <v>101</v>
      </c>
      <c r="F602" s="7" t="s">
        <v>737</v>
      </c>
      <c r="G602" s="7" t="s">
        <v>4658</v>
      </c>
      <c r="H602" s="7" t="s">
        <v>102</v>
      </c>
      <c r="I602" s="7" t="s">
        <v>132</v>
      </c>
      <c r="J602" s="7" t="s">
        <v>104</v>
      </c>
      <c r="K602" s="7" t="s">
        <v>105</v>
      </c>
      <c r="L602" s="7" t="s">
        <v>106</v>
      </c>
      <c r="M602" s="7"/>
      <c r="N602" s="7" t="s">
        <v>4659</v>
      </c>
      <c r="O602" s="7" t="s">
        <v>4659</v>
      </c>
      <c r="P602" s="7" t="s">
        <v>135</v>
      </c>
      <c r="Q602" s="7"/>
      <c r="R602" s="7" t="s">
        <v>109</v>
      </c>
      <c r="S602" s="7" t="s">
        <v>110</v>
      </c>
      <c r="T602" s="7" t="n">
        <v>0.911</v>
      </c>
      <c r="U602" s="7" t="n">
        <v>1</v>
      </c>
      <c r="V602" s="7" t="s">
        <v>90</v>
      </c>
      <c r="W602" s="7"/>
      <c r="X602" s="7" t="s">
        <v>4660</v>
      </c>
      <c r="Y602" s="7" t="s">
        <v>4659</v>
      </c>
      <c r="Z602" s="7" t="s">
        <v>4661</v>
      </c>
      <c r="AA602" s="7"/>
      <c r="AB602" s="7"/>
      <c r="AC602" s="7" t="n">
        <v>0</v>
      </c>
      <c r="AD602" s="7" t="s">
        <v>388</v>
      </c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 t="s">
        <v>2797</v>
      </c>
      <c r="BE602" s="7" t="s">
        <v>127</v>
      </c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</row>
    <row r="603" customFormat="false" ht="15" hidden="false" customHeight="false" outlineLevel="0" collapsed="false">
      <c r="A603" s="7" t="s">
        <v>4662</v>
      </c>
      <c r="B603" s="7" t="s">
        <v>4663</v>
      </c>
      <c r="C603" s="7" t="s">
        <v>4664</v>
      </c>
      <c r="D603" s="7" t="s">
        <v>2771</v>
      </c>
      <c r="E603" s="7" t="s">
        <v>101</v>
      </c>
      <c r="F603" s="7" t="s">
        <v>737</v>
      </c>
      <c r="G603" s="7"/>
      <c r="H603" s="7" t="s">
        <v>102</v>
      </c>
      <c r="I603" s="7" t="s">
        <v>103</v>
      </c>
      <c r="J603" s="7" t="s">
        <v>104</v>
      </c>
      <c r="K603" s="7" t="s">
        <v>105</v>
      </c>
      <c r="L603" s="7" t="s">
        <v>106</v>
      </c>
      <c r="M603" s="7"/>
      <c r="N603" s="7" t="s">
        <v>4665</v>
      </c>
      <c r="O603" s="7" t="s">
        <v>4665</v>
      </c>
      <c r="P603" s="7" t="s">
        <v>135</v>
      </c>
      <c r="Q603" s="7"/>
      <c r="R603" s="7" t="s">
        <v>109</v>
      </c>
      <c r="S603" s="7" t="s">
        <v>110</v>
      </c>
      <c r="T603" s="7" t="n">
        <v>0.411</v>
      </c>
      <c r="U603" s="7" t="n">
        <v>1</v>
      </c>
      <c r="V603" s="7" t="s">
        <v>90</v>
      </c>
      <c r="W603" s="7"/>
      <c r="X603" s="7" t="s">
        <v>4666</v>
      </c>
      <c r="Y603" s="7" t="s">
        <v>4665</v>
      </c>
      <c r="Z603" s="7" t="s">
        <v>4667</v>
      </c>
      <c r="AA603" s="7"/>
      <c r="AB603" s="7"/>
      <c r="AC603" s="7" t="n">
        <v>0</v>
      </c>
      <c r="AD603" s="7" t="s">
        <v>388</v>
      </c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 t="s">
        <v>440</v>
      </c>
      <c r="BE603" s="7" t="s">
        <v>127</v>
      </c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</row>
    <row r="604" customFormat="false" ht="15" hidden="false" customHeight="false" outlineLevel="0" collapsed="false">
      <c r="A604" s="7" t="s">
        <v>4668</v>
      </c>
      <c r="B604" s="7" t="s">
        <v>4669</v>
      </c>
      <c r="C604" s="7" t="s">
        <v>4670</v>
      </c>
      <c r="D604" s="7" t="s">
        <v>2771</v>
      </c>
      <c r="E604" s="7" t="s">
        <v>101</v>
      </c>
      <c r="F604" s="7" t="s">
        <v>101</v>
      </c>
      <c r="G604" s="7"/>
      <c r="H604" s="7" t="s">
        <v>102</v>
      </c>
      <c r="I604" s="7" t="s">
        <v>374</v>
      </c>
      <c r="J604" s="7" t="s">
        <v>104</v>
      </c>
      <c r="K604" s="7" t="s">
        <v>105</v>
      </c>
      <c r="L604" s="7" t="s">
        <v>106</v>
      </c>
      <c r="M604" s="7" t="s">
        <v>419</v>
      </c>
      <c r="N604" s="7" t="s">
        <v>4671</v>
      </c>
      <c r="O604" s="7" t="s">
        <v>4672</v>
      </c>
      <c r="P604" s="7" t="s">
        <v>109</v>
      </c>
      <c r="Q604" s="7"/>
      <c r="R604" s="7" t="s">
        <v>109</v>
      </c>
      <c r="S604" s="7" t="s">
        <v>110</v>
      </c>
      <c r="T604" s="7" t="n">
        <v>0.363</v>
      </c>
      <c r="U604" s="7" t="n">
        <v>1</v>
      </c>
      <c r="V604" s="7" t="s">
        <v>4673</v>
      </c>
      <c r="W604" s="7" t="s">
        <v>4674</v>
      </c>
      <c r="X604" s="7" t="s">
        <v>4675</v>
      </c>
      <c r="Y604" s="7" t="s">
        <v>4671</v>
      </c>
      <c r="Z604" s="7" t="s">
        <v>4676</v>
      </c>
      <c r="AA604" s="7"/>
      <c r="AB604" s="7"/>
      <c r="AC604" s="7" t="n">
        <v>7</v>
      </c>
      <c r="AD604" s="7" t="s">
        <v>2439</v>
      </c>
      <c r="AE604" s="7" t="s">
        <v>1065</v>
      </c>
      <c r="AF604" s="7" t="s">
        <v>4677</v>
      </c>
      <c r="AG604" s="7" t="s">
        <v>1065</v>
      </c>
      <c r="AH604" s="7" t="s">
        <v>4678</v>
      </c>
      <c r="AI604" s="7"/>
      <c r="AJ604" s="7"/>
      <c r="AK604" s="7"/>
      <c r="AL604" s="7"/>
      <c r="AM604" s="7" t="s">
        <v>1065</v>
      </c>
      <c r="AN604" s="7" t="s">
        <v>4679</v>
      </c>
      <c r="AO604" s="7" t="s">
        <v>1065</v>
      </c>
      <c r="AP604" s="7" t="s">
        <v>2771</v>
      </c>
      <c r="AQ604" s="7" t="s">
        <v>1065</v>
      </c>
      <c r="AR604" s="7" t="s">
        <v>737</v>
      </c>
      <c r="AS604" s="7" t="s">
        <v>1065</v>
      </c>
      <c r="AT604" s="7" t="s">
        <v>216</v>
      </c>
      <c r="AU604" s="7"/>
      <c r="AV604" s="7"/>
      <c r="AW604" s="7"/>
      <c r="AX604" s="7"/>
      <c r="AY604" s="7"/>
      <c r="AZ604" s="7"/>
      <c r="BA604" s="7" t="s">
        <v>1065</v>
      </c>
      <c r="BB604" s="7" t="s">
        <v>4680</v>
      </c>
      <c r="BC604" s="7" t="s">
        <v>427</v>
      </c>
      <c r="BD604" s="7"/>
      <c r="BE604" s="7" t="s">
        <v>127</v>
      </c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</row>
    <row r="605" customFormat="false" ht="15" hidden="false" customHeight="false" outlineLevel="0" collapsed="false">
      <c r="A605" s="7" t="s">
        <v>4681</v>
      </c>
      <c r="B605" s="7" t="s">
        <v>4682</v>
      </c>
      <c r="C605" s="7" t="s">
        <v>4683</v>
      </c>
      <c r="D605" s="7" t="s">
        <v>2771</v>
      </c>
      <c r="E605" s="7" t="s">
        <v>101</v>
      </c>
      <c r="F605" s="7" t="s">
        <v>101</v>
      </c>
      <c r="G605" s="7"/>
      <c r="H605" s="7" t="s">
        <v>102</v>
      </c>
      <c r="I605" s="7" t="s">
        <v>158</v>
      </c>
      <c r="J605" s="7" t="s">
        <v>104</v>
      </c>
      <c r="K605" s="7" t="s">
        <v>105</v>
      </c>
      <c r="L605" s="7" t="s">
        <v>106</v>
      </c>
      <c r="M605" s="7" t="s">
        <v>4684</v>
      </c>
      <c r="N605" s="7" t="s">
        <v>4685</v>
      </c>
      <c r="O605" s="7" t="s">
        <v>4686</v>
      </c>
      <c r="P605" s="7" t="s">
        <v>109</v>
      </c>
      <c r="Q605" s="7"/>
      <c r="R605" s="7" t="s">
        <v>84</v>
      </c>
      <c r="S605" s="7" t="s">
        <v>238</v>
      </c>
      <c r="T605" s="7" t="n">
        <v>0.549</v>
      </c>
      <c r="U605" s="7" t="n">
        <v>1</v>
      </c>
      <c r="V605" s="7" t="s">
        <v>4673</v>
      </c>
      <c r="W605" s="7" t="s">
        <v>4687</v>
      </c>
      <c r="X605" s="7" t="s">
        <v>4688</v>
      </c>
      <c r="Y605" s="7" t="s">
        <v>4685</v>
      </c>
      <c r="Z605" s="7" t="s">
        <v>4689</v>
      </c>
      <c r="AA605" s="7"/>
      <c r="AB605" s="7"/>
      <c r="AC605" s="7" t="n">
        <v>12</v>
      </c>
      <c r="AD605" s="7"/>
      <c r="AE605" s="7" t="s">
        <v>1065</v>
      </c>
      <c r="AF605" s="7" t="s">
        <v>4690</v>
      </c>
      <c r="AG605" s="7" t="s">
        <v>1065</v>
      </c>
      <c r="AH605" s="7" t="s">
        <v>4691</v>
      </c>
      <c r="AI605" s="7" t="s">
        <v>1955</v>
      </c>
      <c r="AJ605" s="7" t="s">
        <v>4692</v>
      </c>
      <c r="AK605" s="7" t="s">
        <v>1955</v>
      </c>
      <c r="AL605" s="7" t="s">
        <v>4693</v>
      </c>
      <c r="AM605" s="7" t="s">
        <v>1065</v>
      </c>
      <c r="AN605" s="7" t="s">
        <v>4694</v>
      </c>
      <c r="AO605" s="7" t="s">
        <v>1065</v>
      </c>
      <c r="AP605" s="7" t="s">
        <v>2771</v>
      </c>
      <c r="AQ605" s="7" t="s">
        <v>1065</v>
      </c>
      <c r="AR605" s="7" t="s">
        <v>737</v>
      </c>
      <c r="AS605" s="7" t="s">
        <v>1955</v>
      </c>
      <c r="AT605" s="7" t="s">
        <v>216</v>
      </c>
      <c r="AU605" s="7" t="s">
        <v>1955</v>
      </c>
      <c r="AV605" s="7" t="s">
        <v>4695</v>
      </c>
      <c r="AW605" s="7" t="s">
        <v>1955</v>
      </c>
      <c r="AX605" s="7" t="s">
        <v>4696</v>
      </c>
      <c r="AY605" s="7" t="s">
        <v>1955</v>
      </c>
      <c r="AZ605" s="7" t="s">
        <v>4697</v>
      </c>
      <c r="BA605" s="7" t="s">
        <v>1065</v>
      </c>
      <c r="BB605" s="7" t="s">
        <v>4698</v>
      </c>
      <c r="BC605" s="7" t="s">
        <v>413</v>
      </c>
      <c r="BD605" s="7"/>
      <c r="BE605" s="7" t="s">
        <v>127</v>
      </c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</row>
    <row r="606" customFormat="false" ht="15" hidden="false" customHeight="false" outlineLevel="0" collapsed="false">
      <c r="A606" s="7" t="s">
        <v>4699</v>
      </c>
      <c r="B606" s="7" t="s">
        <v>4700</v>
      </c>
      <c r="C606" s="7" t="s">
        <v>4701</v>
      </c>
      <c r="D606" s="7"/>
      <c r="E606" s="7" t="s">
        <v>101</v>
      </c>
      <c r="F606" s="7" t="s">
        <v>101</v>
      </c>
      <c r="G606" s="7"/>
      <c r="H606" s="7" t="s">
        <v>102</v>
      </c>
      <c r="I606" s="7" t="s">
        <v>158</v>
      </c>
      <c r="J606" s="7" t="s">
        <v>104</v>
      </c>
      <c r="K606" s="7" t="s">
        <v>105</v>
      </c>
      <c r="L606" s="7" t="s">
        <v>353</v>
      </c>
      <c r="M606" s="7" t="s">
        <v>419</v>
      </c>
      <c r="N606" s="7" t="s">
        <v>4702</v>
      </c>
      <c r="O606" s="7"/>
      <c r="P606" s="7" t="s">
        <v>135</v>
      </c>
      <c r="Q606" s="7"/>
      <c r="R606" s="7"/>
      <c r="S606" s="7"/>
      <c r="T606" s="7" t="n">
        <v>0.448</v>
      </c>
      <c r="U606" s="7" t="n">
        <v>1</v>
      </c>
      <c r="V606" s="7" t="s">
        <v>90</v>
      </c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 t="s">
        <v>1848</v>
      </c>
      <c r="AH606" s="7" t="s">
        <v>1956</v>
      </c>
      <c r="AI606" s="7"/>
      <c r="AJ606" s="7"/>
      <c r="AK606" s="7"/>
      <c r="AL606" s="7"/>
      <c r="AM606" s="7" t="s">
        <v>1848</v>
      </c>
      <c r="AN606" s="7" t="s">
        <v>1957</v>
      </c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 t="s">
        <v>427</v>
      </c>
      <c r="BD606" s="7" t="s">
        <v>440</v>
      </c>
      <c r="BE606" s="7" t="s">
        <v>127</v>
      </c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</row>
    <row r="607" customFormat="false" ht="15" hidden="false" customHeight="false" outlineLevel="0" collapsed="false">
      <c r="A607" s="7" t="s">
        <v>4703</v>
      </c>
      <c r="B607" s="7" t="s">
        <v>4704</v>
      </c>
      <c r="C607" s="7" t="s">
        <v>4705</v>
      </c>
      <c r="D607" s="7" t="s">
        <v>4706</v>
      </c>
      <c r="E607" s="7" t="s">
        <v>101</v>
      </c>
      <c r="F607" s="7" t="s">
        <v>101</v>
      </c>
      <c r="G607" s="7"/>
      <c r="H607" s="7" t="s">
        <v>102</v>
      </c>
      <c r="I607" s="7" t="s">
        <v>158</v>
      </c>
      <c r="J607" s="7" t="s">
        <v>104</v>
      </c>
      <c r="K607" s="7" t="s">
        <v>105</v>
      </c>
      <c r="L607" s="7" t="s">
        <v>106</v>
      </c>
      <c r="M607" s="7" t="s">
        <v>419</v>
      </c>
      <c r="N607" s="7" t="s">
        <v>4707</v>
      </c>
      <c r="O607" s="7" t="s">
        <v>4707</v>
      </c>
      <c r="P607" s="7" t="s">
        <v>135</v>
      </c>
      <c r="Q607" s="7"/>
      <c r="R607" s="7" t="s">
        <v>109</v>
      </c>
      <c r="S607" s="7" t="s">
        <v>110</v>
      </c>
      <c r="T607" s="7" t="n">
        <v>0.241</v>
      </c>
      <c r="U607" s="7" t="n">
        <v>1</v>
      </c>
      <c r="V607" s="7" t="s">
        <v>90</v>
      </c>
      <c r="W607" s="7"/>
      <c r="X607" s="7" t="s">
        <v>1810</v>
      </c>
      <c r="Y607" s="7"/>
      <c r="Z607" s="7" t="s">
        <v>2172</v>
      </c>
      <c r="AA607" s="7"/>
      <c r="AB607" s="7"/>
      <c r="AC607" s="7" t="n">
        <v>0</v>
      </c>
      <c r="AD607" s="7" t="s">
        <v>388</v>
      </c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 t="s">
        <v>427</v>
      </c>
      <c r="BD607" s="7" t="s">
        <v>440</v>
      </c>
      <c r="BE607" s="7" t="s">
        <v>127</v>
      </c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</row>
    <row r="608" customFormat="false" ht="15" hidden="false" customHeight="false" outlineLevel="0" collapsed="false">
      <c r="A608" s="7" t="s">
        <v>4708</v>
      </c>
      <c r="B608" s="7" t="s">
        <v>4709</v>
      </c>
      <c r="C608" s="7" t="s">
        <v>4710</v>
      </c>
      <c r="D608" s="7" t="s">
        <v>4711</v>
      </c>
      <c r="E608" s="7" t="s">
        <v>101</v>
      </c>
      <c r="F608" s="7" t="s">
        <v>1966</v>
      </c>
      <c r="G608" s="7"/>
      <c r="H608" s="7" t="s">
        <v>102</v>
      </c>
      <c r="I608" s="7" t="s">
        <v>1140</v>
      </c>
      <c r="J608" s="7" t="s">
        <v>104</v>
      </c>
      <c r="K608" s="7" t="s">
        <v>105</v>
      </c>
      <c r="L608" s="7" t="s">
        <v>106</v>
      </c>
      <c r="M608" s="7"/>
      <c r="N608" s="7" t="s">
        <v>4712</v>
      </c>
      <c r="O608" s="7" t="s">
        <v>4712</v>
      </c>
      <c r="P608" s="7" t="s">
        <v>135</v>
      </c>
      <c r="Q608" s="7"/>
      <c r="R608" s="7" t="s">
        <v>109</v>
      </c>
      <c r="S608" s="7" t="s">
        <v>110</v>
      </c>
      <c r="T608" s="7" t="n">
        <v>0.491</v>
      </c>
      <c r="U608" s="7" t="n">
        <v>1</v>
      </c>
      <c r="V608" s="7" t="s">
        <v>90</v>
      </c>
      <c r="W608" s="7"/>
      <c r="X608" s="7" t="s">
        <v>999</v>
      </c>
      <c r="Y608" s="7" t="s">
        <v>4712</v>
      </c>
      <c r="Z608" s="7" t="s">
        <v>4713</v>
      </c>
      <c r="AA608" s="7"/>
      <c r="AB608" s="7"/>
      <c r="AC608" s="7" t="n">
        <v>0</v>
      </c>
      <c r="AD608" s="7" t="s">
        <v>388</v>
      </c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 t="s">
        <v>440</v>
      </c>
      <c r="BE608" s="7" t="s">
        <v>127</v>
      </c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</row>
    <row r="609" customFormat="false" ht="15" hidden="false" customHeight="false" outlineLevel="0" collapsed="false">
      <c r="A609" s="7" t="s">
        <v>4714</v>
      </c>
      <c r="B609" s="7" t="s">
        <v>4715</v>
      </c>
      <c r="C609" s="7" t="s">
        <v>4716</v>
      </c>
      <c r="D609" s="7" t="s">
        <v>4717</v>
      </c>
      <c r="E609" s="7" t="s">
        <v>101</v>
      </c>
      <c r="F609" s="7" t="s">
        <v>101</v>
      </c>
      <c r="G609" s="7"/>
      <c r="H609" s="7" t="s">
        <v>102</v>
      </c>
      <c r="I609" s="7" t="s">
        <v>132</v>
      </c>
      <c r="J609" s="7" t="s">
        <v>104</v>
      </c>
      <c r="K609" s="7" t="s">
        <v>105</v>
      </c>
      <c r="L609" s="7" t="s">
        <v>106</v>
      </c>
      <c r="M609" s="7" t="s">
        <v>419</v>
      </c>
      <c r="N609" s="7" t="s">
        <v>4718</v>
      </c>
      <c r="O609" s="7" t="s">
        <v>4719</v>
      </c>
      <c r="P609" s="7" t="s">
        <v>109</v>
      </c>
      <c r="Q609" s="7"/>
      <c r="R609" s="7" t="s">
        <v>109</v>
      </c>
      <c r="S609" s="7" t="s">
        <v>110</v>
      </c>
      <c r="T609" s="7" t="n">
        <v>0.735</v>
      </c>
      <c r="U609" s="7" t="n">
        <v>1</v>
      </c>
      <c r="V609" s="7" t="s">
        <v>90</v>
      </c>
      <c r="W609" s="7" t="s">
        <v>4720</v>
      </c>
      <c r="X609" s="7" t="s">
        <v>2825</v>
      </c>
      <c r="Y609" s="7" t="s">
        <v>4718</v>
      </c>
      <c r="Z609" s="7" t="s">
        <v>4721</v>
      </c>
      <c r="AA609" s="7"/>
      <c r="AB609" s="7"/>
      <c r="AC609" s="7" t="n">
        <v>7</v>
      </c>
      <c r="AD609" s="7" t="s">
        <v>2439</v>
      </c>
      <c r="AE609" s="7" t="s">
        <v>1065</v>
      </c>
      <c r="AF609" s="7" t="s">
        <v>4722</v>
      </c>
      <c r="AG609" s="7" t="s">
        <v>1065</v>
      </c>
      <c r="AH609" s="7" t="s">
        <v>4723</v>
      </c>
      <c r="AI609" s="7"/>
      <c r="AJ609" s="7"/>
      <c r="AK609" s="7"/>
      <c r="AL609" s="7"/>
      <c r="AM609" s="7" t="s">
        <v>1065</v>
      </c>
      <c r="AN609" s="7" t="s">
        <v>4724</v>
      </c>
      <c r="AO609" s="7" t="s">
        <v>1065</v>
      </c>
      <c r="AP609" s="7" t="s">
        <v>4717</v>
      </c>
      <c r="AQ609" s="7" t="s">
        <v>1065</v>
      </c>
      <c r="AR609" s="7" t="s">
        <v>4725</v>
      </c>
      <c r="AS609" s="7" t="s">
        <v>1065</v>
      </c>
      <c r="AT609" s="7" t="s">
        <v>2894</v>
      </c>
      <c r="AU609" s="7"/>
      <c r="AV609" s="7"/>
      <c r="AW609" s="7"/>
      <c r="AX609" s="7"/>
      <c r="AY609" s="7"/>
      <c r="AZ609" s="7"/>
      <c r="BA609" s="7" t="s">
        <v>1065</v>
      </c>
      <c r="BB609" s="7" t="s">
        <v>4726</v>
      </c>
      <c r="BC609" s="7" t="s">
        <v>427</v>
      </c>
      <c r="BD609" s="7"/>
      <c r="BE609" s="7" t="s">
        <v>127</v>
      </c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</row>
    <row r="610" customFormat="false" ht="15" hidden="false" customHeight="false" outlineLevel="0" collapsed="false">
      <c r="A610" s="7" t="s">
        <v>4727</v>
      </c>
      <c r="B610" s="7" t="s">
        <v>4728</v>
      </c>
      <c r="C610" s="7" t="s">
        <v>4729</v>
      </c>
      <c r="D610" s="7" t="s">
        <v>4730</v>
      </c>
      <c r="E610" s="7" t="s">
        <v>101</v>
      </c>
      <c r="F610" s="7" t="s">
        <v>101</v>
      </c>
      <c r="G610" s="7"/>
      <c r="H610" s="7" t="s">
        <v>102</v>
      </c>
      <c r="I610" s="7" t="s">
        <v>132</v>
      </c>
      <c r="J610" s="7" t="s">
        <v>104</v>
      </c>
      <c r="K610" s="7" t="s">
        <v>105</v>
      </c>
      <c r="L610" s="7" t="s">
        <v>106</v>
      </c>
      <c r="M610" s="7" t="s">
        <v>419</v>
      </c>
      <c r="N610" s="7" t="s">
        <v>4731</v>
      </c>
      <c r="O610" s="7" t="s">
        <v>4732</v>
      </c>
      <c r="P610" s="7" t="s">
        <v>135</v>
      </c>
      <c r="Q610" s="7"/>
      <c r="R610" s="7" t="s">
        <v>109</v>
      </c>
      <c r="S610" s="7" t="s">
        <v>110</v>
      </c>
      <c r="T610" s="7" t="n">
        <v>0.674</v>
      </c>
      <c r="U610" s="7" t="n">
        <v>1</v>
      </c>
      <c r="V610" s="7" t="s">
        <v>90</v>
      </c>
      <c r="W610" s="7" t="s">
        <v>91</v>
      </c>
      <c r="X610" s="7" t="s">
        <v>2825</v>
      </c>
      <c r="Y610" s="7" t="s">
        <v>4731</v>
      </c>
      <c r="Z610" s="7" t="s">
        <v>4733</v>
      </c>
      <c r="AA610" s="7"/>
      <c r="AB610" s="7"/>
      <c r="AC610" s="7" t="n">
        <v>7</v>
      </c>
      <c r="AD610" s="7" t="s">
        <v>2439</v>
      </c>
      <c r="AE610" s="7" t="s">
        <v>1065</v>
      </c>
      <c r="AF610" s="7" t="s">
        <v>4734</v>
      </c>
      <c r="AG610" s="7" t="s">
        <v>1065</v>
      </c>
      <c r="AH610" s="7" t="s">
        <v>4735</v>
      </c>
      <c r="AI610" s="7"/>
      <c r="AJ610" s="7"/>
      <c r="AK610" s="7"/>
      <c r="AL610" s="7"/>
      <c r="AM610" s="7" t="s">
        <v>1065</v>
      </c>
      <c r="AN610" s="7" t="s">
        <v>4736</v>
      </c>
      <c r="AO610" s="7" t="s">
        <v>1065</v>
      </c>
      <c r="AP610" s="7" t="s">
        <v>4730</v>
      </c>
      <c r="AQ610" s="7" t="s">
        <v>1065</v>
      </c>
      <c r="AR610" s="7" t="s">
        <v>4737</v>
      </c>
      <c r="AS610" s="7" t="s">
        <v>1065</v>
      </c>
      <c r="AT610" s="7" t="s">
        <v>1856</v>
      </c>
      <c r="AU610" s="7"/>
      <c r="AV610" s="7"/>
      <c r="AW610" s="7"/>
      <c r="AX610" s="7"/>
      <c r="AY610" s="7"/>
      <c r="AZ610" s="7"/>
      <c r="BA610" s="7" t="s">
        <v>1065</v>
      </c>
      <c r="BB610" s="7" t="s">
        <v>4738</v>
      </c>
      <c r="BC610" s="7" t="s">
        <v>427</v>
      </c>
      <c r="BD610" s="7" t="s">
        <v>440</v>
      </c>
      <c r="BE610" s="7" t="s">
        <v>127</v>
      </c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</row>
    <row r="611" customFormat="false" ht="15" hidden="false" customHeight="false" outlineLevel="0" collapsed="false">
      <c r="A611" s="7" t="s">
        <v>4739</v>
      </c>
      <c r="B611" s="7" t="s">
        <v>4740</v>
      </c>
      <c r="C611" s="7" t="s">
        <v>4741</v>
      </c>
      <c r="D611" s="7" t="s">
        <v>4742</v>
      </c>
      <c r="E611" s="7" t="s">
        <v>101</v>
      </c>
      <c r="F611" s="7" t="s">
        <v>101</v>
      </c>
      <c r="G611" s="7"/>
      <c r="H611" s="7" t="s">
        <v>102</v>
      </c>
      <c r="I611" s="7" t="s">
        <v>132</v>
      </c>
      <c r="J611" s="7" t="s">
        <v>104</v>
      </c>
      <c r="K611" s="7" t="s">
        <v>105</v>
      </c>
      <c r="L611" s="7" t="s">
        <v>106</v>
      </c>
      <c r="M611" s="7" t="s">
        <v>419</v>
      </c>
      <c r="N611" s="7" t="s">
        <v>4743</v>
      </c>
      <c r="O611" s="7" t="s">
        <v>4743</v>
      </c>
      <c r="P611" s="7" t="s">
        <v>135</v>
      </c>
      <c r="Q611" s="7"/>
      <c r="R611" s="7" t="s">
        <v>109</v>
      </c>
      <c r="S611" s="7" t="s">
        <v>110</v>
      </c>
      <c r="T611" s="7" t="n">
        <v>0.872</v>
      </c>
      <c r="U611" s="7" t="n">
        <v>1</v>
      </c>
      <c r="V611" s="7" t="s">
        <v>2781</v>
      </c>
      <c r="W611" s="7" t="s">
        <v>3698</v>
      </c>
      <c r="X611" s="7" t="s">
        <v>4744</v>
      </c>
      <c r="Y611" s="7" t="s">
        <v>4743</v>
      </c>
      <c r="Z611" s="7" t="s">
        <v>4745</v>
      </c>
      <c r="AA611" s="7"/>
      <c r="AB611" s="7"/>
      <c r="AC611" s="7" t="n">
        <v>7</v>
      </c>
      <c r="AD611" s="7" t="s">
        <v>2439</v>
      </c>
      <c r="AE611" s="7" t="s">
        <v>1065</v>
      </c>
      <c r="AF611" s="7" t="s">
        <v>4746</v>
      </c>
      <c r="AG611" s="7" t="s">
        <v>1065</v>
      </c>
      <c r="AH611" s="7" t="s">
        <v>4747</v>
      </c>
      <c r="AI611" s="7"/>
      <c r="AJ611" s="7"/>
      <c r="AK611" s="7"/>
      <c r="AL611" s="7"/>
      <c r="AM611" s="7" t="s">
        <v>1065</v>
      </c>
      <c r="AN611" s="7" t="s">
        <v>145</v>
      </c>
      <c r="AO611" s="7" t="s">
        <v>1065</v>
      </c>
      <c r="AP611" s="7" t="s">
        <v>4742</v>
      </c>
      <c r="AQ611" s="7" t="s">
        <v>1065</v>
      </c>
      <c r="AR611" s="7" t="s">
        <v>4748</v>
      </c>
      <c r="AS611" s="7" t="s">
        <v>1065</v>
      </c>
      <c r="AT611" s="7" t="s">
        <v>216</v>
      </c>
      <c r="AU611" s="7"/>
      <c r="AV611" s="7"/>
      <c r="AW611" s="7"/>
      <c r="AX611" s="7"/>
      <c r="AY611" s="7"/>
      <c r="AZ611" s="7"/>
      <c r="BA611" s="7" t="s">
        <v>1065</v>
      </c>
      <c r="BB611" s="7" t="s">
        <v>4749</v>
      </c>
      <c r="BC611" s="7" t="s">
        <v>427</v>
      </c>
      <c r="BD611" s="7" t="s">
        <v>440</v>
      </c>
      <c r="BE611" s="7" t="s">
        <v>127</v>
      </c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</row>
    <row r="612" customFormat="false" ht="15" hidden="false" customHeight="false" outlineLevel="0" collapsed="false">
      <c r="A612" s="7" t="s">
        <v>4750</v>
      </c>
      <c r="B612" s="7" t="s">
        <v>4751</v>
      </c>
      <c r="C612" s="7" t="s">
        <v>4752</v>
      </c>
      <c r="D612" s="7" t="s">
        <v>4753</v>
      </c>
      <c r="E612" s="7" t="s">
        <v>101</v>
      </c>
      <c r="F612" s="7" t="s">
        <v>101</v>
      </c>
      <c r="G612" s="7"/>
      <c r="H612" s="7" t="s">
        <v>102</v>
      </c>
      <c r="I612" s="7" t="s">
        <v>132</v>
      </c>
      <c r="J612" s="7" t="s">
        <v>104</v>
      </c>
      <c r="K612" s="7" t="s">
        <v>105</v>
      </c>
      <c r="L612" s="7" t="s">
        <v>106</v>
      </c>
      <c r="M612" s="7" t="s">
        <v>419</v>
      </c>
      <c r="N612" s="7" t="s">
        <v>4754</v>
      </c>
      <c r="O612" s="7" t="s">
        <v>4754</v>
      </c>
      <c r="P612" s="7" t="s">
        <v>135</v>
      </c>
      <c r="Q612" s="7"/>
      <c r="R612" s="7" t="s">
        <v>109</v>
      </c>
      <c r="S612" s="7" t="s">
        <v>110</v>
      </c>
      <c r="T612" s="7" t="n">
        <v>0.366</v>
      </c>
      <c r="U612" s="7" t="n">
        <v>1</v>
      </c>
      <c r="V612" s="7" t="s">
        <v>2781</v>
      </c>
      <c r="W612" s="7" t="s">
        <v>1845</v>
      </c>
      <c r="X612" s="7" t="s">
        <v>4755</v>
      </c>
      <c r="Y612" s="7" t="s">
        <v>4754</v>
      </c>
      <c r="Z612" s="7" t="s">
        <v>4756</v>
      </c>
      <c r="AA612" s="7"/>
      <c r="AB612" s="7"/>
      <c r="AC612" s="7" t="n">
        <v>7</v>
      </c>
      <c r="AD612" s="7" t="s">
        <v>2439</v>
      </c>
      <c r="AE612" s="7" t="s">
        <v>1065</v>
      </c>
      <c r="AF612" s="7" t="s">
        <v>4757</v>
      </c>
      <c r="AG612" s="7" t="s">
        <v>1065</v>
      </c>
      <c r="AH612" s="7" t="s">
        <v>4758</v>
      </c>
      <c r="AI612" s="7"/>
      <c r="AJ612" s="7"/>
      <c r="AK612" s="7"/>
      <c r="AL612" s="7"/>
      <c r="AM612" s="7" t="s">
        <v>1065</v>
      </c>
      <c r="AN612" s="7" t="s">
        <v>145</v>
      </c>
      <c r="AO612" s="7" t="s">
        <v>1065</v>
      </c>
      <c r="AP612" s="7" t="s">
        <v>4753</v>
      </c>
      <c r="AQ612" s="7" t="s">
        <v>1065</v>
      </c>
      <c r="AR612" s="7" t="s">
        <v>4759</v>
      </c>
      <c r="AS612" s="7" t="s">
        <v>1065</v>
      </c>
      <c r="AT612" s="7" t="s">
        <v>216</v>
      </c>
      <c r="AU612" s="7"/>
      <c r="AV612" s="7"/>
      <c r="AW612" s="7"/>
      <c r="AX612" s="7"/>
      <c r="AY612" s="7"/>
      <c r="AZ612" s="7"/>
      <c r="BA612" s="7" t="s">
        <v>1065</v>
      </c>
      <c r="BB612" s="7" t="s">
        <v>4760</v>
      </c>
      <c r="BC612" s="7" t="s">
        <v>427</v>
      </c>
      <c r="BD612" s="7" t="s">
        <v>440</v>
      </c>
      <c r="BE612" s="7" t="s">
        <v>127</v>
      </c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</row>
    <row r="613" customFormat="false" ht="15" hidden="false" customHeight="false" outlineLevel="0" collapsed="false">
      <c r="A613" s="7" t="s">
        <v>4761</v>
      </c>
      <c r="B613" s="7" t="s">
        <v>4762</v>
      </c>
      <c r="C613" s="7" t="s">
        <v>4763</v>
      </c>
      <c r="D613" s="7" t="s">
        <v>4764</v>
      </c>
      <c r="E613" s="7" t="s">
        <v>101</v>
      </c>
      <c r="F613" s="7" t="s">
        <v>101</v>
      </c>
      <c r="G613" s="7"/>
      <c r="H613" s="7" t="s">
        <v>102</v>
      </c>
      <c r="I613" s="7" t="s">
        <v>1104</v>
      </c>
      <c r="J613" s="7" t="s">
        <v>104</v>
      </c>
      <c r="K613" s="7" t="s">
        <v>105</v>
      </c>
      <c r="L613" s="7" t="s">
        <v>1106</v>
      </c>
      <c r="M613" s="7" t="s">
        <v>419</v>
      </c>
      <c r="N613" s="7" t="s">
        <v>4765</v>
      </c>
      <c r="O613" s="7" t="s">
        <v>4765</v>
      </c>
      <c r="P613" s="7" t="s">
        <v>135</v>
      </c>
      <c r="Q613" s="7"/>
      <c r="R613" s="7" t="s">
        <v>109</v>
      </c>
      <c r="S613" s="7" t="s">
        <v>110</v>
      </c>
      <c r="T613" s="7" t="n">
        <v>0.799</v>
      </c>
      <c r="U613" s="7" t="n">
        <v>1</v>
      </c>
      <c r="V613" s="7" t="s">
        <v>2781</v>
      </c>
      <c r="W613" s="7" t="s">
        <v>1232</v>
      </c>
      <c r="X613" s="7" t="s">
        <v>4766</v>
      </c>
      <c r="Y613" s="7" t="s">
        <v>4765</v>
      </c>
      <c r="Z613" s="7" t="s">
        <v>4767</v>
      </c>
      <c r="AA613" s="7"/>
      <c r="AB613" s="7"/>
      <c r="AC613" s="7" t="n">
        <v>7</v>
      </c>
      <c r="AD613" s="7" t="s">
        <v>2439</v>
      </c>
      <c r="AE613" s="7" t="s">
        <v>1065</v>
      </c>
      <c r="AF613" s="7" t="s">
        <v>4768</v>
      </c>
      <c r="AG613" s="7" t="s">
        <v>1065</v>
      </c>
      <c r="AH613" s="7" t="s">
        <v>4769</v>
      </c>
      <c r="AI613" s="7"/>
      <c r="AJ613" s="7"/>
      <c r="AK613" s="7"/>
      <c r="AL613" s="7"/>
      <c r="AM613" s="7" t="s">
        <v>1065</v>
      </c>
      <c r="AN613" s="7" t="s">
        <v>4770</v>
      </c>
      <c r="AO613" s="7" t="s">
        <v>1065</v>
      </c>
      <c r="AP613" s="7" t="s">
        <v>4764</v>
      </c>
      <c r="AQ613" s="7" t="s">
        <v>1065</v>
      </c>
      <c r="AR613" s="7" t="s">
        <v>4771</v>
      </c>
      <c r="AS613" s="7" t="s">
        <v>1065</v>
      </c>
      <c r="AT613" s="7" t="s">
        <v>216</v>
      </c>
      <c r="AU613" s="7"/>
      <c r="AV613" s="7"/>
      <c r="AW613" s="7"/>
      <c r="AX613" s="7"/>
      <c r="AY613" s="7"/>
      <c r="AZ613" s="7"/>
      <c r="BA613" s="7" t="s">
        <v>1065</v>
      </c>
      <c r="BB613" s="7" t="s">
        <v>4772</v>
      </c>
      <c r="BC613" s="7" t="s">
        <v>427</v>
      </c>
      <c r="BD613" s="7" t="s">
        <v>440</v>
      </c>
      <c r="BE613" s="7" t="s">
        <v>127</v>
      </c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</row>
    <row r="614" customFormat="false" ht="15" hidden="false" customHeight="false" outlineLevel="0" collapsed="false">
      <c r="A614" s="7" t="s">
        <v>4773</v>
      </c>
      <c r="B614" s="7" t="s">
        <v>4774</v>
      </c>
      <c r="C614" s="7" t="s">
        <v>4775</v>
      </c>
      <c r="D614" s="7" t="s">
        <v>1965</v>
      </c>
      <c r="E614" s="7" t="s">
        <v>101</v>
      </c>
      <c r="F614" s="7" t="s">
        <v>101</v>
      </c>
      <c r="G614" s="7"/>
      <c r="H614" s="7" t="s">
        <v>102</v>
      </c>
      <c r="I614" s="7" t="s">
        <v>132</v>
      </c>
      <c r="J614" s="7" t="s">
        <v>104</v>
      </c>
      <c r="K614" s="7" t="s">
        <v>105</v>
      </c>
      <c r="L614" s="7" t="s">
        <v>106</v>
      </c>
      <c r="M614" s="7" t="s">
        <v>419</v>
      </c>
      <c r="N614" s="7" t="s">
        <v>4776</v>
      </c>
      <c r="O614" s="7"/>
      <c r="P614" s="7" t="s">
        <v>135</v>
      </c>
      <c r="Q614" s="7"/>
      <c r="R614" s="7"/>
      <c r="S614" s="7"/>
      <c r="T614" s="7" t="n">
        <v>0.376</v>
      </c>
      <c r="U614" s="7" t="n">
        <v>1</v>
      </c>
      <c r="V614" s="7" t="s">
        <v>2781</v>
      </c>
      <c r="W614" s="7"/>
      <c r="X614" s="7" t="s">
        <v>4777</v>
      </c>
      <c r="Y614" s="7"/>
      <c r="Z614" s="7" t="s">
        <v>4778</v>
      </c>
      <c r="AA614" s="7"/>
      <c r="AB614" s="7"/>
      <c r="AC614" s="7"/>
      <c r="AD614" s="7"/>
      <c r="AE614" s="7"/>
      <c r="AF614" s="7"/>
      <c r="AG614" s="7" t="s">
        <v>1955</v>
      </c>
      <c r="AH614" s="7" t="s">
        <v>1956</v>
      </c>
      <c r="AI614" s="7"/>
      <c r="AJ614" s="7"/>
      <c r="AK614" s="7"/>
      <c r="AL614" s="7"/>
      <c r="AM614" s="7" t="s">
        <v>1955</v>
      </c>
      <c r="AN614" s="7" t="s">
        <v>1957</v>
      </c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 t="s">
        <v>427</v>
      </c>
      <c r="BD614" s="7" t="s">
        <v>440</v>
      </c>
      <c r="BE614" s="7" t="s">
        <v>127</v>
      </c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</row>
    <row r="615" customFormat="false" ht="15" hidden="false" customHeight="false" outlineLevel="0" collapsed="false">
      <c r="A615" s="7" t="s">
        <v>4779</v>
      </c>
      <c r="B615" s="7" t="s">
        <v>4780</v>
      </c>
      <c r="C615" s="7" t="s">
        <v>4781</v>
      </c>
      <c r="D615" s="7" t="s">
        <v>4782</v>
      </c>
      <c r="E615" s="7" t="s">
        <v>101</v>
      </c>
      <c r="F615" s="7" t="s">
        <v>101</v>
      </c>
      <c r="G615" s="7"/>
      <c r="H615" s="7" t="s">
        <v>102</v>
      </c>
      <c r="I615" s="7" t="s">
        <v>132</v>
      </c>
      <c r="J615" s="7" t="s">
        <v>104</v>
      </c>
      <c r="K615" s="7" t="s">
        <v>105</v>
      </c>
      <c r="L615" s="7" t="s">
        <v>106</v>
      </c>
      <c r="M615" s="7" t="s">
        <v>419</v>
      </c>
      <c r="N615" s="7" t="s">
        <v>4783</v>
      </c>
      <c r="O615" s="7" t="s">
        <v>4783</v>
      </c>
      <c r="P615" s="7" t="s">
        <v>135</v>
      </c>
      <c r="Q615" s="7"/>
      <c r="R615" s="7" t="s">
        <v>109</v>
      </c>
      <c r="S615" s="7" t="s">
        <v>110</v>
      </c>
      <c r="T615" s="7" t="n">
        <v>0.751</v>
      </c>
      <c r="U615" s="7" t="n">
        <v>1</v>
      </c>
      <c r="V615" s="7" t="s">
        <v>2842</v>
      </c>
      <c r="W615" s="7" t="s">
        <v>4784</v>
      </c>
      <c r="X615" s="7" t="s">
        <v>4785</v>
      </c>
      <c r="Y615" s="7" t="s">
        <v>4783</v>
      </c>
      <c r="Z615" s="7" t="s">
        <v>4786</v>
      </c>
      <c r="AA615" s="7"/>
      <c r="AB615" s="7"/>
      <c r="AC615" s="7" t="n">
        <v>7</v>
      </c>
      <c r="AD615" s="7" t="s">
        <v>2439</v>
      </c>
      <c r="AE615" s="7" t="s">
        <v>1065</v>
      </c>
      <c r="AF615" s="7" t="s">
        <v>4650</v>
      </c>
      <c r="AG615" s="7" t="s">
        <v>1065</v>
      </c>
      <c r="AH615" s="7" t="s">
        <v>4787</v>
      </c>
      <c r="AI615" s="7"/>
      <c r="AJ615" s="7"/>
      <c r="AK615" s="7"/>
      <c r="AL615" s="7"/>
      <c r="AM615" s="7" t="s">
        <v>1065</v>
      </c>
      <c r="AN615" s="7" t="s">
        <v>4788</v>
      </c>
      <c r="AO615" s="7" t="s">
        <v>1065</v>
      </c>
      <c r="AP615" s="7" t="s">
        <v>4782</v>
      </c>
      <c r="AQ615" s="7" t="s">
        <v>1065</v>
      </c>
      <c r="AR615" s="7" t="s">
        <v>4789</v>
      </c>
      <c r="AS615" s="7" t="s">
        <v>1065</v>
      </c>
      <c r="AT615" s="7" t="s">
        <v>1856</v>
      </c>
      <c r="AU615" s="7"/>
      <c r="AV615" s="7"/>
      <c r="AW615" s="7"/>
      <c r="AX615" s="7"/>
      <c r="AY615" s="7"/>
      <c r="AZ615" s="7"/>
      <c r="BA615" s="7" t="s">
        <v>1065</v>
      </c>
      <c r="BB615" s="7" t="s">
        <v>4790</v>
      </c>
      <c r="BC615" s="7" t="s">
        <v>427</v>
      </c>
      <c r="BD615" s="7" t="s">
        <v>440</v>
      </c>
      <c r="BE615" s="7" t="s">
        <v>127</v>
      </c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</row>
    <row r="616" customFormat="false" ht="15" hidden="false" customHeight="false" outlineLevel="0" collapsed="false">
      <c r="A616" s="7" t="s">
        <v>4791</v>
      </c>
      <c r="B616" s="7" t="s">
        <v>4792</v>
      </c>
      <c r="C616" s="7" t="s">
        <v>4793</v>
      </c>
      <c r="D616" s="7" t="s">
        <v>4794</v>
      </c>
      <c r="E616" s="7" t="s">
        <v>101</v>
      </c>
      <c r="F616" s="7" t="s">
        <v>1966</v>
      </c>
      <c r="G616" s="7"/>
      <c r="H616" s="7" t="s">
        <v>102</v>
      </c>
      <c r="I616" s="7" t="s">
        <v>132</v>
      </c>
      <c r="J616" s="7" t="s">
        <v>104</v>
      </c>
      <c r="K616" s="7" t="s">
        <v>105</v>
      </c>
      <c r="L616" s="7" t="s">
        <v>106</v>
      </c>
      <c r="M616" s="7"/>
      <c r="N616" s="7" t="s">
        <v>4795</v>
      </c>
      <c r="O616" s="7" t="s">
        <v>4795</v>
      </c>
      <c r="P616" s="7" t="s">
        <v>135</v>
      </c>
      <c r="Q616" s="7"/>
      <c r="R616" s="7" t="s">
        <v>109</v>
      </c>
      <c r="S616" s="7" t="s">
        <v>110</v>
      </c>
      <c r="T616" s="7" t="n">
        <v>0.43</v>
      </c>
      <c r="U616" s="7" t="n">
        <v>1</v>
      </c>
      <c r="V616" s="7" t="s">
        <v>90</v>
      </c>
      <c r="W616" s="7"/>
      <c r="X616" s="7" t="s">
        <v>4796</v>
      </c>
      <c r="Y616" s="7" t="s">
        <v>4795</v>
      </c>
      <c r="Z616" s="7" t="s">
        <v>4797</v>
      </c>
      <c r="AA616" s="7"/>
      <c r="AB616" s="7"/>
      <c r="AC616" s="7" t="n">
        <v>0</v>
      </c>
      <c r="AD616" s="7" t="s">
        <v>388</v>
      </c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 t="s">
        <v>440</v>
      </c>
      <c r="BE616" s="7" t="s">
        <v>127</v>
      </c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</row>
    <row r="617" customFormat="false" ht="15" hidden="false" customHeight="false" outlineLevel="0" collapsed="false">
      <c r="A617" s="7" t="s">
        <v>4798</v>
      </c>
      <c r="B617" s="7" t="s">
        <v>4799</v>
      </c>
      <c r="C617" s="7" t="s">
        <v>4800</v>
      </c>
      <c r="D617" s="7" t="s">
        <v>2588</v>
      </c>
      <c r="E617" s="7" t="s">
        <v>101</v>
      </c>
      <c r="F617" s="7" t="s">
        <v>101</v>
      </c>
      <c r="G617" s="7"/>
      <c r="H617" s="7" t="s">
        <v>102</v>
      </c>
      <c r="I617" s="7" t="s">
        <v>158</v>
      </c>
      <c r="J617" s="7" t="s">
        <v>104</v>
      </c>
      <c r="K617" s="7" t="s">
        <v>105</v>
      </c>
      <c r="L617" s="7" t="s">
        <v>106</v>
      </c>
      <c r="M617" s="7"/>
      <c r="N617" s="7" t="s">
        <v>4801</v>
      </c>
      <c r="O617" s="7" t="s">
        <v>4801</v>
      </c>
      <c r="P617" s="7" t="s">
        <v>109</v>
      </c>
      <c r="Q617" s="7"/>
      <c r="R617" s="7" t="s">
        <v>109</v>
      </c>
      <c r="S617" s="7" t="s">
        <v>110</v>
      </c>
      <c r="T617" s="7" t="n">
        <v>0.28</v>
      </c>
      <c r="U617" s="7" t="n">
        <v>1</v>
      </c>
      <c r="V617" s="7" t="s">
        <v>2590</v>
      </c>
      <c r="W617" s="7"/>
      <c r="X617" s="7" t="s">
        <v>4802</v>
      </c>
      <c r="Y617" s="7"/>
      <c r="Z617" s="7" t="s">
        <v>4803</v>
      </c>
      <c r="AA617" s="7"/>
      <c r="AB617" s="7"/>
      <c r="AC617" s="7" t="n">
        <v>0</v>
      </c>
      <c r="AD617" s="7" t="s">
        <v>388</v>
      </c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 t="s">
        <v>127</v>
      </c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</row>
    <row r="618" customFormat="false" ht="15" hidden="false" customHeight="false" outlineLevel="0" collapsed="false">
      <c r="A618" s="7" t="s">
        <v>4804</v>
      </c>
      <c r="B618" s="7" t="s">
        <v>4805</v>
      </c>
      <c r="C618" s="7" t="s">
        <v>4806</v>
      </c>
      <c r="D618" s="7" t="s">
        <v>4807</v>
      </c>
      <c r="E618" s="7" t="s">
        <v>101</v>
      </c>
      <c r="F618" s="7" t="s">
        <v>101</v>
      </c>
      <c r="G618" s="7"/>
      <c r="H618" s="7" t="s">
        <v>102</v>
      </c>
      <c r="I618" s="7" t="s">
        <v>132</v>
      </c>
      <c r="J618" s="7" t="s">
        <v>104</v>
      </c>
      <c r="K618" s="7" t="s">
        <v>105</v>
      </c>
      <c r="L618" s="7" t="s">
        <v>106</v>
      </c>
      <c r="M618" s="7" t="s">
        <v>419</v>
      </c>
      <c r="N618" s="7" t="s">
        <v>4808</v>
      </c>
      <c r="O618" s="7" t="s">
        <v>4809</v>
      </c>
      <c r="P618" s="7" t="s">
        <v>135</v>
      </c>
      <c r="Q618" s="7"/>
      <c r="R618" s="7" t="s">
        <v>109</v>
      </c>
      <c r="S618" s="7" t="s">
        <v>110</v>
      </c>
      <c r="T618" s="7" t="n">
        <v>0.814</v>
      </c>
      <c r="U618" s="7" t="n">
        <v>1</v>
      </c>
      <c r="V618" s="7" t="s">
        <v>4673</v>
      </c>
      <c r="W618" s="7" t="s">
        <v>496</v>
      </c>
      <c r="X618" s="7" t="s">
        <v>4810</v>
      </c>
      <c r="Y618" s="7" t="s">
        <v>4808</v>
      </c>
      <c r="Z618" s="7" t="s">
        <v>4811</v>
      </c>
      <c r="AA618" s="7"/>
      <c r="AB618" s="7"/>
      <c r="AC618" s="7" t="n">
        <v>7</v>
      </c>
      <c r="AD618" s="7" t="s">
        <v>2439</v>
      </c>
      <c r="AE618" s="7" t="s">
        <v>1065</v>
      </c>
      <c r="AF618" s="7" t="s">
        <v>4812</v>
      </c>
      <c r="AG618" s="7" t="s">
        <v>1065</v>
      </c>
      <c r="AH618" s="7" t="s">
        <v>4813</v>
      </c>
      <c r="AI618" s="7"/>
      <c r="AJ618" s="7"/>
      <c r="AK618" s="7"/>
      <c r="AL618" s="7"/>
      <c r="AM618" s="7" t="s">
        <v>1065</v>
      </c>
      <c r="AN618" s="7" t="s">
        <v>145</v>
      </c>
      <c r="AO618" s="7" t="s">
        <v>1065</v>
      </c>
      <c r="AP618" s="7" t="s">
        <v>4807</v>
      </c>
      <c r="AQ618" s="7" t="s">
        <v>1065</v>
      </c>
      <c r="AR618" s="7" t="s">
        <v>1966</v>
      </c>
      <c r="AS618" s="7" t="s">
        <v>1065</v>
      </c>
      <c r="AT618" s="7" t="s">
        <v>216</v>
      </c>
      <c r="AU618" s="7"/>
      <c r="AV618" s="7"/>
      <c r="AW618" s="7"/>
      <c r="AX618" s="7"/>
      <c r="AY618" s="7"/>
      <c r="AZ618" s="7"/>
      <c r="BA618" s="7" t="s">
        <v>1065</v>
      </c>
      <c r="BB618" s="7" t="s">
        <v>4814</v>
      </c>
      <c r="BC618" s="7" t="s">
        <v>427</v>
      </c>
      <c r="BD618" s="7" t="s">
        <v>440</v>
      </c>
      <c r="BE618" s="7" t="s">
        <v>127</v>
      </c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</row>
    <row r="619" customFormat="false" ht="15" hidden="false" customHeight="false" outlineLevel="0" collapsed="false">
      <c r="A619" s="7" t="s">
        <v>4815</v>
      </c>
      <c r="B619" s="7" t="s">
        <v>4816</v>
      </c>
      <c r="C619" s="7" t="s">
        <v>4817</v>
      </c>
      <c r="D619" s="7" t="s">
        <v>4818</v>
      </c>
      <c r="E619" s="7" t="s">
        <v>101</v>
      </c>
      <c r="F619" s="7" t="s">
        <v>1966</v>
      </c>
      <c r="G619" s="7" t="s">
        <v>3165</v>
      </c>
      <c r="H619" s="7" t="s">
        <v>102</v>
      </c>
      <c r="I619" s="7" t="s">
        <v>132</v>
      </c>
      <c r="J619" s="7" t="s">
        <v>104</v>
      </c>
      <c r="K619" s="7" t="s">
        <v>105</v>
      </c>
      <c r="L619" s="7" t="s">
        <v>106</v>
      </c>
      <c r="M619" s="7"/>
      <c r="N619" s="7" t="s">
        <v>4819</v>
      </c>
      <c r="O619" s="7" t="s">
        <v>4819</v>
      </c>
      <c r="P619" s="7" t="s">
        <v>135</v>
      </c>
      <c r="Q619" s="7"/>
      <c r="R619" s="7" t="s">
        <v>109</v>
      </c>
      <c r="S619" s="7" t="s">
        <v>110</v>
      </c>
      <c r="T619" s="7" t="n">
        <v>0.339</v>
      </c>
      <c r="U619" s="7" t="n">
        <v>1</v>
      </c>
      <c r="V619" s="7" t="s">
        <v>90</v>
      </c>
      <c r="W619" s="7"/>
      <c r="X619" s="7" t="s">
        <v>4820</v>
      </c>
      <c r="Y619" s="7" t="s">
        <v>4819</v>
      </c>
      <c r="Z619" s="7" t="s">
        <v>4821</v>
      </c>
      <c r="AA619" s="7"/>
      <c r="AB619" s="7"/>
      <c r="AC619" s="7" t="n">
        <v>0</v>
      </c>
      <c r="AD619" s="7" t="s">
        <v>388</v>
      </c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 t="s">
        <v>440</v>
      </c>
      <c r="BE619" s="7" t="s">
        <v>127</v>
      </c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</row>
    <row r="620" customFormat="false" ht="15" hidden="false" customHeight="false" outlineLevel="0" collapsed="false">
      <c r="A620" s="7" t="s">
        <v>4822</v>
      </c>
      <c r="B620" s="7" t="s">
        <v>4823</v>
      </c>
      <c r="C620" s="7" t="s">
        <v>4824</v>
      </c>
      <c r="D620" s="7" t="s">
        <v>4818</v>
      </c>
      <c r="E620" s="7" t="s">
        <v>101</v>
      </c>
      <c r="F620" s="7" t="s">
        <v>1966</v>
      </c>
      <c r="G620" s="7" t="s">
        <v>3165</v>
      </c>
      <c r="H620" s="7" t="s">
        <v>102</v>
      </c>
      <c r="I620" s="7" t="s">
        <v>158</v>
      </c>
      <c r="J620" s="7" t="s">
        <v>104</v>
      </c>
      <c r="K620" s="7" t="s">
        <v>105</v>
      </c>
      <c r="L620" s="7" t="s">
        <v>106</v>
      </c>
      <c r="M620" s="7"/>
      <c r="N620" s="7" t="s">
        <v>4825</v>
      </c>
      <c r="O620" s="7" t="s">
        <v>4825</v>
      </c>
      <c r="P620" s="7" t="s">
        <v>135</v>
      </c>
      <c r="Q620" s="7"/>
      <c r="R620" s="7" t="s">
        <v>109</v>
      </c>
      <c r="S620" s="7" t="s">
        <v>110</v>
      </c>
      <c r="T620" s="7" t="n">
        <v>0.683</v>
      </c>
      <c r="U620" s="7" t="n">
        <v>1</v>
      </c>
      <c r="V620" s="7" t="s">
        <v>90</v>
      </c>
      <c r="W620" s="7"/>
      <c r="X620" s="7" t="s">
        <v>4826</v>
      </c>
      <c r="Y620" s="7" t="s">
        <v>4825</v>
      </c>
      <c r="Z620" s="7" t="s">
        <v>4827</v>
      </c>
      <c r="AA620" s="7"/>
      <c r="AB620" s="7"/>
      <c r="AC620" s="7" t="n">
        <v>0</v>
      </c>
      <c r="AD620" s="7" t="s">
        <v>388</v>
      </c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 t="s">
        <v>2797</v>
      </c>
      <c r="BE620" s="7" t="s">
        <v>127</v>
      </c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</row>
    <row r="621" customFormat="false" ht="15" hidden="false" customHeight="false" outlineLevel="0" collapsed="false">
      <c r="A621" s="7" t="s">
        <v>4828</v>
      </c>
      <c r="B621" s="7" t="s">
        <v>4829</v>
      </c>
      <c r="C621" s="7" t="s">
        <v>4830</v>
      </c>
      <c r="D621" s="7" t="s">
        <v>4831</v>
      </c>
      <c r="E621" s="7" t="s">
        <v>101</v>
      </c>
      <c r="F621" s="7" t="s">
        <v>101</v>
      </c>
      <c r="G621" s="7"/>
      <c r="H621" s="7" t="s">
        <v>102</v>
      </c>
      <c r="I621" s="7" t="s">
        <v>132</v>
      </c>
      <c r="J621" s="7" t="s">
        <v>104</v>
      </c>
      <c r="K621" s="7" t="s">
        <v>105</v>
      </c>
      <c r="L621" s="7" t="s">
        <v>106</v>
      </c>
      <c r="M621" s="7"/>
      <c r="N621" s="7" t="s">
        <v>4832</v>
      </c>
      <c r="O621" s="7" t="s">
        <v>4832</v>
      </c>
      <c r="P621" s="7" t="s">
        <v>109</v>
      </c>
      <c r="Q621" s="7"/>
      <c r="R621" s="7" t="s">
        <v>109</v>
      </c>
      <c r="S621" s="7" t="s">
        <v>110</v>
      </c>
      <c r="T621" s="7" t="n">
        <v>0.877</v>
      </c>
      <c r="U621" s="7" t="n">
        <v>1</v>
      </c>
      <c r="V621" s="7" t="s">
        <v>4833</v>
      </c>
      <c r="W621" s="7"/>
      <c r="X621" s="7" t="s">
        <v>4834</v>
      </c>
      <c r="Y621" s="7"/>
      <c r="Z621" s="7" t="s">
        <v>4835</v>
      </c>
      <c r="AA621" s="7"/>
      <c r="AB621" s="7"/>
      <c r="AC621" s="7" t="n">
        <v>0</v>
      </c>
      <c r="AD621" s="7" t="s">
        <v>388</v>
      </c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 t="s">
        <v>127</v>
      </c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</row>
    <row r="622" customFormat="false" ht="15" hidden="false" customHeight="false" outlineLevel="0" collapsed="false">
      <c r="A622" s="7" t="s">
        <v>4836</v>
      </c>
      <c r="B622" s="7" t="s">
        <v>4837</v>
      </c>
      <c r="C622" s="7" t="s">
        <v>4838</v>
      </c>
      <c r="D622" s="7" t="s">
        <v>4839</v>
      </c>
      <c r="E622" s="7" t="s">
        <v>101</v>
      </c>
      <c r="F622" s="7" t="s">
        <v>101</v>
      </c>
      <c r="G622" s="7"/>
      <c r="H622" s="7" t="s">
        <v>102</v>
      </c>
      <c r="I622" s="7" t="s">
        <v>158</v>
      </c>
      <c r="J622" s="7" t="s">
        <v>104</v>
      </c>
      <c r="K622" s="7" t="s">
        <v>105</v>
      </c>
      <c r="L622" s="7" t="s">
        <v>106</v>
      </c>
      <c r="M622" s="7" t="s">
        <v>419</v>
      </c>
      <c r="N622" s="7" t="s">
        <v>4840</v>
      </c>
      <c r="O622" s="7"/>
      <c r="P622" s="7" t="s">
        <v>135</v>
      </c>
      <c r="Q622" s="7"/>
      <c r="R622" s="7"/>
      <c r="S622" s="7"/>
      <c r="T622" s="7" t="n">
        <v>0.344</v>
      </c>
      <c r="U622" s="7" t="n">
        <v>1</v>
      </c>
      <c r="V622" s="7" t="s">
        <v>90</v>
      </c>
      <c r="W622" s="7"/>
      <c r="X622" s="7" t="s">
        <v>4841</v>
      </c>
      <c r="Y622" s="7"/>
      <c r="Z622" s="7" t="s">
        <v>4842</v>
      </c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 t="s">
        <v>1070</v>
      </c>
      <c r="AL622" s="7" t="s">
        <v>1873</v>
      </c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 t="s">
        <v>427</v>
      </c>
      <c r="BD622" s="7" t="s">
        <v>440</v>
      </c>
      <c r="BE622" s="7" t="s">
        <v>127</v>
      </c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</row>
    <row r="623" customFormat="false" ht="15" hidden="false" customHeight="false" outlineLevel="0" collapsed="false">
      <c r="A623" s="7" t="s">
        <v>4843</v>
      </c>
      <c r="B623" s="7" t="s">
        <v>4844</v>
      </c>
      <c r="C623" s="7" t="s">
        <v>4845</v>
      </c>
      <c r="D623" s="7" t="s">
        <v>4846</v>
      </c>
      <c r="E623" s="7" t="s">
        <v>101</v>
      </c>
      <c r="F623" s="7" t="s">
        <v>101</v>
      </c>
      <c r="G623" s="7"/>
      <c r="H623" s="7" t="s">
        <v>102</v>
      </c>
      <c r="I623" s="7" t="s">
        <v>132</v>
      </c>
      <c r="J623" s="7" t="s">
        <v>104</v>
      </c>
      <c r="K623" s="7" t="s">
        <v>105</v>
      </c>
      <c r="L623" s="7" t="s">
        <v>106</v>
      </c>
      <c r="M623" s="7" t="s">
        <v>419</v>
      </c>
      <c r="N623" s="7" t="s">
        <v>4847</v>
      </c>
      <c r="O623" s="7" t="s">
        <v>4847</v>
      </c>
      <c r="P623" s="7" t="s">
        <v>135</v>
      </c>
      <c r="Q623" s="7"/>
      <c r="R623" s="7" t="s">
        <v>109</v>
      </c>
      <c r="S623" s="7" t="s">
        <v>110</v>
      </c>
      <c r="T623" s="7" t="n">
        <v>0.252</v>
      </c>
      <c r="U623" s="7" t="n">
        <v>1</v>
      </c>
      <c r="V623" s="7" t="s">
        <v>2781</v>
      </c>
      <c r="W623" s="7" t="s">
        <v>4848</v>
      </c>
      <c r="X623" s="7" t="s">
        <v>4849</v>
      </c>
      <c r="Y623" s="7" t="s">
        <v>4847</v>
      </c>
      <c r="Z623" s="7" t="s">
        <v>4850</v>
      </c>
      <c r="AA623" s="7"/>
      <c r="AB623" s="7"/>
      <c r="AC623" s="7" t="n">
        <v>8</v>
      </c>
      <c r="AD623" s="7" t="s">
        <v>4851</v>
      </c>
      <c r="AE623" s="7" t="s">
        <v>1065</v>
      </c>
      <c r="AF623" s="7" t="s">
        <v>4852</v>
      </c>
      <c r="AG623" s="7" t="s">
        <v>1065</v>
      </c>
      <c r="AH623" s="7" t="s">
        <v>4853</v>
      </c>
      <c r="AI623" s="7"/>
      <c r="AJ623" s="7"/>
      <c r="AK623" s="7" t="s">
        <v>115</v>
      </c>
      <c r="AL623" s="7" t="s">
        <v>116</v>
      </c>
      <c r="AM623" s="7" t="s">
        <v>1065</v>
      </c>
      <c r="AN623" s="7" t="s">
        <v>145</v>
      </c>
      <c r="AO623" s="7" t="s">
        <v>1065</v>
      </c>
      <c r="AP623" s="7" t="s">
        <v>4846</v>
      </c>
      <c r="AQ623" s="7" t="s">
        <v>1065</v>
      </c>
      <c r="AR623" s="7" t="s">
        <v>4854</v>
      </c>
      <c r="AS623" s="7" t="s">
        <v>1065</v>
      </c>
      <c r="AT623" s="7" t="s">
        <v>4855</v>
      </c>
      <c r="AU623" s="7"/>
      <c r="AV623" s="7"/>
      <c r="AW623" s="7"/>
      <c r="AX623" s="7"/>
      <c r="AY623" s="7"/>
      <c r="AZ623" s="7"/>
      <c r="BA623" s="7" t="s">
        <v>1065</v>
      </c>
      <c r="BB623" s="7" t="s">
        <v>4856</v>
      </c>
      <c r="BC623" s="7" t="s">
        <v>427</v>
      </c>
      <c r="BD623" s="7" t="s">
        <v>440</v>
      </c>
      <c r="BE623" s="7" t="s">
        <v>127</v>
      </c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</row>
    <row r="624" customFormat="false" ht="15" hidden="false" customHeight="false" outlineLevel="0" collapsed="false">
      <c r="A624" s="7" t="s">
        <v>4857</v>
      </c>
      <c r="B624" s="7" t="s">
        <v>4858</v>
      </c>
      <c r="C624" s="7" t="s">
        <v>4859</v>
      </c>
      <c r="D624" s="7" t="s">
        <v>2605</v>
      </c>
      <c r="E624" s="7" t="s">
        <v>101</v>
      </c>
      <c r="F624" s="7" t="s">
        <v>101</v>
      </c>
      <c r="G624" s="7"/>
      <c r="H624" s="7" t="s">
        <v>102</v>
      </c>
      <c r="I624" s="7" t="s">
        <v>103</v>
      </c>
      <c r="J624" s="7" t="s">
        <v>104</v>
      </c>
      <c r="K624" s="7" t="s">
        <v>105</v>
      </c>
      <c r="L624" s="7" t="s">
        <v>106</v>
      </c>
      <c r="M624" s="7"/>
      <c r="N624" s="7" t="s">
        <v>4860</v>
      </c>
      <c r="O624" s="7" t="s">
        <v>4860</v>
      </c>
      <c r="P624" s="7" t="s">
        <v>109</v>
      </c>
      <c r="Q624" s="7"/>
      <c r="R624" s="7" t="s">
        <v>109</v>
      </c>
      <c r="S624" s="7" t="s">
        <v>110</v>
      </c>
      <c r="T624" s="7" t="n">
        <v>0.474</v>
      </c>
      <c r="U624" s="7" t="n">
        <v>1</v>
      </c>
      <c r="V624" s="7" t="s">
        <v>2781</v>
      </c>
      <c r="W624" s="7"/>
      <c r="X624" s="7" t="s">
        <v>4861</v>
      </c>
      <c r="Y624" s="7"/>
      <c r="Z624" s="7" t="s">
        <v>4862</v>
      </c>
      <c r="AA624" s="7"/>
      <c r="AB624" s="7"/>
      <c r="AC624" s="7" t="n">
        <v>0</v>
      </c>
      <c r="AD624" s="7" t="s">
        <v>388</v>
      </c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 t="s">
        <v>127</v>
      </c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</row>
    <row r="625" customFormat="false" ht="15" hidden="false" customHeight="false" outlineLevel="0" collapsed="false">
      <c r="A625" s="7" t="s">
        <v>4863</v>
      </c>
      <c r="B625" s="7" t="s">
        <v>4864</v>
      </c>
      <c r="C625" s="7" t="s">
        <v>4865</v>
      </c>
      <c r="D625" s="7" t="s">
        <v>4866</v>
      </c>
      <c r="E625" s="7" t="s">
        <v>101</v>
      </c>
      <c r="F625" s="7" t="s">
        <v>101</v>
      </c>
      <c r="G625" s="7"/>
      <c r="H625" s="7" t="s">
        <v>102</v>
      </c>
      <c r="I625" s="7" t="s">
        <v>158</v>
      </c>
      <c r="J625" s="7" t="s">
        <v>104</v>
      </c>
      <c r="K625" s="7" t="s">
        <v>105</v>
      </c>
      <c r="L625" s="7" t="s">
        <v>353</v>
      </c>
      <c r="M625" s="7" t="s">
        <v>419</v>
      </c>
      <c r="N625" s="7" t="s">
        <v>4867</v>
      </c>
      <c r="O625" s="7"/>
      <c r="P625" s="7" t="s">
        <v>135</v>
      </c>
      <c r="Q625" s="7"/>
      <c r="R625" s="7"/>
      <c r="S625" s="7"/>
      <c r="T625" s="7" t="n">
        <v>0.341</v>
      </c>
      <c r="U625" s="7" t="n">
        <v>1</v>
      </c>
      <c r="V625" s="7" t="s">
        <v>2781</v>
      </c>
      <c r="W625" s="7"/>
      <c r="X625" s="7" t="s">
        <v>4868</v>
      </c>
      <c r="Y625" s="7"/>
      <c r="Z625" s="7" t="s">
        <v>4869</v>
      </c>
      <c r="AA625" s="7"/>
      <c r="AB625" s="7"/>
      <c r="AC625" s="7"/>
      <c r="AD625" s="7"/>
      <c r="AE625" s="7"/>
      <c r="AF625" s="7"/>
      <c r="AG625" s="7" t="s">
        <v>1955</v>
      </c>
      <c r="AH625" s="7" t="s">
        <v>1956</v>
      </c>
      <c r="AI625" s="7"/>
      <c r="AJ625" s="7"/>
      <c r="AK625" s="7"/>
      <c r="AL625" s="7"/>
      <c r="AM625" s="7" t="s">
        <v>1955</v>
      </c>
      <c r="AN625" s="7" t="s">
        <v>1957</v>
      </c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 t="s">
        <v>427</v>
      </c>
      <c r="BD625" s="7" t="s">
        <v>440</v>
      </c>
      <c r="BE625" s="7" t="s">
        <v>127</v>
      </c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</row>
    <row r="626" customFormat="false" ht="15" hidden="false" customHeight="false" outlineLevel="0" collapsed="false">
      <c r="A626" s="7" t="s">
        <v>4870</v>
      </c>
      <c r="B626" s="7" t="s">
        <v>4871</v>
      </c>
      <c r="C626" s="7" t="s">
        <v>4872</v>
      </c>
      <c r="D626" s="7" t="s">
        <v>4873</v>
      </c>
      <c r="E626" s="7" t="s">
        <v>101</v>
      </c>
      <c r="F626" s="7" t="s">
        <v>101</v>
      </c>
      <c r="G626" s="7"/>
      <c r="H626" s="7" t="s">
        <v>102</v>
      </c>
      <c r="I626" s="7" t="s">
        <v>300</v>
      </c>
      <c r="J626" s="7" t="s">
        <v>104</v>
      </c>
      <c r="K626" s="7" t="s">
        <v>105</v>
      </c>
      <c r="L626" s="7" t="s">
        <v>106</v>
      </c>
      <c r="M626" s="7" t="s">
        <v>419</v>
      </c>
      <c r="N626" s="7" t="s">
        <v>4874</v>
      </c>
      <c r="O626" s="7" t="s">
        <v>4874</v>
      </c>
      <c r="P626" s="7" t="s">
        <v>135</v>
      </c>
      <c r="Q626" s="7"/>
      <c r="R626" s="7" t="s">
        <v>109</v>
      </c>
      <c r="S626" s="7" t="s">
        <v>110</v>
      </c>
      <c r="T626" s="7" t="n">
        <v>0.56</v>
      </c>
      <c r="U626" s="7" t="n">
        <v>1</v>
      </c>
      <c r="V626" s="7" t="s">
        <v>2781</v>
      </c>
      <c r="W626" s="7" t="s">
        <v>4875</v>
      </c>
      <c r="X626" s="7" t="s">
        <v>4875</v>
      </c>
      <c r="Y626" s="7" t="s">
        <v>4874</v>
      </c>
      <c r="Z626" s="7" t="s">
        <v>4876</v>
      </c>
      <c r="AA626" s="7"/>
      <c r="AB626" s="7"/>
      <c r="AC626" s="7" t="n">
        <v>7</v>
      </c>
      <c r="AD626" s="7" t="s">
        <v>2439</v>
      </c>
      <c r="AE626" s="7" t="s">
        <v>1065</v>
      </c>
      <c r="AF626" s="7" t="s">
        <v>4877</v>
      </c>
      <c r="AG626" s="7" t="s">
        <v>1065</v>
      </c>
      <c r="AH626" s="7" t="s">
        <v>4878</v>
      </c>
      <c r="AI626" s="7"/>
      <c r="AJ626" s="7"/>
      <c r="AK626" s="7"/>
      <c r="AL626" s="7"/>
      <c r="AM626" s="7" t="s">
        <v>1065</v>
      </c>
      <c r="AN626" s="7" t="s">
        <v>4879</v>
      </c>
      <c r="AO626" s="7" t="s">
        <v>1065</v>
      </c>
      <c r="AP626" s="7" t="s">
        <v>4873</v>
      </c>
      <c r="AQ626" s="7" t="s">
        <v>1065</v>
      </c>
      <c r="AR626" s="7" t="s">
        <v>4880</v>
      </c>
      <c r="AS626" s="7" t="s">
        <v>1065</v>
      </c>
      <c r="AT626" s="7" t="s">
        <v>1856</v>
      </c>
      <c r="AU626" s="7"/>
      <c r="AV626" s="7"/>
      <c r="AW626" s="7"/>
      <c r="AX626" s="7"/>
      <c r="AY626" s="7"/>
      <c r="AZ626" s="7"/>
      <c r="BA626" s="7" t="s">
        <v>1065</v>
      </c>
      <c r="BB626" s="7" t="s">
        <v>4881</v>
      </c>
      <c r="BC626" s="7" t="s">
        <v>427</v>
      </c>
      <c r="BD626" s="7" t="s">
        <v>440</v>
      </c>
      <c r="BE626" s="7" t="s">
        <v>127</v>
      </c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</row>
    <row r="627" customFormat="false" ht="15" hidden="false" customHeight="false" outlineLevel="0" collapsed="false">
      <c r="A627" s="7" t="s">
        <v>4882</v>
      </c>
      <c r="B627" s="7" t="s">
        <v>4883</v>
      </c>
      <c r="C627" s="7" t="s">
        <v>4884</v>
      </c>
      <c r="D627" s="7" t="s">
        <v>4885</v>
      </c>
      <c r="E627" s="7" t="s">
        <v>101</v>
      </c>
      <c r="F627" s="7" t="s">
        <v>101</v>
      </c>
      <c r="G627" s="7"/>
      <c r="H627" s="7" t="s">
        <v>102</v>
      </c>
      <c r="I627" s="7" t="s">
        <v>132</v>
      </c>
      <c r="J627" s="7" t="s">
        <v>104</v>
      </c>
      <c r="K627" s="7" t="s">
        <v>105</v>
      </c>
      <c r="L627" s="7" t="s">
        <v>106</v>
      </c>
      <c r="M627" s="7"/>
      <c r="N627" s="7" t="s">
        <v>4886</v>
      </c>
      <c r="O627" s="7" t="s">
        <v>4886</v>
      </c>
      <c r="P627" s="7" t="s">
        <v>109</v>
      </c>
      <c r="Q627" s="7"/>
      <c r="R627" s="7" t="s">
        <v>109</v>
      </c>
      <c r="S627" s="7" t="s">
        <v>110</v>
      </c>
      <c r="T627" s="7" t="n">
        <v>0.742</v>
      </c>
      <c r="U627" s="7" t="n">
        <v>1</v>
      </c>
      <c r="V627" s="7" t="s">
        <v>4673</v>
      </c>
      <c r="W627" s="7"/>
      <c r="X627" s="7" t="s">
        <v>4887</v>
      </c>
      <c r="Y627" s="7"/>
      <c r="Z627" s="7" t="s">
        <v>4888</v>
      </c>
      <c r="AA627" s="7"/>
      <c r="AB627" s="7"/>
      <c r="AC627" s="7" t="n">
        <v>0</v>
      </c>
      <c r="AD627" s="7" t="s">
        <v>388</v>
      </c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 t="s">
        <v>1306</v>
      </c>
      <c r="BE627" s="7" t="s">
        <v>127</v>
      </c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</row>
    <row r="628" customFormat="false" ht="15" hidden="false" customHeight="false" outlineLevel="0" collapsed="false">
      <c r="A628" s="7" t="s">
        <v>4889</v>
      </c>
      <c r="B628" s="7" t="s">
        <v>4890</v>
      </c>
      <c r="C628" s="7" t="s">
        <v>4891</v>
      </c>
      <c r="D628" s="7" t="s">
        <v>4892</v>
      </c>
      <c r="E628" s="7" t="s">
        <v>101</v>
      </c>
      <c r="F628" s="7" t="s">
        <v>101</v>
      </c>
      <c r="G628" s="7"/>
      <c r="H628" s="7" t="s">
        <v>102</v>
      </c>
      <c r="I628" s="7" t="s">
        <v>300</v>
      </c>
      <c r="J628" s="7" t="s">
        <v>104</v>
      </c>
      <c r="K628" s="7" t="s">
        <v>105</v>
      </c>
      <c r="L628" s="7" t="s">
        <v>106</v>
      </c>
      <c r="M628" s="7" t="s">
        <v>419</v>
      </c>
      <c r="N628" s="7" t="s">
        <v>4893</v>
      </c>
      <c r="O628" s="7" t="s">
        <v>4893</v>
      </c>
      <c r="P628" s="7" t="s">
        <v>135</v>
      </c>
      <c r="Q628" s="7"/>
      <c r="R628" s="7" t="s">
        <v>109</v>
      </c>
      <c r="S628" s="7" t="s">
        <v>110</v>
      </c>
      <c r="T628" s="7" t="n">
        <v>0.488</v>
      </c>
      <c r="U628" s="7" t="n">
        <v>1</v>
      </c>
      <c r="V628" s="7" t="s">
        <v>2781</v>
      </c>
      <c r="W628" s="7" t="s">
        <v>4894</v>
      </c>
      <c r="X628" s="7" t="s">
        <v>4895</v>
      </c>
      <c r="Y628" s="7" t="s">
        <v>4893</v>
      </c>
      <c r="Z628" s="7" t="s">
        <v>4896</v>
      </c>
      <c r="AA628" s="7"/>
      <c r="AB628" s="7"/>
      <c r="AC628" s="7" t="n">
        <v>7</v>
      </c>
      <c r="AD628" s="7" t="s">
        <v>2439</v>
      </c>
      <c r="AE628" s="7" t="s">
        <v>1065</v>
      </c>
      <c r="AF628" s="7" t="s">
        <v>4897</v>
      </c>
      <c r="AG628" s="7" t="s">
        <v>1065</v>
      </c>
      <c r="AH628" s="7" t="s">
        <v>4898</v>
      </c>
      <c r="AI628" s="7"/>
      <c r="AJ628" s="7"/>
      <c r="AK628" s="7"/>
      <c r="AL628" s="7"/>
      <c r="AM628" s="7" t="s">
        <v>1065</v>
      </c>
      <c r="AN628" s="7" t="s">
        <v>4899</v>
      </c>
      <c r="AO628" s="7" t="s">
        <v>1065</v>
      </c>
      <c r="AP628" s="7" t="s">
        <v>4892</v>
      </c>
      <c r="AQ628" s="7" t="s">
        <v>1065</v>
      </c>
      <c r="AR628" s="7" t="s">
        <v>4900</v>
      </c>
      <c r="AS628" s="7" t="s">
        <v>1065</v>
      </c>
      <c r="AT628" s="7" t="s">
        <v>216</v>
      </c>
      <c r="AU628" s="7"/>
      <c r="AV628" s="7"/>
      <c r="AW628" s="7"/>
      <c r="AX628" s="7"/>
      <c r="AY628" s="7"/>
      <c r="AZ628" s="7"/>
      <c r="BA628" s="7" t="s">
        <v>1065</v>
      </c>
      <c r="BB628" s="7" t="s">
        <v>4901</v>
      </c>
      <c r="BC628" s="7" t="s">
        <v>427</v>
      </c>
      <c r="BD628" s="7" t="s">
        <v>440</v>
      </c>
      <c r="BE628" s="7" t="s">
        <v>127</v>
      </c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</row>
    <row r="629" customFormat="false" ht="15" hidden="false" customHeight="false" outlineLevel="0" collapsed="false">
      <c r="A629" s="7" t="s">
        <v>4902</v>
      </c>
      <c r="B629" s="7" t="s">
        <v>4903</v>
      </c>
      <c r="C629" s="7" t="s">
        <v>4904</v>
      </c>
      <c r="D629" s="7" t="s">
        <v>4905</v>
      </c>
      <c r="E629" s="7" t="s">
        <v>101</v>
      </c>
      <c r="F629" s="7" t="s">
        <v>101</v>
      </c>
      <c r="G629" s="7"/>
      <c r="H629" s="7" t="s">
        <v>102</v>
      </c>
      <c r="I629" s="7" t="s">
        <v>300</v>
      </c>
      <c r="J629" s="7" t="s">
        <v>104</v>
      </c>
      <c r="K629" s="7" t="s">
        <v>105</v>
      </c>
      <c r="L629" s="7" t="s">
        <v>106</v>
      </c>
      <c r="M629" s="7" t="s">
        <v>419</v>
      </c>
      <c r="N629" s="7" t="s">
        <v>4906</v>
      </c>
      <c r="O629" s="7"/>
      <c r="P629" s="7" t="s">
        <v>135</v>
      </c>
      <c r="Q629" s="7"/>
      <c r="R629" s="7"/>
      <c r="S629" s="7"/>
      <c r="T629" s="7" t="n">
        <v>0.136</v>
      </c>
      <c r="U629" s="7" t="n">
        <v>1</v>
      </c>
      <c r="V629" s="7" t="s">
        <v>90</v>
      </c>
      <c r="W629" s="7"/>
      <c r="X629" s="7" t="s">
        <v>4907</v>
      </c>
      <c r="Y629" s="7"/>
      <c r="Z629" s="7" t="s">
        <v>4908</v>
      </c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 t="s">
        <v>427</v>
      </c>
      <c r="BD629" s="7" t="s">
        <v>440</v>
      </c>
      <c r="BE629" s="7" t="s">
        <v>127</v>
      </c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</row>
    <row r="630" customFormat="false" ht="15" hidden="false" customHeight="false" outlineLevel="0" collapsed="false">
      <c r="A630" s="7" t="s">
        <v>4909</v>
      </c>
      <c r="B630" s="7" t="s">
        <v>4910</v>
      </c>
      <c r="C630" s="7" t="s">
        <v>4911</v>
      </c>
      <c r="D630" s="7" t="s">
        <v>4912</v>
      </c>
      <c r="E630" s="7" t="s">
        <v>101</v>
      </c>
      <c r="F630" s="7" t="s">
        <v>444</v>
      </c>
      <c r="G630" s="7"/>
      <c r="H630" s="7" t="s">
        <v>102</v>
      </c>
      <c r="I630" s="7" t="s">
        <v>234</v>
      </c>
      <c r="J630" s="7" t="s">
        <v>104</v>
      </c>
      <c r="K630" s="7" t="s">
        <v>105</v>
      </c>
      <c r="L630" s="7" t="s">
        <v>259</v>
      </c>
      <c r="M630" s="7"/>
      <c r="N630" s="7" t="s">
        <v>4913</v>
      </c>
      <c r="O630" s="7" t="s">
        <v>4913</v>
      </c>
      <c r="P630" s="7" t="s">
        <v>135</v>
      </c>
      <c r="Q630" s="7"/>
      <c r="R630" s="7" t="s">
        <v>109</v>
      </c>
      <c r="S630" s="7" t="s">
        <v>110</v>
      </c>
      <c r="T630" s="7" t="n">
        <v>0.883</v>
      </c>
      <c r="U630" s="7" t="n">
        <v>1</v>
      </c>
      <c r="V630" s="7" t="s">
        <v>90</v>
      </c>
      <c r="W630" s="7"/>
      <c r="X630" s="7" t="s">
        <v>4914</v>
      </c>
      <c r="Y630" s="7" t="s">
        <v>4913</v>
      </c>
      <c r="Z630" s="7" t="s">
        <v>4915</v>
      </c>
      <c r="AA630" s="7"/>
      <c r="AB630" s="7"/>
      <c r="AC630" s="7" t="n">
        <v>0</v>
      </c>
      <c r="AD630" s="7" t="s">
        <v>388</v>
      </c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 t="s">
        <v>440</v>
      </c>
      <c r="BE630" s="7" t="s">
        <v>127</v>
      </c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</row>
    <row r="631" customFormat="false" ht="15" hidden="false" customHeight="false" outlineLevel="0" collapsed="false">
      <c r="A631" s="7" t="s">
        <v>4916</v>
      </c>
      <c r="B631" s="7" t="s">
        <v>4917</v>
      </c>
      <c r="C631" s="7" t="s">
        <v>4918</v>
      </c>
      <c r="D631" s="7" t="s">
        <v>4919</v>
      </c>
      <c r="E631" s="7" t="s">
        <v>101</v>
      </c>
      <c r="F631" s="7" t="s">
        <v>101</v>
      </c>
      <c r="G631" s="7"/>
      <c r="H631" s="7" t="s">
        <v>102</v>
      </c>
      <c r="I631" s="7" t="s">
        <v>374</v>
      </c>
      <c r="J631" s="7" t="s">
        <v>104</v>
      </c>
      <c r="K631" s="7" t="s">
        <v>105</v>
      </c>
      <c r="L631" s="7" t="s">
        <v>106</v>
      </c>
      <c r="M631" s="7" t="s">
        <v>419</v>
      </c>
      <c r="N631" s="7" t="s">
        <v>4920</v>
      </c>
      <c r="O631" s="7"/>
      <c r="P631" s="7" t="s">
        <v>135</v>
      </c>
      <c r="Q631" s="7"/>
      <c r="R631" s="7"/>
      <c r="S631" s="7"/>
      <c r="T631" s="7" t="n">
        <v>0.465</v>
      </c>
      <c r="U631" s="7" t="n">
        <v>1</v>
      </c>
      <c r="V631" s="7" t="s">
        <v>90</v>
      </c>
      <c r="W631" s="7"/>
      <c r="X631" s="7" t="s">
        <v>4921</v>
      </c>
      <c r="Y631" s="7"/>
      <c r="Z631" s="7" t="s">
        <v>4922</v>
      </c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 t="s">
        <v>427</v>
      </c>
      <c r="BD631" s="7" t="s">
        <v>440</v>
      </c>
      <c r="BE631" s="7" t="s">
        <v>127</v>
      </c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</row>
    <row r="632" customFormat="false" ht="15" hidden="false" customHeight="false" outlineLevel="0" collapsed="false">
      <c r="A632" s="7" t="s">
        <v>4923</v>
      </c>
      <c r="B632" s="7" t="s">
        <v>4924</v>
      </c>
      <c r="C632" s="7" t="s">
        <v>4925</v>
      </c>
      <c r="D632" s="7" t="s">
        <v>4926</v>
      </c>
      <c r="E632" s="7" t="s">
        <v>101</v>
      </c>
      <c r="F632" s="7" t="s">
        <v>444</v>
      </c>
      <c r="G632" s="7"/>
      <c r="H632" s="7" t="s">
        <v>102</v>
      </c>
      <c r="I632" s="7" t="s">
        <v>208</v>
      </c>
      <c r="J632" s="7" t="s">
        <v>104</v>
      </c>
      <c r="K632" s="7" t="s">
        <v>105</v>
      </c>
      <c r="L632" s="7" t="s">
        <v>106</v>
      </c>
      <c r="M632" s="7"/>
      <c r="N632" s="7" t="s">
        <v>4927</v>
      </c>
      <c r="O632" s="7" t="s">
        <v>4927</v>
      </c>
      <c r="P632" s="7" t="s">
        <v>135</v>
      </c>
      <c r="Q632" s="7"/>
      <c r="R632" s="7" t="s">
        <v>109</v>
      </c>
      <c r="S632" s="7" t="s">
        <v>110</v>
      </c>
      <c r="T632" s="7" t="n">
        <v>0.391</v>
      </c>
      <c r="U632" s="7" t="n">
        <v>1</v>
      </c>
      <c r="V632" s="7" t="s">
        <v>90</v>
      </c>
      <c r="W632" s="7"/>
      <c r="X632" s="7" t="s">
        <v>497</v>
      </c>
      <c r="Y632" s="7" t="s">
        <v>4927</v>
      </c>
      <c r="Z632" s="7" t="s">
        <v>3775</v>
      </c>
      <c r="AA632" s="7"/>
      <c r="AB632" s="7"/>
      <c r="AC632" s="7" t="n">
        <v>0</v>
      </c>
      <c r="AD632" s="7" t="s">
        <v>388</v>
      </c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 t="s">
        <v>2797</v>
      </c>
      <c r="BE632" s="7" t="s">
        <v>127</v>
      </c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</row>
    <row r="633" customFormat="false" ht="15" hidden="false" customHeight="false" outlineLevel="0" collapsed="false">
      <c r="A633" s="7" t="s">
        <v>4928</v>
      </c>
      <c r="B633" s="7" t="s">
        <v>4929</v>
      </c>
      <c r="C633" s="7" t="s">
        <v>4930</v>
      </c>
      <c r="D633" s="7" t="s">
        <v>4919</v>
      </c>
      <c r="E633" s="7" t="s">
        <v>101</v>
      </c>
      <c r="F633" s="7" t="s">
        <v>101</v>
      </c>
      <c r="G633" s="7"/>
      <c r="H633" s="7" t="s">
        <v>102</v>
      </c>
      <c r="I633" s="7" t="s">
        <v>132</v>
      </c>
      <c r="J633" s="7" t="s">
        <v>104</v>
      </c>
      <c r="K633" s="7" t="s">
        <v>105</v>
      </c>
      <c r="L633" s="7" t="s">
        <v>106</v>
      </c>
      <c r="M633" s="7" t="s">
        <v>419</v>
      </c>
      <c r="N633" s="7" t="s">
        <v>4931</v>
      </c>
      <c r="O633" s="7"/>
      <c r="P633" s="7" t="s">
        <v>135</v>
      </c>
      <c r="Q633" s="7"/>
      <c r="R633" s="7"/>
      <c r="S633" s="7"/>
      <c r="T633" s="7" t="n">
        <v>0.257</v>
      </c>
      <c r="U633" s="7" t="n">
        <v>1</v>
      </c>
      <c r="V633" s="7" t="s">
        <v>90</v>
      </c>
      <c r="W633" s="7"/>
      <c r="X633" s="7" t="s">
        <v>4932</v>
      </c>
      <c r="Y633" s="7"/>
      <c r="Z633" s="7" t="s">
        <v>4933</v>
      </c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 t="s">
        <v>427</v>
      </c>
      <c r="BD633" s="7" t="s">
        <v>440</v>
      </c>
      <c r="BE633" s="7" t="s">
        <v>127</v>
      </c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</row>
    <row r="634" customFormat="false" ht="15" hidden="false" customHeight="false" outlineLevel="0" collapsed="false">
      <c r="A634" s="7" t="s">
        <v>4934</v>
      </c>
      <c r="B634" s="7" t="s">
        <v>4935</v>
      </c>
      <c r="C634" s="7" t="s">
        <v>4936</v>
      </c>
      <c r="D634" s="7" t="s">
        <v>4937</v>
      </c>
      <c r="E634" s="7" t="s">
        <v>101</v>
      </c>
      <c r="F634" s="7" t="s">
        <v>101</v>
      </c>
      <c r="G634" s="7"/>
      <c r="H634" s="7" t="s">
        <v>102</v>
      </c>
      <c r="I634" s="7" t="s">
        <v>158</v>
      </c>
      <c r="J634" s="7" t="s">
        <v>104</v>
      </c>
      <c r="K634" s="7" t="s">
        <v>105</v>
      </c>
      <c r="L634" s="7" t="s">
        <v>353</v>
      </c>
      <c r="M634" s="7" t="s">
        <v>419</v>
      </c>
      <c r="N634" s="7" t="s">
        <v>4938</v>
      </c>
      <c r="O634" s="7" t="s">
        <v>4938</v>
      </c>
      <c r="P634" s="7" t="s">
        <v>135</v>
      </c>
      <c r="Q634" s="7"/>
      <c r="R634" s="7" t="s">
        <v>109</v>
      </c>
      <c r="S634" s="7" t="s">
        <v>110</v>
      </c>
      <c r="T634" s="7" t="n">
        <v>0.286</v>
      </c>
      <c r="U634" s="7" t="n">
        <v>1</v>
      </c>
      <c r="V634" s="7" t="s">
        <v>2781</v>
      </c>
      <c r="W634" s="7"/>
      <c r="X634" s="7" t="s">
        <v>4939</v>
      </c>
      <c r="Y634" s="7"/>
      <c r="Z634" s="7" t="s">
        <v>4940</v>
      </c>
      <c r="AA634" s="7"/>
      <c r="AB634" s="7"/>
      <c r="AC634" s="7" t="n">
        <v>2</v>
      </c>
      <c r="AD634" s="7" t="s">
        <v>1954</v>
      </c>
      <c r="AE634" s="7"/>
      <c r="AF634" s="7"/>
      <c r="AG634" s="7" t="s">
        <v>1955</v>
      </c>
      <c r="AH634" s="7" t="s">
        <v>1956</v>
      </c>
      <c r="AI634" s="7"/>
      <c r="AJ634" s="7"/>
      <c r="AK634" s="7"/>
      <c r="AL634" s="7"/>
      <c r="AM634" s="7" t="s">
        <v>1955</v>
      </c>
      <c r="AN634" s="7" t="s">
        <v>1957</v>
      </c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 t="s">
        <v>427</v>
      </c>
      <c r="BD634" s="7" t="s">
        <v>440</v>
      </c>
      <c r="BE634" s="7" t="s">
        <v>127</v>
      </c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</row>
    <row r="635" customFormat="false" ht="15" hidden="false" customHeight="false" outlineLevel="0" collapsed="false">
      <c r="A635" s="7" t="s">
        <v>4941</v>
      </c>
      <c r="B635" s="7" t="s">
        <v>4942</v>
      </c>
      <c r="C635" s="7" t="s">
        <v>4943</v>
      </c>
      <c r="D635" s="7" t="s">
        <v>4944</v>
      </c>
      <c r="E635" s="7" t="s">
        <v>101</v>
      </c>
      <c r="F635" s="7" t="s">
        <v>101</v>
      </c>
      <c r="G635" s="7"/>
      <c r="H635" s="7" t="s">
        <v>102</v>
      </c>
      <c r="I635" s="7" t="s">
        <v>158</v>
      </c>
      <c r="J635" s="7" t="s">
        <v>104</v>
      </c>
      <c r="K635" s="7" t="s">
        <v>105</v>
      </c>
      <c r="L635" s="7" t="s">
        <v>353</v>
      </c>
      <c r="M635" s="7" t="s">
        <v>419</v>
      </c>
      <c r="N635" s="7" t="s">
        <v>4945</v>
      </c>
      <c r="O635" s="7" t="s">
        <v>4945</v>
      </c>
      <c r="P635" s="7" t="s">
        <v>135</v>
      </c>
      <c r="Q635" s="7"/>
      <c r="R635" s="7" t="s">
        <v>109</v>
      </c>
      <c r="S635" s="7" t="s">
        <v>110</v>
      </c>
      <c r="T635" s="7" t="n">
        <v>0.468</v>
      </c>
      <c r="U635" s="7" t="n">
        <v>1</v>
      </c>
      <c r="V635" s="7" t="s">
        <v>2781</v>
      </c>
      <c r="W635" s="7" t="s">
        <v>4946</v>
      </c>
      <c r="X635" s="7" t="s">
        <v>4947</v>
      </c>
      <c r="Y635" s="7" t="s">
        <v>4945</v>
      </c>
      <c r="Z635" s="7" t="s">
        <v>4948</v>
      </c>
      <c r="AA635" s="7"/>
      <c r="AB635" s="7"/>
      <c r="AC635" s="7" t="n">
        <v>7</v>
      </c>
      <c r="AD635" s="7" t="s">
        <v>2439</v>
      </c>
      <c r="AE635" s="7" t="s">
        <v>1065</v>
      </c>
      <c r="AF635" s="7" t="s">
        <v>4949</v>
      </c>
      <c r="AG635" s="7" t="s">
        <v>1065</v>
      </c>
      <c r="AH635" s="7" t="s">
        <v>4950</v>
      </c>
      <c r="AI635" s="7"/>
      <c r="AJ635" s="7"/>
      <c r="AK635" s="7"/>
      <c r="AL635" s="7"/>
      <c r="AM635" s="7" t="s">
        <v>1065</v>
      </c>
      <c r="AN635" s="7" t="s">
        <v>4951</v>
      </c>
      <c r="AO635" s="7" t="s">
        <v>1065</v>
      </c>
      <c r="AP635" s="7" t="s">
        <v>4944</v>
      </c>
      <c r="AQ635" s="7" t="s">
        <v>1065</v>
      </c>
      <c r="AR635" s="7" t="s">
        <v>4952</v>
      </c>
      <c r="AS635" s="7" t="s">
        <v>1065</v>
      </c>
      <c r="AT635" s="7" t="s">
        <v>216</v>
      </c>
      <c r="AU635" s="7"/>
      <c r="AV635" s="7"/>
      <c r="AW635" s="7"/>
      <c r="AX635" s="7"/>
      <c r="AY635" s="7"/>
      <c r="AZ635" s="7"/>
      <c r="BA635" s="7" t="s">
        <v>1065</v>
      </c>
      <c r="BB635" s="7" t="s">
        <v>4953</v>
      </c>
      <c r="BC635" s="7" t="s">
        <v>427</v>
      </c>
      <c r="BD635" s="7" t="s">
        <v>440</v>
      </c>
      <c r="BE635" s="7" t="s">
        <v>127</v>
      </c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</row>
    <row r="636" customFormat="false" ht="15" hidden="false" customHeight="false" outlineLevel="0" collapsed="false">
      <c r="A636" s="7" t="s">
        <v>4954</v>
      </c>
      <c r="B636" s="7" t="s">
        <v>4955</v>
      </c>
      <c r="C636" s="7" t="s">
        <v>4956</v>
      </c>
      <c r="D636" s="7" t="s">
        <v>4957</v>
      </c>
      <c r="E636" s="7" t="s">
        <v>101</v>
      </c>
      <c r="F636" s="7" t="s">
        <v>101</v>
      </c>
      <c r="G636" s="7"/>
      <c r="H636" s="7" t="s">
        <v>102</v>
      </c>
      <c r="I636" s="7" t="s">
        <v>1140</v>
      </c>
      <c r="J636" s="7" t="s">
        <v>104</v>
      </c>
      <c r="K636" s="7" t="s">
        <v>105</v>
      </c>
      <c r="L636" s="7" t="s">
        <v>106</v>
      </c>
      <c r="M636" s="7" t="s">
        <v>419</v>
      </c>
      <c r="N636" s="7" t="s">
        <v>4958</v>
      </c>
      <c r="O636" s="7"/>
      <c r="P636" s="7" t="s">
        <v>109</v>
      </c>
      <c r="Q636" s="7"/>
      <c r="R636" s="7"/>
      <c r="S636" s="7"/>
      <c r="T636" s="7" t="n">
        <v>0.462</v>
      </c>
      <c r="U636" s="7" t="n">
        <v>1</v>
      </c>
      <c r="V636" s="7" t="s">
        <v>4673</v>
      </c>
      <c r="W636" s="7"/>
      <c r="X636" s="7" t="s">
        <v>4959</v>
      </c>
      <c r="Y636" s="7"/>
      <c r="Z636" s="7" t="s">
        <v>4960</v>
      </c>
      <c r="AA636" s="7"/>
      <c r="AB636" s="7"/>
      <c r="AC636" s="7"/>
      <c r="AD636" s="7"/>
      <c r="AE636" s="7"/>
      <c r="AF636" s="7"/>
      <c r="AG636" s="7" t="s">
        <v>1955</v>
      </c>
      <c r="AH636" s="7" t="s">
        <v>1956</v>
      </c>
      <c r="AI636" s="7"/>
      <c r="AJ636" s="7"/>
      <c r="AK636" s="7"/>
      <c r="AL636" s="7"/>
      <c r="AM636" s="7" t="s">
        <v>1955</v>
      </c>
      <c r="AN636" s="7" t="s">
        <v>1957</v>
      </c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 t="s">
        <v>427</v>
      </c>
      <c r="BD636" s="7"/>
      <c r="BE636" s="7" t="s">
        <v>127</v>
      </c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</row>
    <row r="637" customFormat="false" ht="15" hidden="false" customHeight="false" outlineLevel="0" collapsed="false">
      <c r="A637" s="7" t="s">
        <v>4961</v>
      </c>
      <c r="B637" s="7" t="s">
        <v>4962</v>
      </c>
      <c r="C637" s="7" t="s">
        <v>4963</v>
      </c>
      <c r="D637" s="7" t="s">
        <v>4964</v>
      </c>
      <c r="E637" s="7" t="s">
        <v>101</v>
      </c>
      <c r="F637" s="7" t="s">
        <v>101</v>
      </c>
      <c r="G637" s="7"/>
      <c r="H637" s="7" t="s">
        <v>102</v>
      </c>
      <c r="I637" s="7" t="s">
        <v>1104</v>
      </c>
      <c r="J637" s="7" t="s">
        <v>104</v>
      </c>
      <c r="K637" s="7" t="s">
        <v>105</v>
      </c>
      <c r="L637" s="7" t="s">
        <v>2951</v>
      </c>
      <c r="M637" s="7" t="s">
        <v>419</v>
      </c>
      <c r="N637" s="7" t="s">
        <v>4965</v>
      </c>
      <c r="O637" s="7" t="s">
        <v>4966</v>
      </c>
      <c r="P637" s="7" t="s">
        <v>135</v>
      </c>
      <c r="Q637" s="7"/>
      <c r="R637" s="7" t="s">
        <v>109</v>
      </c>
      <c r="S637" s="7" t="s">
        <v>110</v>
      </c>
      <c r="T637" s="7" t="n">
        <v>0.902</v>
      </c>
      <c r="U637" s="7" t="n">
        <v>1</v>
      </c>
      <c r="V637" s="7" t="s">
        <v>3154</v>
      </c>
      <c r="W637" s="7" t="s">
        <v>4967</v>
      </c>
      <c r="X637" s="7" t="s">
        <v>4968</v>
      </c>
      <c r="Y637" s="7" t="s">
        <v>4965</v>
      </c>
      <c r="Z637" s="7" t="s">
        <v>4969</v>
      </c>
      <c r="AA637" s="7"/>
      <c r="AB637" s="7"/>
      <c r="AC637" s="7" t="n">
        <v>7</v>
      </c>
      <c r="AD637" s="7" t="s">
        <v>2439</v>
      </c>
      <c r="AE637" s="7" t="s">
        <v>1065</v>
      </c>
      <c r="AF637" s="7" t="s">
        <v>4970</v>
      </c>
      <c r="AG637" s="7" t="s">
        <v>1065</v>
      </c>
      <c r="AH637" s="7" t="s">
        <v>4971</v>
      </c>
      <c r="AI637" s="7"/>
      <c r="AJ637" s="7"/>
      <c r="AK637" s="7"/>
      <c r="AL637" s="7"/>
      <c r="AM637" s="7" t="s">
        <v>1065</v>
      </c>
      <c r="AN637" s="7" t="s">
        <v>4972</v>
      </c>
      <c r="AO637" s="7" t="s">
        <v>1065</v>
      </c>
      <c r="AP637" s="7" t="s">
        <v>4964</v>
      </c>
      <c r="AQ637" s="7" t="s">
        <v>1065</v>
      </c>
      <c r="AR637" s="7" t="s">
        <v>444</v>
      </c>
      <c r="AS637" s="7" t="s">
        <v>1065</v>
      </c>
      <c r="AT637" s="7" t="s">
        <v>216</v>
      </c>
      <c r="AU637" s="7"/>
      <c r="AV637" s="7"/>
      <c r="AW637" s="7"/>
      <c r="AX637" s="7"/>
      <c r="AY637" s="7"/>
      <c r="AZ637" s="7"/>
      <c r="BA637" s="7" t="s">
        <v>1065</v>
      </c>
      <c r="BB637" s="7" t="s">
        <v>4973</v>
      </c>
      <c r="BC637" s="7" t="s">
        <v>427</v>
      </c>
      <c r="BD637" s="7" t="s">
        <v>440</v>
      </c>
      <c r="BE637" s="7" t="s">
        <v>127</v>
      </c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</row>
    <row r="638" customFormat="false" ht="15" hidden="false" customHeight="false" outlineLevel="0" collapsed="false">
      <c r="A638" s="7" t="s">
        <v>4974</v>
      </c>
      <c r="B638" s="7" t="s">
        <v>4975</v>
      </c>
      <c r="C638" s="7" t="s">
        <v>4976</v>
      </c>
      <c r="D638" s="7" t="s">
        <v>4977</v>
      </c>
      <c r="E638" s="7" t="s">
        <v>101</v>
      </c>
      <c r="F638" s="7" t="s">
        <v>101</v>
      </c>
      <c r="G638" s="7"/>
      <c r="H638" s="7" t="s">
        <v>102</v>
      </c>
      <c r="I638" s="7" t="s">
        <v>374</v>
      </c>
      <c r="J638" s="7" t="s">
        <v>104</v>
      </c>
      <c r="K638" s="7" t="s">
        <v>105</v>
      </c>
      <c r="L638" s="7" t="s">
        <v>106</v>
      </c>
      <c r="M638" s="7"/>
      <c r="N638" s="7" t="s">
        <v>4978</v>
      </c>
      <c r="O638" s="7" t="s">
        <v>4978</v>
      </c>
      <c r="P638" s="7" t="s">
        <v>135</v>
      </c>
      <c r="Q638" s="7"/>
      <c r="R638" s="7" t="s">
        <v>109</v>
      </c>
      <c r="S638" s="7" t="s">
        <v>110</v>
      </c>
      <c r="T638" s="7" t="n">
        <v>0.513</v>
      </c>
      <c r="U638" s="7" t="n">
        <v>1</v>
      </c>
      <c r="V638" s="7" t="s">
        <v>90</v>
      </c>
      <c r="W638" s="7"/>
      <c r="X638" s="7" t="s">
        <v>4979</v>
      </c>
      <c r="Y638" s="7" t="s">
        <v>4978</v>
      </c>
      <c r="Z638" s="7" t="s">
        <v>4980</v>
      </c>
      <c r="AA638" s="7"/>
      <c r="AB638" s="7"/>
      <c r="AC638" s="7" t="n">
        <v>0</v>
      </c>
      <c r="AD638" s="7" t="s">
        <v>388</v>
      </c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 t="s">
        <v>440</v>
      </c>
      <c r="BE638" s="7" t="s">
        <v>127</v>
      </c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</row>
    <row r="639" customFormat="false" ht="15" hidden="false" customHeight="false" outlineLevel="0" collapsed="false">
      <c r="A639" s="7" t="s">
        <v>4981</v>
      </c>
      <c r="B639" s="7" t="s">
        <v>4982</v>
      </c>
      <c r="C639" s="7" t="s">
        <v>4983</v>
      </c>
      <c r="D639" s="7" t="s">
        <v>4984</v>
      </c>
      <c r="E639" s="7" t="s">
        <v>101</v>
      </c>
      <c r="F639" s="7" t="s">
        <v>2296</v>
      </c>
      <c r="G639" s="7"/>
      <c r="H639" s="7" t="s">
        <v>102</v>
      </c>
      <c r="I639" s="7" t="s">
        <v>158</v>
      </c>
      <c r="J639" s="7" t="s">
        <v>104</v>
      </c>
      <c r="K639" s="7" t="s">
        <v>105</v>
      </c>
      <c r="L639" s="7" t="s">
        <v>353</v>
      </c>
      <c r="M639" s="7"/>
      <c r="N639" s="7" t="s">
        <v>4985</v>
      </c>
      <c r="O639" s="7" t="s">
        <v>4985</v>
      </c>
      <c r="P639" s="7" t="s">
        <v>135</v>
      </c>
      <c r="Q639" s="7"/>
      <c r="R639" s="7" t="s">
        <v>109</v>
      </c>
      <c r="S639" s="7" t="s">
        <v>110</v>
      </c>
      <c r="T639" s="7" t="n">
        <v>0.873</v>
      </c>
      <c r="U639" s="7" t="n">
        <v>1</v>
      </c>
      <c r="V639" s="7" t="s">
        <v>90</v>
      </c>
      <c r="W639" s="7"/>
      <c r="X639" s="7" t="s">
        <v>2901</v>
      </c>
      <c r="Y639" s="7" t="s">
        <v>4985</v>
      </c>
      <c r="Z639" s="7" t="s">
        <v>2902</v>
      </c>
      <c r="AA639" s="7"/>
      <c r="AB639" s="7"/>
      <c r="AC639" s="7" t="n">
        <v>0</v>
      </c>
      <c r="AD639" s="7" t="s">
        <v>388</v>
      </c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 t="s">
        <v>440</v>
      </c>
      <c r="BE639" s="7" t="s">
        <v>127</v>
      </c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</row>
    <row r="640" customFormat="false" ht="15" hidden="false" customHeight="false" outlineLevel="0" collapsed="false">
      <c r="A640" s="7" t="s">
        <v>4986</v>
      </c>
      <c r="B640" s="7" t="s">
        <v>4987</v>
      </c>
      <c r="C640" s="7" t="s">
        <v>4988</v>
      </c>
      <c r="D640" s="7" t="s">
        <v>4989</v>
      </c>
      <c r="E640" s="7" t="s">
        <v>101</v>
      </c>
      <c r="F640" s="7" t="s">
        <v>101</v>
      </c>
      <c r="G640" s="7"/>
      <c r="H640" s="7" t="s">
        <v>102</v>
      </c>
      <c r="I640" s="7" t="s">
        <v>158</v>
      </c>
      <c r="J640" s="7" t="s">
        <v>104</v>
      </c>
      <c r="K640" s="7" t="s">
        <v>105</v>
      </c>
      <c r="L640" s="7" t="s">
        <v>353</v>
      </c>
      <c r="M640" s="7" t="s">
        <v>419</v>
      </c>
      <c r="N640" s="7" t="s">
        <v>4990</v>
      </c>
      <c r="O640" s="7" t="s">
        <v>4990</v>
      </c>
      <c r="P640" s="7" t="s">
        <v>135</v>
      </c>
      <c r="Q640" s="7"/>
      <c r="R640" s="7" t="s">
        <v>109</v>
      </c>
      <c r="S640" s="7" t="s">
        <v>110</v>
      </c>
      <c r="T640" s="7" t="n">
        <v>0.2</v>
      </c>
      <c r="U640" s="7" t="n">
        <v>1</v>
      </c>
      <c r="V640" s="7" t="s">
        <v>2781</v>
      </c>
      <c r="W640" s="7"/>
      <c r="X640" s="7" t="s">
        <v>4991</v>
      </c>
      <c r="Y640" s="7"/>
      <c r="Z640" s="7" t="s">
        <v>4992</v>
      </c>
      <c r="AA640" s="7"/>
      <c r="AB640" s="7"/>
      <c r="AC640" s="7" t="n">
        <v>2</v>
      </c>
      <c r="AD640" s="7" t="s">
        <v>1954</v>
      </c>
      <c r="AE640" s="7"/>
      <c r="AF640" s="7"/>
      <c r="AG640" s="7" t="s">
        <v>1955</v>
      </c>
      <c r="AH640" s="7" t="s">
        <v>1956</v>
      </c>
      <c r="AI640" s="7"/>
      <c r="AJ640" s="7"/>
      <c r="AK640" s="7"/>
      <c r="AL640" s="7"/>
      <c r="AM640" s="7" t="s">
        <v>1955</v>
      </c>
      <c r="AN640" s="7" t="s">
        <v>1957</v>
      </c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 t="s">
        <v>427</v>
      </c>
      <c r="BD640" s="7" t="s">
        <v>440</v>
      </c>
      <c r="BE640" s="7" t="s">
        <v>127</v>
      </c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</row>
    <row r="641" customFormat="false" ht="15" hidden="false" customHeight="false" outlineLevel="0" collapsed="false">
      <c r="A641" s="7" t="s">
        <v>4993</v>
      </c>
      <c r="B641" s="7" t="s">
        <v>4994</v>
      </c>
      <c r="C641" s="7" t="s">
        <v>4995</v>
      </c>
      <c r="D641" s="7" t="s">
        <v>3898</v>
      </c>
      <c r="E641" s="7" t="s">
        <v>101</v>
      </c>
      <c r="F641" s="7" t="s">
        <v>101</v>
      </c>
      <c r="G641" s="7"/>
      <c r="H641" s="7" t="s">
        <v>102</v>
      </c>
      <c r="I641" s="7" t="s">
        <v>158</v>
      </c>
      <c r="J641" s="7" t="s">
        <v>104</v>
      </c>
      <c r="K641" s="7" t="s">
        <v>105</v>
      </c>
      <c r="L641" s="7" t="s">
        <v>353</v>
      </c>
      <c r="M641" s="7" t="s">
        <v>419</v>
      </c>
      <c r="N641" s="7" t="s">
        <v>4996</v>
      </c>
      <c r="O641" s="7" t="s">
        <v>4996</v>
      </c>
      <c r="P641" s="7" t="s">
        <v>135</v>
      </c>
      <c r="Q641" s="7"/>
      <c r="R641" s="7" t="s">
        <v>109</v>
      </c>
      <c r="S641" s="7" t="s">
        <v>110</v>
      </c>
      <c r="T641" s="7" t="n">
        <v>0.37</v>
      </c>
      <c r="U641" s="7" t="n">
        <v>1</v>
      </c>
      <c r="V641" s="7" t="s">
        <v>2781</v>
      </c>
      <c r="W641" s="7"/>
      <c r="X641" s="7" t="s">
        <v>4997</v>
      </c>
      <c r="Y641" s="7"/>
      <c r="Z641" s="7" t="s">
        <v>4998</v>
      </c>
      <c r="AA641" s="7"/>
      <c r="AB641" s="7"/>
      <c r="AC641" s="7" t="n">
        <v>2</v>
      </c>
      <c r="AD641" s="7" t="s">
        <v>1954</v>
      </c>
      <c r="AE641" s="7"/>
      <c r="AF641" s="7"/>
      <c r="AG641" s="7" t="s">
        <v>1955</v>
      </c>
      <c r="AH641" s="7" t="s">
        <v>1956</v>
      </c>
      <c r="AI641" s="7"/>
      <c r="AJ641" s="7"/>
      <c r="AK641" s="7"/>
      <c r="AL641" s="7"/>
      <c r="AM641" s="7" t="s">
        <v>1955</v>
      </c>
      <c r="AN641" s="7" t="s">
        <v>1957</v>
      </c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 t="s">
        <v>427</v>
      </c>
      <c r="BD641" s="7" t="s">
        <v>440</v>
      </c>
      <c r="BE641" s="7" t="s">
        <v>127</v>
      </c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</row>
    <row r="642" customFormat="false" ht="15" hidden="false" customHeight="false" outlineLevel="0" collapsed="false">
      <c r="A642" s="7" t="s">
        <v>4999</v>
      </c>
      <c r="B642" s="7" t="s">
        <v>5000</v>
      </c>
      <c r="C642" s="7" t="s">
        <v>5001</v>
      </c>
      <c r="D642" s="7" t="s">
        <v>4984</v>
      </c>
      <c r="E642" s="7" t="s">
        <v>101</v>
      </c>
      <c r="F642" s="7" t="s">
        <v>101</v>
      </c>
      <c r="G642" s="7"/>
      <c r="H642" s="7" t="s">
        <v>102</v>
      </c>
      <c r="I642" s="7" t="s">
        <v>158</v>
      </c>
      <c r="J642" s="7" t="s">
        <v>104</v>
      </c>
      <c r="K642" s="7" t="s">
        <v>105</v>
      </c>
      <c r="L642" s="7" t="s">
        <v>353</v>
      </c>
      <c r="M642" s="7" t="s">
        <v>419</v>
      </c>
      <c r="N642" s="7" t="s">
        <v>5002</v>
      </c>
      <c r="O642" s="7"/>
      <c r="P642" s="7" t="s">
        <v>135</v>
      </c>
      <c r="Q642" s="7"/>
      <c r="R642" s="7"/>
      <c r="S642" s="7"/>
      <c r="T642" s="7" t="n">
        <v>0.465</v>
      </c>
      <c r="U642" s="7" t="n">
        <v>1</v>
      </c>
      <c r="V642" s="7" t="s">
        <v>2781</v>
      </c>
      <c r="W642" s="7"/>
      <c r="X642" s="7" t="s">
        <v>5003</v>
      </c>
      <c r="Y642" s="7"/>
      <c r="Z642" s="7" t="s">
        <v>5004</v>
      </c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 t="s">
        <v>427</v>
      </c>
      <c r="BD642" s="7" t="s">
        <v>440</v>
      </c>
      <c r="BE642" s="7" t="s">
        <v>127</v>
      </c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</row>
    <row r="643" customFormat="false" ht="15" hidden="false" customHeight="false" outlineLevel="0" collapsed="false">
      <c r="A643" s="7" t="s">
        <v>5005</v>
      </c>
      <c r="B643" s="7" t="s">
        <v>5006</v>
      </c>
      <c r="C643" s="7" t="s">
        <v>5007</v>
      </c>
      <c r="D643" s="7" t="s">
        <v>5008</v>
      </c>
      <c r="E643" s="7" t="s">
        <v>101</v>
      </c>
      <c r="F643" s="7" t="s">
        <v>101</v>
      </c>
      <c r="G643" s="7"/>
      <c r="H643" s="7" t="s">
        <v>102</v>
      </c>
      <c r="I643" s="7" t="s">
        <v>234</v>
      </c>
      <c r="J643" s="7" t="s">
        <v>104</v>
      </c>
      <c r="K643" s="7" t="s">
        <v>105</v>
      </c>
      <c r="L643" s="7" t="s">
        <v>235</v>
      </c>
      <c r="M643" s="7" t="s">
        <v>5009</v>
      </c>
      <c r="N643" s="7" t="s">
        <v>5010</v>
      </c>
      <c r="O643" s="7"/>
      <c r="P643" s="7" t="s">
        <v>135</v>
      </c>
      <c r="Q643" s="7"/>
      <c r="R643" s="7"/>
      <c r="S643" s="7"/>
      <c r="T643" s="7" t="n">
        <v>0.178</v>
      </c>
      <c r="U643" s="7" t="n">
        <v>1</v>
      </c>
      <c r="V643" s="7" t="s">
        <v>90</v>
      </c>
      <c r="W643" s="7"/>
      <c r="X643" s="7" t="s">
        <v>841</v>
      </c>
      <c r="Y643" s="7"/>
      <c r="Z643" s="7" t="s">
        <v>842</v>
      </c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 t="s">
        <v>219</v>
      </c>
      <c r="BD643" s="7" t="s">
        <v>440</v>
      </c>
      <c r="BE643" s="7" t="s">
        <v>127</v>
      </c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</row>
    <row r="644" customFormat="false" ht="15" hidden="false" customHeight="false" outlineLevel="0" collapsed="false">
      <c r="A644" s="7" t="s">
        <v>5011</v>
      </c>
      <c r="B644" s="7" t="s">
        <v>5012</v>
      </c>
      <c r="C644" s="7" t="s">
        <v>5013</v>
      </c>
      <c r="D644" s="7" t="s">
        <v>5014</v>
      </c>
      <c r="E644" s="7" t="s">
        <v>101</v>
      </c>
      <c r="F644" s="7" t="s">
        <v>101</v>
      </c>
      <c r="G644" s="7"/>
      <c r="H644" s="7" t="s">
        <v>102</v>
      </c>
      <c r="I644" s="7" t="s">
        <v>132</v>
      </c>
      <c r="J644" s="7" t="s">
        <v>104</v>
      </c>
      <c r="K644" s="7" t="s">
        <v>105</v>
      </c>
      <c r="L644" s="7" t="s">
        <v>106</v>
      </c>
      <c r="M644" s="7" t="s">
        <v>5015</v>
      </c>
      <c r="N644" s="7" t="s">
        <v>5016</v>
      </c>
      <c r="O644" s="7" t="s">
        <v>5016</v>
      </c>
      <c r="P644" s="7" t="s">
        <v>135</v>
      </c>
      <c r="Q644" s="7"/>
      <c r="R644" s="7" t="s">
        <v>84</v>
      </c>
      <c r="S644" s="7" t="s">
        <v>238</v>
      </c>
      <c r="T644" s="7" t="n">
        <v>0.667</v>
      </c>
      <c r="U644" s="7" t="n">
        <v>1</v>
      </c>
      <c r="V644" s="7" t="s">
        <v>90</v>
      </c>
      <c r="W644" s="7" t="s">
        <v>186</v>
      </c>
      <c r="X644" s="7" t="s">
        <v>856</v>
      </c>
      <c r="Y644" s="7" t="s">
        <v>5016</v>
      </c>
      <c r="Z644" s="7" t="s">
        <v>5017</v>
      </c>
      <c r="AA644" s="7"/>
      <c r="AB644" s="7"/>
      <c r="AC644" s="7" t="n">
        <v>12</v>
      </c>
      <c r="AD644" s="7"/>
      <c r="AE644" s="7" t="s">
        <v>1955</v>
      </c>
      <c r="AF644" s="7" t="s">
        <v>5018</v>
      </c>
      <c r="AG644" s="7" t="s">
        <v>1955</v>
      </c>
      <c r="AH644" s="7" t="s">
        <v>5019</v>
      </c>
      <c r="AI644" s="7" t="s">
        <v>1955</v>
      </c>
      <c r="AJ644" s="7" t="s">
        <v>5020</v>
      </c>
      <c r="AK644" s="7" t="s">
        <v>1955</v>
      </c>
      <c r="AL644" s="7" t="s">
        <v>5021</v>
      </c>
      <c r="AM644" s="7" t="s">
        <v>1955</v>
      </c>
      <c r="AN644" s="7" t="s">
        <v>5022</v>
      </c>
      <c r="AO644" s="7" t="s">
        <v>1955</v>
      </c>
      <c r="AP644" s="7" t="s">
        <v>5023</v>
      </c>
      <c r="AQ644" s="7" t="s">
        <v>1955</v>
      </c>
      <c r="AR644" s="7" t="s">
        <v>5024</v>
      </c>
      <c r="AS644" s="7" t="s">
        <v>1955</v>
      </c>
      <c r="AT644" s="7" t="s">
        <v>1856</v>
      </c>
      <c r="AU644" s="7" t="s">
        <v>1955</v>
      </c>
      <c r="AV644" s="7" t="s">
        <v>5025</v>
      </c>
      <c r="AW644" s="7" t="s">
        <v>1955</v>
      </c>
      <c r="AX644" s="7" t="s">
        <v>5026</v>
      </c>
      <c r="AY644" s="7" t="s">
        <v>1955</v>
      </c>
      <c r="AZ644" s="7" t="s">
        <v>5027</v>
      </c>
      <c r="BA644" s="7" t="s">
        <v>1955</v>
      </c>
      <c r="BB644" s="7" t="s">
        <v>5028</v>
      </c>
      <c r="BC644" s="7" t="s">
        <v>413</v>
      </c>
      <c r="BD644" s="7" t="s">
        <v>440</v>
      </c>
      <c r="BE644" s="7" t="s">
        <v>127</v>
      </c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</row>
    <row r="645" customFormat="false" ht="15" hidden="false" customHeight="false" outlineLevel="0" collapsed="false">
      <c r="A645" s="7" t="s">
        <v>5029</v>
      </c>
      <c r="B645" s="7" t="s">
        <v>5030</v>
      </c>
      <c r="C645" s="7" t="s">
        <v>5031</v>
      </c>
      <c r="D645" s="7" t="s">
        <v>409</v>
      </c>
      <c r="E645" s="7" t="s">
        <v>101</v>
      </c>
      <c r="F645" s="7" t="s">
        <v>101</v>
      </c>
      <c r="G645" s="7"/>
      <c r="H645" s="7" t="s">
        <v>102</v>
      </c>
      <c r="I645" s="7" t="s">
        <v>158</v>
      </c>
      <c r="J645" s="7" t="s">
        <v>104</v>
      </c>
      <c r="K645" s="7" t="s">
        <v>105</v>
      </c>
      <c r="L645" s="7" t="s">
        <v>353</v>
      </c>
      <c r="M645" s="7" t="s">
        <v>5032</v>
      </c>
      <c r="N645" s="7" t="s">
        <v>5033</v>
      </c>
      <c r="O645" s="7" t="s">
        <v>5033</v>
      </c>
      <c r="P645" s="7" t="s">
        <v>135</v>
      </c>
      <c r="Q645" s="7"/>
      <c r="R645" s="7" t="s">
        <v>109</v>
      </c>
      <c r="S645" s="7" t="s">
        <v>110</v>
      </c>
      <c r="T645" s="7" t="n">
        <v>0.386</v>
      </c>
      <c r="U645" s="7" t="n">
        <v>1</v>
      </c>
      <c r="V645" s="7" t="s">
        <v>90</v>
      </c>
      <c r="W645" s="7" t="s">
        <v>3635</v>
      </c>
      <c r="X645" s="7" t="s">
        <v>2825</v>
      </c>
      <c r="Y645" s="7" t="s">
        <v>5033</v>
      </c>
      <c r="Z645" s="7" t="s">
        <v>5034</v>
      </c>
      <c r="AA645" s="7"/>
      <c r="AB645" s="7"/>
      <c r="AC645" s="7" t="n">
        <v>7</v>
      </c>
      <c r="AD645" s="7" t="s">
        <v>2439</v>
      </c>
      <c r="AE645" s="7" t="s">
        <v>1955</v>
      </c>
      <c r="AF645" s="7" t="s">
        <v>5035</v>
      </c>
      <c r="AG645" s="7" t="s">
        <v>1955</v>
      </c>
      <c r="AH645" s="7" t="s">
        <v>5036</v>
      </c>
      <c r="AI645" s="7"/>
      <c r="AJ645" s="7"/>
      <c r="AK645" s="7"/>
      <c r="AL645" s="7"/>
      <c r="AM645" s="7" t="s">
        <v>1955</v>
      </c>
      <c r="AN645" s="7" t="s">
        <v>5037</v>
      </c>
      <c r="AO645" s="7" t="s">
        <v>1955</v>
      </c>
      <c r="AP645" s="7" t="s">
        <v>5038</v>
      </c>
      <c r="AQ645" s="7" t="s">
        <v>1955</v>
      </c>
      <c r="AR645" s="7" t="s">
        <v>5039</v>
      </c>
      <c r="AS645" s="7" t="s">
        <v>1955</v>
      </c>
      <c r="AT645" s="7" t="s">
        <v>216</v>
      </c>
      <c r="AU645" s="7"/>
      <c r="AV645" s="7"/>
      <c r="AW645" s="7"/>
      <c r="AX645" s="7"/>
      <c r="AY645" s="7"/>
      <c r="AZ645" s="7"/>
      <c r="BA645" s="7" t="s">
        <v>1955</v>
      </c>
      <c r="BB645" s="7" t="s">
        <v>5040</v>
      </c>
      <c r="BC645" s="7" t="s">
        <v>413</v>
      </c>
      <c r="BD645" s="7" t="s">
        <v>440</v>
      </c>
      <c r="BE645" s="7" t="s">
        <v>127</v>
      </c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</row>
    <row r="646" customFormat="false" ht="15" hidden="false" customHeight="false" outlineLevel="0" collapsed="false">
      <c r="A646" s="7" t="s">
        <v>5041</v>
      </c>
      <c r="B646" s="7" t="s">
        <v>5042</v>
      </c>
      <c r="C646" s="7" t="s">
        <v>5043</v>
      </c>
      <c r="D646" s="7" t="s">
        <v>5044</v>
      </c>
      <c r="E646" s="7" t="s">
        <v>101</v>
      </c>
      <c r="F646" s="7" t="s">
        <v>431</v>
      </c>
      <c r="G646" s="7" t="s">
        <v>5045</v>
      </c>
      <c r="H646" s="7" t="s">
        <v>102</v>
      </c>
      <c r="I646" s="7" t="s">
        <v>1104</v>
      </c>
      <c r="J646" s="7" t="s">
        <v>104</v>
      </c>
      <c r="K646" s="7" t="s">
        <v>105</v>
      </c>
      <c r="L646" s="7" t="s">
        <v>1106</v>
      </c>
      <c r="M646" s="7"/>
      <c r="N646" s="7" t="s">
        <v>5046</v>
      </c>
      <c r="O646" s="7" t="s">
        <v>5046</v>
      </c>
      <c r="P646" s="7" t="s">
        <v>135</v>
      </c>
      <c r="Q646" s="7"/>
      <c r="R646" s="7" t="s">
        <v>109</v>
      </c>
      <c r="S646" s="7" t="s">
        <v>110</v>
      </c>
      <c r="T646" s="7" t="n">
        <v>0.791</v>
      </c>
      <c r="U646" s="7" t="n">
        <v>1</v>
      </c>
      <c r="V646" s="7" t="s">
        <v>90</v>
      </c>
      <c r="W646" s="7"/>
      <c r="X646" s="7" t="s">
        <v>3048</v>
      </c>
      <c r="Y646" s="7" t="s">
        <v>5046</v>
      </c>
      <c r="Z646" s="7" t="s">
        <v>3049</v>
      </c>
      <c r="AA646" s="7"/>
      <c r="AB646" s="7"/>
      <c r="AC646" s="7" t="n">
        <v>0</v>
      </c>
      <c r="AD646" s="7" t="s">
        <v>388</v>
      </c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 t="s">
        <v>2797</v>
      </c>
      <c r="BE646" s="7" t="s">
        <v>127</v>
      </c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</row>
    <row r="647" customFormat="false" ht="15" hidden="false" customHeight="false" outlineLevel="0" collapsed="false">
      <c r="A647" s="7" t="s">
        <v>5047</v>
      </c>
      <c r="B647" s="7" t="s">
        <v>5048</v>
      </c>
      <c r="C647" s="7" t="s">
        <v>5049</v>
      </c>
      <c r="D647" s="7" t="s">
        <v>5050</v>
      </c>
      <c r="E647" s="7" t="s">
        <v>101</v>
      </c>
      <c r="F647" s="7" t="s">
        <v>101</v>
      </c>
      <c r="G647" s="7"/>
      <c r="H647" s="7" t="s">
        <v>102</v>
      </c>
      <c r="I647" s="7" t="s">
        <v>234</v>
      </c>
      <c r="J647" s="7" t="s">
        <v>104</v>
      </c>
      <c r="K647" s="7" t="s">
        <v>105</v>
      </c>
      <c r="L647" s="7" t="s">
        <v>235</v>
      </c>
      <c r="M647" s="7"/>
      <c r="N647" s="7" t="s">
        <v>5051</v>
      </c>
      <c r="O647" s="7" t="s">
        <v>5051</v>
      </c>
      <c r="P647" s="7" t="s">
        <v>109</v>
      </c>
      <c r="Q647" s="7"/>
      <c r="R647" s="7" t="s">
        <v>109</v>
      </c>
      <c r="S647" s="7" t="s">
        <v>110</v>
      </c>
      <c r="T647" s="7" t="n">
        <v>0.43</v>
      </c>
      <c r="U647" s="7" t="n">
        <v>1</v>
      </c>
      <c r="V647" s="7" t="s">
        <v>2781</v>
      </c>
      <c r="W647" s="7"/>
      <c r="X647" s="7" t="s">
        <v>3366</v>
      </c>
      <c r="Y647" s="7"/>
      <c r="Z647" s="7" t="s">
        <v>5052</v>
      </c>
      <c r="AA647" s="7"/>
      <c r="AB647" s="7"/>
      <c r="AC647" s="7" t="n">
        <v>0</v>
      </c>
      <c r="AD647" s="7" t="s">
        <v>388</v>
      </c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 t="s">
        <v>127</v>
      </c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</row>
    <row r="648" customFormat="false" ht="15" hidden="false" customHeight="false" outlineLevel="0" collapsed="false">
      <c r="A648" s="7" t="s">
        <v>5053</v>
      </c>
      <c r="B648" s="7" t="s">
        <v>5054</v>
      </c>
      <c r="C648" s="7" t="s">
        <v>5055</v>
      </c>
      <c r="D648" s="7" t="s">
        <v>5056</v>
      </c>
      <c r="E648" s="7" t="s">
        <v>101</v>
      </c>
      <c r="F648" s="7" t="s">
        <v>431</v>
      </c>
      <c r="G648" s="7"/>
      <c r="H648" s="7" t="s">
        <v>102</v>
      </c>
      <c r="I648" s="7" t="s">
        <v>1104</v>
      </c>
      <c r="J648" s="7" t="s">
        <v>104</v>
      </c>
      <c r="K648" s="7" t="s">
        <v>105</v>
      </c>
      <c r="L648" s="7" t="s">
        <v>1106</v>
      </c>
      <c r="M648" s="7"/>
      <c r="N648" s="7" t="s">
        <v>5057</v>
      </c>
      <c r="O648" s="7" t="s">
        <v>5057</v>
      </c>
      <c r="P648" s="7" t="s">
        <v>135</v>
      </c>
      <c r="Q648" s="7"/>
      <c r="R648" s="7" t="s">
        <v>109</v>
      </c>
      <c r="S648" s="7" t="s">
        <v>110</v>
      </c>
      <c r="T648" s="7" t="n">
        <v>0.772</v>
      </c>
      <c r="U648" s="7" t="n">
        <v>1</v>
      </c>
      <c r="V648" s="7" t="s">
        <v>90</v>
      </c>
      <c r="W648" s="7"/>
      <c r="X648" s="7" t="s">
        <v>5058</v>
      </c>
      <c r="Y648" s="7" t="s">
        <v>5057</v>
      </c>
      <c r="Z648" s="7" t="s">
        <v>5059</v>
      </c>
      <c r="AA648" s="7"/>
      <c r="AB648" s="7"/>
      <c r="AC648" s="7" t="n">
        <v>0</v>
      </c>
      <c r="AD648" s="7" t="s">
        <v>388</v>
      </c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 t="s">
        <v>2797</v>
      </c>
      <c r="BE648" s="7" t="s">
        <v>127</v>
      </c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</row>
    <row r="649" customFormat="false" ht="15" hidden="false" customHeight="false" outlineLevel="0" collapsed="false">
      <c r="A649" s="7" t="s">
        <v>5060</v>
      </c>
      <c r="B649" s="7" t="s">
        <v>5061</v>
      </c>
      <c r="C649" s="7" t="s">
        <v>5062</v>
      </c>
      <c r="D649" s="7" t="s">
        <v>5063</v>
      </c>
      <c r="E649" s="7" t="s">
        <v>101</v>
      </c>
      <c r="F649" s="7" t="s">
        <v>101</v>
      </c>
      <c r="G649" s="7"/>
      <c r="H649" s="7" t="s">
        <v>102</v>
      </c>
      <c r="I649" s="7" t="s">
        <v>103</v>
      </c>
      <c r="J649" s="7" t="s">
        <v>104</v>
      </c>
      <c r="K649" s="7" t="s">
        <v>105</v>
      </c>
      <c r="L649" s="7" t="s">
        <v>106</v>
      </c>
      <c r="M649" s="7"/>
      <c r="N649" s="7" t="s">
        <v>5064</v>
      </c>
      <c r="O649" s="7" t="s">
        <v>5064</v>
      </c>
      <c r="P649" s="7" t="s">
        <v>109</v>
      </c>
      <c r="Q649" s="7"/>
      <c r="R649" s="7" t="s">
        <v>109</v>
      </c>
      <c r="S649" s="7" t="s">
        <v>110</v>
      </c>
      <c r="T649" s="7" t="n">
        <v>0.542</v>
      </c>
      <c r="U649" s="7" t="n">
        <v>1</v>
      </c>
      <c r="V649" s="7" t="s">
        <v>2590</v>
      </c>
      <c r="W649" s="7"/>
      <c r="X649" s="7" t="s">
        <v>5065</v>
      </c>
      <c r="Y649" s="7"/>
      <c r="Z649" s="7" t="s">
        <v>5066</v>
      </c>
      <c r="AA649" s="7"/>
      <c r="AB649" s="7"/>
      <c r="AC649" s="7" t="n">
        <v>0</v>
      </c>
      <c r="AD649" s="7" t="s">
        <v>388</v>
      </c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 t="s">
        <v>127</v>
      </c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</row>
    <row r="650" customFormat="false" ht="15" hidden="false" customHeight="false" outlineLevel="0" collapsed="false">
      <c r="A650" s="7" t="s">
        <v>5067</v>
      </c>
      <c r="B650" s="7" t="s">
        <v>5068</v>
      </c>
      <c r="C650" s="7" t="s">
        <v>5069</v>
      </c>
      <c r="D650" s="7" t="s">
        <v>2152</v>
      </c>
      <c r="E650" s="7" t="s">
        <v>101</v>
      </c>
      <c r="F650" s="7" t="s">
        <v>101</v>
      </c>
      <c r="G650" s="7"/>
      <c r="H650" s="7" t="s">
        <v>102</v>
      </c>
      <c r="I650" s="7" t="s">
        <v>234</v>
      </c>
      <c r="J650" s="7" t="s">
        <v>104</v>
      </c>
      <c r="K650" s="7" t="s">
        <v>105</v>
      </c>
      <c r="L650" s="7" t="s">
        <v>235</v>
      </c>
      <c r="M650" s="7"/>
      <c r="N650" s="7" t="s">
        <v>5070</v>
      </c>
      <c r="O650" s="7" t="s">
        <v>5070</v>
      </c>
      <c r="P650" s="7" t="s">
        <v>109</v>
      </c>
      <c r="Q650" s="7"/>
      <c r="R650" s="7" t="s">
        <v>109</v>
      </c>
      <c r="S650" s="7" t="s">
        <v>110</v>
      </c>
      <c r="T650" s="7" t="n">
        <v>0.525</v>
      </c>
      <c r="U650" s="7" t="n">
        <v>1</v>
      </c>
      <c r="V650" s="7" t="s">
        <v>2590</v>
      </c>
      <c r="W650" s="7"/>
      <c r="X650" s="7" t="s">
        <v>5071</v>
      </c>
      <c r="Y650" s="7"/>
      <c r="Z650" s="7" t="s">
        <v>5072</v>
      </c>
      <c r="AA650" s="7"/>
      <c r="AB650" s="7"/>
      <c r="AC650" s="7" t="n">
        <v>0</v>
      </c>
      <c r="AD650" s="7" t="s">
        <v>388</v>
      </c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 t="s">
        <v>127</v>
      </c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</row>
    <row r="651" customFormat="false" ht="15" hidden="false" customHeight="false" outlineLevel="0" collapsed="false">
      <c r="A651" s="7" t="s">
        <v>5073</v>
      </c>
      <c r="B651" s="7" t="s">
        <v>5074</v>
      </c>
      <c r="C651" s="7" t="s">
        <v>5075</v>
      </c>
      <c r="D651" s="7" t="s">
        <v>5076</v>
      </c>
      <c r="E651" s="7" t="s">
        <v>101</v>
      </c>
      <c r="F651" s="7" t="s">
        <v>431</v>
      </c>
      <c r="G651" s="7"/>
      <c r="H651" s="7" t="s">
        <v>102</v>
      </c>
      <c r="I651" s="7" t="s">
        <v>132</v>
      </c>
      <c r="J651" s="7" t="s">
        <v>104</v>
      </c>
      <c r="K651" s="7" t="s">
        <v>105</v>
      </c>
      <c r="L651" s="7" t="s">
        <v>106</v>
      </c>
      <c r="M651" s="7"/>
      <c r="N651" s="7" t="s">
        <v>5077</v>
      </c>
      <c r="O651" s="7" t="s">
        <v>5077</v>
      </c>
      <c r="P651" s="7" t="s">
        <v>135</v>
      </c>
      <c r="Q651" s="7"/>
      <c r="R651" s="7" t="s">
        <v>109</v>
      </c>
      <c r="S651" s="7" t="s">
        <v>110</v>
      </c>
      <c r="T651" s="7" t="n">
        <v>0.853</v>
      </c>
      <c r="U651" s="7" t="n">
        <v>1</v>
      </c>
      <c r="V651" s="7" t="s">
        <v>90</v>
      </c>
      <c r="W651" s="7"/>
      <c r="X651" s="7" t="s">
        <v>5078</v>
      </c>
      <c r="Y651" s="7" t="s">
        <v>5077</v>
      </c>
      <c r="Z651" s="7" t="s">
        <v>5079</v>
      </c>
      <c r="AA651" s="7"/>
      <c r="AB651" s="7"/>
      <c r="AC651" s="7" t="n">
        <v>0</v>
      </c>
      <c r="AD651" s="7" t="s">
        <v>388</v>
      </c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 t="s">
        <v>440</v>
      </c>
      <c r="BE651" s="7" t="s">
        <v>127</v>
      </c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</row>
    <row r="652" customFormat="false" ht="15" hidden="false" customHeight="false" outlineLevel="0" collapsed="false">
      <c r="A652" s="7" t="s">
        <v>5080</v>
      </c>
      <c r="B652" s="7" t="s">
        <v>5081</v>
      </c>
      <c r="C652" s="7" t="s">
        <v>5082</v>
      </c>
      <c r="D652" s="7" t="s">
        <v>4885</v>
      </c>
      <c r="E652" s="7" t="s">
        <v>101</v>
      </c>
      <c r="F652" s="7" t="s">
        <v>101</v>
      </c>
      <c r="G652" s="7"/>
      <c r="H652" s="7" t="s">
        <v>102</v>
      </c>
      <c r="I652" s="7" t="s">
        <v>132</v>
      </c>
      <c r="J652" s="7" t="s">
        <v>104</v>
      </c>
      <c r="K652" s="7" t="s">
        <v>105</v>
      </c>
      <c r="L652" s="7" t="s">
        <v>106</v>
      </c>
      <c r="M652" s="7"/>
      <c r="N652" s="7" t="s">
        <v>5083</v>
      </c>
      <c r="O652" s="7" t="s">
        <v>5083</v>
      </c>
      <c r="P652" s="7" t="s">
        <v>135</v>
      </c>
      <c r="Q652" s="7"/>
      <c r="R652" s="7" t="s">
        <v>109</v>
      </c>
      <c r="S652" s="7" t="s">
        <v>110</v>
      </c>
      <c r="T652" s="7" t="n">
        <v>0.92</v>
      </c>
      <c r="U652" s="7" t="n">
        <v>1</v>
      </c>
      <c r="V652" s="7" t="s">
        <v>90</v>
      </c>
      <c r="W652" s="7"/>
      <c r="X652" s="7" t="s">
        <v>5084</v>
      </c>
      <c r="Y652" s="7" t="s">
        <v>5083</v>
      </c>
      <c r="Z652" s="7" t="s">
        <v>5085</v>
      </c>
      <c r="AA652" s="7"/>
      <c r="AB652" s="7"/>
      <c r="AC652" s="7" t="n">
        <v>0</v>
      </c>
      <c r="AD652" s="7" t="s">
        <v>388</v>
      </c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 t="s">
        <v>440</v>
      </c>
      <c r="BE652" s="7" t="s">
        <v>127</v>
      </c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</row>
    <row r="653" customFormat="false" ht="15" hidden="false" customHeight="false" outlineLevel="0" collapsed="false">
      <c r="A653" s="7" t="s">
        <v>5086</v>
      </c>
      <c r="B653" s="7" t="s">
        <v>5087</v>
      </c>
      <c r="C653" s="7" t="s">
        <v>5088</v>
      </c>
      <c r="D653" s="7" t="s">
        <v>4885</v>
      </c>
      <c r="E653" s="7" t="s">
        <v>101</v>
      </c>
      <c r="F653" s="7" t="s">
        <v>101</v>
      </c>
      <c r="G653" s="7"/>
      <c r="H653" s="7" t="s">
        <v>102</v>
      </c>
      <c r="I653" s="7" t="s">
        <v>132</v>
      </c>
      <c r="J653" s="7" t="s">
        <v>104</v>
      </c>
      <c r="K653" s="7" t="s">
        <v>105</v>
      </c>
      <c r="L653" s="7" t="s">
        <v>106</v>
      </c>
      <c r="M653" s="7"/>
      <c r="N653" s="7" t="s">
        <v>5089</v>
      </c>
      <c r="O653" s="7" t="s">
        <v>5089</v>
      </c>
      <c r="P653" s="7" t="s">
        <v>109</v>
      </c>
      <c r="Q653" s="7"/>
      <c r="R653" s="7" t="s">
        <v>109</v>
      </c>
      <c r="S653" s="7" t="s">
        <v>110</v>
      </c>
      <c r="T653" s="7" t="n">
        <v>0.835</v>
      </c>
      <c r="U653" s="7" t="n">
        <v>1</v>
      </c>
      <c r="V653" s="7" t="s">
        <v>5090</v>
      </c>
      <c r="W653" s="7"/>
      <c r="X653" s="7" t="s">
        <v>5091</v>
      </c>
      <c r="Y653" s="7"/>
      <c r="Z653" s="7" t="s">
        <v>5092</v>
      </c>
      <c r="AA653" s="7"/>
      <c r="AB653" s="7"/>
      <c r="AC653" s="7" t="n">
        <v>0</v>
      </c>
      <c r="AD653" s="7" t="s">
        <v>388</v>
      </c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 t="s">
        <v>1306</v>
      </c>
      <c r="BE653" s="7" t="s">
        <v>127</v>
      </c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</row>
    <row r="654" customFormat="false" ht="15" hidden="false" customHeight="false" outlineLevel="0" collapsed="false">
      <c r="A654" s="7" t="s">
        <v>5093</v>
      </c>
      <c r="B654" s="7" t="s">
        <v>5094</v>
      </c>
      <c r="C654" s="7" t="s">
        <v>5095</v>
      </c>
      <c r="D654" s="7" t="s">
        <v>5050</v>
      </c>
      <c r="E654" s="7" t="s">
        <v>101</v>
      </c>
      <c r="F654" s="7" t="s">
        <v>431</v>
      </c>
      <c r="G654" s="7"/>
      <c r="H654" s="7" t="s">
        <v>102</v>
      </c>
      <c r="I654" s="7" t="s">
        <v>103</v>
      </c>
      <c r="J654" s="7" t="s">
        <v>104</v>
      </c>
      <c r="K654" s="7" t="s">
        <v>105</v>
      </c>
      <c r="L654" s="7" t="s">
        <v>2951</v>
      </c>
      <c r="M654" s="7"/>
      <c r="N654" s="7" t="s">
        <v>5096</v>
      </c>
      <c r="O654" s="7" t="s">
        <v>5096</v>
      </c>
      <c r="P654" s="7" t="s">
        <v>135</v>
      </c>
      <c r="Q654" s="7"/>
      <c r="R654" s="7" t="s">
        <v>109</v>
      </c>
      <c r="S654" s="7" t="s">
        <v>110</v>
      </c>
      <c r="T654" s="7" t="n">
        <v>0.745</v>
      </c>
      <c r="U654" s="7" t="n">
        <v>1</v>
      </c>
      <c r="V654" s="7" t="s">
        <v>90</v>
      </c>
      <c r="W654" s="7"/>
      <c r="X654" s="7" t="s">
        <v>5097</v>
      </c>
      <c r="Y654" s="7" t="s">
        <v>5096</v>
      </c>
      <c r="Z654" s="7" t="s">
        <v>5098</v>
      </c>
      <c r="AA654" s="7"/>
      <c r="AB654" s="7"/>
      <c r="AC654" s="7" t="n">
        <v>0</v>
      </c>
      <c r="AD654" s="7" t="s">
        <v>388</v>
      </c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 t="s">
        <v>2797</v>
      </c>
      <c r="BE654" s="7" t="s">
        <v>127</v>
      </c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</row>
    <row r="655" customFormat="false" ht="15" hidden="false" customHeight="false" outlineLevel="0" collapsed="false">
      <c r="A655" s="7" t="s">
        <v>5099</v>
      </c>
      <c r="B655" s="7" t="s">
        <v>5100</v>
      </c>
      <c r="C655" s="7" t="s">
        <v>5101</v>
      </c>
      <c r="D655" s="7" t="s">
        <v>5102</v>
      </c>
      <c r="E655" s="7" t="s">
        <v>101</v>
      </c>
      <c r="F655" s="7" t="s">
        <v>101</v>
      </c>
      <c r="G655" s="7"/>
      <c r="H655" s="7" t="s">
        <v>102</v>
      </c>
      <c r="I655" s="7" t="s">
        <v>132</v>
      </c>
      <c r="J655" s="7" t="s">
        <v>104</v>
      </c>
      <c r="K655" s="7" t="s">
        <v>105</v>
      </c>
      <c r="L655" s="7" t="s">
        <v>106</v>
      </c>
      <c r="M655" s="7" t="s">
        <v>419</v>
      </c>
      <c r="N655" s="7" t="s">
        <v>5103</v>
      </c>
      <c r="O655" s="7" t="s">
        <v>5103</v>
      </c>
      <c r="P655" s="7" t="s">
        <v>135</v>
      </c>
      <c r="Q655" s="7"/>
      <c r="R655" s="7" t="s">
        <v>109</v>
      </c>
      <c r="S655" s="7" t="s">
        <v>110</v>
      </c>
      <c r="T655" s="7" t="n">
        <v>0.41</v>
      </c>
      <c r="U655" s="7" t="n">
        <v>1</v>
      </c>
      <c r="V655" s="7" t="s">
        <v>90</v>
      </c>
      <c r="W655" s="7"/>
      <c r="X655" s="7" t="s">
        <v>239</v>
      </c>
      <c r="Y655" s="7"/>
      <c r="Z655" s="7" t="s">
        <v>241</v>
      </c>
      <c r="AA655" s="7"/>
      <c r="AB655" s="7"/>
      <c r="AC655" s="7" t="n">
        <v>0</v>
      </c>
      <c r="AD655" s="7" t="s">
        <v>388</v>
      </c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 t="s">
        <v>427</v>
      </c>
      <c r="BD655" s="7" t="s">
        <v>440</v>
      </c>
      <c r="BE655" s="7" t="s">
        <v>127</v>
      </c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</row>
    <row r="656" customFormat="false" ht="15" hidden="false" customHeight="false" outlineLevel="0" collapsed="false">
      <c r="A656" s="7" t="s">
        <v>5104</v>
      </c>
      <c r="B656" s="7" t="s">
        <v>5105</v>
      </c>
      <c r="C656" s="7" t="s">
        <v>5106</v>
      </c>
      <c r="D656" s="7" t="s">
        <v>5107</v>
      </c>
      <c r="E656" s="7" t="s">
        <v>101</v>
      </c>
      <c r="F656" s="7" t="s">
        <v>3046</v>
      </c>
      <c r="G656" s="7"/>
      <c r="H656" s="7" t="s">
        <v>102</v>
      </c>
      <c r="I656" s="7" t="s">
        <v>132</v>
      </c>
      <c r="J656" s="7" t="s">
        <v>104</v>
      </c>
      <c r="K656" s="7" t="s">
        <v>105</v>
      </c>
      <c r="L656" s="7" t="s">
        <v>106</v>
      </c>
      <c r="M656" s="7"/>
      <c r="N656" s="7" t="s">
        <v>5108</v>
      </c>
      <c r="O656" s="7" t="s">
        <v>5108</v>
      </c>
      <c r="P656" s="7" t="s">
        <v>135</v>
      </c>
      <c r="Q656" s="7"/>
      <c r="R656" s="7" t="s">
        <v>109</v>
      </c>
      <c r="S656" s="7" t="s">
        <v>110</v>
      </c>
      <c r="T656" s="7" t="n">
        <v>0.625</v>
      </c>
      <c r="U656" s="7" t="n">
        <v>1</v>
      </c>
      <c r="V656" s="7" t="s">
        <v>90</v>
      </c>
      <c r="W656" s="7"/>
      <c r="X656" s="7" t="s">
        <v>5109</v>
      </c>
      <c r="Y656" s="7" t="s">
        <v>5108</v>
      </c>
      <c r="Z656" s="7" t="s">
        <v>5110</v>
      </c>
      <c r="AA656" s="7"/>
      <c r="AB656" s="7"/>
      <c r="AC656" s="7" t="n">
        <v>0</v>
      </c>
      <c r="AD656" s="7" t="s">
        <v>388</v>
      </c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 t="s">
        <v>440</v>
      </c>
      <c r="BE656" s="7" t="s">
        <v>127</v>
      </c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</row>
    <row r="657" customFormat="false" ht="15" hidden="false" customHeight="false" outlineLevel="0" collapsed="false">
      <c r="A657" s="7" t="s">
        <v>5111</v>
      </c>
      <c r="B657" s="7" t="s">
        <v>5112</v>
      </c>
      <c r="C657" s="7" t="s">
        <v>5113</v>
      </c>
      <c r="D657" s="7" t="s">
        <v>5107</v>
      </c>
      <c r="E657" s="7" t="s">
        <v>101</v>
      </c>
      <c r="F657" s="7" t="s">
        <v>3046</v>
      </c>
      <c r="G657" s="7"/>
      <c r="H657" s="7" t="s">
        <v>102</v>
      </c>
      <c r="I657" s="7" t="s">
        <v>132</v>
      </c>
      <c r="J657" s="7" t="s">
        <v>104</v>
      </c>
      <c r="K657" s="7" t="s">
        <v>105</v>
      </c>
      <c r="L657" s="7" t="s">
        <v>106</v>
      </c>
      <c r="M657" s="7"/>
      <c r="N657" s="7" t="s">
        <v>5114</v>
      </c>
      <c r="O657" s="7" t="s">
        <v>5114</v>
      </c>
      <c r="P657" s="7" t="s">
        <v>135</v>
      </c>
      <c r="Q657" s="7"/>
      <c r="R657" s="7" t="s">
        <v>109</v>
      </c>
      <c r="S657" s="7" t="s">
        <v>110</v>
      </c>
      <c r="T657" s="7" t="n">
        <v>0.48</v>
      </c>
      <c r="U657" s="7" t="n">
        <v>1</v>
      </c>
      <c r="V657" s="7" t="s">
        <v>90</v>
      </c>
      <c r="W657" s="7"/>
      <c r="X657" s="7" t="s">
        <v>5115</v>
      </c>
      <c r="Y657" s="7" t="s">
        <v>5114</v>
      </c>
      <c r="Z657" s="7" t="s">
        <v>5116</v>
      </c>
      <c r="AA657" s="7"/>
      <c r="AB657" s="7"/>
      <c r="AC657" s="7" t="n">
        <v>0</v>
      </c>
      <c r="AD657" s="7" t="s">
        <v>388</v>
      </c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 t="s">
        <v>440</v>
      </c>
      <c r="BE657" s="7" t="s">
        <v>127</v>
      </c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</row>
    <row r="658" customFormat="false" ht="15" hidden="false" customHeight="false" outlineLevel="0" collapsed="false">
      <c r="A658" s="7" t="s">
        <v>5117</v>
      </c>
      <c r="B658" s="7" t="s">
        <v>5118</v>
      </c>
      <c r="C658" s="7" t="s">
        <v>5119</v>
      </c>
      <c r="D658" s="7" t="s">
        <v>5120</v>
      </c>
      <c r="E658" s="7" t="s">
        <v>101</v>
      </c>
      <c r="F658" s="7" t="s">
        <v>3046</v>
      </c>
      <c r="G658" s="7"/>
      <c r="H658" s="7" t="s">
        <v>102</v>
      </c>
      <c r="I658" s="7" t="s">
        <v>132</v>
      </c>
      <c r="J658" s="7" t="s">
        <v>104</v>
      </c>
      <c r="K658" s="7" t="s">
        <v>105</v>
      </c>
      <c r="L658" s="7" t="s">
        <v>106</v>
      </c>
      <c r="M658" s="7"/>
      <c r="N658" s="7" t="s">
        <v>5121</v>
      </c>
      <c r="O658" s="7" t="s">
        <v>5121</v>
      </c>
      <c r="P658" s="7" t="s">
        <v>135</v>
      </c>
      <c r="Q658" s="7"/>
      <c r="R658" s="7" t="s">
        <v>109</v>
      </c>
      <c r="S658" s="7" t="s">
        <v>110</v>
      </c>
      <c r="T658" s="7" t="n">
        <v>0.339</v>
      </c>
      <c r="U658" s="7" t="n">
        <v>1</v>
      </c>
      <c r="V658" s="7" t="s">
        <v>90</v>
      </c>
      <c r="W658" s="7"/>
      <c r="X658" s="7" t="s">
        <v>5122</v>
      </c>
      <c r="Y658" s="7" t="s">
        <v>5121</v>
      </c>
      <c r="Z658" s="7" t="s">
        <v>5123</v>
      </c>
      <c r="AA658" s="7"/>
      <c r="AB658" s="7"/>
      <c r="AC658" s="7" t="n">
        <v>0</v>
      </c>
      <c r="AD658" s="7" t="s">
        <v>388</v>
      </c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 t="s">
        <v>440</v>
      </c>
      <c r="BE658" s="7" t="s">
        <v>127</v>
      </c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</row>
    <row r="659" customFormat="false" ht="15" hidden="false" customHeight="false" outlineLevel="0" collapsed="false">
      <c r="A659" s="7" t="s">
        <v>5124</v>
      </c>
      <c r="B659" s="7" t="s">
        <v>5125</v>
      </c>
      <c r="C659" s="7" t="s">
        <v>5126</v>
      </c>
      <c r="D659" s="7" t="s">
        <v>5127</v>
      </c>
      <c r="E659" s="7" t="s">
        <v>101</v>
      </c>
      <c r="F659" s="7" t="s">
        <v>888</v>
      </c>
      <c r="G659" s="7"/>
      <c r="H659" s="7" t="s">
        <v>102</v>
      </c>
      <c r="I659" s="7" t="s">
        <v>132</v>
      </c>
      <c r="J659" s="7" t="s">
        <v>104</v>
      </c>
      <c r="K659" s="7" t="s">
        <v>105</v>
      </c>
      <c r="L659" s="7" t="s">
        <v>106</v>
      </c>
      <c r="M659" s="7"/>
      <c r="N659" s="7" t="s">
        <v>5128</v>
      </c>
      <c r="O659" s="7" t="s">
        <v>5128</v>
      </c>
      <c r="P659" s="7" t="s">
        <v>135</v>
      </c>
      <c r="Q659" s="7"/>
      <c r="R659" s="7" t="s">
        <v>109</v>
      </c>
      <c r="S659" s="7" t="s">
        <v>110</v>
      </c>
      <c r="T659" s="7" t="n">
        <v>0.519</v>
      </c>
      <c r="U659" s="7" t="n">
        <v>1</v>
      </c>
      <c r="V659" s="7" t="s">
        <v>90</v>
      </c>
      <c r="W659" s="7"/>
      <c r="X659" s="7" t="s">
        <v>752</v>
      </c>
      <c r="Y659" s="7" t="s">
        <v>5128</v>
      </c>
      <c r="Z659" s="7" t="s">
        <v>753</v>
      </c>
      <c r="AA659" s="7"/>
      <c r="AB659" s="7"/>
      <c r="AC659" s="7" t="n">
        <v>0</v>
      </c>
      <c r="AD659" s="7" t="s">
        <v>388</v>
      </c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 t="s">
        <v>440</v>
      </c>
      <c r="BE659" s="7" t="s">
        <v>127</v>
      </c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</row>
    <row r="660" customFormat="false" ht="15" hidden="false" customHeight="false" outlineLevel="0" collapsed="false">
      <c r="A660" s="7" t="s">
        <v>5129</v>
      </c>
      <c r="B660" s="7" t="s">
        <v>5130</v>
      </c>
      <c r="C660" s="7" t="s">
        <v>5131</v>
      </c>
      <c r="D660" s="7" t="s">
        <v>5132</v>
      </c>
      <c r="E660" s="7" t="s">
        <v>101</v>
      </c>
      <c r="F660" s="7" t="s">
        <v>101</v>
      </c>
      <c r="G660" s="7"/>
      <c r="H660" s="7" t="s">
        <v>102</v>
      </c>
      <c r="I660" s="7" t="s">
        <v>132</v>
      </c>
      <c r="J660" s="7" t="s">
        <v>104</v>
      </c>
      <c r="K660" s="7" t="s">
        <v>105</v>
      </c>
      <c r="L660" s="7" t="s">
        <v>5133</v>
      </c>
      <c r="M660" s="7" t="s">
        <v>419</v>
      </c>
      <c r="N660" s="7" t="s">
        <v>5134</v>
      </c>
      <c r="O660" s="7" t="s">
        <v>5134</v>
      </c>
      <c r="P660" s="7" t="s">
        <v>135</v>
      </c>
      <c r="Q660" s="7"/>
      <c r="R660" s="7" t="s">
        <v>109</v>
      </c>
      <c r="S660" s="7" t="s">
        <v>110</v>
      </c>
      <c r="T660" s="7" t="n">
        <v>0.934</v>
      </c>
      <c r="U660" s="7" t="n">
        <v>1</v>
      </c>
      <c r="V660" s="7" t="s">
        <v>2842</v>
      </c>
      <c r="W660" s="7" t="s">
        <v>5135</v>
      </c>
      <c r="X660" s="7" t="s">
        <v>5136</v>
      </c>
      <c r="Y660" s="7" t="s">
        <v>5134</v>
      </c>
      <c r="Z660" s="7" t="s">
        <v>5137</v>
      </c>
      <c r="AA660" s="7"/>
      <c r="AB660" s="7"/>
      <c r="AC660" s="7" t="n">
        <v>7</v>
      </c>
      <c r="AD660" s="7" t="s">
        <v>2439</v>
      </c>
      <c r="AE660" s="7" t="s">
        <v>1065</v>
      </c>
      <c r="AF660" s="7" t="s">
        <v>5138</v>
      </c>
      <c r="AG660" s="7" t="s">
        <v>1065</v>
      </c>
      <c r="AH660" s="7" t="s">
        <v>5139</v>
      </c>
      <c r="AI660" s="7"/>
      <c r="AJ660" s="7"/>
      <c r="AK660" s="7"/>
      <c r="AL660" s="7"/>
      <c r="AM660" s="7" t="s">
        <v>1065</v>
      </c>
      <c r="AN660" s="7" t="s">
        <v>5140</v>
      </c>
      <c r="AO660" s="7" t="s">
        <v>1065</v>
      </c>
      <c r="AP660" s="7" t="s">
        <v>5132</v>
      </c>
      <c r="AQ660" s="7" t="s">
        <v>1065</v>
      </c>
      <c r="AR660" s="7" t="s">
        <v>5141</v>
      </c>
      <c r="AS660" s="7" t="s">
        <v>1065</v>
      </c>
      <c r="AT660" s="7" t="s">
        <v>2047</v>
      </c>
      <c r="AU660" s="7"/>
      <c r="AV660" s="7"/>
      <c r="AW660" s="7"/>
      <c r="AX660" s="7"/>
      <c r="AY660" s="7"/>
      <c r="AZ660" s="7"/>
      <c r="BA660" s="7" t="s">
        <v>1065</v>
      </c>
      <c r="BB660" s="7" t="s">
        <v>4790</v>
      </c>
      <c r="BC660" s="7" t="s">
        <v>427</v>
      </c>
      <c r="BD660" s="7" t="s">
        <v>440</v>
      </c>
      <c r="BE660" s="7" t="s">
        <v>127</v>
      </c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</row>
    <row r="661" customFormat="false" ht="15" hidden="false" customHeight="false" outlineLevel="0" collapsed="false">
      <c r="A661" s="7" t="s">
        <v>5142</v>
      </c>
      <c r="B661" s="7" t="s">
        <v>5143</v>
      </c>
      <c r="C661" s="7" t="s">
        <v>5144</v>
      </c>
      <c r="D661" s="7" t="s">
        <v>5145</v>
      </c>
      <c r="E661" s="7" t="s">
        <v>101</v>
      </c>
      <c r="F661" s="7" t="s">
        <v>888</v>
      </c>
      <c r="G661" s="7" t="s">
        <v>5146</v>
      </c>
      <c r="H661" s="7" t="s">
        <v>102</v>
      </c>
      <c r="I661" s="7" t="s">
        <v>1140</v>
      </c>
      <c r="J661" s="7" t="s">
        <v>104</v>
      </c>
      <c r="K661" s="7" t="s">
        <v>105</v>
      </c>
      <c r="L661" s="7" t="s">
        <v>5147</v>
      </c>
      <c r="M661" s="7"/>
      <c r="N661" s="7" t="s">
        <v>5148</v>
      </c>
      <c r="O661" s="7" t="s">
        <v>5148</v>
      </c>
      <c r="P661" s="7" t="s">
        <v>135</v>
      </c>
      <c r="Q661" s="7"/>
      <c r="R661" s="7" t="s">
        <v>109</v>
      </c>
      <c r="S661" s="7" t="s">
        <v>110</v>
      </c>
      <c r="T661" s="7" t="n">
        <v>0.699</v>
      </c>
      <c r="U661" s="7" t="n">
        <v>1</v>
      </c>
      <c r="V661" s="7" t="s">
        <v>90</v>
      </c>
      <c r="W661" s="7"/>
      <c r="X661" s="7" t="s">
        <v>5149</v>
      </c>
      <c r="Y661" s="7" t="s">
        <v>5148</v>
      </c>
      <c r="Z661" s="7" t="s">
        <v>5150</v>
      </c>
      <c r="AA661" s="7"/>
      <c r="AB661" s="7"/>
      <c r="AC661" s="7" t="n">
        <v>0</v>
      </c>
      <c r="AD661" s="7" t="s">
        <v>388</v>
      </c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 t="s">
        <v>440</v>
      </c>
      <c r="BE661" s="7" t="s">
        <v>127</v>
      </c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</row>
    <row r="662" customFormat="false" ht="15" hidden="false" customHeight="false" outlineLevel="0" collapsed="false">
      <c r="A662" s="7" t="s">
        <v>5151</v>
      </c>
      <c r="B662" s="7" t="s">
        <v>5152</v>
      </c>
      <c r="C662" s="7" t="s">
        <v>5153</v>
      </c>
      <c r="D662" s="7" t="s">
        <v>4885</v>
      </c>
      <c r="E662" s="7" t="s">
        <v>101</v>
      </c>
      <c r="F662" s="7" t="s">
        <v>101</v>
      </c>
      <c r="G662" s="7"/>
      <c r="H662" s="7" t="s">
        <v>102</v>
      </c>
      <c r="I662" s="7" t="s">
        <v>374</v>
      </c>
      <c r="J662" s="7" t="s">
        <v>104</v>
      </c>
      <c r="K662" s="7" t="s">
        <v>105</v>
      </c>
      <c r="L662" s="7" t="s">
        <v>2656</v>
      </c>
      <c r="M662" s="7" t="s">
        <v>419</v>
      </c>
      <c r="N662" s="7" t="s">
        <v>5154</v>
      </c>
      <c r="O662" s="7"/>
      <c r="P662" s="7" t="s">
        <v>109</v>
      </c>
      <c r="Q662" s="7"/>
      <c r="R662" s="7"/>
      <c r="S662" s="7"/>
      <c r="T662" s="7" t="n">
        <v>0.294</v>
      </c>
      <c r="U662" s="7" t="n">
        <v>1</v>
      </c>
      <c r="V662" s="7" t="s">
        <v>4673</v>
      </c>
      <c r="W662" s="7"/>
      <c r="X662" s="7" t="s">
        <v>5155</v>
      </c>
      <c r="Y662" s="7"/>
      <c r="Z662" s="7" t="s">
        <v>5156</v>
      </c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 t="s">
        <v>427</v>
      </c>
      <c r="BD662" s="7" t="s">
        <v>1306</v>
      </c>
      <c r="BE662" s="7" t="s">
        <v>127</v>
      </c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</row>
    <row r="663" customFormat="false" ht="15" hidden="false" customHeight="false" outlineLevel="0" collapsed="false">
      <c r="A663" s="7" t="s">
        <v>5157</v>
      </c>
      <c r="B663" s="7" t="s">
        <v>5158</v>
      </c>
      <c r="C663" s="7" t="s">
        <v>5159</v>
      </c>
      <c r="D663" s="7" t="s">
        <v>5160</v>
      </c>
      <c r="E663" s="7" t="s">
        <v>101</v>
      </c>
      <c r="F663" s="7" t="s">
        <v>101</v>
      </c>
      <c r="G663" s="7"/>
      <c r="H663" s="7" t="s">
        <v>102</v>
      </c>
      <c r="I663" s="7" t="s">
        <v>300</v>
      </c>
      <c r="J663" s="7" t="s">
        <v>104</v>
      </c>
      <c r="K663" s="7" t="s">
        <v>105</v>
      </c>
      <c r="L663" s="7" t="s">
        <v>5133</v>
      </c>
      <c r="M663" s="7" t="s">
        <v>419</v>
      </c>
      <c r="N663" s="7" t="s">
        <v>5161</v>
      </c>
      <c r="O663" s="7" t="s">
        <v>5161</v>
      </c>
      <c r="P663" s="7" t="s">
        <v>135</v>
      </c>
      <c r="Q663" s="7"/>
      <c r="R663" s="7" t="s">
        <v>109</v>
      </c>
      <c r="S663" s="7" t="s">
        <v>110</v>
      </c>
      <c r="T663" s="7" t="n">
        <v>0.501</v>
      </c>
      <c r="U663" s="7" t="n">
        <v>1</v>
      </c>
      <c r="V663" s="7" t="s">
        <v>90</v>
      </c>
      <c r="W663" s="7"/>
      <c r="X663" s="7" t="s">
        <v>239</v>
      </c>
      <c r="Y663" s="7"/>
      <c r="Z663" s="7" t="s">
        <v>241</v>
      </c>
      <c r="AA663" s="7"/>
      <c r="AB663" s="7"/>
      <c r="AC663" s="7" t="n">
        <v>0</v>
      </c>
      <c r="AD663" s="7" t="s">
        <v>388</v>
      </c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 t="s">
        <v>427</v>
      </c>
      <c r="BD663" s="7" t="s">
        <v>440</v>
      </c>
      <c r="BE663" s="7" t="s">
        <v>127</v>
      </c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</row>
    <row r="664" customFormat="false" ht="15" hidden="false" customHeight="false" outlineLevel="0" collapsed="false">
      <c r="A664" s="7" t="s">
        <v>5162</v>
      </c>
      <c r="B664" s="7" t="s">
        <v>5163</v>
      </c>
      <c r="C664" s="7" t="s">
        <v>5164</v>
      </c>
      <c r="D664" s="7" t="s">
        <v>5165</v>
      </c>
      <c r="E664" s="7" t="s">
        <v>101</v>
      </c>
      <c r="F664" s="7" t="s">
        <v>101</v>
      </c>
      <c r="G664" s="7"/>
      <c r="H664" s="7" t="s">
        <v>102</v>
      </c>
      <c r="I664" s="7" t="s">
        <v>300</v>
      </c>
      <c r="J664" s="7" t="s">
        <v>104</v>
      </c>
      <c r="K664" s="7" t="s">
        <v>105</v>
      </c>
      <c r="L664" s="7" t="s">
        <v>106</v>
      </c>
      <c r="M664" s="7" t="s">
        <v>419</v>
      </c>
      <c r="N664" s="7" t="s">
        <v>5166</v>
      </c>
      <c r="O664" s="7" t="s">
        <v>5166</v>
      </c>
      <c r="P664" s="7" t="s">
        <v>135</v>
      </c>
      <c r="Q664" s="7"/>
      <c r="R664" s="7" t="s">
        <v>109</v>
      </c>
      <c r="S664" s="7" t="s">
        <v>110</v>
      </c>
      <c r="T664" s="7" t="n">
        <v>0.758</v>
      </c>
      <c r="U664" s="7" t="n">
        <v>1</v>
      </c>
      <c r="V664" s="7" t="s">
        <v>2842</v>
      </c>
      <c r="W664" s="7" t="s">
        <v>5167</v>
      </c>
      <c r="X664" s="7" t="s">
        <v>5168</v>
      </c>
      <c r="Y664" s="7" t="s">
        <v>5166</v>
      </c>
      <c r="Z664" s="7" t="s">
        <v>5169</v>
      </c>
      <c r="AA664" s="7"/>
      <c r="AB664" s="7"/>
      <c r="AC664" s="7" t="n">
        <v>7</v>
      </c>
      <c r="AD664" s="7" t="s">
        <v>2439</v>
      </c>
      <c r="AE664" s="7" t="s">
        <v>1065</v>
      </c>
      <c r="AF664" s="7" t="s">
        <v>5170</v>
      </c>
      <c r="AG664" s="7" t="s">
        <v>1065</v>
      </c>
      <c r="AH664" s="7" t="s">
        <v>5171</v>
      </c>
      <c r="AI664" s="7"/>
      <c r="AJ664" s="7"/>
      <c r="AK664" s="7"/>
      <c r="AL664" s="7"/>
      <c r="AM664" s="7" t="s">
        <v>1065</v>
      </c>
      <c r="AN664" s="7" t="s">
        <v>3059</v>
      </c>
      <c r="AO664" s="7" t="s">
        <v>1065</v>
      </c>
      <c r="AP664" s="7" t="s">
        <v>5165</v>
      </c>
      <c r="AQ664" s="7" t="s">
        <v>1065</v>
      </c>
      <c r="AR664" s="7" t="s">
        <v>5172</v>
      </c>
      <c r="AS664" s="7" t="s">
        <v>1065</v>
      </c>
      <c r="AT664" s="7" t="s">
        <v>2047</v>
      </c>
      <c r="AU664" s="7"/>
      <c r="AV664" s="7"/>
      <c r="AW664" s="7"/>
      <c r="AX664" s="7"/>
      <c r="AY664" s="7"/>
      <c r="AZ664" s="7"/>
      <c r="BA664" s="7" t="s">
        <v>1065</v>
      </c>
      <c r="BB664" s="7" t="s">
        <v>4790</v>
      </c>
      <c r="BC664" s="7" t="s">
        <v>427</v>
      </c>
      <c r="BD664" s="7" t="s">
        <v>440</v>
      </c>
      <c r="BE664" s="7" t="s">
        <v>127</v>
      </c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</row>
    <row r="665" customFormat="false" ht="15" hidden="false" customHeight="false" outlineLevel="0" collapsed="false">
      <c r="A665" s="7" t="s">
        <v>5173</v>
      </c>
      <c r="B665" s="7" t="s">
        <v>5174</v>
      </c>
      <c r="C665" s="7" t="s">
        <v>5175</v>
      </c>
      <c r="D665" s="7" t="s">
        <v>5176</v>
      </c>
      <c r="E665" s="7" t="s">
        <v>101</v>
      </c>
      <c r="F665" s="7" t="s">
        <v>101</v>
      </c>
      <c r="G665" s="7"/>
      <c r="H665" s="7" t="s">
        <v>102</v>
      </c>
      <c r="I665" s="7" t="s">
        <v>132</v>
      </c>
      <c r="J665" s="7" t="s">
        <v>104</v>
      </c>
      <c r="K665" s="7" t="s">
        <v>105</v>
      </c>
      <c r="L665" s="7" t="s">
        <v>106</v>
      </c>
      <c r="M665" s="7" t="s">
        <v>419</v>
      </c>
      <c r="N665" s="7" t="s">
        <v>5177</v>
      </c>
      <c r="O665" s="7"/>
      <c r="P665" s="7" t="s">
        <v>135</v>
      </c>
      <c r="Q665" s="7"/>
      <c r="R665" s="7"/>
      <c r="S665" s="7"/>
      <c r="T665" s="7" t="n">
        <v>0.447</v>
      </c>
      <c r="U665" s="7" t="n">
        <v>1</v>
      </c>
      <c r="V665" s="7" t="s">
        <v>90</v>
      </c>
      <c r="W665" s="7"/>
      <c r="X665" s="7" t="s">
        <v>187</v>
      </c>
      <c r="Y665" s="7"/>
      <c r="Z665" s="7" t="s">
        <v>2808</v>
      </c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 t="s">
        <v>427</v>
      </c>
      <c r="BD665" s="7" t="s">
        <v>2797</v>
      </c>
      <c r="BE665" s="7" t="s">
        <v>127</v>
      </c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</row>
    <row r="666" customFormat="false" ht="15" hidden="false" customHeight="false" outlineLevel="0" collapsed="false">
      <c r="A666" s="7" t="s">
        <v>5178</v>
      </c>
      <c r="B666" s="7" t="s">
        <v>5179</v>
      </c>
      <c r="C666" s="7" t="s">
        <v>5180</v>
      </c>
      <c r="D666" s="7" t="s">
        <v>5181</v>
      </c>
      <c r="E666" s="7" t="s">
        <v>101</v>
      </c>
      <c r="F666" s="7" t="s">
        <v>101</v>
      </c>
      <c r="G666" s="7"/>
      <c r="H666" s="7" t="s">
        <v>102</v>
      </c>
      <c r="I666" s="7" t="s">
        <v>132</v>
      </c>
      <c r="J666" s="7" t="s">
        <v>104</v>
      </c>
      <c r="K666" s="7" t="s">
        <v>105</v>
      </c>
      <c r="L666" s="7" t="s">
        <v>106</v>
      </c>
      <c r="M666" s="7" t="s">
        <v>419</v>
      </c>
      <c r="N666" s="7" t="s">
        <v>5182</v>
      </c>
      <c r="O666" s="7" t="s">
        <v>5182</v>
      </c>
      <c r="P666" s="7" t="s">
        <v>135</v>
      </c>
      <c r="Q666" s="7"/>
      <c r="R666" s="7" t="s">
        <v>109</v>
      </c>
      <c r="S666" s="7" t="s">
        <v>110</v>
      </c>
      <c r="T666" s="7" t="n">
        <v>0.244</v>
      </c>
      <c r="U666" s="7" t="n">
        <v>1</v>
      </c>
      <c r="V666" s="7" t="s">
        <v>90</v>
      </c>
      <c r="W666" s="7"/>
      <c r="X666" s="7" t="s">
        <v>1810</v>
      </c>
      <c r="Y666" s="7"/>
      <c r="Z666" s="7" t="s">
        <v>2172</v>
      </c>
      <c r="AA666" s="7"/>
      <c r="AB666" s="7"/>
      <c r="AC666" s="7" t="n">
        <v>0</v>
      </c>
      <c r="AD666" s="7" t="s">
        <v>388</v>
      </c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 t="s">
        <v>427</v>
      </c>
      <c r="BD666" s="7" t="s">
        <v>440</v>
      </c>
      <c r="BE666" s="7" t="s">
        <v>127</v>
      </c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</row>
    <row r="667" customFormat="false" ht="15" hidden="false" customHeight="false" outlineLevel="0" collapsed="false">
      <c r="A667" s="7" t="s">
        <v>5183</v>
      </c>
      <c r="B667" s="7" t="s">
        <v>5184</v>
      </c>
      <c r="C667" s="7" t="s">
        <v>5185</v>
      </c>
      <c r="D667" s="7" t="s">
        <v>5186</v>
      </c>
      <c r="E667" s="7" t="s">
        <v>101</v>
      </c>
      <c r="F667" s="7" t="s">
        <v>101</v>
      </c>
      <c r="G667" s="7"/>
      <c r="H667" s="7" t="s">
        <v>102</v>
      </c>
      <c r="I667" s="7" t="s">
        <v>132</v>
      </c>
      <c r="J667" s="7" t="s">
        <v>104</v>
      </c>
      <c r="K667" s="7" t="s">
        <v>105</v>
      </c>
      <c r="L667" s="7" t="s">
        <v>106</v>
      </c>
      <c r="M667" s="7" t="s">
        <v>419</v>
      </c>
      <c r="N667" s="7" t="s">
        <v>5187</v>
      </c>
      <c r="O667" s="7" t="s">
        <v>5187</v>
      </c>
      <c r="P667" s="7" t="s">
        <v>135</v>
      </c>
      <c r="Q667" s="7"/>
      <c r="R667" s="7" t="s">
        <v>109</v>
      </c>
      <c r="S667" s="7" t="s">
        <v>110</v>
      </c>
      <c r="T667" s="7" t="n">
        <v>0.819</v>
      </c>
      <c r="U667" s="7" t="n">
        <v>1</v>
      </c>
      <c r="V667" s="7" t="s">
        <v>2842</v>
      </c>
      <c r="W667" s="7" t="s">
        <v>4612</v>
      </c>
      <c r="X667" s="7" t="s">
        <v>5188</v>
      </c>
      <c r="Y667" s="7" t="s">
        <v>5187</v>
      </c>
      <c r="Z667" s="7" t="s">
        <v>5189</v>
      </c>
      <c r="AA667" s="7"/>
      <c r="AB667" s="7"/>
      <c r="AC667" s="7" t="n">
        <v>7</v>
      </c>
      <c r="AD667" s="7" t="s">
        <v>2439</v>
      </c>
      <c r="AE667" s="7" t="s">
        <v>1065</v>
      </c>
      <c r="AF667" s="7" t="s">
        <v>5190</v>
      </c>
      <c r="AG667" s="7" t="s">
        <v>1065</v>
      </c>
      <c r="AH667" s="7" t="s">
        <v>5191</v>
      </c>
      <c r="AI667" s="7"/>
      <c r="AJ667" s="7"/>
      <c r="AK667" s="7"/>
      <c r="AL667" s="7"/>
      <c r="AM667" s="7" t="s">
        <v>1065</v>
      </c>
      <c r="AN667" s="7" t="s">
        <v>3059</v>
      </c>
      <c r="AO667" s="7" t="s">
        <v>1065</v>
      </c>
      <c r="AP667" s="7" t="s">
        <v>5186</v>
      </c>
      <c r="AQ667" s="7" t="s">
        <v>1065</v>
      </c>
      <c r="AR667" s="7" t="s">
        <v>5192</v>
      </c>
      <c r="AS667" s="7" t="s">
        <v>1065</v>
      </c>
      <c r="AT667" s="7" t="s">
        <v>2047</v>
      </c>
      <c r="AU667" s="7"/>
      <c r="AV667" s="7"/>
      <c r="AW667" s="7"/>
      <c r="AX667" s="7"/>
      <c r="AY667" s="7"/>
      <c r="AZ667" s="7"/>
      <c r="BA667" s="7" t="s">
        <v>1065</v>
      </c>
      <c r="BB667" s="7" t="s">
        <v>4790</v>
      </c>
      <c r="BC667" s="7" t="s">
        <v>427</v>
      </c>
      <c r="BD667" s="7" t="s">
        <v>440</v>
      </c>
      <c r="BE667" s="7" t="s">
        <v>127</v>
      </c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</row>
    <row r="668" customFormat="false" ht="15" hidden="false" customHeight="false" outlineLevel="0" collapsed="false">
      <c r="A668" s="7" t="s">
        <v>5193</v>
      </c>
      <c r="B668" s="7" t="s">
        <v>5194</v>
      </c>
      <c r="C668" s="7" t="s">
        <v>5195</v>
      </c>
      <c r="D668" s="7" t="s">
        <v>4885</v>
      </c>
      <c r="E668" s="7" t="s">
        <v>101</v>
      </c>
      <c r="F668" s="7" t="s">
        <v>101</v>
      </c>
      <c r="G668" s="7"/>
      <c r="H668" s="7" t="s">
        <v>102</v>
      </c>
      <c r="I668" s="7" t="s">
        <v>300</v>
      </c>
      <c r="J668" s="7" t="s">
        <v>104</v>
      </c>
      <c r="K668" s="7" t="s">
        <v>105</v>
      </c>
      <c r="L668" s="7" t="s">
        <v>106</v>
      </c>
      <c r="M668" s="7" t="s">
        <v>419</v>
      </c>
      <c r="N668" s="7" t="s">
        <v>5196</v>
      </c>
      <c r="O668" s="7" t="s">
        <v>5196</v>
      </c>
      <c r="P668" s="7" t="s">
        <v>109</v>
      </c>
      <c r="Q668" s="7"/>
      <c r="R668" s="7" t="s">
        <v>109</v>
      </c>
      <c r="S668" s="7" t="s">
        <v>110</v>
      </c>
      <c r="T668" s="7" t="n">
        <v>0.832</v>
      </c>
      <c r="U668" s="7" t="n">
        <v>1</v>
      </c>
      <c r="V668" s="7" t="s">
        <v>2842</v>
      </c>
      <c r="W668" s="7" t="s">
        <v>5197</v>
      </c>
      <c r="X668" s="7" t="s">
        <v>5198</v>
      </c>
      <c r="Y668" s="7" t="s">
        <v>5196</v>
      </c>
      <c r="Z668" s="7" t="s">
        <v>5199</v>
      </c>
      <c r="AA668" s="7"/>
      <c r="AB668" s="7"/>
      <c r="AC668" s="7" t="n">
        <v>7</v>
      </c>
      <c r="AD668" s="7" t="s">
        <v>2439</v>
      </c>
      <c r="AE668" s="7" t="s">
        <v>1065</v>
      </c>
      <c r="AF668" s="7" t="s">
        <v>5200</v>
      </c>
      <c r="AG668" s="7" t="s">
        <v>1065</v>
      </c>
      <c r="AH668" s="7" t="s">
        <v>5201</v>
      </c>
      <c r="AI668" s="7"/>
      <c r="AJ668" s="7"/>
      <c r="AK668" s="7"/>
      <c r="AL668" s="7"/>
      <c r="AM668" s="7" t="s">
        <v>1065</v>
      </c>
      <c r="AN668" s="7" t="s">
        <v>5140</v>
      </c>
      <c r="AO668" s="7" t="s">
        <v>1065</v>
      </c>
      <c r="AP668" s="7" t="s">
        <v>4885</v>
      </c>
      <c r="AQ668" s="7" t="s">
        <v>1065</v>
      </c>
      <c r="AR668" s="7" t="s">
        <v>5202</v>
      </c>
      <c r="AS668" s="7" t="s">
        <v>1065</v>
      </c>
      <c r="AT668" s="7" t="s">
        <v>2047</v>
      </c>
      <c r="AU668" s="7"/>
      <c r="AV668" s="7"/>
      <c r="AW668" s="7"/>
      <c r="AX668" s="7"/>
      <c r="AY668" s="7"/>
      <c r="AZ668" s="7"/>
      <c r="BA668" s="7" t="s">
        <v>1065</v>
      </c>
      <c r="BB668" s="7" t="s">
        <v>4790</v>
      </c>
      <c r="BC668" s="7" t="s">
        <v>427</v>
      </c>
      <c r="BD668" s="7" t="s">
        <v>1306</v>
      </c>
      <c r="BE668" s="7" t="s">
        <v>127</v>
      </c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</row>
    <row r="669" customFormat="false" ht="15" hidden="false" customHeight="false" outlineLevel="0" collapsed="false">
      <c r="A669" s="7" t="s">
        <v>5203</v>
      </c>
      <c r="B669" s="7" t="s">
        <v>5204</v>
      </c>
      <c r="C669" s="7" t="s">
        <v>5205</v>
      </c>
      <c r="D669" s="7" t="s">
        <v>5206</v>
      </c>
      <c r="E669" s="7" t="s">
        <v>101</v>
      </c>
      <c r="F669" s="7" t="s">
        <v>101</v>
      </c>
      <c r="G669" s="7"/>
      <c r="H669" s="7" t="s">
        <v>102</v>
      </c>
      <c r="I669" s="7" t="s">
        <v>132</v>
      </c>
      <c r="J669" s="7" t="s">
        <v>104</v>
      </c>
      <c r="K669" s="7" t="s">
        <v>105</v>
      </c>
      <c r="L669" s="7" t="s">
        <v>106</v>
      </c>
      <c r="M669" s="7"/>
      <c r="N669" s="7" t="s">
        <v>5207</v>
      </c>
      <c r="O669" s="7" t="s">
        <v>5207</v>
      </c>
      <c r="P669" s="7" t="s">
        <v>135</v>
      </c>
      <c r="Q669" s="7"/>
      <c r="R669" s="7" t="s">
        <v>109</v>
      </c>
      <c r="S669" s="7" t="s">
        <v>110</v>
      </c>
      <c r="T669" s="7" t="n">
        <v>0.834</v>
      </c>
      <c r="U669" s="7" t="n">
        <v>1</v>
      </c>
      <c r="V669" s="7" t="s">
        <v>90</v>
      </c>
      <c r="W669" s="7"/>
      <c r="X669" s="7" t="s">
        <v>5208</v>
      </c>
      <c r="Y669" s="7" t="s">
        <v>5207</v>
      </c>
      <c r="Z669" s="7" t="s">
        <v>5209</v>
      </c>
      <c r="AA669" s="7"/>
      <c r="AB669" s="7"/>
      <c r="AC669" s="7" t="n">
        <v>0</v>
      </c>
      <c r="AD669" s="7" t="s">
        <v>388</v>
      </c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 t="s">
        <v>440</v>
      </c>
      <c r="BE669" s="7" t="s">
        <v>127</v>
      </c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</row>
    <row r="670" customFormat="false" ht="15" hidden="false" customHeight="false" outlineLevel="0" collapsed="false">
      <c r="A670" s="7" t="s">
        <v>5210</v>
      </c>
      <c r="B670" s="7" t="s">
        <v>5211</v>
      </c>
      <c r="C670" s="7" t="s">
        <v>5212</v>
      </c>
      <c r="D670" s="7" t="s">
        <v>5213</v>
      </c>
      <c r="E670" s="7" t="s">
        <v>101</v>
      </c>
      <c r="F670" s="7" t="s">
        <v>101</v>
      </c>
      <c r="G670" s="7"/>
      <c r="H670" s="7" t="s">
        <v>102</v>
      </c>
      <c r="I670" s="7" t="s">
        <v>132</v>
      </c>
      <c r="J670" s="7" t="s">
        <v>104</v>
      </c>
      <c r="K670" s="7" t="s">
        <v>105</v>
      </c>
      <c r="L670" s="7" t="s">
        <v>106</v>
      </c>
      <c r="M670" s="7" t="s">
        <v>419</v>
      </c>
      <c r="N670" s="7" t="s">
        <v>5214</v>
      </c>
      <c r="O670" s="7" t="s">
        <v>5214</v>
      </c>
      <c r="P670" s="7" t="s">
        <v>109</v>
      </c>
      <c r="Q670" s="7"/>
      <c r="R670" s="7" t="s">
        <v>109</v>
      </c>
      <c r="S670" s="7" t="s">
        <v>110</v>
      </c>
      <c r="T670" s="7" t="n">
        <v>0.784</v>
      </c>
      <c r="U670" s="7" t="n">
        <v>1</v>
      </c>
      <c r="V670" s="7" t="s">
        <v>4673</v>
      </c>
      <c r="W670" s="7"/>
      <c r="X670" s="7" t="s">
        <v>5215</v>
      </c>
      <c r="Y670" s="7"/>
      <c r="Z670" s="7" t="s">
        <v>5216</v>
      </c>
      <c r="AA670" s="7"/>
      <c r="AB670" s="7"/>
      <c r="AC670" s="7" t="n">
        <v>2</v>
      </c>
      <c r="AD670" s="7" t="s">
        <v>1954</v>
      </c>
      <c r="AE670" s="7"/>
      <c r="AF670" s="7"/>
      <c r="AG670" s="7" t="s">
        <v>1955</v>
      </c>
      <c r="AH670" s="7" t="s">
        <v>1956</v>
      </c>
      <c r="AI670" s="7"/>
      <c r="AJ670" s="7"/>
      <c r="AK670" s="7"/>
      <c r="AL670" s="7"/>
      <c r="AM670" s="7" t="s">
        <v>1955</v>
      </c>
      <c r="AN670" s="7" t="s">
        <v>1957</v>
      </c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 t="s">
        <v>427</v>
      </c>
      <c r="BD670" s="7"/>
      <c r="BE670" s="7" t="s">
        <v>127</v>
      </c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</row>
    <row r="671" customFormat="false" ht="15" hidden="false" customHeight="false" outlineLevel="0" collapsed="false">
      <c r="A671" s="7" t="s">
        <v>5217</v>
      </c>
      <c r="B671" s="7" t="s">
        <v>5218</v>
      </c>
      <c r="C671" s="7" t="s">
        <v>5219</v>
      </c>
      <c r="D671" s="7" t="s">
        <v>5220</v>
      </c>
      <c r="E671" s="7" t="s">
        <v>101</v>
      </c>
      <c r="F671" s="7" t="s">
        <v>101</v>
      </c>
      <c r="G671" s="7"/>
      <c r="H671" s="7" t="s">
        <v>102</v>
      </c>
      <c r="I671" s="7" t="s">
        <v>132</v>
      </c>
      <c r="J671" s="7" t="s">
        <v>104</v>
      </c>
      <c r="K671" s="7" t="s">
        <v>105</v>
      </c>
      <c r="L671" s="7" t="s">
        <v>106</v>
      </c>
      <c r="M671" s="7" t="s">
        <v>419</v>
      </c>
      <c r="N671" s="7" t="s">
        <v>5221</v>
      </c>
      <c r="O671" s="7"/>
      <c r="P671" s="7" t="s">
        <v>135</v>
      </c>
      <c r="Q671" s="7"/>
      <c r="R671" s="7"/>
      <c r="S671" s="7"/>
      <c r="T671" s="7" t="n">
        <v>0.139</v>
      </c>
      <c r="U671" s="7" t="n">
        <v>1</v>
      </c>
      <c r="V671" s="7" t="s">
        <v>2781</v>
      </c>
      <c r="W671" s="7"/>
      <c r="X671" s="7" t="s">
        <v>5222</v>
      </c>
      <c r="Y671" s="7"/>
      <c r="Z671" s="7" t="s">
        <v>5223</v>
      </c>
      <c r="AA671" s="7"/>
      <c r="AB671" s="7"/>
      <c r="AC671" s="7"/>
      <c r="AD671" s="7"/>
      <c r="AE671" s="7"/>
      <c r="AF671" s="7"/>
      <c r="AG671" s="7" t="s">
        <v>1955</v>
      </c>
      <c r="AH671" s="7" t="s">
        <v>1956</v>
      </c>
      <c r="AI671" s="7"/>
      <c r="AJ671" s="7"/>
      <c r="AK671" s="7"/>
      <c r="AL671" s="7"/>
      <c r="AM671" s="7" t="s">
        <v>1955</v>
      </c>
      <c r="AN671" s="7" t="s">
        <v>1957</v>
      </c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 t="s">
        <v>427</v>
      </c>
      <c r="BD671" s="7" t="s">
        <v>440</v>
      </c>
      <c r="BE671" s="7" t="s">
        <v>127</v>
      </c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</row>
    <row r="672" customFormat="false" ht="15" hidden="false" customHeight="false" outlineLevel="0" collapsed="false">
      <c r="A672" s="7" t="s">
        <v>5224</v>
      </c>
      <c r="B672" s="7" t="s">
        <v>5225</v>
      </c>
      <c r="C672" s="7" t="s">
        <v>5226</v>
      </c>
      <c r="D672" s="7" t="s">
        <v>5220</v>
      </c>
      <c r="E672" s="7" t="s">
        <v>101</v>
      </c>
      <c r="F672" s="7" t="s">
        <v>101</v>
      </c>
      <c r="G672" s="7"/>
      <c r="H672" s="7" t="s">
        <v>102</v>
      </c>
      <c r="I672" s="7" t="s">
        <v>132</v>
      </c>
      <c r="J672" s="7" t="s">
        <v>104</v>
      </c>
      <c r="K672" s="7" t="s">
        <v>105</v>
      </c>
      <c r="L672" s="7" t="s">
        <v>106</v>
      </c>
      <c r="M672" s="7" t="s">
        <v>419</v>
      </c>
      <c r="N672" s="7" t="s">
        <v>5227</v>
      </c>
      <c r="O672" s="7"/>
      <c r="P672" s="7" t="s">
        <v>135</v>
      </c>
      <c r="Q672" s="7"/>
      <c r="R672" s="7"/>
      <c r="S672" s="7"/>
      <c r="T672" s="7" t="n">
        <v>0.114</v>
      </c>
      <c r="U672" s="7" t="n">
        <v>1</v>
      </c>
      <c r="V672" s="7" t="s">
        <v>2781</v>
      </c>
      <c r="W672" s="7"/>
      <c r="X672" s="7" t="s">
        <v>5222</v>
      </c>
      <c r="Y672" s="7"/>
      <c r="Z672" s="7" t="s">
        <v>5223</v>
      </c>
      <c r="AA672" s="7"/>
      <c r="AB672" s="7"/>
      <c r="AC672" s="7"/>
      <c r="AD672" s="7"/>
      <c r="AE672" s="7"/>
      <c r="AF672" s="7"/>
      <c r="AG672" s="7" t="s">
        <v>1955</v>
      </c>
      <c r="AH672" s="7" t="s">
        <v>1956</v>
      </c>
      <c r="AI672" s="7"/>
      <c r="AJ672" s="7"/>
      <c r="AK672" s="7"/>
      <c r="AL672" s="7"/>
      <c r="AM672" s="7" t="s">
        <v>1955</v>
      </c>
      <c r="AN672" s="7" t="s">
        <v>1957</v>
      </c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 t="s">
        <v>427</v>
      </c>
      <c r="BD672" s="7" t="s">
        <v>440</v>
      </c>
      <c r="BE672" s="7" t="s">
        <v>127</v>
      </c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</row>
    <row r="673" customFormat="false" ht="15" hidden="false" customHeight="false" outlineLevel="0" collapsed="false">
      <c r="A673" s="7" t="s">
        <v>5228</v>
      </c>
      <c r="B673" s="7" t="s">
        <v>5229</v>
      </c>
      <c r="C673" s="7" t="s">
        <v>5230</v>
      </c>
      <c r="D673" s="7" t="s">
        <v>5231</v>
      </c>
      <c r="E673" s="7" t="s">
        <v>101</v>
      </c>
      <c r="F673" s="7" t="s">
        <v>101</v>
      </c>
      <c r="G673" s="7"/>
      <c r="H673" s="7" t="s">
        <v>102</v>
      </c>
      <c r="I673" s="7" t="s">
        <v>132</v>
      </c>
      <c r="J673" s="7" t="s">
        <v>104</v>
      </c>
      <c r="K673" s="7" t="s">
        <v>105</v>
      </c>
      <c r="L673" s="7" t="s">
        <v>2656</v>
      </c>
      <c r="M673" s="7"/>
      <c r="N673" s="7" t="s">
        <v>5232</v>
      </c>
      <c r="O673" s="7" t="s">
        <v>5232</v>
      </c>
      <c r="P673" s="7" t="s">
        <v>135</v>
      </c>
      <c r="Q673" s="7"/>
      <c r="R673" s="7" t="s">
        <v>109</v>
      </c>
      <c r="S673" s="7" t="s">
        <v>110</v>
      </c>
      <c r="T673" s="7" t="n">
        <v>0.577</v>
      </c>
      <c r="U673" s="7" t="n">
        <v>1</v>
      </c>
      <c r="V673" s="7" t="s">
        <v>90</v>
      </c>
      <c r="W673" s="7"/>
      <c r="X673" s="7" t="s">
        <v>5233</v>
      </c>
      <c r="Y673" s="7" t="s">
        <v>5232</v>
      </c>
      <c r="Z673" s="7" t="s">
        <v>5234</v>
      </c>
      <c r="AA673" s="7"/>
      <c r="AB673" s="7"/>
      <c r="AC673" s="7" t="n">
        <v>0</v>
      </c>
      <c r="AD673" s="7" t="s">
        <v>388</v>
      </c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 t="s">
        <v>440</v>
      </c>
      <c r="BE673" s="7" t="s">
        <v>127</v>
      </c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</row>
    <row r="674" customFormat="false" ht="15" hidden="false" customHeight="false" outlineLevel="0" collapsed="false">
      <c r="A674" s="7" t="s">
        <v>5235</v>
      </c>
      <c r="B674" s="7" t="s">
        <v>5236</v>
      </c>
      <c r="C674" s="7" t="s">
        <v>5237</v>
      </c>
      <c r="D674" s="7" t="s">
        <v>5238</v>
      </c>
      <c r="E674" s="7" t="s">
        <v>101</v>
      </c>
      <c r="F674" s="7" t="s">
        <v>101</v>
      </c>
      <c r="G674" s="7"/>
      <c r="H674" s="7" t="s">
        <v>102</v>
      </c>
      <c r="I674" s="7" t="s">
        <v>158</v>
      </c>
      <c r="J674" s="7" t="s">
        <v>104</v>
      </c>
      <c r="K674" s="7" t="s">
        <v>105</v>
      </c>
      <c r="L674" s="7" t="s">
        <v>353</v>
      </c>
      <c r="M674" s="7" t="s">
        <v>419</v>
      </c>
      <c r="N674" s="7" t="s">
        <v>5239</v>
      </c>
      <c r="O674" s="7"/>
      <c r="P674" s="7" t="s">
        <v>135</v>
      </c>
      <c r="Q674" s="7"/>
      <c r="R674" s="7"/>
      <c r="S674" s="7"/>
      <c r="T674" s="7" t="n">
        <v>0.088</v>
      </c>
      <c r="U674" s="7" t="n">
        <v>1</v>
      </c>
      <c r="V674" s="7" t="s">
        <v>2781</v>
      </c>
      <c r="W674" s="7"/>
      <c r="X674" s="7" t="s">
        <v>4861</v>
      </c>
      <c r="Y674" s="7"/>
      <c r="Z674" s="7" t="s">
        <v>4862</v>
      </c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 t="s">
        <v>427</v>
      </c>
      <c r="BD674" s="7" t="s">
        <v>440</v>
      </c>
      <c r="BE674" s="7" t="s">
        <v>127</v>
      </c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</row>
    <row r="675" customFormat="false" ht="15" hidden="false" customHeight="false" outlineLevel="0" collapsed="false">
      <c r="A675" s="7" t="s">
        <v>5240</v>
      </c>
      <c r="B675" s="7" t="s">
        <v>5241</v>
      </c>
      <c r="C675" s="7" t="s">
        <v>5242</v>
      </c>
      <c r="D675" s="7"/>
      <c r="E675" s="7" t="s">
        <v>101</v>
      </c>
      <c r="F675" s="7" t="s">
        <v>507</v>
      </c>
      <c r="G675" s="7"/>
      <c r="H675" s="7" t="s">
        <v>102</v>
      </c>
      <c r="I675" s="7" t="s">
        <v>158</v>
      </c>
      <c r="J675" s="7" t="s">
        <v>104</v>
      </c>
      <c r="K675" s="7" t="s">
        <v>105</v>
      </c>
      <c r="L675" s="7" t="s">
        <v>106</v>
      </c>
      <c r="M675" s="7"/>
      <c r="N675" s="7" t="s">
        <v>5243</v>
      </c>
      <c r="O675" s="7"/>
      <c r="P675" s="7" t="s">
        <v>135</v>
      </c>
      <c r="Q675" s="7"/>
      <c r="R675" s="7"/>
      <c r="S675" s="7"/>
      <c r="T675" s="7" t="n">
        <v>0.263</v>
      </c>
      <c r="U675" s="7" t="n">
        <v>1</v>
      </c>
      <c r="V675" s="7" t="s">
        <v>90</v>
      </c>
      <c r="W675" s="7"/>
      <c r="X675" s="7"/>
      <c r="Y675" s="7" t="s">
        <v>5243</v>
      </c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 t="s">
        <v>747</v>
      </c>
      <c r="BE675" s="7" t="s">
        <v>127</v>
      </c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</row>
    <row r="676" customFormat="false" ht="15" hidden="false" customHeight="false" outlineLevel="0" collapsed="false">
      <c r="A676" s="7" t="s">
        <v>5244</v>
      </c>
      <c r="B676" s="7" t="s">
        <v>5245</v>
      </c>
      <c r="C676" s="9" t="s">
        <v>5246</v>
      </c>
      <c r="D676" s="7" t="s">
        <v>5247</v>
      </c>
      <c r="E676" s="7" t="s">
        <v>1966</v>
      </c>
      <c r="F676" s="7" t="s">
        <v>1966</v>
      </c>
      <c r="G676" s="7" t="s">
        <v>3165</v>
      </c>
      <c r="H676" s="7" t="s">
        <v>207</v>
      </c>
      <c r="I676" s="7" t="s">
        <v>103</v>
      </c>
      <c r="J676" s="7" t="s">
        <v>104</v>
      </c>
      <c r="K676" s="7" t="s">
        <v>105</v>
      </c>
      <c r="L676" s="7" t="s">
        <v>106</v>
      </c>
      <c r="M676" s="7"/>
      <c r="N676" s="7" t="s">
        <v>4819</v>
      </c>
      <c r="O676" s="7" t="s">
        <v>4819</v>
      </c>
      <c r="P676" s="7" t="s">
        <v>135</v>
      </c>
      <c r="Q676" s="7"/>
      <c r="R676" s="7" t="s">
        <v>109</v>
      </c>
      <c r="S676" s="7" t="s">
        <v>110</v>
      </c>
      <c r="T676" s="7" t="n">
        <v>0.299</v>
      </c>
      <c r="U676" s="7" t="n">
        <v>1</v>
      </c>
      <c r="V676" s="7" t="s">
        <v>90</v>
      </c>
      <c r="W676" s="7"/>
      <c r="X676" s="7"/>
      <c r="Y676" s="7" t="s">
        <v>4819</v>
      </c>
      <c r="Z676" s="7"/>
      <c r="AA676" s="7"/>
      <c r="AB676" s="7"/>
      <c r="AC676" s="7" t="n">
        <v>0</v>
      </c>
      <c r="AD676" s="7" t="s">
        <v>388</v>
      </c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 t="s">
        <v>440</v>
      </c>
      <c r="BE676" s="7" t="s">
        <v>127</v>
      </c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</row>
    <row r="677" customFormat="false" ht="15" hidden="false" customHeight="false" outlineLevel="0" collapsed="false">
      <c r="A677" s="7" t="s">
        <v>5248</v>
      </c>
      <c r="B677" s="7" t="s">
        <v>5249</v>
      </c>
      <c r="C677" s="7" t="s">
        <v>5250</v>
      </c>
      <c r="D677" s="7" t="s">
        <v>4134</v>
      </c>
      <c r="E677" s="7" t="s">
        <v>101</v>
      </c>
      <c r="F677" s="7" t="s">
        <v>737</v>
      </c>
      <c r="G677" s="7"/>
      <c r="H677" s="7" t="s">
        <v>102</v>
      </c>
      <c r="I677" s="7" t="s">
        <v>158</v>
      </c>
      <c r="J677" s="7" t="s">
        <v>104</v>
      </c>
      <c r="K677" s="7" t="s">
        <v>105</v>
      </c>
      <c r="L677" s="7" t="s">
        <v>106</v>
      </c>
      <c r="M677" s="7"/>
      <c r="N677" s="7" t="s">
        <v>4132</v>
      </c>
      <c r="O677" s="7" t="s">
        <v>4132</v>
      </c>
      <c r="P677" s="7" t="s">
        <v>135</v>
      </c>
      <c r="Q677" s="7"/>
      <c r="R677" s="7" t="s">
        <v>109</v>
      </c>
      <c r="S677" s="7" t="s">
        <v>110</v>
      </c>
      <c r="T677" s="7" t="n">
        <v>0.83</v>
      </c>
      <c r="U677" s="7" t="n">
        <v>1</v>
      </c>
      <c r="V677" s="7" t="s">
        <v>90</v>
      </c>
      <c r="W677" s="7"/>
      <c r="X677" s="7" t="s">
        <v>752</v>
      </c>
      <c r="Y677" s="7" t="s">
        <v>4132</v>
      </c>
      <c r="Z677" s="7" t="s">
        <v>753</v>
      </c>
      <c r="AA677" s="7"/>
      <c r="AB677" s="7"/>
      <c r="AC677" s="7" t="n">
        <v>0</v>
      </c>
      <c r="AD677" s="7" t="s">
        <v>388</v>
      </c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 t="s">
        <v>440</v>
      </c>
      <c r="BE677" s="7" t="s">
        <v>127</v>
      </c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</row>
    <row r="678" customFormat="false" ht="15" hidden="false" customHeight="false" outlineLevel="0" collapsed="false">
      <c r="A678" s="7" t="s">
        <v>5251</v>
      </c>
      <c r="B678" s="7" t="s">
        <v>5252</v>
      </c>
      <c r="C678" s="7" t="s">
        <v>5253</v>
      </c>
      <c r="D678" s="7" t="s">
        <v>919</v>
      </c>
      <c r="E678" s="7" t="s">
        <v>101</v>
      </c>
      <c r="F678" s="7" t="s">
        <v>101</v>
      </c>
      <c r="G678" s="7"/>
      <c r="H678" s="7" t="s">
        <v>102</v>
      </c>
      <c r="I678" s="7" t="s">
        <v>132</v>
      </c>
      <c r="J678" s="7" t="s">
        <v>104</v>
      </c>
      <c r="K678" s="7" t="s">
        <v>105</v>
      </c>
      <c r="L678" s="7" t="s">
        <v>106</v>
      </c>
      <c r="M678" s="7" t="s">
        <v>5254</v>
      </c>
      <c r="N678" s="7" t="s">
        <v>917</v>
      </c>
      <c r="O678" s="7" t="s">
        <v>917</v>
      </c>
      <c r="P678" s="7" t="s">
        <v>135</v>
      </c>
      <c r="Q678" s="7"/>
      <c r="R678" s="7" t="s">
        <v>109</v>
      </c>
      <c r="S678" s="7" t="s">
        <v>110</v>
      </c>
      <c r="T678" s="7" t="n">
        <v>0.879</v>
      </c>
      <c r="U678" s="7" t="n">
        <v>1</v>
      </c>
      <c r="V678" s="7" t="s">
        <v>90</v>
      </c>
      <c r="W678" s="7" t="s">
        <v>713</v>
      </c>
      <c r="X678" s="7" t="s">
        <v>332</v>
      </c>
      <c r="Y678" s="7" t="s">
        <v>917</v>
      </c>
      <c r="Z678" s="7" t="s">
        <v>5255</v>
      </c>
      <c r="AA678" s="7"/>
      <c r="AB678" s="7"/>
      <c r="AC678" s="7" t="n">
        <v>7</v>
      </c>
      <c r="AD678" s="7" t="s">
        <v>5256</v>
      </c>
      <c r="AE678" s="7" t="s">
        <v>1955</v>
      </c>
      <c r="AF678" s="7" t="s">
        <v>5257</v>
      </c>
      <c r="AG678" s="7" t="s">
        <v>1955</v>
      </c>
      <c r="AH678" s="7" t="s">
        <v>5258</v>
      </c>
      <c r="AI678" s="7"/>
      <c r="AJ678" s="7"/>
      <c r="AK678" s="7"/>
      <c r="AL678" s="7"/>
      <c r="AM678" s="7"/>
      <c r="AN678" s="7"/>
      <c r="AO678" s="7" t="s">
        <v>1955</v>
      </c>
      <c r="AP678" s="7" t="s">
        <v>5259</v>
      </c>
      <c r="AQ678" s="7" t="s">
        <v>1955</v>
      </c>
      <c r="AR678" s="7" t="s">
        <v>5260</v>
      </c>
      <c r="AS678" s="7" t="s">
        <v>1955</v>
      </c>
      <c r="AT678" s="7" t="s">
        <v>216</v>
      </c>
      <c r="AU678" s="7"/>
      <c r="AV678" s="7"/>
      <c r="AW678" s="7"/>
      <c r="AX678" s="7"/>
      <c r="AY678" s="7" t="s">
        <v>1955</v>
      </c>
      <c r="AZ678" s="7" t="s">
        <v>5261</v>
      </c>
      <c r="BA678" s="7" t="s">
        <v>1955</v>
      </c>
      <c r="BB678" s="7" t="s">
        <v>5262</v>
      </c>
      <c r="BC678" s="7" t="s">
        <v>413</v>
      </c>
      <c r="BD678" s="7" t="s">
        <v>440</v>
      </c>
      <c r="BE678" s="7" t="s">
        <v>127</v>
      </c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</row>
    <row r="679" customFormat="false" ht="15" hidden="false" customHeight="false" outlineLevel="0" collapsed="false">
      <c r="A679" s="7" t="s">
        <v>5263</v>
      </c>
      <c r="B679" s="7" t="s">
        <v>5264</v>
      </c>
      <c r="C679" s="7" t="s">
        <v>5265</v>
      </c>
      <c r="D679" s="7" t="s">
        <v>5266</v>
      </c>
      <c r="E679" s="7" t="s">
        <v>101</v>
      </c>
      <c r="F679" s="7" t="s">
        <v>101</v>
      </c>
      <c r="G679" s="7"/>
      <c r="H679" s="7" t="s">
        <v>102</v>
      </c>
      <c r="I679" s="7" t="s">
        <v>158</v>
      </c>
      <c r="J679" s="7" t="s">
        <v>104</v>
      </c>
      <c r="K679" s="7" t="s">
        <v>105</v>
      </c>
      <c r="L679" s="7" t="s">
        <v>106</v>
      </c>
      <c r="M679" s="7" t="s">
        <v>5267</v>
      </c>
      <c r="N679" s="7" t="s">
        <v>5268</v>
      </c>
      <c r="O679" s="7" t="s">
        <v>5268</v>
      </c>
      <c r="P679" s="7" t="s">
        <v>135</v>
      </c>
      <c r="Q679" s="7"/>
      <c r="R679" s="7" t="s">
        <v>109</v>
      </c>
      <c r="S679" s="7" t="s">
        <v>110</v>
      </c>
      <c r="T679" s="7" t="n">
        <v>0.77</v>
      </c>
      <c r="U679" s="7" t="n">
        <v>1</v>
      </c>
      <c r="V679" s="7" t="s">
        <v>90</v>
      </c>
      <c r="W679" s="7" t="s">
        <v>876</v>
      </c>
      <c r="X679" s="7" t="s">
        <v>520</v>
      </c>
      <c r="Y679" s="7" t="s">
        <v>5268</v>
      </c>
      <c r="Z679" s="7" t="s">
        <v>877</v>
      </c>
      <c r="AA679" s="7"/>
      <c r="AB679" s="7"/>
      <c r="AC679" s="7" t="n">
        <v>8</v>
      </c>
      <c r="AD679" s="7" t="s">
        <v>5269</v>
      </c>
      <c r="AE679" s="7" t="s">
        <v>1955</v>
      </c>
      <c r="AF679" s="7" t="s">
        <v>5270</v>
      </c>
      <c r="AG679" s="7" t="s">
        <v>1955</v>
      </c>
      <c r="AH679" s="7" t="s">
        <v>5271</v>
      </c>
      <c r="AI679" s="7"/>
      <c r="AJ679" s="7"/>
      <c r="AK679" s="7"/>
      <c r="AL679" s="7"/>
      <c r="AM679" s="7" t="s">
        <v>1955</v>
      </c>
      <c r="AN679" s="7" t="s">
        <v>5272</v>
      </c>
      <c r="AO679" s="7" t="s">
        <v>1955</v>
      </c>
      <c r="AP679" s="7" t="s">
        <v>5273</v>
      </c>
      <c r="AQ679" s="7" t="s">
        <v>1955</v>
      </c>
      <c r="AR679" s="7" t="s">
        <v>5274</v>
      </c>
      <c r="AS679" s="7" t="s">
        <v>1955</v>
      </c>
      <c r="AT679" s="7" t="s">
        <v>216</v>
      </c>
      <c r="AU679" s="7"/>
      <c r="AV679" s="7"/>
      <c r="AW679" s="7"/>
      <c r="AX679" s="7"/>
      <c r="AY679" s="7" t="s">
        <v>1955</v>
      </c>
      <c r="AZ679" s="7" t="s">
        <v>5275</v>
      </c>
      <c r="BA679" s="7" t="s">
        <v>1955</v>
      </c>
      <c r="BB679" s="7" t="s">
        <v>369</v>
      </c>
      <c r="BC679" s="7" t="s">
        <v>413</v>
      </c>
      <c r="BD679" s="7" t="s">
        <v>440</v>
      </c>
      <c r="BE679" s="7" t="s">
        <v>127</v>
      </c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</row>
    <row r="680" customFormat="false" ht="15" hidden="false" customHeight="false" outlineLevel="0" collapsed="false">
      <c r="A680" s="7" t="s">
        <v>5276</v>
      </c>
      <c r="B680" s="7" t="s">
        <v>5277</v>
      </c>
      <c r="C680" s="7" t="s">
        <v>5278</v>
      </c>
      <c r="D680" s="7" t="s">
        <v>437</v>
      </c>
      <c r="E680" s="7" t="s">
        <v>101</v>
      </c>
      <c r="F680" s="7" t="s">
        <v>431</v>
      </c>
      <c r="G680" s="7"/>
      <c r="H680" s="7" t="s">
        <v>102</v>
      </c>
      <c r="I680" s="7" t="s">
        <v>234</v>
      </c>
      <c r="J680" s="7" t="s">
        <v>104</v>
      </c>
      <c r="K680" s="7" t="s">
        <v>105</v>
      </c>
      <c r="L680" s="7" t="s">
        <v>259</v>
      </c>
      <c r="M680" s="7" t="s">
        <v>419</v>
      </c>
      <c r="N680" s="7" t="s">
        <v>5279</v>
      </c>
      <c r="O680" s="7" t="s">
        <v>432</v>
      </c>
      <c r="P680" s="7" t="s">
        <v>135</v>
      </c>
      <c r="Q680" s="7"/>
      <c r="R680" s="7" t="s">
        <v>84</v>
      </c>
      <c r="S680" s="7" t="s">
        <v>238</v>
      </c>
      <c r="T680" s="7" t="n">
        <v>0.66</v>
      </c>
      <c r="U680" s="7" t="n">
        <v>1</v>
      </c>
      <c r="V680" s="7" t="s">
        <v>90</v>
      </c>
      <c r="W680" s="7" t="s">
        <v>356</v>
      </c>
      <c r="X680" s="7" t="s">
        <v>433</v>
      </c>
      <c r="Y680" s="7" t="s">
        <v>5279</v>
      </c>
      <c r="Z680" s="7" t="s">
        <v>5280</v>
      </c>
      <c r="AA680" s="7"/>
      <c r="AB680" s="7"/>
      <c r="AC680" s="7" t="n">
        <v>12</v>
      </c>
      <c r="AD680" s="7"/>
      <c r="AE680" s="7" t="s">
        <v>1065</v>
      </c>
      <c r="AF680" s="7" t="s">
        <v>5281</v>
      </c>
      <c r="AG680" s="7" t="s">
        <v>1065</v>
      </c>
      <c r="AH680" s="7" t="s">
        <v>5282</v>
      </c>
      <c r="AI680" s="7" t="s">
        <v>1065</v>
      </c>
      <c r="AJ680" s="7" t="s">
        <v>5283</v>
      </c>
      <c r="AK680" s="7" t="s">
        <v>1065</v>
      </c>
      <c r="AL680" s="7" t="s">
        <v>5284</v>
      </c>
      <c r="AM680" s="7" t="s">
        <v>1065</v>
      </c>
      <c r="AN680" s="7" t="s">
        <v>5285</v>
      </c>
      <c r="AO680" s="7" t="s">
        <v>1065</v>
      </c>
      <c r="AP680" s="7" t="s">
        <v>5286</v>
      </c>
      <c r="AQ680" s="7" t="s">
        <v>1065</v>
      </c>
      <c r="AR680" s="7" t="s">
        <v>5287</v>
      </c>
      <c r="AS680" s="7" t="s">
        <v>1065</v>
      </c>
      <c r="AT680" s="7" t="s">
        <v>1856</v>
      </c>
      <c r="AU680" s="7" t="s">
        <v>1065</v>
      </c>
      <c r="AV680" s="7" t="s">
        <v>5288</v>
      </c>
      <c r="AW680" s="7" t="s">
        <v>1065</v>
      </c>
      <c r="AX680" s="7" t="s">
        <v>5289</v>
      </c>
      <c r="AY680" s="7" t="s">
        <v>1065</v>
      </c>
      <c r="AZ680" s="7" t="s">
        <v>5290</v>
      </c>
      <c r="BA680" s="7" t="s">
        <v>1065</v>
      </c>
      <c r="BB680" s="7" t="s">
        <v>439</v>
      </c>
      <c r="BC680" s="7" t="s">
        <v>427</v>
      </c>
      <c r="BD680" s="7" t="s">
        <v>440</v>
      </c>
      <c r="BE680" s="7" t="s">
        <v>127</v>
      </c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</row>
    <row r="681" customFormat="false" ht="15" hidden="false" customHeight="false" outlineLevel="0" collapsed="false">
      <c r="A681" s="7" t="s">
        <v>5291</v>
      </c>
      <c r="B681" s="7" t="s">
        <v>5292</v>
      </c>
      <c r="C681" s="7" t="s">
        <v>5293</v>
      </c>
      <c r="D681" s="7" t="s">
        <v>1927</v>
      </c>
      <c r="E681" s="7" t="s">
        <v>82</v>
      </c>
      <c r="F681" s="7" t="s">
        <v>82</v>
      </c>
      <c r="G681" s="7"/>
      <c r="H681" s="7"/>
      <c r="I681" s="7" t="s">
        <v>132</v>
      </c>
      <c r="J681" s="7" t="s">
        <v>104</v>
      </c>
      <c r="K681" s="7" t="s">
        <v>105</v>
      </c>
      <c r="L681" s="7" t="s">
        <v>106</v>
      </c>
      <c r="M681" s="7"/>
      <c r="N681" s="7" t="s">
        <v>5294</v>
      </c>
      <c r="O681" s="7"/>
      <c r="P681" s="7" t="s">
        <v>109</v>
      </c>
      <c r="Q681" s="7"/>
      <c r="R681" s="7"/>
      <c r="S681" s="7"/>
      <c r="T681" s="7" t="n">
        <v>0.86</v>
      </c>
      <c r="U681" s="7" t="n">
        <v>1</v>
      </c>
      <c r="V681" s="7"/>
      <c r="W681" s="7"/>
      <c r="X681" s="7"/>
      <c r="Y681" s="7" t="s">
        <v>5294</v>
      </c>
      <c r="Z681" s="7"/>
      <c r="AA681" s="7"/>
      <c r="AB681" s="7"/>
      <c r="AC681" s="7"/>
      <c r="AD681" s="7"/>
      <c r="AE681" s="7" t="s">
        <v>2032</v>
      </c>
      <c r="AF681" s="7" t="s">
        <v>5293</v>
      </c>
      <c r="AG681" s="7"/>
      <c r="AH681" s="7"/>
      <c r="AI681" s="7"/>
      <c r="AJ681" s="7"/>
      <c r="AK681" s="7"/>
      <c r="AL681" s="7"/>
      <c r="AM681" s="7"/>
      <c r="AN681" s="7"/>
      <c r="AO681" s="7" t="s">
        <v>2032</v>
      </c>
      <c r="AP681" s="7" t="s">
        <v>1927</v>
      </c>
      <c r="AQ681" s="7" t="s">
        <v>2032</v>
      </c>
      <c r="AR681" s="7" t="s">
        <v>82</v>
      </c>
      <c r="AS681" s="7"/>
      <c r="AT681" s="7"/>
      <c r="AU681" s="7"/>
      <c r="AV681" s="7"/>
      <c r="AW681" s="7" t="s">
        <v>2032</v>
      </c>
      <c r="AX681" s="7" t="s">
        <v>5294</v>
      </c>
      <c r="AY681" s="7"/>
      <c r="AZ681" s="7"/>
      <c r="BA681" s="7"/>
      <c r="BB681" s="7"/>
      <c r="BC681" s="7"/>
      <c r="BD681" s="7" t="s">
        <v>220</v>
      </c>
      <c r="BE681" s="7" t="s">
        <v>127</v>
      </c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</row>
    <row r="682" customFormat="false" ht="15" hidden="false" customHeight="false" outlineLevel="0" collapsed="false">
      <c r="A682" s="7" t="s">
        <v>5295</v>
      </c>
      <c r="B682" s="7" t="s">
        <v>5296</v>
      </c>
      <c r="C682" s="7" t="s">
        <v>1102</v>
      </c>
      <c r="D682" s="7" t="s">
        <v>1512</v>
      </c>
      <c r="E682" s="7" t="s">
        <v>101</v>
      </c>
      <c r="F682" s="7" t="s">
        <v>101</v>
      </c>
      <c r="G682" s="7"/>
      <c r="H682" s="7" t="s">
        <v>102</v>
      </c>
      <c r="I682" s="7" t="s">
        <v>1104</v>
      </c>
      <c r="J682" s="7" t="s">
        <v>104</v>
      </c>
      <c r="K682" s="7" t="s">
        <v>105</v>
      </c>
      <c r="L682" s="7" t="s">
        <v>1106</v>
      </c>
      <c r="M682" s="7"/>
      <c r="N682" s="7" t="s">
        <v>5297</v>
      </c>
      <c r="O682" s="7" t="s">
        <v>5297</v>
      </c>
      <c r="P682" s="7" t="s">
        <v>135</v>
      </c>
      <c r="Q682" s="7"/>
      <c r="R682" s="7" t="s">
        <v>109</v>
      </c>
      <c r="S682" s="7" t="s">
        <v>110</v>
      </c>
      <c r="T682" s="7" t="n">
        <v>0.283</v>
      </c>
      <c r="U682" s="7" t="n">
        <v>1</v>
      </c>
      <c r="V682" s="7" t="s">
        <v>90</v>
      </c>
      <c r="W682" s="7"/>
      <c r="X682" s="7"/>
      <c r="Y682" s="7" t="s">
        <v>5297</v>
      </c>
      <c r="Z682" s="7"/>
      <c r="AA682" s="7"/>
      <c r="AB682" s="7"/>
      <c r="AC682" s="7" t="n">
        <v>9</v>
      </c>
      <c r="AD682" s="7" t="s">
        <v>405</v>
      </c>
      <c r="AE682" s="7" t="s">
        <v>265</v>
      </c>
      <c r="AF682" s="7" t="s">
        <v>5298</v>
      </c>
      <c r="AG682" s="7"/>
      <c r="AH682" s="7"/>
      <c r="AI682" s="7"/>
      <c r="AJ682" s="7"/>
      <c r="AK682" s="7"/>
      <c r="AL682" s="7"/>
      <c r="AM682" s="7" t="s">
        <v>265</v>
      </c>
      <c r="AN682" s="7" t="s">
        <v>5299</v>
      </c>
      <c r="AO682" s="7" t="s">
        <v>265</v>
      </c>
      <c r="AP682" s="7" t="s">
        <v>493</v>
      </c>
      <c r="AQ682" s="7" t="s">
        <v>265</v>
      </c>
      <c r="AR682" s="7" t="s">
        <v>677</v>
      </c>
      <c r="AS682" s="7" t="s">
        <v>265</v>
      </c>
      <c r="AT682" s="7" t="s">
        <v>250</v>
      </c>
      <c r="AU682" s="7" t="s">
        <v>265</v>
      </c>
      <c r="AV682" s="7" t="s">
        <v>5300</v>
      </c>
      <c r="AW682" s="7" t="s">
        <v>265</v>
      </c>
      <c r="AX682" s="7" t="s">
        <v>326</v>
      </c>
      <c r="AY682" s="7" t="s">
        <v>265</v>
      </c>
      <c r="AZ682" s="7" t="s">
        <v>124</v>
      </c>
      <c r="BA682" s="7" t="s">
        <v>265</v>
      </c>
      <c r="BB682" s="7" t="s">
        <v>275</v>
      </c>
      <c r="BC682" s="7"/>
      <c r="BD682" s="7"/>
      <c r="BE682" s="7" t="s">
        <v>127</v>
      </c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</row>
    <row r="683" customFormat="false" ht="15" hidden="false" customHeight="false" outlineLevel="0" collapsed="false">
      <c r="A683" s="7" t="s">
        <v>5301</v>
      </c>
      <c r="B683" s="7" t="s">
        <v>5302</v>
      </c>
      <c r="C683" s="7" t="s">
        <v>5303</v>
      </c>
      <c r="D683" s="7" t="s">
        <v>5304</v>
      </c>
      <c r="E683" s="7" t="s">
        <v>101</v>
      </c>
      <c r="F683" s="7" t="s">
        <v>101</v>
      </c>
      <c r="G683" s="7"/>
      <c r="H683" s="7" t="s">
        <v>102</v>
      </c>
      <c r="I683" s="7" t="s">
        <v>300</v>
      </c>
      <c r="J683" s="7" t="s">
        <v>104</v>
      </c>
      <c r="K683" s="7" t="s">
        <v>105</v>
      </c>
      <c r="L683" s="7" t="s">
        <v>106</v>
      </c>
      <c r="M683" s="7" t="s">
        <v>419</v>
      </c>
      <c r="N683" s="7" t="s">
        <v>5305</v>
      </c>
      <c r="O683" s="7" t="s">
        <v>5305</v>
      </c>
      <c r="P683" s="7" t="s">
        <v>135</v>
      </c>
      <c r="Q683" s="7"/>
      <c r="R683" s="7" t="s">
        <v>109</v>
      </c>
      <c r="S683" s="7" t="s">
        <v>110</v>
      </c>
      <c r="T683" s="7" t="n">
        <v>0.138</v>
      </c>
      <c r="U683" s="7" t="n">
        <v>1</v>
      </c>
      <c r="V683" s="7" t="s">
        <v>90</v>
      </c>
      <c r="W683" s="7"/>
      <c r="X683" s="7" t="s">
        <v>5306</v>
      </c>
      <c r="Y683" s="7"/>
      <c r="Z683" s="7" t="s">
        <v>5307</v>
      </c>
      <c r="AA683" s="7"/>
      <c r="AB683" s="7"/>
      <c r="AC683" s="7" t="n">
        <v>0</v>
      </c>
      <c r="AD683" s="7" t="s">
        <v>388</v>
      </c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 t="s">
        <v>427</v>
      </c>
      <c r="BD683" s="7" t="s">
        <v>440</v>
      </c>
      <c r="BE683" s="7" t="s">
        <v>127</v>
      </c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</row>
    <row r="684" customFormat="false" ht="15" hidden="false" customHeight="false" outlineLevel="0" collapsed="false">
      <c r="A684" s="7" t="s">
        <v>5308</v>
      </c>
      <c r="B684" s="7" t="s">
        <v>5309</v>
      </c>
      <c r="C684" s="7" t="s">
        <v>5310</v>
      </c>
      <c r="D684" s="7" t="s">
        <v>5311</v>
      </c>
      <c r="E684" s="7" t="s">
        <v>101</v>
      </c>
      <c r="F684" s="7" t="s">
        <v>737</v>
      </c>
      <c r="G684" s="7"/>
      <c r="H684" s="7" t="s">
        <v>102</v>
      </c>
      <c r="I684" s="7" t="s">
        <v>1104</v>
      </c>
      <c r="J684" s="7" t="s">
        <v>104</v>
      </c>
      <c r="K684" s="7" t="s">
        <v>105</v>
      </c>
      <c r="L684" s="7" t="s">
        <v>1106</v>
      </c>
      <c r="M684" s="7" t="s">
        <v>419</v>
      </c>
      <c r="N684" s="7" t="s">
        <v>5312</v>
      </c>
      <c r="O684" s="7" t="s">
        <v>5313</v>
      </c>
      <c r="P684" s="7" t="s">
        <v>135</v>
      </c>
      <c r="Q684" s="7"/>
      <c r="R684" s="7" t="s">
        <v>109</v>
      </c>
      <c r="S684" s="7" t="s">
        <v>110</v>
      </c>
      <c r="T684" s="7" t="n">
        <v>0.848</v>
      </c>
      <c r="U684" s="7" t="n">
        <v>1</v>
      </c>
      <c r="V684" s="7" t="s">
        <v>90</v>
      </c>
      <c r="W684" s="7" t="s">
        <v>5314</v>
      </c>
      <c r="X684" s="7" t="s">
        <v>2825</v>
      </c>
      <c r="Y684" s="7" t="s">
        <v>5312</v>
      </c>
      <c r="Z684" s="7" t="s">
        <v>5315</v>
      </c>
      <c r="AA684" s="7"/>
      <c r="AB684" s="7"/>
      <c r="AC684" s="7" t="n">
        <v>8</v>
      </c>
      <c r="AD684" s="7" t="s">
        <v>5269</v>
      </c>
      <c r="AE684" s="7" t="s">
        <v>1065</v>
      </c>
      <c r="AF684" s="7" t="s">
        <v>5316</v>
      </c>
      <c r="AG684" s="7" t="s">
        <v>1065</v>
      </c>
      <c r="AH684" s="7" t="s">
        <v>5317</v>
      </c>
      <c r="AI684" s="7"/>
      <c r="AJ684" s="7"/>
      <c r="AK684" s="7"/>
      <c r="AL684" s="7"/>
      <c r="AM684" s="7" t="s">
        <v>1065</v>
      </c>
      <c r="AN684" s="7" t="s">
        <v>5318</v>
      </c>
      <c r="AO684" s="7" t="s">
        <v>1065</v>
      </c>
      <c r="AP684" s="7" t="s">
        <v>5319</v>
      </c>
      <c r="AQ684" s="7" t="s">
        <v>1065</v>
      </c>
      <c r="AR684" s="7" t="s">
        <v>737</v>
      </c>
      <c r="AS684" s="7" t="s">
        <v>1065</v>
      </c>
      <c r="AT684" s="7" t="s">
        <v>1856</v>
      </c>
      <c r="AU684" s="7"/>
      <c r="AV684" s="7"/>
      <c r="AW684" s="7"/>
      <c r="AX684" s="7"/>
      <c r="AY684" s="7" t="s">
        <v>1065</v>
      </c>
      <c r="AZ684" s="7" t="s">
        <v>5320</v>
      </c>
      <c r="BA684" s="7" t="s">
        <v>1065</v>
      </c>
      <c r="BB684" s="7" t="s">
        <v>5321</v>
      </c>
      <c r="BC684" s="7" t="s">
        <v>427</v>
      </c>
      <c r="BD684" s="7" t="s">
        <v>440</v>
      </c>
      <c r="BE684" s="7" t="s">
        <v>127</v>
      </c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</row>
    <row r="685" customFormat="false" ht="15" hidden="false" customHeight="false" outlineLevel="0" collapsed="false">
      <c r="A685" s="7" t="s">
        <v>5322</v>
      </c>
      <c r="B685" s="7" t="s">
        <v>5323</v>
      </c>
      <c r="C685" s="7" t="s">
        <v>5324</v>
      </c>
      <c r="D685" s="7" t="s">
        <v>5325</v>
      </c>
      <c r="E685" s="7" t="s">
        <v>101</v>
      </c>
      <c r="F685" s="7" t="s">
        <v>101</v>
      </c>
      <c r="G685" s="7"/>
      <c r="H685" s="7" t="s">
        <v>102</v>
      </c>
      <c r="I685" s="7" t="s">
        <v>1104</v>
      </c>
      <c r="J685" s="7" t="s">
        <v>104</v>
      </c>
      <c r="K685" s="7" t="s">
        <v>105</v>
      </c>
      <c r="L685" s="7" t="s">
        <v>1106</v>
      </c>
      <c r="M685" s="7" t="s">
        <v>419</v>
      </c>
      <c r="N685" s="7" t="s">
        <v>5326</v>
      </c>
      <c r="O685" s="7" t="s">
        <v>5326</v>
      </c>
      <c r="P685" s="7" t="s">
        <v>135</v>
      </c>
      <c r="Q685" s="7"/>
      <c r="R685" s="7" t="s">
        <v>109</v>
      </c>
      <c r="S685" s="7" t="s">
        <v>110</v>
      </c>
      <c r="T685" s="7" t="n">
        <v>0.886</v>
      </c>
      <c r="U685" s="7" t="n">
        <v>1</v>
      </c>
      <c r="V685" s="7" t="s">
        <v>2781</v>
      </c>
      <c r="W685" s="7" t="s">
        <v>942</v>
      </c>
      <c r="X685" s="7" t="s">
        <v>5327</v>
      </c>
      <c r="Y685" s="7" t="s">
        <v>5326</v>
      </c>
      <c r="Z685" s="7" t="s">
        <v>5328</v>
      </c>
      <c r="AA685" s="7"/>
      <c r="AB685" s="7"/>
      <c r="AC685" s="7" t="n">
        <v>7</v>
      </c>
      <c r="AD685" s="7" t="s">
        <v>2439</v>
      </c>
      <c r="AE685" s="7" t="s">
        <v>1065</v>
      </c>
      <c r="AF685" s="7" t="s">
        <v>5329</v>
      </c>
      <c r="AG685" s="7" t="s">
        <v>1065</v>
      </c>
      <c r="AH685" s="7" t="s">
        <v>5330</v>
      </c>
      <c r="AI685" s="7"/>
      <c r="AJ685" s="7"/>
      <c r="AK685" s="7"/>
      <c r="AL685" s="7"/>
      <c r="AM685" s="7" t="s">
        <v>1065</v>
      </c>
      <c r="AN685" s="7" t="s">
        <v>5331</v>
      </c>
      <c r="AO685" s="7" t="s">
        <v>1065</v>
      </c>
      <c r="AP685" s="7" t="s">
        <v>5325</v>
      </c>
      <c r="AQ685" s="7" t="s">
        <v>1065</v>
      </c>
      <c r="AR685" s="7" t="s">
        <v>5332</v>
      </c>
      <c r="AS685" s="7" t="s">
        <v>1065</v>
      </c>
      <c r="AT685" s="7" t="s">
        <v>1856</v>
      </c>
      <c r="AU685" s="7"/>
      <c r="AV685" s="7"/>
      <c r="AW685" s="7"/>
      <c r="AX685" s="7"/>
      <c r="AY685" s="7"/>
      <c r="AZ685" s="7"/>
      <c r="BA685" s="7" t="s">
        <v>1065</v>
      </c>
      <c r="BB685" s="7" t="s">
        <v>3980</v>
      </c>
      <c r="BC685" s="7" t="s">
        <v>427</v>
      </c>
      <c r="BD685" s="7" t="s">
        <v>2797</v>
      </c>
      <c r="BE685" s="7" t="s">
        <v>127</v>
      </c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</row>
    <row r="686" customFormat="false" ht="15" hidden="false" customHeight="false" outlineLevel="0" collapsed="false">
      <c r="A686" s="7" t="s">
        <v>5333</v>
      </c>
      <c r="B686" s="7" t="s">
        <v>5334</v>
      </c>
      <c r="C686" s="7" t="s">
        <v>5335</v>
      </c>
      <c r="D686" s="7" t="s">
        <v>2771</v>
      </c>
      <c r="E686" s="7" t="s">
        <v>101</v>
      </c>
      <c r="F686" s="7" t="s">
        <v>101</v>
      </c>
      <c r="G686" s="7"/>
      <c r="H686" s="7" t="s">
        <v>102</v>
      </c>
      <c r="I686" s="7" t="s">
        <v>132</v>
      </c>
      <c r="J686" s="7" t="s">
        <v>104</v>
      </c>
      <c r="K686" s="7" t="s">
        <v>105</v>
      </c>
      <c r="L686" s="7" t="s">
        <v>106</v>
      </c>
      <c r="M686" s="7" t="s">
        <v>419</v>
      </c>
      <c r="N686" s="7" t="s">
        <v>5336</v>
      </c>
      <c r="O686" s="7" t="s">
        <v>5336</v>
      </c>
      <c r="P686" s="7" t="s">
        <v>109</v>
      </c>
      <c r="Q686" s="7"/>
      <c r="R686" s="7" t="s">
        <v>109</v>
      </c>
      <c r="S686" s="7" t="s">
        <v>110</v>
      </c>
      <c r="T686" s="7" t="n">
        <v>0.111</v>
      </c>
      <c r="U686" s="7" t="n">
        <v>1</v>
      </c>
      <c r="V686" s="7" t="s">
        <v>4673</v>
      </c>
      <c r="W686" s="7"/>
      <c r="X686" s="7" t="s">
        <v>5337</v>
      </c>
      <c r="Y686" s="7"/>
      <c r="Z686" s="7" t="s">
        <v>5338</v>
      </c>
      <c r="AA686" s="7"/>
      <c r="AB686" s="7"/>
      <c r="AC686" s="7" t="n">
        <v>2</v>
      </c>
      <c r="AD686" s="7" t="s">
        <v>1954</v>
      </c>
      <c r="AE686" s="7"/>
      <c r="AF686" s="7"/>
      <c r="AG686" s="7" t="s">
        <v>1955</v>
      </c>
      <c r="AH686" s="7" t="s">
        <v>1956</v>
      </c>
      <c r="AI686" s="7"/>
      <c r="AJ686" s="7"/>
      <c r="AK686" s="7"/>
      <c r="AL686" s="7"/>
      <c r="AM686" s="7" t="s">
        <v>1955</v>
      </c>
      <c r="AN686" s="7" t="s">
        <v>1957</v>
      </c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 t="s">
        <v>427</v>
      </c>
      <c r="BD686" s="7"/>
      <c r="BE686" s="7" t="s">
        <v>127</v>
      </c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</row>
    <row r="687" customFormat="false" ht="15" hidden="false" customHeight="false" outlineLevel="0" collapsed="false">
      <c r="A687" s="7" t="s">
        <v>5339</v>
      </c>
      <c r="B687" s="7" t="s">
        <v>5340</v>
      </c>
      <c r="C687" s="7" t="s">
        <v>5341</v>
      </c>
      <c r="D687" s="7" t="s">
        <v>5342</v>
      </c>
      <c r="E687" s="7" t="s">
        <v>101</v>
      </c>
      <c r="F687" s="7" t="s">
        <v>101</v>
      </c>
      <c r="G687" s="7"/>
      <c r="H687" s="7" t="s">
        <v>102</v>
      </c>
      <c r="I687" s="7" t="s">
        <v>300</v>
      </c>
      <c r="J687" s="7" t="s">
        <v>104</v>
      </c>
      <c r="K687" s="7" t="s">
        <v>105</v>
      </c>
      <c r="L687" s="7" t="s">
        <v>106</v>
      </c>
      <c r="M687" s="7" t="s">
        <v>419</v>
      </c>
      <c r="N687" s="7" t="s">
        <v>5343</v>
      </c>
      <c r="O687" s="7" t="s">
        <v>5344</v>
      </c>
      <c r="P687" s="7" t="s">
        <v>135</v>
      </c>
      <c r="Q687" s="7"/>
      <c r="R687" s="7" t="s">
        <v>109</v>
      </c>
      <c r="S687" s="7" t="s">
        <v>110</v>
      </c>
      <c r="T687" s="7" t="n">
        <v>0.624</v>
      </c>
      <c r="U687" s="7" t="n">
        <v>1</v>
      </c>
      <c r="V687" s="7" t="s">
        <v>5345</v>
      </c>
      <c r="W687" s="7" t="s">
        <v>5346</v>
      </c>
      <c r="X687" s="7" t="s">
        <v>5347</v>
      </c>
      <c r="Y687" s="7" t="s">
        <v>5343</v>
      </c>
      <c r="Z687" s="7" t="s">
        <v>5348</v>
      </c>
      <c r="AA687" s="7"/>
      <c r="AB687" s="7"/>
      <c r="AC687" s="7" t="n">
        <v>6</v>
      </c>
      <c r="AD687" s="7" t="s">
        <v>5349</v>
      </c>
      <c r="AE687" s="7" t="s">
        <v>1065</v>
      </c>
      <c r="AF687" s="7" t="s">
        <v>5350</v>
      </c>
      <c r="AG687" s="7" t="s">
        <v>1065</v>
      </c>
      <c r="AH687" s="7" t="s">
        <v>5351</v>
      </c>
      <c r="AI687" s="7"/>
      <c r="AJ687" s="7"/>
      <c r="AK687" s="7"/>
      <c r="AL687" s="7"/>
      <c r="AM687" s="7" t="s">
        <v>1065</v>
      </c>
      <c r="AN687" s="7" t="s">
        <v>145</v>
      </c>
      <c r="AO687" s="7" t="s">
        <v>1065</v>
      </c>
      <c r="AP687" s="7" t="s">
        <v>5342</v>
      </c>
      <c r="AQ687" s="7" t="s">
        <v>1065</v>
      </c>
      <c r="AR687" s="7" t="s">
        <v>737</v>
      </c>
      <c r="AS687" s="7" t="s">
        <v>1065</v>
      </c>
      <c r="AT687" s="7" t="s">
        <v>216</v>
      </c>
      <c r="AU687" s="7"/>
      <c r="AV687" s="7"/>
      <c r="AW687" s="7"/>
      <c r="AX687" s="7"/>
      <c r="AY687" s="7"/>
      <c r="AZ687" s="7"/>
      <c r="BA687" s="7"/>
      <c r="BB687" s="7"/>
      <c r="BC687" s="7" t="s">
        <v>427</v>
      </c>
      <c r="BD687" s="7" t="s">
        <v>2797</v>
      </c>
      <c r="BE687" s="7" t="s">
        <v>127</v>
      </c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</row>
    <row r="688" customFormat="false" ht="15" hidden="false" customHeight="false" outlineLevel="0" collapsed="false">
      <c r="A688" s="7" t="s">
        <v>5352</v>
      </c>
      <c r="B688" s="7" t="s">
        <v>5353</v>
      </c>
      <c r="C688" s="7" t="s">
        <v>5354</v>
      </c>
      <c r="D688" s="7" t="s">
        <v>5355</v>
      </c>
      <c r="E688" s="7" t="s">
        <v>101</v>
      </c>
      <c r="F688" s="7" t="s">
        <v>101</v>
      </c>
      <c r="G688" s="7"/>
      <c r="H688" s="7" t="s">
        <v>102</v>
      </c>
      <c r="I688" s="7" t="s">
        <v>132</v>
      </c>
      <c r="J688" s="7" t="s">
        <v>104</v>
      </c>
      <c r="K688" s="7" t="s">
        <v>105</v>
      </c>
      <c r="L688" s="7" t="s">
        <v>106</v>
      </c>
      <c r="M688" s="7" t="s">
        <v>5356</v>
      </c>
      <c r="N688" s="7" t="s">
        <v>5357</v>
      </c>
      <c r="O688" s="7" t="s">
        <v>5357</v>
      </c>
      <c r="P688" s="7" t="s">
        <v>135</v>
      </c>
      <c r="Q688" s="7"/>
      <c r="R688" s="7" t="s">
        <v>84</v>
      </c>
      <c r="S688" s="7" t="s">
        <v>238</v>
      </c>
      <c r="T688" s="7" t="n">
        <v>0.655</v>
      </c>
      <c r="U688" s="7" t="n">
        <v>1</v>
      </c>
      <c r="V688" s="7" t="s">
        <v>90</v>
      </c>
      <c r="W688" s="7" t="s">
        <v>520</v>
      </c>
      <c r="X688" s="7" t="s">
        <v>5358</v>
      </c>
      <c r="Y688" s="7" t="s">
        <v>5357</v>
      </c>
      <c r="Z688" s="7" t="s">
        <v>5359</v>
      </c>
      <c r="AA688" s="7"/>
      <c r="AB688" s="7"/>
      <c r="AC688" s="7" t="n">
        <v>12</v>
      </c>
      <c r="AD688" s="7"/>
      <c r="AE688" s="7" t="s">
        <v>5360</v>
      </c>
      <c r="AF688" s="7" t="s">
        <v>5361</v>
      </c>
      <c r="AG688" s="7" t="s">
        <v>5360</v>
      </c>
      <c r="AH688" s="7" t="s">
        <v>5362</v>
      </c>
      <c r="AI688" s="7" t="s">
        <v>5360</v>
      </c>
      <c r="AJ688" s="7" t="s">
        <v>145</v>
      </c>
      <c r="AK688" s="7" t="s">
        <v>5360</v>
      </c>
      <c r="AL688" s="7" t="s">
        <v>145</v>
      </c>
      <c r="AM688" s="7" t="s">
        <v>5360</v>
      </c>
      <c r="AN688" s="7" t="s">
        <v>145</v>
      </c>
      <c r="AO688" s="7" t="s">
        <v>5360</v>
      </c>
      <c r="AP688" s="7" t="s">
        <v>5363</v>
      </c>
      <c r="AQ688" s="7" t="s">
        <v>5360</v>
      </c>
      <c r="AR688" s="7" t="s">
        <v>5364</v>
      </c>
      <c r="AS688" s="7" t="s">
        <v>5360</v>
      </c>
      <c r="AT688" s="7" t="s">
        <v>5365</v>
      </c>
      <c r="AU688" s="7" t="s">
        <v>5360</v>
      </c>
      <c r="AV688" s="7" t="s">
        <v>5366</v>
      </c>
      <c r="AW688" s="7" t="s">
        <v>5360</v>
      </c>
      <c r="AX688" s="7" t="s">
        <v>5367</v>
      </c>
      <c r="AY688" s="7" t="s">
        <v>5360</v>
      </c>
      <c r="AZ688" s="7" t="s">
        <v>5368</v>
      </c>
      <c r="BA688" s="7" t="s">
        <v>5360</v>
      </c>
      <c r="BB688" s="7" t="s">
        <v>5369</v>
      </c>
      <c r="BC688" s="7" t="s">
        <v>413</v>
      </c>
      <c r="BD688" s="7"/>
      <c r="BE688" s="7" t="s">
        <v>127</v>
      </c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</row>
    <row r="689" customFormat="false" ht="15" hidden="false" customHeight="false" outlineLevel="0" collapsed="false">
      <c r="A689" s="7" t="s">
        <v>5370</v>
      </c>
      <c r="B689" s="7" t="s">
        <v>5371</v>
      </c>
      <c r="C689" s="7" t="s">
        <v>5372</v>
      </c>
      <c r="D689" s="7"/>
      <c r="E689" s="7" t="s">
        <v>101</v>
      </c>
      <c r="F689" s="7" t="s">
        <v>101</v>
      </c>
      <c r="G689" s="7"/>
      <c r="H689" s="7" t="s">
        <v>102</v>
      </c>
      <c r="I689" s="7" t="s">
        <v>132</v>
      </c>
      <c r="J689" s="7" t="s">
        <v>104</v>
      </c>
      <c r="K689" s="7" t="s">
        <v>105</v>
      </c>
      <c r="L689" s="7" t="s">
        <v>106</v>
      </c>
      <c r="M689" s="7" t="s">
        <v>5373</v>
      </c>
      <c r="N689" s="7" t="s">
        <v>5374</v>
      </c>
      <c r="O689" s="7"/>
      <c r="P689" s="7" t="s">
        <v>135</v>
      </c>
      <c r="Q689" s="7"/>
      <c r="R689" s="7" t="s">
        <v>135</v>
      </c>
      <c r="S689" s="7" t="s">
        <v>136</v>
      </c>
      <c r="T689" s="7" t="n">
        <v>0.764</v>
      </c>
      <c r="U689" s="7" t="n">
        <v>1</v>
      </c>
      <c r="V689" s="7" t="s">
        <v>90</v>
      </c>
      <c r="W689" s="7"/>
      <c r="X689" s="7"/>
      <c r="Y689" s="7" t="s">
        <v>5374</v>
      </c>
      <c r="Z689" s="7"/>
      <c r="AA689" s="7"/>
      <c r="AB689" s="7"/>
      <c r="AC689" s="7" t="n">
        <v>7</v>
      </c>
      <c r="AD689" s="7" t="s">
        <v>3223</v>
      </c>
      <c r="AE689" s="7" t="s">
        <v>744</v>
      </c>
      <c r="AF689" s="7" t="s">
        <v>1821</v>
      </c>
      <c r="AG689" s="7" t="s">
        <v>744</v>
      </c>
      <c r="AH689" s="7" t="s">
        <v>927</v>
      </c>
      <c r="AI689" s="7"/>
      <c r="AJ689" s="7"/>
      <c r="AK689" s="7" t="s">
        <v>5375</v>
      </c>
      <c r="AL689" s="7" t="s">
        <v>338</v>
      </c>
      <c r="AM689" s="7" t="s">
        <v>744</v>
      </c>
      <c r="AN689" s="7" t="s">
        <v>1822</v>
      </c>
      <c r="AO689" s="7" t="s">
        <v>744</v>
      </c>
      <c r="AP689" s="7" t="s">
        <v>1823</v>
      </c>
      <c r="AQ689" s="7" t="s">
        <v>744</v>
      </c>
      <c r="AR689" s="7" t="s">
        <v>1824</v>
      </c>
      <c r="AS689" s="7"/>
      <c r="AT689" s="7"/>
      <c r="AU689" s="7"/>
      <c r="AV689" s="7"/>
      <c r="AW689" s="7" t="s">
        <v>744</v>
      </c>
      <c r="AX689" s="7" t="s">
        <v>1825</v>
      </c>
      <c r="AY689" s="7"/>
      <c r="AZ689" s="7"/>
      <c r="BA689" s="7"/>
      <c r="BB689" s="7"/>
      <c r="BC689" s="7" t="s">
        <v>125</v>
      </c>
      <c r="BD689" s="7" t="s">
        <v>1830</v>
      </c>
      <c r="BE689" s="7" t="s">
        <v>127</v>
      </c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</row>
    <row r="690" customFormat="false" ht="15" hidden="false" customHeight="false" outlineLevel="0" collapsed="false">
      <c r="A690" s="7" t="s">
        <v>5376</v>
      </c>
      <c r="B690" s="7" t="s">
        <v>5377</v>
      </c>
      <c r="C690" s="7" t="s">
        <v>5378</v>
      </c>
      <c r="D690" s="7" t="s">
        <v>5379</v>
      </c>
      <c r="E690" s="7" t="s">
        <v>101</v>
      </c>
      <c r="F690" s="7" t="s">
        <v>101</v>
      </c>
      <c r="G690" s="7"/>
      <c r="H690" s="7" t="s">
        <v>102</v>
      </c>
      <c r="I690" s="7" t="s">
        <v>132</v>
      </c>
      <c r="J690" s="7" t="s">
        <v>104</v>
      </c>
      <c r="K690" s="7" t="s">
        <v>105</v>
      </c>
      <c r="L690" s="7" t="s">
        <v>106</v>
      </c>
      <c r="M690" s="7" t="s">
        <v>419</v>
      </c>
      <c r="N690" s="7" t="s">
        <v>5380</v>
      </c>
      <c r="O690" s="7" t="s">
        <v>5380</v>
      </c>
      <c r="P690" s="7" t="s">
        <v>135</v>
      </c>
      <c r="Q690" s="7"/>
      <c r="R690" s="7" t="s">
        <v>109</v>
      </c>
      <c r="S690" s="7" t="s">
        <v>110</v>
      </c>
      <c r="T690" s="7" t="n">
        <v>0.682</v>
      </c>
      <c r="U690" s="7" t="n">
        <v>1</v>
      </c>
      <c r="V690" s="7" t="s">
        <v>90</v>
      </c>
      <c r="W690" s="7"/>
      <c r="X690" s="7" t="s">
        <v>5381</v>
      </c>
      <c r="Y690" s="7"/>
      <c r="Z690" s="7" t="s">
        <v>5382</v>
      </c>
      <c r="AA690" s="7"/>
      <c r="AB690" s="7"/>
      <c r="AC690" s="7" t="n">
        <v>0</v>
      </c>
      <c r="AD690" s="7" t="s">
        <v>388</v>
      </c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 t="s">
        <v>427</v>
      </c>
      <c r="BD690" s="7" t="s">
        <v>440</v>
      </c>
      <c r="BE690" s="7" t="s">
        <v>127</v>
      </c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</row>
    <row r="691" customFormat="false" ht="15" hidden="false" customHeight="false" outlineLevel="0" collapsed="false">
      <c r="A691" s="7" t="s">
        <v>5383</v>
      </c>
      <c r="B691" s="7" t="s">
        <v>5384</v>
      </c>
      <c r="C691" s="7" t="s">
        <v>5385</v>
      </c>
      <c r="D691" s="7" t="s">
        <v>5386</v>
      </c>
      <c r="E691" s="7" t="s">
        <v>101</v>
      </c>
      <c r="F691" s="7" t="s">
        <v>101</v>
      </c>
      <c r="G691" s="7"/>
      <c r="H691" s="7" t="s">
        <v>102</v>
      </c>
      <c r="I691" s="7" t="s">
        <v>1104</v>
      </c>
      <c r="J691" s="7" t="s">
        <v>104</v>
      </c>
      <c r="K691" s="7" t="s">
        <v>105</v>
      </c>
      <c r="L691" s="7" t="s">
        <v>1106</v>
      </c>
      <c r="M691" s="7" t="s">
        <v>419</v>
      </c>
      <c r="N691" s="7" t="s">
        <v>5387</v>
      </c>
      <c r="O691" s="7" t="s">
        <v>5388</v>
      </c>
      <c r="P691" s="7" t="s">
        <v>135</v>
      </c>
      <c r="Q691" s="7"/>
      <c r="R691" s="7" t="s">
        <v>109</v>
      </c>
      <c r="S691" s="7" t="s">
        <v>110</v>
      </c>
      <c r="T691" s="7" t="n">
        <v>0.829</v>
      </c>
      <c r="U691" s="7" t="n">
        <v>1</v>
      </c>
      <c r="V691" s="7" t="s">
        <v>2781</v>
      </c>
      <c r="W691" s="7" t="s">
        <v>5389</v>
      </c>
      <c r="X691" s="7" t="s">
        <v>2340</v>
      </c>
      <c r="Y691" s="7" t="s">
        <v>5387</v>
      </c>
      <c r="Z691" s="7" t="s">
        <v>5390</v>
      </c>
      <c r="AA691" s="7"/>
      <c r="AB691" s="7"/>
      <c r="AC691" s="7" t="n">
        <v>7</v>
      </c>
      <c r="AD691" s="7" t="s">
        <v>2439</v>
      </c>
      <c r="AE691" s="7" t="s">
        <v>1065</v>
      </c>
      <c r="AF691" s="7" t="s">
        <v>5391</v>
      </c>
      <c r="AG691" s="7" t="s">
        <v>1065</v>
      </c>
      <c r="AH691" s="7" t="s">
        <v>5392</v>
      </c>
      <c r="AI691" s="7"/>
      <c r="AJ691" s="7"/>
      <c r="AK691" s="7"/>
      <c r="AL691" s="7"/>
      <c r="AM691" s="7" t="s">
        <v>1065</v>
      </c>
      <c r="AN691" s="7" t="s">
        <v>5393</v>
      </c>
      <c r="AO691" s="7" t="s">
        <v>1065</v>
      </c>
      <c r="AP691" s="7" t="s">
        <v>5386</v>
      </c>
      <c r="AQ691" s="7" t="s">
        <v>1065</v>
      </c>
      <c r="AR691" s="7" t="s">
        <v>819</v>
      </c>
      <c r="AS691" s="7" t="s">
        <v>1065</v>
      </c>
      <c r="AT691" s="7" t="s">
        <v>1856</v>
      </c>
      <c r="AU691" s="7"/>
      <c r="AV691" s="7"/>
      <c r="AW691" s="7"/>
      <c r="AX691" s="7"/>
      <c r="AY691" s="7"/>
      <c r="AZ691" s="7"/>
      <c r="BA691" s="7" t="s">
        <v>1065</v>
      </c>
      <c r="BB691" s="7" t="s">
        <v>3980</v>
      </c>
      <c r="BC691" s="7" t="s">
        <v>427</v>
      </c>
      <c r="BD691" s="7" t="s">
        <v>440</v>
      </c>
      <c r="BE691" s="7" t="s">
        <v>127</v>
      </c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</row>
    <row r="692" customFormat="false" ht="15" hidden="false" customHeight="false" outlineLevel="0" collapsed="false">
      <c r="A692" s="7" t="s">
        <v>5394</v>
      </c>
      <c r="B692" s="7" t="s">
        <v>5395</v>
      </c>
      <c r="C692" s="7" t="s">
        <v>5396</v>
      </c>
      <c r="D692" s="7" t="s">
        <v>5397</v>
      </c>
      <c r="E692" s="7" t="s">
        <v>101</v>
      </c>
      <c r="F692" s="7" t="s">
        <v>101</v>
      </c>
      <c r="G692" s="7"/>
      <c r="H692" s="7" t="s">
        <v>102</v>
      </c>
      <c r="I692" s="7" t="s">
        <v>1104</v>
      </c>
      <c r="J692" s="7" t="s">
        <v>104</v>
      </c>
      <c r="K692" s="7" t="s">
        <v>105</v>
      </c>
      <c r="L692" s="7" t="s">
        <v>1106</v>
      </c>
      <c r="M692" s="7" t="s">
        <v>419</v>
      </c>
      <c r="N692" s="7" t="s">
        <v>5398</v>
      </c>
      <c r="O692" s="7" t="s">
        <v>5399</v>
      </c>
      <c r="P692" s="7" t="s">
        <v>135</v>
      </c>
      <c r="Q692" s="7"/>
      <c r="R692" s="7" t="s">
        <v>109</v>
      </c>
      <c r="S692" s="7" t="s">
        <v>110</v>
      </c>
      <c r="T692" s="7" t="n">
        <v>0.644</v>
      </c>
      <c r="U692" s="7" t="n">
        <v>1</v>
      </c>
      <c r="V692" s="7" t="s">
        <v>3154</v>
      </c>
      <c r="W692" s="7" t="s">
        <v>3665</v>
      </c>
      <c r="X692" s="7" t="s">
        <v>5400</v>
      </c>
      <c r="Y692" s="7" t="s">
        <v>5398</v>
      </c>
      <c r="Z692" s="7" t="s">
        <v>5401</v>
      </c>
      <c r="AA692" s="7"/>
      <c r="AB692" s="7"/>
      <c r="AC692" s="7" t="n">
        <v>7</v>
      </c>
      <c r="AD692" s="7" t="s">
        <v>2439</v>
      </c>
      <c r="AE692" s="7" t="s">
        <v>1065</v>
      </c>
      <c r="AF692" s="7" t="s">
        <v>5402</v>
      </c>
      <c r="AG692" s="7" t="s">
        <v>1065</v>
      </c>
      <c r="AH692" s="7" t="s">
        <v>5403</v>
      </c>
      <c r="AI692" s="7"/>
      <c r="AJ692" s="7"/>
      <c r="AK692" s="7"/>
      <c r="AL692" s="7"/>
      <c r="AM692" s="7" t="s">
        <v>1065</v>
      </c>
      <c r="AN692" s="7" t="s">
        <v>5404</v>
      </c>
      <c r="AO692" s="7" t="s">
        <v>1065</v>
      </c>
      <c r="AP692" s="7" t="s">
        <v>5397</v>
      </c>
      <c r="AQ692" s="7" t="s">
        <v>1065</v>
      </c>
      <c r="AR692" s="7" t="s">
        <v>819</v>
      </c>
      <c r="AS692" s="7" t="s">
        <v>1065</v>
      </c>
      <c r="AT692" s="7" t="s">
        <v>216</v>
      </c>
      <c r="AU692" s="7"/>
      <c r="AV692" s="7"/>
      <c r="AW692" s="7"/>
      <c r="AX692" s="7"/>
      <c r="AY692" s="7"/>
      <c r="AZ692" s="7"/>
      <c r="BA692" s="7" t="s">
        <v>1065</v>
      </c>
      <c r="BB692" s="7" t="s">
        <v>4973</v>
      </c>
      <c r="BC692" s="7" t="s">
        <v>427</v>
      </c>
      <c r="BD692" s="7" t="s">
        <v>440</v>
      </c>
      <c r="BE692" s="7" t="s">
        <v>127</v>
      </c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</row>
    <row r="693" customFormat="false" ht="15" hidden="false" customHeight="false" outlineLevel="0" collapsed="false">
      <c r="A693" s="7" t="s">
        <v>5405</v>
      </c>
      <c r="B693" s="7" t="s">
        <v>5406</v>
      </c>
      <c r="C693" s="7" t="s">
        <v>5407</v>
      </c>
      <c r="D693" s="7" t="s">
        <v>5408</v>
      </c>
      <c r="E693" s="7" t="s">
        <v>101</v>
      </c>
      <c r="F693" s="7" t="s">
        <v>101</v>
      </c>
      <c r="G693" s="7"/>
      <c r="H693" s="7" t="s">
        <v>102</v>
      </c>
      <c r="I693" s="7" t="s">
        <v>132</v>
      </c>
      <c r="J693" s="7" t="s">
        <v>104</v>
      </c>
      <c r="K693" s="7" t="s">
        <v>105</v>
      </c>
      <c r="L693" s="7" t="s">
        <v>106</v>
      </c>
      <c r="M693" s="7" t="s">
        <v>5409</v>
      </c>
      <c r="N693" s="7" t="s">
        <v>5410</v>
      </c>
      <c r="O693" s="7" t="s">
        <v>5410</v>
      </c>
      <c r="P693" s="7" t="s">
        <v>135</v>
      </c>
      <c r="Q693" s="7"/>
      <c r="R693" s="7" t="s">
        <v>109</v>
      </c>
      <c r="S693" s="7" t="s">
        <v>110</v>
      </c>
      <c r="T693" s="7" t="n">
        <v>0.367</v>
      </c>
      <c r="U693" s="7" t="n">
        <v>1</v>
      </c>
      <c r="V693" s="7" t="s">
        <v>90</v>
      </c>
      <c r="W693" s="7" t="s">
        <v>597</v>
      </c>
      <c r="X693" s="7" t="s">
        <v>4254</v>
      </c>
      <c r="Y693" s="7" t="s">
        <v>5410</v>
      </c>
      <c r="Z693" s="7" t="s">
        <v>5411</v>
      </c>
      <c r="AA693" s="7"/>
      <c r="AB693" s="7"/>
      <c r="AC693" s="7" t="n">
        <v>0</v>
      </c>
      <c r="AD693" s="7" t="s">
        <v>388</v>
      </c>
      <c r="AE693" s="7" t="s">
        <v>5360</v>
      </c>
      <c r="AF693" s="7" t="s">
        <v>5412</v>
      </c>
      <c r="AG693" s="7" t="s">
        <v>5360</v>
      </c>
      <c r="AH693" s="7" t="s">
        <v>5413</v>
      </c>
      <c r="AI693" s="7" t="s">
        <v>5360</v>
      </c>
      <c r="AJ693" s="7" t="s">
        <v>145</v>
      </c>
      <c r="AK693" s="7" t="s">
        <v>5360</v>
      </c>
      <c r="AL693" s="7" t="s">
        <v>145</v>
      </c>
      <c r="AM693" s="7" t="s">
        <v>5360</v>
      </c>
      <c r="AN693" s="7" t="s">
        <v>145</v>
      </c>
      <c r="AO693" s="7" t="s">
        <v>5360</v>
      </c>
      <c r="AP693" s="7" t="s">
        <v>5414</v>
      </c>
      <c r="AQ693" s="7" t="s">
        <v>5360</v>
      </c>
      <c r="AR693" s="7" t="s">
        <v>5415</v>
      </c>
      <c r="AS693" s="7" t="s">
        <v>5360</v>
      </c>
      <c r="AT693" s="7" t="s">
        <v>2867</v>
      </c>
      <c r="AU693" s="7" t="s">
        <v>5360</v>
      </c>
      <c r="AV693" s="7" t="s">
        <v>145</v>
      </c>
      <c r="AW693" s="7" t="s">
        <v>5360</v>
      </c>
      <c r="AX693" s="7" t="s">
        <v>145</v>
      </c>
      <c r="AY693" s="7" t="s">
        <v>5360</v>
      </c>
      <c r="AZ693" s="7" t="s">
        <v>145</v>
      </c>
      <c r="BA693" s="7" t="s">
        <v>5360</v>
      </c>
      <c r="BB693" s="7" t="s">
        <v>158</v>
      </c>
      <c r="BC693" s="7" t="s">
        <v>413</v>
      </c>
      <c r="BD693" s="7"/>
      <c r="BE693" s="7" t="s">
        <v>127</v>
      </c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</row>
    <row r="694" customFormat="false" ht="15" hidden="false" customHeight="false" outlineLevel="0" collapsed="false">
      <c r="A694" s="7" t="s">
        <v>5416</v>
      </c>
      <c r="B694" s="7" t="s">
        <v>5417</v>
      </c>
      <c r="C694" s="7" t="s">
        <v>4570</v>
      </c>
      <c r="D694" s="7" t="s">
        <v>2076</v>
      </c>
      <c r="E694" s="7" t="s">
        <v>101</v>
      </c>
      <c r="F694" s="7" t="s">
        <v>82</v>
      </c>
      <c r="G694" s="7"/>
      <c r="H694" s="7" t="s">
        <v>102</v>
      </c>
      <c r="I694" s="7" t="s">
        <v>132</v>
      </c>
      <c r="J694" s="7" t="s">
        <v>104</v>
      </c>
      <c r="K694" s="7" t="s">
        <v>105</v>
      </c>
      <c r="L694" s="7" t="s">
        <v>106</v>
      </c>
      <c r="M694" s="7" t="s">
        <v>5418</v>
      </c>
      <c r="N694" s="7" t="s">
        <v>5419</v>
      </c>
      <c r="O694" s="7" t="s">
        <v>5419</v>
      </c>
      <c r="P694" s="7" t="s">
        <v>135</v>
      </c>
      <c r="Q694" s="7"/>
      <c r="R694" s="7" t="s">
        <v>109</v>
      </c>
      <c r="S694" s="7" t="s">
        <v>110</v>
      </c>
      <c r="T694" s="7" t="n">
        <v>0.732</v>
      </c>
      <c r="U694" s="7" t="n">
        <v>1</v>
      </c>
      <c r="V694" s="7" t="s">
        <v>90</v>
      </c>
      <c r="W694" s="7"/>
      <c r="X694" s="7"/>
      <c r="Y694" s="7" t="s">
        <v>5419</v>
      </c>
      <c r="Z694" s="7"/>
      <c r="AA694" s="7"/>
      <c r="AB694" s="7"/>
      <c r="AC694" s="7" t="n">
        <v>4</v>
      </c>
      <c r="AD694" s="7" t="s">
        <v>5420</v>
      </c>
      <c r="AE694" s="7" t="s">
        <v>265</v>
      </c>
      <c r="AF694" s="7" t="s">
        <v>5421</v>
      </c>
      <c r="AG694" s="7"/>
      <c r="AH694" s="7"/>
      <c r="AI694" s="7"/>
      <c r="AJ694" s="7"/>
      <c r="AK694" s="7"/>
      <c r="AL694" s="7"/>
      <c r="AM694" s="7"/>
      <c r="AN694" s="7"/>
      <c r="AO694" s="7" t="s">
        <v>265</v>
      </c>
      <c r="AP694" s="7" t="s">
        <v>2724</v>
      </c>
      <c r="AQ694" s="7" t="s">
        <v>265</v>
      </c>
      <c r="AR694" s="7" t="s">
        <v>82</v>
      </c>
      <c r="AS694" s="7" t="s">
        <v>265</v>
      </c>
      <c r="AT694" s="7" t="s">
        <v>122</v>
      </c>
      <c r="AU694" s="7"/>
      <c r="AV694" s="7"/>
      <c r="AW694" s="7"/>
      <c r="AX694" s="7"/>
      <c r="AY694" s="7"/>
      <c r="AZ694" s="7"/>
      <c r="BA694" s="7"/>
      <c r="BB694" s="7"/>
      <c r="BC694" s="7" t="s">
        <v>125</v>
      </c>
      <c r="BD694" s="7" t="s">
        <v>220</v>
      </c>
      <c r="BE694" s="7" t="s">
        <v>127</v>
      </c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</row>
    <row r="695" customFormat="false" ht="15" hidden="false" customHeight="false" outlineLevel="0" collapsed="false">
      <c r="A695" s="7" t="s">
        <v>5422</v>
      </c>
      <c r="B695" s="7" t="s">
        <v>5423</v>
      </c>
      <c r="C695" s="7" t="s">
        <v>5424</v>
      </c>
      <c r="D695" s="7" t="s">
        <v>5425</v>
      </c>
      <c r="E695" s="7" t="s">
        <v>101</v>
      </c>
      <c r="F695" s="7" t="s">
        <v>101</v>
      </c>
      <c r="G695" s="7"/>
      <c r="H695" s="7" t="s">
        <v>102</v>
      </c>
      <c r="I695" s="7" t="s">
        <v>132</v>
      </c>
      <c r="J695" s="7" t="s">
        <v>104</v>
      </c>
      <c r="K695" s="7" t="s">
        <v>105</v>
      </c>
      <c r="L695" s="7" t="s">
        <v>106</v>
      </c>
      <c r="M695" s="7" t="s">
        <v>419</v>
      </c>
      <c r="N695" s="7" t="s">
        <v>5426</v>
      </c>
      <c r="O695" s="7" t="s">
        <v>5426</v>
      </c>
      <c r="P695" s="7" t="s">
        <v>135</v>
      </c>
      <c r="Q695" s="7"/>
      <c r="R695" s="7" t="s">
        <v>109</v>
      </c>
      <c r="S695" s="7" t="s">
        <v>110</v>
      </c>
      <c r="T695" s="7" t="n">
        <v>0.257</v>
      </c>
      <c r="U695" s="7" t="n">
        <v>1</v>
      </c>
      <c r="V695" s="7" t="s">
        <v>2781</v>
      </c>
      <c r="W695" s="7"/>
      <c r="X695" s="7" t="s">
        <v>5427</v>
      </c>
      <c r="Y695" s="7"/>
      <c r="Z695" s="7" t="s">
        <v>5428</v>
      </c>
      <c r="AA695" s="7"/>
      <c r="AB695" s="7"/>
      <c r="AC695" s="7" t="n">
        <v>2</v>
      </c>
      <c r="AD695" s="7" t="s">
        <v>1954</v>
      </c>
      <c r="AE695" s="7"/>
      <c r="AF695" s="7"/>
      <c r="AG695" s="7" t="s">
        <v>1955</v>
      </c>
      <c r="AH695" s="7" t="s">
        <v>1956</v>
      </c>
      <c r="AI695" s="7"/>
      <c r="AJ695" s="7"/>
      <c r="AK695" s="7"/>
      <c r="AL695" s="7"/>
      <c r="AM695" s="7" t="s">
        <v>1955</v>
      </c>
      <c r="AN695" s="7" t="s">
        <v>1957</v>
      </c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 t="s">
        <v>427</v>
      </c>
      <c r="BD695" s="7" t="s">
        <v>440</v>
      </c>
      <c r="BE695" s="7" t="s">
        <v>127</v>
      </c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</row>
    <row r="696" customFormat="false" ht="15" hidden="false" customHeight="false" outlineLevel="0" collapsed="false">
      <c r="A696" s="7" t="s">
        <v>5429</v>
      </c>
      <c r="B696" s="7" t="s">
        <v>5430</v>
      </c>
      <c r="C696" s="7" t="s">
        <v>5431</v>
      </c>
      <c r="D696" s="7" t="s">
        <v>5432</v>
      </c>
      <c r="E696" s="7" t="s">
        <v>101</v>
      </c>
      <c r="F696" s="7" t="s">
        <v>101</v>
      </c>
      <c r="G696" s="7"/>
      <c r="H696" s="7" t="s">
        <v>102</v>
      </c>
      <c r="I696" s="7" t="s">
        <v>158</v>
      </c>
      <c r="J696" s="7" t="s">
        <v>104</v>
      </c>
      <c r="K696" s="7" t="s">
        <v>105</v>
      </c>
      <c r="L696" s="7" t="s">
        <v>5433</v>
      </c>
      <c r="M696" s="7" t="s">
        <v>419</v>
      </c>
      <c r="N696" s="7" t="s">
        <v>5434</v>
      </c>
      <c r="O696" s="7" t="s">
        <v>5434</v>
      </c>
      <c r="P696" s="7" t="s">
        <v>135</v>
      </c>
      <c r="Q696" s="7"/>
      <c r="R696" s="7" t="s">
        <v>109</v>
      </c>
      <c r="S696" s="7" t="s">
        <v>110</v>
      </c>
      <c r="T696" s="7" t="n">
        <v>0.345</v>
      </c>
      <c r="U696" s="7" t="n">
        <v>1</v>
      </c>
      <c r="V696" s="7" t="s">
        <v>90</v>
      </c>
      <c r="W696" s="7"/>
      <c r="X696" s="7" t="s">
        <v>5435</v>
      </c>
      <c r="Y696" s="7"/>
      <c r="Z696" s="7" t="s">
        <v>5436</v>
      </c>
      <c r="AA696" s="7"/>
      <c r="AB696" s="7"/>
      <c r="AC696" s="7" t="n">
        <v>0</v>
      </c>
      <c r="AD696" s="7" t="s">
        <v>388</v>
      </c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 t="s">
        <v>427</v>
      </c>
      <c r="BD696" s="7" t="s">
        <v>440</v>
      </c>
      <c r="BE696" s="7" t="s">
        <v>127</v>
      </c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</row>
    <row r="697" customFormat="false" ht="15" hidden="false" customHeight="false" outlineLevel="0" collapsed="false">
      <c r="A697" s="7" t="s">
        <v>5437</v>
      </c>
      <c r="B697" s="7" t="s">
        <v>5438</v>
      </c>
      <c r="C697" s="7" t="s">
        <v>5439</v>
      </c>
      <c r="D697" s="7" t="s">
        <v>5440</v>
      </c>
      <c r="E697" s="7" t="s">
        <v>101</v>
      </c>
      <c r="F697" s="7" t="s">
        <v>82</v>
      </c>
      <c r="G697" s="7"/>
      <c r="H697" s="7" t="s">
        <v>102</v>
      </c>
      <c r="I697" s="7" t="s">
        <v>1726</v>
      </c>
      <c r="J697" s="7" t="s">
        <v>104</v>
      </c>
      <c r="K697" s="7" t="s">
        <v>105</v>
      </c>
      <c r="L697" s="7" t="s">
        <v>106</v>
      </c>
      <c r="M697" s="7" t="s">
        <v>5441</v>
      </c>
      <c r="N697" s="7" t="s">
        <v>5442</v>
      </c>
      <c r="O697" s="7" t="s">
        <v>5442</v>
      </c>
      <c r="P697" s="7" t="s">
        <v>135</v>
      </c>
      <c r="Q697" s="7"/>
      <c r="R697" s="7" t="s">
        <v>109</v>
      </c>
      <c r="S697" s="7" t="s">
        <v>110</v>
      </c>
      <c r="T697" s="7" t="n">
        <v>0.173</v>
      </c>
      <c r="U697" s="7" t="n">
        <v>1</v>
      </c>
      <c r="V697" s="7" t="s">
        <v>90</v>
      </c>
      <c r="W697" s="7"/>
      <c r="X697" s="7"/>
      <c r="Y697" s="7" t="s">
        <v>5442</v>
      </c>
      <c r="Z697" s="7"/>
      <c r="AA697" s="7"/>
      <c r="AB697" s="7"/>
      <c r="AC697" s="7" t="n">
        <v>0</v>
      </c>
      <c r="AD697" s="7" t="s">
        <v>388</v>
      </c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 t="s">
        <v>219</v>
      </c>
      <c r="BD697" s="7" t="s">
        <v>1606</v>
      </c>
      <c r="BE697" s="7" t="s">
        <v>127</v>
      </c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</row>
    <row r="698" customFormat="false" ht="15" hidden="false" customHeight="false" outlineLevel="0" collapsed="false">
      <c r="A698" s="7" t="s">
        <v>5443</v>
      </c>
      <c r="B698" s="7" t="s">
        <v>5444</v>
      </c>
      <c r="C698" s="7" t="s">
        <v>5445</v>
      </c>
      <c r="D698" s="7" t="s">
        <v>5266</v>
      </c>
      <c r="E698" s="7" t="s">
        <v>101</v>
      </c>
      <c r="F698" s="7" t="s">
        <v>101</v>
      </c>
      <c r="G698" s="7"/>
      <c r="H698" s="7" t="s">
        <v>102</v>
      </c>
      <c r="I698" s="7" t="s">
        <v>158</v>
      </c>
      <c r="J698" s="7" t="s">
        <v>104</v>
      </c>
      <c r="K698" s="7" t="s">
        <v>105</v>
      </c>
      <c r="L698" s="7" t="s">
        <v>106</v>
      </c>
      <c r="M698" s="7" t="s">
        <v>5446</v>
      </c>
      <c r="N698" s="7" t="s">
        <v>5447</v>
      </c>
      <c r="O698" s="7" t="s">
        <v>5447</v>
      </c>
      <c r="P698" s="7" t="s">
        <v>135</v>
      </c>
      <c r="Q698" s="7"/>
      <c r="R698" s="7" t="s">
        <v>109</v>
      </c>
      <c r="S698" s="7" t="s">
        <v>110</v>
      </c>
      <c r="T698" s="7" t="n">
        <v>0.167</v>
      </c>
      <c r="U698" s="7" t="n">
        <v>1</v>
      </c>
      <c r="V698" s="7" t="s">
        <v>90</v>
      </c>
      <c r="W698" s="7"/>
      <c r="X698" s="7"/>
      <c r="Y698" s="7"/>
      <c r="Z698" s="7"/>
      <c r="AA698" s="7"/>
      <c r="AB698" s="7"/>
      <c r="AC698" s="7" t="n">
        <v>0</v>
      </c>
      <c r="AD698" s="7" t="s">
        <v>388</v>
      </c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 t="s">
        <v>219</v>
      </c>
      <c r="BD698" s="7" t="s">
        <v>440</v>
      </c>
      <c r="BE698" s="7" t="s">
        <v>127</v>
      </c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</row>
    <row r="699" customFormat="false" ht="15" hidden="false" customHeight="false" outlineLevel="0" collapsed="false">
      <c r="A699" s="7" t="s">
        <v>5448</v>
      </c>
      <c r="B699" s="7" t="s">
        <v>5449</v>
      </c>
      <c r="C699" s="7" t="s">
        <v>5450</v>
      </c>
      <c r="D699" s="7" t="s">
        <v>5451</v>
      </c>
      <c r="E699" s="7" t="s">
        <v>101</v>
      </c>
      <c r="F699" s="7" t="s">
        <v>101</v>
      </c>
      <c r="G699" s="7"/>
      <c r="H699" s="7" t="s">
        <v>102</v>
      </c>
      <c r="I699" s="7" t="s">
        <v>158</v>
      </c>
      <c r="J699" s="7" t="s">
        <v>104</v>
      </c>
      <c r="K699" s="7" t="s">
        <v>105</v>
      </c>
      <c r="L699" s="7" t="s">
        <v>106</v>
      </c>
      <c r="M699" s="7" t="s">
        <v>5452</v>
      </c>
      <c r="N699" s="7" t="s">
        <v>5453</v>
      </c>
      <c r="O699" s="7" t="s">
        <v>5453</v>
      </c>
      <c r="P699" s="7" t="s">
        <v>135</v>
      </c>
      <c r="Q699" s="7"/>
      <c r="R699" s="7" t="s">
        <v>84</v>
      </c>
      <c r="S699" s="7" t="s">
        <v>238</v>
      </c>
      <c r="T699" s="7" t="n">
        <v>0.15</v>
      </c>
      <c r="U699" s="7" t="n">
        <v>1</v>
      </c>
      <c r="V699" s="7" t="s">
        <v>2781</v>
      </c>
      <c r="W699" s="7" t="s">
        <v>5454</v>
      </c>
      <c r="X699" s="7" t="s">
        <v>5455</v>
      </c>
      <c r="Y699" s="7" t="s">
        <v>5453</v>
      </c>
      <c r="Z699" s="7" t="s">
        <v>5456</v>
      </c>
      <c r="AA699" s="7"/>
      <c r="AB699" s="7"/>
      <c r="AC699" s="7" t="n">
        <v>12</v>
      </c>
      <c r="AD699" s="7"/>
      <c r="AE699" s="7" t="s">
        <v>1848</v>
      </c>
      <c r="AF699" s="7" t="s">
        <v>5457</v>
      </c>
      <c r="AG699" s="7" t="s">
        <v>1848</v>
      </c>
      <c r="AH699" s="7" t="s">
        <v>5458</v>
      </c>
      <c r="AI699" s="7" t="s">
        <v>1848</v>
      </c>
      <c r="AJ699" s="7" t="s">
        <v>145</v>
      </c>
      <c r="AK699" s="7" t="s">
        <v>1848</v>
      </c>
      <c r="AL699" s="7" t="s">
        <v>145</v>
      </c>
      <c r="AM699" s="7" t="s">
        <v>115</v>
      </c>
      <c r="AN699" s="7" t="s">
        <v>5459</v>
      </c>
      <c r="AO699" s="7" t="s">
        <v>1848</v>
      </c>
      <c r="AP699" s="7" t="s">
        <v>5460</v>
      </c>
      <c r="AQ699" s="7" t="s">
        <v>1848</v>
      </c>
      <c r="AR699" s="7" t="s">
        <v>5461</v>
      </c>
      <c r="AS699" s="7" t="s">
        <v>1848</v>
      </c>
      <c r="AT699" s="7" t="s">
        <v>216</v>
      </c>
      <c r="AU699" s="7" t="s">
        <v>1848</v>
      </c>
      <c r="AV699" s="7" t="s">
        <v>5462</v>
      </c>
      <c r="AW699" s="7" t="s">
        <v>1848</v>
      </c>
      <c r="AX699" s="7" t="s">
        <v>145</v>
      </c>
      <c r="AY699" s="7" t="s">
        <v>1848</v>
      </c>
      <c r="AZ699" s="7" t="s">
        <v>5463</v>
      </c>
      <c r="BA699" s="7" t="s">
        <v>1848</v>
      </c>
      <c r="BB699" s="7" t="s">
        <v>5464</v>
      </c>
      <c r="BC699" s="7" t="s">
        <v>413</v>
      </c>
      <c r="BD699" s="7" t="s">
        <v>440</v>
      </c>
      <c r="BE699" s="7" t="s">
        <v>127</v>
      </c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</row>
    <row r="700" customFormat="false" ht="15" hidden="false" customHeight="false" outlineLevel="0" collapsed="false">
      <c r="A700" s="7" t="s">
        <v>5465</v>
      </c>
      <c r="B700" s="7" t="s">
        <v>5466</v>
      </c>
      <c r="C700" s="7" t="s">
        <v>5467</v>
      </c>
      <c r="D700" s="7" t="s">
        <v>5468</v>
      </c>
      <c r="E700" s="7" t="s">
        <v>101</v>
      </c>
      <c r="F700" s="7" t="s">
        <v>101</v>
      </c>
      <c r="G700" s="7"/>
      <c r="H700" s="7" t="s">
        <v>102</v>
      </c>
      <c r="I700" s="7" t="s">
        <v>158</v>
      </c>
      <c r="J700" s="7" t="s">
        <v>104</v>
      </c>
      <c r="K700" s="7" t="s">
        <v>105</v>
      </c>
      <c r="L700" s="7" t="s">
        <v>353</v>
      </c>
      <c r="M700" s="7" t="s">
        <v>5469</v>
      </c>
      <c r="N700" s="7" t="s">
        <v>5470</v>
      </c>
      <c r="O700" s="7" t="s">
        <v>5470</v>
      </c>
      <c r="P700" s="7" t="s">
        <v>135</v>
      </c>
      <c r="Q700" s="7"/>
      <c r="R700" s="7" t="s">
        <v>109</v>
      </c>
      <c r="S700" s="7" t="s">
        <v>110</v>
      </c>
      <c r="T700" s="7" t="n">
        <v>0.635</v>
      </c>
      <c r="U700" s="7" t="n">
        <v>1</v>
      </c>
      <c r="V700" s="7" t="s">
        <v>90</v>
      </c>
      <c r="W700" s="7"/>
      <c r="X700" s="7"/>
      <c r="Y700" s="7"/>
      <c r="Z700" s="7"/>
      <c r="AA700" s="7"/>
      <c r="AB700" s="7"/>
      <c r="AC700" s="7" t="n">
        <v>0</v>
      </c>
      <c r="AD700" s="7" t="s">
        <v>388</v>
      </c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 t="s">
        <v>125</v>
      </c>
      <c r="BD700" s="7" t="s">
        <v>2797</v>
      </c>
      <c r="BE700" s="7" t="s">
        <v>127</v>
      </c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</row>
    <row r="701" customFormat="false" ht="15" hidden="false" customHeight="false" outlineLevel="0" collapsed="false">
      <c r="A701" s="7" t="s">
        <v>5471</v>
      </c>
      <c r="B701" s="7" t="s">
        <v>5472</v>
      </c>
      <c r="C701" s="7" t="s">
        <v>5473</v>
      </c>
      <c r="D701" s="7" t="s">
        <v>5474</v>
      </c>
      <c r="E701" s="7" t="s">
        <v>101</v>
      </c>
      <c r="F701" s="7" t="s">
        <v>101</v>
      </c>
      <c r="G701" s="7"/>
      <c r="H701" s="7" t="s">
        <v>102</v>
      </c>
      <c r="I701" s="7" t="s">
        <v>158</v>
      </c>
      <c r="J701" s="7" t="s">
        <v>104</v>
      </c>
      <c r="K701" s="7" t="s">
        <v>105</v>
      </c>
      <c r="L701" s="7" t="s">
        <v>106</v>
      </c>
      <c r="M701" s="7" t="s">
        <v>5475</v>
      </c>
      <c r="N701" s="7" t="s">
        <v>5476</v>
      </c>
      <c r="O701" s="7" t="s">
        <v>5476</v>
      </c>
      <c r="P701" s="7" t="s">
        <v>135</v>
      </c>
      <c r="Q701" s="7"/>
      <c r="R701" s="7" t="s">
        <v>84</v>
      </c>
      <c r="S701" s="7" t="s">
        <v>238</v>
      </c>
      <c r="T701" s="7" t="n">
        <v>0.574</v>
      </c>
      <c r="U701" s="7" t="n">
        <v>1</v>
      </c>
      <c r="V701" s="7" t="s">
        <v>2781</v>
      </c>
      <c r="W701" s="7" t="s">
        <v>5477</v>
      </c>
      <c r="X701" s="7" t="s">
        <v>2890</v>
      </c>
      <c r="Y701" s="7" t="s">
        <v>5476</v>
      </c>
      <c r="Z701" s="7" t="s">
        <v>5478</v>
      </c>
      <c r="AA701" s="7"/>
      <c r="AB701" s="7"/>
      <c r="AC701" s="7" t="n">
        <v>12</v>
      </c>
      <c r="AD701" s="7"/>
      <c r="AE701" s="7" t="s">
        <v>1848</v>
      </c>
      <c r="AF701" s="7" t="s">
        <v>5479</v>
      </c>
      <c r="AG701" s="7" t="s">
        <v>115</v>
      </c>
      <c r="AH701" s="7" t="s">
        <v>5480</v>
      </c>
      <c r="AI701" s="7" t="s">
        <v>1848</v>
      </c>
      <c r="AJ701" s="7" t="s">
        <v>5481</v>
      </c>
      <c r="AK701" s="7" t="s">
        <v>1848</v>
      </c>
      <c r="AL701" s="7" t="s">
        <v>145</v>
      </c>
      <c r="AM701" s="7" t="s">
        <v>1848</v>
      </c>
      <c r="AN701" s="7" t="s">
        <v>5482</v>
      </c>
      <c r="AO701" s="7" t="s">
        <v>1848</v>
      </c>
      <c r="AP701" s="7" t="s">
        <v>5483</v>
      </c>
      <c r="AQ701" s="7" t="s">
        <v>1848</v>
      </c>
      <c r="AR701" s="7" t="s">
        <v>5484</v>
      </c>
      <c r="AS701" s="7" t="s">
        <v>1848</v>
      </c>
      <c r="AT701" s="7" t="s">
        <v>216</v>
      </c>
      <c r="AU701" s="7" t="s">
        <v>1848</v>
      </c>
      <c r="AV701" s="7" t="s">
        <v>5485</v>
      </c>
      <c r="AW701" s="7" t="s">
        <v>1848</v>
      </c>
      <c r="AX701" s="7" t="s">
        <v>145</v>
      </c>
      <c r="AY701" s="7" t="s">
        <v>1848</v>
      </c>
      <c r="AZ701" s="7" t="s">
        <v>145</v>
      </c>
      <c r="BA701" s="7" t="s">
        <v>1848</v>
      </c>
      <c r="BB701" s="7" t="s">
        <v>5486</v>
      </c>
      <c r="BC701" s="7" t="s">
        <v>413</v>
      </c>
      <c r="BD701" s="7" t="s">
        <v>440</v>
      </c>
      <c r="BE701" s="7" t="s">
        <v>127</v>
      </c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</row>
    <row r="702" customFormat="false" ht="15" hidden="false" customHeight="false" outlineLevel="0" collapsed="false">
      <c r="A702" s="7" t="s">
        <v>5487</v>
      </c>
      <c r="B702" s="7" t="s">
        <v>5488</v>
      </c>
      <c r="C702" s="7" t="s">
        <v>5489</v>
      </c>
      <c r="D702" s="7" t="s">
        <v>5490</v>
      </c>
      <c r="E702" s="7" t="s">
        <v>101</v>
      </c>
      <c r="F702" s="7" t="s">
        <v>101</v>
      </c>
      <c r="G702" s="7"/>
      <c r="H702" s="7" t="s">
        <v>102</v>
      </c>
      <c r="I702" s="7" t="s">
        <v>158</v>
      </c>
      <c r="J702" s="7" t="s">
        <v>104</v>
      </c>
      <c r="K702" s="7" t="s">
        <v>105</v>
      </c>
      <c r="L702" s="7" t="s">
        <v>353</v>
      </c>
      <c r="M702" s="7" t="s">
        <v>4130</v>
      </c>
      <c r="N702" s="7" t="s">
        <v>5491</v>
      </c>
      <c r="O702" s="7"/>
      <c r="P702" s="7" t="s">
        <v>135</v>
      </c>
      <c r="Q702" s="7"/>
      <c r="R702" s="7"/>
      <c r="S702" s="7"/>
      <c r="T702" s="7" t="n">
        <v>0.22</v>
      </c>
      <c r="U702" s="7" t="n">
        <v>1</v>
      </c>
      <c r="V702" s="7" t="s">
        <v>90</v>
      </c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 t="s">
        <v>1848</v>
      </c>
      <c r="AH702" s="7" t="s">
        <v>1956</v>
      </c>
      <c r="AI702" s="7"/>
      <c r="AJ702" s="7"/>
      <c r="AK702" s="7"/>
      <c r="AL702" s="7"/>
      <c r="AM702" s="7" t="s">
        <v>1848</v>
      </c>
      <c r="AN702" s="7" t="s">
        <v>1957</v>
      </c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 t="s">
        <v>427</v>
      </c>
      <c r="BD702" s="7" t="s">
        <v>440</v>
      </c>
      <c r="BE702" s="7" t="s">
        <v>127</v>
      </c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</row>
    <row r="703" customFormat="false" ht="15" hidden="false" customHeight="false" outlineLevel="0" collapsed="false">
      <c r="A703" s="7" t="s">
        <v>5492</v>
      </c>
      <c r="B703" s="7" t="s">
        <v>5493</v>
      </c>
      <c r="C703" s="7" t="s">
        <v>5494</v>
      </c>
      <c r="D703" s="7" t="s">
        <v>5495</v>
      </c>
      <c r="E703" s="7" t="s">
        <v>101</v>
      </c>
      <c r="F703" s="7" t="s">
        <v>101</v>
      </c>
      <c r="G703" s="7"/>
      <c r="H703" s="7" t="s">
        <v>102</v>
      </c>
      <c r="I703" s="7" t="s">
        <v>158</v>
      </c>
      <c r="J703" s="7" t="s">
        <v>104</v>
      </c>
      <c r="K703" s="7" t="s">
        <v>105</v>
      </c>
      <c r="L703" s="7" t="s">
        <v>353</v>
      </c>
      <c r="M703" s="7" t="s">
        <v>4130</v>
      </c>
      <c r="N703" s="7" t="s">
        <v>5496</v>
      </c>
      <c r="O703" s="7"/>
      <c r="P703" s="7" t="s">
        <v>135</v>
      </c>
      <c r="Q703" s="7"/>
      <c r="R703" s="7"/>
      <c r="S703" s="7"/>
      <c r="T703" s="7" t="n">
        <v>0.513</v>
      </c>
      <c r="U703" s="7" t="n">
        <v>1</v>
      </c>
      <c r="V703" s="7" t="s">
        <v>90</v>
      </c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 t="s">
        <v>1848</v>
      </c>
      <c r="AH703" s="7" t="s">
        <v>1956</v>
      </c>
      <c r="AI703" s="7"/>
      <c r="AJ703" s="7"/>
      <c r="AK703" s="7"/>
      <c r="AL703" s="7"/>
      <c r="AM703" s="7" t="s">
        <v>1848</v>
      </c>
      <c r="AN703" s="7" t="s">
        <v>1957</v>
      </c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 t="s">
        <v>427</v>
      </c>
      <c r="BD703" s="7" t="s">
        <v>440</v>
      </c>
      <c r="BE703" s="7" t="s">
        <v>127</v>
      </c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</row>
    <row r="704" customFormat="false" ht="15" hidden="false" customHeight="false" outlineLevel="0" collapsed="false">
      <c r="A704" s="7" t="s">
        <v>5497</v>
      </c>
      <c r="B704" s="7" t="s">
        <v>5498</v>
      </c>
      <c r="C704" s="7" t="s">
        <v>5499</v>
      </c>
      <c r="D704" s="7" t="s">
        <v>5500</v>
      </c>
      <c r="E704" s="7" t="s">
        <v>101</v>
      </c>
      <c r="F704" s="7" t="s">
        <v>101</v>
      </c>
      <c r="G704" s="7"/>
      <c r="H704" s="7" t="s">
        <v>102</v>
      </c>
      <c r="I704" s="7" t="s">
        <v>158</v>
      </c>
      <c r="J704" s="7" t="s">
        <v>104</v>
      </c>
      <c r="K704" s="7" t="s">
        <v>105</v>
      </c>
      <c r="L704" s="7" t="s">
        <v>106</v>
      </c>
      <c r="M704" s="7" t="s">
        <v>4130</v>
      </c>
      <c r="N704" s="7" t="s">
        <v>5501</v>
      </c>
      <c r="O704" s="7" t="s">
        <v>5501</v>
      </c>
      <c r="P704" s="7" t="s">
        <v>135</v>
      </c>
      <c r="Q704" s="7"/>
      <c r="R704" s="7" t="s">
        <v>109</v>
      </c>
      <c r="S704" s="7" t="s">
        <v>110</v>
      </c>
      <c r="T704" s="7" t="n">
        <v>0.158</v>
      </c>
      <c r="U704" s="7" t="n">
        <v>1</v>
      </c>
      <c r="V704" s="7" t="s">
        <v>90</v>
      </c>
      <c r="W704" s="7"/>
      <c r="X704" s="7"/>
      <c r="Y704" s="7"/>
      <c r="Z704" s="7"/>
      <c r="AA704" s="7"/>
      <c r="AB704" s="7"/>
      <c r="AC704" s="7" t="n">
        <v>2</v>
      </c>
      <c r="AD704" s="7" t="s">
        <v>1954</v>
      </c>
      <c r="AE704" s="7"/>
      <c r="AF704" s="7"/>
      <c r="AG704" s="7" t="s">
        <v>1848</v>
      </c>
      <c r="AH704" s="7" t="s">
        <v>1956</v>
      </c>
      <c r="AI704" s="7"/>
      <c r="AJ704" s="7"/>
      <c r="AK704" s="7"/>
      <c r="AL704" s="7"/>
      <c r="AM704" s="7" t="s">
        <v>1848</v>
      </c>
      <c r="AN704" s="7" t="s">
        <v>1957</v>
      </c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 t="s">
        <v>427</v>
      </c>
      <c r="BD704" s="7" t="s">
        <v>440</v>
      </c>
      <c r="BE704" s="7" t="s">
        <v>127</v>
      </c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</row>
    <row r="705" customFormat="false" ht="15" hidden="false" customHeight="false" outlineLevel="0" collapsed="false">
      <c r="A705" s="7" t="s">
        <v>5502</v>
      </c>
      <c r="B705" s="7" t="s">
        <v>5503</v>
      </c>
      <c r="C705" s="7" t="s">
        <v>5504</v>
      </c>
      <c r="D705" s="7" t="s">
        <v>5505</v>
      </c>
      <c r="E705" s="7" t="s">
        <v>101</v>
      </c>
      <c r="F705" s="7" t="s">
        <v>101</v>
      </c>
      <c r="G705" s="7"/>
      <c r="H705" s="7" t="s">
        <v>102</v>
      </c>
      <c r="I705" s="7" t="s">
        <v>158</v>
      </c>
      <c r="J705" s="7" t="s">
        <v>104</v>
      </c>
      <c r="K705" s="7" t="s">
        <v>105</v>
      </c>
      <c r="L705" s="7" t="s">
        <v>353</v>
      </c>
      <c r="M705" s="7" t="s">
        <v>4130</v>
      </c>
      <c r="N705" s="7" t="s">
        <v>5506</v>
      </c>
      <c r="O705" s="7" t="s">
        <v>5506</v>
      </c>
      <c r="P705" s="7" t="s">
        <v>135</v>
      </c>
      <c r="Q705" s="7"/>
      <c r="R705" s="7" t="s">
        <v>109</v>
      </c>
      <c r="S705" s="7" t="s">
        <v>110</v>
      </c>
      <c r="T705" s="7" t="n">
        <v>0.166</v>
      </c>
      <c r="U705" s="7" t="n">
        <v>1</v>
      </c>
      <c r="V705" s="7" t="s">
        <v>90</v>
      </c>
      <c r="W705" s="7"/>
      <c r="X705" s="7"/>
      <c r="Y705" s="7"/>
      <c r="Z705" s="7"/>
      <c r="AA705" s="7"/>
      <c r="AB705" s="7"/>
      <c r="AC705" s="7" t="n">
        <v>2</v>
      </c>
      <c r="AD705" s="7" t="s">
        <v>1954</v>
      </c>
      <c r="AE705" s="7"/>
      <c r="AF705" s="7"/>
      <c r="AG705" s="7" t="s">
        <v>1848</v>
      </c>
      <c r="AH705" s="7" t="s">
        <v>1956</v>
      </c>
      <c r="AI705" s="7"/>
      <c r="AJ705" s="7"/>
      <c r="AK705" s="7"/>
      <c r="AL705" s="7"/>
      <c r="AM705" s="7" t="s">
        <v>1848</v>
      </c>
      <c r="AN705" s="7" t="s">
        <v>1957</v>
      </c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 t="s">
        <v>427</v>
      </c>
      <c r="BD705" s="7" t="s">
        <v>440</v>
      </c>
      <c r="BE705" s="7" t="s">
        <v>127</v>
      </c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</row>
    <row r="706" customFormat="false" ht="15" hidden="false" customHeight="false" outlineLevel="0" collapsed="false">
      <c r="A706" s="7" t="s">
        <v>5507</v>
      </c>
      <c r="B706" s="7" t="s">
        <v>5508</v>
      </c>
      <c r="C706" s="7" t="s">
        <v>5509</v>
      </c>
      <c r="D706" s="7"/>
      <c r="E706" s="7" t="s">
        <v>737</v>
      </c>
      <c r="F706" s="7" t="s">
        <v>737</v>
      </c>
      <c r="G706" s="7"/>
      <c r="H706" s="7" t="s">
        <v>102</v>
      </c>
      <c r="I706" s="7" t="s">
        <v>208</v>
      </c>
      <c r="J706" s="7" t="s">
        <v>104</v>
      </c>
      <c r="K706" s="7" t="s">
        <v>105</v>
      </c>
      <c r="L706" s="7" t="s">
        <v>106</v>
      </c>
      <c r="M706" s="7" t="s">
        <v>419</v>
      </c>
      <c r="N706" s="7" t="s">
        <v>5510</v>
      </c>
      <c r="O706" s="7"/>
      <c r="P706" s="7" t="s">
        <v>135</v>
      </c>
      <c r="Q706" s="7"/>
      <c r="R706" s="7" t="s">
        <v>135</v>
      </c>
      <c r="S706" s="7" t="s">
        <v>136</v>
      </c>
      <c r="T706" s="7" t="n">
        <v>0.358</v>
      </c>
      <c r="U706" s="7" t="n">
        <v>1</v>
      </c>
      <c r="V706" s="7" t="s">
        <v>90</v>
      </c>
      <c r="W706" s="7"/>
      <c r="X706" s="7"/>
      <c r="Y706" s="7" t="s">
        <v>5510</v>
      </c>
      <c r="Z706" s="7"/>
      <c r="AA706" s="7"/>
      <c r="AB706" s="7"/>
      <c r="AC706" s="7" t="n">
        <v>6</v>
      </c>
      <c r="AD706" s="7" t="s">
        <v>1235</v>
      </c>
      <c r="AE706" s="7" t="s">
        <v>744</v>
      </c>
      <c r="AF706" s="7" t="s">
        <v>5511</v>
      </c>
      <c r="AG706" s="7" t="s">
        <v>744</v>
      </c>
      <c r="AH706" s="7" t="s">
        <v>927</v>
      </c>
      <c r="AI706" s="7"/>
      <c r="AJ706" s="7"/>
      <c r="AK706" s="7"/>
      <c r="AL706" s="7"/>
      <c r="AM706" s="7" t="s">
        <v>744</v>
      </c>
      <c r="AN706" s="7" t="s">
        <v>5512</v>
      </c>
      <c r="AO706" s="7" t="s">
        <v>744</v>
      </c>
      <c r="AP706" s="7" t="s">
        <v>5513</v>
      </c>
      <c r="AQ706" s="7" t="s">
        <v>744</v>
      </c>
      <c r="AR706" s="7" t="s">
        <v>737</v>
      </c>
      <c r="AS706" s="7"/>
      <c r="AT706" s="7"/>
      <c r="AU706" s="7"/>
      <c r="AV706" s="7"/>
      <c r="AW706" s="7" t="s">
        <v>744</v>
      </c>
      <c r="AX706" s="7" t="s">
        <v>5510</v>
      </c>
      <c r="AY706" s="7"/>
      <c r="AZ706" s="7"/>
      <c r="BA706" s="7"/>
      <c r="BB706" s="7"/>
      <c r="BC706" s="7" t="s">
        <v>427</v>
      </c>
      <c r="BD706" s="7" t="s">
        <v>5514</v>
      </c>
      <c r="BE706" s="7" t="s">
        <v>127</v>
      </c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</row>
    <row r="707" customFormat="false" ht="15" hidden="false" customHeight="false" outlineLevel="0" collapsed="false">
      <c r="A707" s="7" t="s">
        <v>5515</v>
      </c>
      <c r="B707" s="7" t="s">
        <v>5516</v>
      </c>
      <c r="C707" s="7" t="s">
        <v>5517</v>
      </c>
      <c r="D707" s="7"/>
      <c r="E707" s="7" t="s">
        <v>101</v>
      </c>
      <c r="F707" s="7" t="s">
        <v>101</v>
      </c>
      <c r="G707" s="7"/>
      <c r="H707" s="7" t="s">
        <v>102</v>
      </c>
      <c r="I707" s="7" t="s">
        <v>158</v>
      </c>
      <c r="J707" s="7" t="s">
        <v>104</v>
      </c>
      <c r="K707" s="7" t="s">
        <v>105</v>
      </c>
      <c r="L707" s="7" t="s">
        <v>106</v>
      </c>
      <c r="M707" s="7" t="s">
        <v>5518</v>
      </c>
      <c r="N707" s="7" t="s">
        <v>5519</v>
      </c>
      <c r="O707" s="7" t="s">
        <v>5519</v>
      </c>
      <c r="P707" s="7" t="s">
        <v>135</v>
      </c>
      <c r="Q707" s="7"/>
      <c r="R707" s="7" t="s">
        <v>109</v>
      </c>
      <c r="S707" s="7" t="s">
        <v>110</v>
      </c>
      <c r="T707" s="7" t="n">
        <v>0.781</v>
      </c>
      <c r="U707" s="7" t="n">
        <v>1</v>
      </c>
      <c r="V707" s="7" t="s">
        <v>90</v>
      </c>
      <c r="W707" s="7"/>
      <c r="X707" s="7"/>
      <c r="Y707" s="7" t="s">
        <v>5519</v>
      </c>
      <c r="Z707" s="7"/>
      <c r="AA707" s="7"/>
      <c r="AB707" s="7"/>
      <c r="AC707" s="7" t="n">
        <v>0</v>
      </c>
      <c r="AD707" s="7" t="s">
        <v>388</v>
      </c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 t="s">
        <v>413</v>
      </c>
      <c r="BD707" s="7" t="s">
        <v>747</v>
      </c>
      <c r="BE707" s="7" t="s">
        <v>127</v>
      </c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</row>
    <row r="708" customFormat="false" ht="15" hidden="false" customHeight="false" outlineLevel="0" collapsed="false">
      <c r="A708" s="7" t="s">
        <v>5520</v>
      </c>
      <c r="B708" s="7" t="s">
        <v>5521</v>
      </c>
      <c r="C708" s="7" t="s">
        <v>5522</v>
      </c>
      <c r="D708" s="7"/>
      <c r="E708" s="7" t="s">
        <v>101</v>
      </c>
      <c r="F708" s="7" t="s">
        <v>101</v>
      </c>
      <c r="G708" s="7"/>
      <c r="H708" s="7" t="s">
        <v>102</v>
      </c>
      <c r="I708" s="7" t="s">
        <v>158</v>
      </c>
      <c r="J708" s="7" t="s">
        <v>104</v>
      </c>
      <c r="K708" s="7" t="s">
        <v>105</v>
      </c>
      <c r="L708" s="7" t="s">
        <v>106</v>
      </c>
      <c r="M708" s="7" t="s">
        <v>5518</v>
      </c>
      <c r="N708" s="7" t="s">
        <v>5523</v>
      </c>
      <c r="O708" s="7" t="s">
        <v>5523</v>
      </c>
      <c r="P708" s="7" t="s">
        <v>135</v>
      </c>
      <c r="Q708" s="7"/>
      <c r="R708" s="7" t="s">
        <v>109</v>
      </c>
      <c r="S708" s="7" t="s">
        <v>110</v>
      </c>
      <c r="T708" s="7" t="n">
        <v>0.789</v>
      </c>
      <c r="U708" s="7" t="n">
        <v>1</v>
      </c>
      <c r="V708" s="7" t="s">
        <v>90</v>
      </c>
      <c r="W708" s="7"/>
      <c r="X708" s="7"/>
      <c r="Y708" s="7" t="s">
        <v>5523</v>
      </c>
      <c r="Z708" s="7"/>
      <c r="AA708" s="7"/>
      <c r="AB708" s="7"/>
      <c r="AC708" s="7" t="n">
        <v>0</v>
      </c>
      <c r="AD708" s="7" t="s">
        <v>388</v>
      </c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 t="s">
        <v>413</v>
      </c>
      <c r="BD708" s="7" t="s">
        <v>747</v>
      </c>
      <c r="BE708" s="7" t="s">
        <v>127</v>
      </c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</row>
    <row r="709" customFormat="false" ht="15" hidden="false" customHeight="false" outlineLevel="0" collapsed="false">
      <c r="A709" s="7" t="s">
        <v>5524</v>
      </c>
      <c r="B709" s="7" t="s">
        <v>5525</v>
      </c>
      <c r="C709" s="7" t="s">
        <v>5526</v>
      </c>
      <c r="D709" s="7"/>
      <c r="E709" s="7" t="s">
        <v>101</v>
      </c>
      <c r="F709" s="7" t="s">
        <v>101</v>
      </c>
      <c r="G709" s="7"/>
      <c r="H709" s="7" t="s">
        <v>102</v>
      </c>
      <c r="I709" s="7" t="s">
        <v>158</v>
      </c>
      <c r="J709" s="7" t="s">
        <v>104</v>
      </c>
      <c r="K709" s="7" t="s">
        <v>105</v>
      </c>
      <c r="L709" s="7" t="s">
        <v>106</v>
      </c>
      <c r="M709" s="7" t="s">
        <v>5518</v>
      </c>
      <c r="N709" s="7" t="s">
        <v>5527</v>
      </c>
      <c r="O709" s="7" t="s">
        <v>5527</v>
      </c>
      <c r="P709" s="7" t="s">
        <v>135</v>
      </c>
      <c r="Q709" s="7"/>
      <c r="R709" s="7" t="s">
        <v>109</v>
      </c>
      <c r="S709" s="7" t="s">
        <v>110</v>
      </c>
      <c r="T709" s="7" t="n">
        <v>0.726</v>
      </c>
      <c r="U709" s="7" t="n">
        <v>1</v>
      </c>
      <c r="V709" s="7" t="s">
        <v>90</v>
      </c>
      <c r="W709" s="7"/>
      <c r="X709" s="7"/>
      <c r="Y709" s="7" t="s">
        <v>5527</v>
      </c>
      <c r="Z709" s="7"/>
      <c r="AA709" s="7"/>
      <c r="AB709" s="7"/>
      <c r="AC709" s="7" t="n">
        <v>0</v>
      </c>
      <c r="AD709" s="7" t="s">
        <v>388</v>
      </c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 t="s">
        <v>413</v>
      </c>
      <c r="BD709" s="7" t="s">
        <v>747</v>
      </c>
      <c r="BE709" s="7" t="s">
        <v>127</v>
      </c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</row>
    <row r="710" customFormat="false" ht="15" hidden="false" customHeight="false" outlineLevel="0" collapsed="false">
      <c r="A710" s="7" t="s">
        <v>5528</v>
      </c>
      <c r="B710" s="7" t="s">
        <v>5529</v>
      </c>
      <c r="C710" s="7" t="s">
        <v>5530</v>
      </c>
      <c r="D710" s="7" t="s">
        <v>5531</v>
      </c>
      <c r="E710" s="7" t="s">
        <v>101</v>
      </c>
      <c r="F710" s="7" t="s">
        <v>101</v>
      </c>
      <c r="G710" s="7"/>
      <c r="H710" s="7" t="s">
        <v>102</v>
      </c>
      <c r="I710" s="7" t="s">
        <v>158</v>
      </c>
      <c r="J710" s="7" t="s">
        <v>104</v>
      </c>
      <c r="K710" s="7" t="s">
        <v>105</v>
      </c>
      <c r="L710" s="7" t="s">
        <v>353</v>
      </c>
      <c r="M710" s="7" t="s">
        <v>5532</v>
      </c>
      <c r="N710" s="7" t="s">
        <v>5533</v>
      </c>
      <c r="O710" s="7"/>
      <c r="P710" s="7" t="s">
        <v>135</v>
      </c>
      <c r="Q710" s="7"/>
      <c r="R710" s="7"/>
      <c r="S710" s="7"/>
      <c r="T710" s="7" t="n">
        <v>0.843</v>
      </c>
      <c r="U710" s="7" t="n">
        <v>1</v>
      </c>
      <c r="V710" s="7" t="s">
        <v>90</v>
      </c>
      <c r="W710" s="7" t="s">
        <v>5534</v>
      </c>
      <c r="X710" s="7" t="s">
        <v>5535</v>
      </c>
      <c r="Y710" s="7" t="s">
        <v>5533</v>
      </c>
      <c r="Z710" s="7" t="s">
        <v>5536</v>
      </c>
      <c r="AA710" s="7"/>
      <c r="AB710" s="7"/>
      <c r="AC710" s="7"/>
      <c r="AD710" s="7"/>
      <c r="AE710" s="7" t="s">
        <v>1848</v>
      </c>
      <c r="AF710" s="7" t="s">
        <v>5537</v>
      </c>
      <c r="AG710" s="7" t="s">
        <v>1848</v>
      </c>
      <c r="AH710" s="7" t="s">
        <v>5538</v>
      </c>
      <c r="AI710" s="7" t="s">
        <v>1848</v>
      </c>
      <c r="AJ710" s="7" t="s">
        <v>5539</v>
      </c>
      <c r="AK710" s="7" t="s">
        <v>1848</v>
      </c>
      <c r="AL710" s="7" t="s">
        <v>5540</v>
      </c>
      <c r="AM710" s="7" t="s">
        <v>1848</v>
      </c>
      <c r="AN710" s="7" t="s">
        <v>5541</v>
      </c>
      <c r="AO710" s="7" t="s">
        <v>1848</v>
      </c>
      <c r="AP710" s="7" t="s">
        <v>5542</v>
      </c>
      <c r="AQ710" s="7" t="s">
        <v>1848</v>
      </c>
      <c r="AR710" s="7" t="s">
        <v>5543</v>
      </c>
      <c r="AS710" s="7" t="s">
        <v>1848</v>
      </c>
      <c r="AT710" s="7" t="s">
        <v>1856</v>
      </c>
      <c r="AU710" s="7" t="s">
        <v>1848</v>
      </c>
      <c r="AV710" s="7" t="s">
        <v>5544</v>
      </c>
      <c r="AW710" s="7" t="s">
        <v>1848</v>
      </c>
      <c r="AX710" s="7" t="s">
        <v>5545</v>
      </c>
      <c r="AY710" s="7" t="s">
        <v>1848</v>
      </c>
      <c r="AZ710" s="7" t="s">
        <v>5546</v>
      </c>
      <c r="BA710" s="7" t="s">
        <v>1848</v>
      </c>
      <c r="BB710" s="7" t="s">
        <v>1860</v>
      </c>
      <c r="BC710" s="7" t="s">
        <v>413</v>
      </c>
      <c r="BD710" s="7" t="s">
        <v>440</v>
      </c>
      <c r="BE710" s="7" t="s">
        <v>127</v>
      </c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</row>
    <row r="711" customFormat="false" ht="15" hidden="false" customHeight="false" outlineLevel="0" collapsed="false">
      <c r="A711" s="7" t="s">
        <v>5547</v>
      </c>
      <c r="B711" s="7" t="s">
        <v>5548</v>
      </c>
      <c r="C711" s="7" t="s">
        <v>5549</v>
      </c>
      <c r="D711" s="7" t="s">
        <v>5550</v>
      </c>
      <c r="E711" s="7" t="s">
        <v>101</v>
      </c>
      <c r="F711" s="7" t="s">
        <v>101</v>
      </c>
      <c r="G711" s="7"/>
      <c r="H711" s="7" t="s">
        <v>102</v>
      </c>
      <c r="I711" s="7" t="s">
        <v>158</v>
      </c>
      <c r="J711" s="7" t="s">
        <v>104</v>
      </c>
      <c r="K711" s="7" t="s">
        <v>105</v>
      </c>
      <c r="L711" s="7" t="s">
        <v>353</v>
      </c>
      <c r="M711" s="7" t="s">
        <v>5551</v>
      </c>
      <c r="N711" s="7" t="s">
        <v>5552</v>
      </c>
      <c r="O711" s="7"/>
      <c r="P711" s="7" t="s">
        <v>135</v>
      </c>
      <c r="Q711" s="7"/>
      <c r="R711" s="7"/>
      <c r="S711" s="7"/>
      <c r="T711" s="7" t="n">
        <v>0.793</v>
      </c>
      <c r="U711" s="7" t="n">
        <v>1</v>
      </c>
      <c r="V711" s="7" t="s">
        <v>2781</v>
      </c>
      <c r="W711" s="7" t="s">
        <v>5553</v>
      </c>
      <c r="X711" s="7" t="s">
        <v>5554</v>
      </c>
      <c r="Y711" s="7" t="s">
        <v>5552</v>
      </c>
      <c r="Z711" s="7" t="s">
        <v>5555</v>
      </c>
      <c r="AA711" s="7"/>
      <c r="AB711" s="7"/>
      <c r="AC711" s="7"/>
      <c r="AD711" s="7"/>
      <c r="AE711" s="7" t="s">
        <v>1848</v>
      </c>
      <c r="AF711" s="7" t="s">
        <v>5556</v>
      </c>
      <c r="AG711" s="7" t="s">
        <v>1848</v>
      </c>
      <c r="AH711" s="7" t="s">
        <v>5557</v>
      </c>
      <c r="AI711" s="7" t="s">
        <v>1848</v>
      </c>
      <c r="AJ711" s="7" t="s">
        <v>5558</v>
      </c>
      <c r="AK711" s="7" t="s">
        <v>1848</v>
      </c>
      <c r="AL711" s="7" t="s">
        <v>2345</v>
      </c>
      <c r="AM711" s="7" t="s">
        <v>1848</v>
      </c>
      <c r="AN711" s="7" t="s">
        <v>5559</v>
      </c>
      <c r="AO711" s="7" t="s">
        <v>1848</v>
      </c>
      <c r="AP711" s="7" t="s">
        <v>5560</v>
      </c>
      <c r="AQ711" s="7" t="s">
        <v>1848</v>
      </c>
      <c r="AR711" s="7" t="s">
        <v>5561</v>
      </c>
      <c r="AS711" s="7" t="s">
        <v>1848</v>
      </c>
      <c r="AT711" s="7" t="s">
        <v>1856</v>
      </c>
      <c r="AU711" s="7" t="s">
        <v>1848</v>
      </c>
      <c r="AV711" s="7" t="s">
        <v>5562</v>
      </c>
      <c r="AW711" s="7" t="s">
        <v>1848</v>
      </c>
      <c r="AX711" s="7" t="s">
        <v>5563</v>
      </c>
      <c r="AY711" s="7" t="s">
        <v>1848</v>
      </c>
      <c r="AZ711" s="7" t="s">
        <v>5564</v>
      </c>
      <c r="BA711" s="7" t="s">
        <v>1848</v>
      </c>
      <c r="BB711" s="7" t="s">
        <v>1860</v>
      </c>
      <c r="BC711" s="7" t="s">
        <v>413</v>
      </c>
      <c r="BD711" s="7" t="s">
        <v>440</v>
      </c>
      <c r="BE711" s="7" t="s">
        <v>127</v>
      </c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</row>
    <row r="712" customFormat="false" ht="15" hidden="false" customHeight="false" outlineLevel="0" collapsed="false">
      <c r="A712" s="7" t="s">
        <v>5565</v>
      </c>
      <c r="B712" s="7" t="s">
        <v>5566</v>
      </c>
      <c r="C712" s="7" t="s">
        <v>5567</v>
      </c>
      <c r="D712" s="7" t="s">
        <v>5568</v>
      </c>
      <c r="E712" s="7" t="s">
        <v>101</v>
      </c>
      <c r="F712" s="7" t="s">
        <v>101</v>
      </c>
      <c r="G712" s="7"/>
      <c r="H712" s="7" t="s">
        <v>102</v>
      </c>
      <c r="I712" s="7" t="s">
        <v>158</v>
      </c>
      <c r="J712" s="7" t="s">
        <v>104</v>
      </c>
      <c r="K712" s="7" t="s">
        <v>105</v>
      </c>
      <c r="L712" s="7" t="s">
        <v>353</v>
      </c>
      <c r="M712" s="7" t="s">
        <v>5569</v>
      </c>
      <c r="N712" s="7" t="s">
        <v>5570</v>
      </c>
      <c r="O712" s="7"/>
      <c r="P712" s="7" t="s">
        <v>135</v>
      </c>
      <c r="Q712" s="7"/>
      <c r="R712" s="7"/>
      <c r="S712" s="7"/>
      <c r="T712" s="7" t="n">
        <v>0.537</v>
      </c>
      <c r="U712" s="7" t="n">
        <v>1</v>
      </c>
      <c r="V712" s="7" t="s">
        <v>2781</v>
      </c>
      <c r="W712" s="7" t="s">
        <v>5571</v>
      </c>
      <c r="X712" s="7" t="s">
        <v>4947</v>
      </c>
      <c r="Y712" s="7" t="s">
        <v>5570</v>
      </c>
      <c r="Z712" s="7" t="s">
        <v>5572</v>
      </c>
      <c r="AA712" s="7"/>
      <c r="AB712" s="7"/>
      <c r="AC712" s="7"/>
      <c r="AD712" s="7"/>
      <c r="AE712" s="7" t="s">
        <v>1848</v>
      </c>
      <c r="AF712" s="7" t="s">
        <v>5573</v>
      </c>
      <c r="AG712" s="7" t="s">
        <v>1848</v>
      </c>
      <c r="AH712" s="7" t="s">
        <v>5574</v>
      </c>
      <c r="AI712" s="7" t="s">
        <v>1848</v>
      </c>
      <c r="AJ712" s="7" t="s">
        <v>5575</v>
      </c>
      <c r="AK712" s="7" t="s">
        <v>1848</v>
      </c>
      <c r="AL712" s="7" t="s">
        <v>485</v>
      </c>
      <c r="AM712" s="7" t="s">
        <v>1848</v>
      </c>
      <c r="AN712" s="7" t="s">
        <v>5576</v>
      </c>
      <c r="AO712" s="7" t="s">
        <v>1848</v>
      </c>
      <c r="AP712" s="7" t="s">
        <v>5577</v>
      </c>
      <c r="AQ712" s="7" t="s">
        <v>1848</v>
      </c>
      <c r="AR712" s="7" t="s">
        <v>5578</v>
      </c>
      <c r="AS712" s="7" t="s">
        <v>1848</v>
      </c>
      <c r="AT712" s="7" t="s">
        <v>1856</v>
      </c>
      <c r="AU712" s="7" t="s">
        <v>1848</v>
      </c>
      <c r="AV712" s="7" t="s">
        <v>5579</v>
      </c>
      <c r="AW712" s="7" t="s">
        <v>1848</v>
      </c>
      <c r="AX712" s="7" t="s">
        <v>5580</v>
      </c>
      <c r="AY712" s="7" t="s">
        <v>1848</v>
      </c>
      <c r="AZ712" s="7" t="s">
        <v>5581</v>
      </c>
      <c r="BA712" s="7" t="s">
        <v>1848</v>
      </c>
      <c r="BB712" s="7" t="s">
        <v>1860</v>
      </c>
      <c r="BC712" s="7" t="s">
        <v>413</v>
      </c>
      <c r="BD712" s="7" t="s">
        <v>2797</v>
      </c>
      <c r="BE712" s="7" t="s">
        <v>127</v>
      </c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</row>
    <row r="713" customFormat="false" ht="15" hidden="false" customHeight="false" outlineLevel="0" collapsed="false">
      <c r="A713" s="7" t="s">
        <v>5582</v>
      </c>
      <c r="B713" s="7" t="s">
        <v>5583</v>
      </c>
      <c r="C713" s="7" t="s">
        <v>5584</v>
      </c>
      <c r="D713" s="7" t="s">
        <v>5585</v>
      </c>
      <c r="E713" s="7" t="s">
        <v>101</v>
      </c>
      <c r="F713" s="7" t="s">
        <v>101</v>
      </c>
      <c r="G713" s="7"/>
      <c r="H713" s="7" t="s">
        <v>102</v>
      </c>
      <c r="I713" s="7" t="s">
        <v>158</v>
      </c>
      <c r="J713" s="7" t="s">
        <v>104</v>
      </c>
      <c r="K713" s="7" t="s">
        <v>105</v>
      </c>
      <c r="L713" s="7" t="s">
        <v>353</v>
      </c>
      <c r="M713" s="7" t="s">
        <v>5586</v>
      </c>
      <c r="N713" s="7" t="s">
        <v>5587</v>
      </c>
      <c r="O713" s="7"/>
      <c r="P713" s="7" t="s">
        <v>135</v>
      </c>
      <c r="Q713" s="7"/>
      <c r="R713" s="7"/>
      <c r="S713" s="7"/>
      <c r="T713" s="7" t="n">
        <v>0.712</v>
      </c>
      <c r="U713" s="7" t="n">
        <v>1</v>
      </c>
      <c r="V713" s="7" t="s">
        <v>2781</v>
      </c>
      <c r="W713" s="7" t="s">
        <v>1845</v>
      </c>
      <c r="X713" s="7" t="s">
        <v>1846</v>
      </c>
      <c r="Y713" s="7" t="s">
        <v>5587</v>
      </c>
      <c r="Z713" s="7" t="s">
        <v>1847</v>
      </c>
      <c r="AA713" s="7"/>
      <c r="AB713" s="7"/>
      <c r="AC713" s="7"/>
      <c r="AD713" s="7"/>
      <c r="AE713" s="7" t="s">
        <v>1848</v>
      </c>
      <c r="AF713" s="7" t="s">
        <v>5588</v>
      </c>
      <c r="AG713" s="7" t="s">
        <v>1848</v>
      </c>
      <c r="AH713" s="7" t="s">
        <v>5589</v>
      </c>
      <c r="AI713" s="7"/>
      <c r="AJ713" s="7"/>
      <c r="AK713" s="7"/>
      <c r="AL713" s="7"/>
      <c r="AM713" s="7" t="s">
        <v>1848</v>
      </c>
      <c r="AN713" s="7" t="s">
        <v>1957</v>
      </c>
      <c r="AO713" s="7" t="s">
        <v>1848</v>
      </c>
      <c r="AP713" s="7" t="s">
        <v>5590</v>
      </c>
      <c r="AQ713" s="7" t="s">
        <v>1848</v>
      </c>
      <c r="AR713" s="7" t="s">
        <v>5591</v>
      </c>
      <c r="AS713" s="7" t="s">
        <v>1848</v>
      </c>
      <c r="AT713" s="7" t="s">
        <v>216</v>
      </c>
      <c r="AU713" s="7"/>
      <c r="AV713" s="7"/>
      <c r="AW713" s="7"/>
      <c r="AX713" s="7"/>
      <c r="AY713" s="7"/>
      <c r="AZ713" s="7"/>
      <c r="BA713" s="7" t="s">
        <v>1848</v>
      </c>
      <c r="BB713" s="7" t="s">
        <v>5592</v>
      </c>
      <c r="BC713" s="7" t="s">
        <v>413</v>
      </c>
      <c r="BD713" s="7" t="s">
        <v>440</v>
      </c>
      <c r="BE713" s="7" t="s">
        <v>127</v>
      </c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</row>
    <row r="714" customFormat="false" ht="15" hidden="false" customHeight="false" outlineLevel="0" collapsed="false">
      <c r="A714" s="7" t="s">
        <v>5593</v>
      </c>
      <c r="B714" s="7" t="s">
        <v>5594</v>
      </c>
      <c r="C714" s="7" t="s">
        <v>5595</v>
      </c>
      <c r="D714" s="7" t="s">
        <v>5596</v>
      </c>
      <c r="E714" s="7" t="s">
        <v>101</v>
      </c>
      <c r="F714" s="7" t="s">
        <v>101</v>
      </c>
      <c r="G714" s="7"/>
      <c r="H714" s="7" t="s">
        <v>102</v>
      </c>
      <c r="I714" s="7" t="s">
        <v>158</v>
      </c>
      <c r="J714" s="7" t="s">
        <v>104</v>
      </c>
      <c r="K714" s="7" t="s">
        <v>105</v>
      </c>
      <c r="L714" s="7" t="s">
        <v>353</v>
      </c>
      <c r="M714" s="7" t="s">
        <v>5597</v>
      </c>
      <c r="N714" s="7" t="s">
        <v>5598</v>
      </c>
      <c r="O714" s="7"/>
      <c r="P714" s="7" t="s">
        <v>135</v>
      </c>
      <c r="Q714" s="7"/>
      <c r="R714" s="7"/>
      <c r="S714" s="7"/>
      <c r="T714" s="7" t="n">
        <v>0.883</v>
      </c>
      <c r="U714" s="7" t="n">
        <v>1</v>
      </c>
      <c r="V714" s="7" t="s">
        <v>2781</v>
      </c>
      <c r="W714" s="7" t="s">
        <v>2320</v>
      </c>
      <c r="X714" s="7" t="s">
        <v>4991</v>
      </c>
      <c r="Y714" s="7" t="s">
        <v>5598</v>
      </c>
      <c r="Z714" s="7" t="s">
        <v>5599</v>
      </c>
      <c r="AA714" s="7"/>
      <c r="AB714" s="7"/>
      <c r="AC714" s="7"/>
      <c r="AD714" s="7"/>
      <c r="AE714" s="7" t="s">
        <v>1848</v>
      </c>
      <c r="AF714" s="7" t="s">
        <v>5600</v>
      </c>
      <c r="AG714" s="7" t="s">
        <v>1848</v>
      </c>
      <c r="AH714" s="7" t="s">
        <v>5601</v>
      </c>
      <c r="AI714" s="7" t="s">
        <v>1848</v>
      </c>
      <c r="AJ714" s="7" t="s">
        <v>5602</v>
      </c>
      <c r="AK714" s="7" t="s">
        <v>1848</v>
      </c>
      <c r="AL714" s="7" t="s">
        <v>2345</v>
      </c>
      <c r="AM714" s="7" t="s">
        <v>1848</v>
      </c>
      <c r="AN714" s="7" t="s">
        <v>5603</v>
      </c>
      <c r="AO714" s="7" t="s">
        <v>1848</v>
      </c>
      <c r="AP714" s="7" t="s">
        <v>5604</v>
      </c>
      <c r="AQ714" s="7" t="s">
        <v>1848</v>
      </c>
      <c r="AR714" s="7" t="s">
        <v>5605</v>
      </c>
      <c r="AS714" s="7" t="s">
        <v>1848</v>
      </c>
      <c r="AT714" s="7" t="s">
        <v>1856</v>
      </c>
      <c r="AU714" s="7" t="s">
        <v>1848</v>
      </c>
      <c r="AV714" s="7" t="s">
        <v>5606</v>
      </c>
      <c r="AW714" s="7" t="s">
        <v>1848</v>
      </c>
      <c r="AX714" s="7" t="s">
        <v>5607</v>
      </c>
      <c r="AY714" s="7" t="s">
        <v>1848</v>
      </c>
      <c r="AZ714" s="7" t="s">
        <v>1859</v>
      </c>
      <c r="BA714" s="7" t="s">
        <v>1848</v>
      </c>
      <c r="BB714" s="7" t="s">
        <v>1860</v>
      </c>
      <c r="BC714" s="7" t="s">
        <v>413</v>
      </c>
      <c r="BD714" s="7" t="s">
        <v>440</v>
      </c>
      <c r="BE714" s="7" t="s">
        <v>127</v>
      </c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</row>
    <row r="715" customFormat="false" ht="15" hidden="false" customHeight="false" outlineLevel="0" collapsed="false">
      <c r="A715" s="7" t="s">
        <v>5608</v>
      </c>
      <c r="B715" s="7" t="s">
        <v>5609</v>
      </c>
      <c r="C715" s="7" t="s">
        <v>5610</v>
      </c>
      <c r="D715" s="7" t="s">
        <v>2950</v>
      </c>
      <c r="E715" s="7" t="s">
        <v>101</v>
      </c>
      <c r="F715" s="7" t="s">
        <v>101</v>
      </c>
      <c r="G715" s="7"/>
      <c r="H715" s="7" t="s">
        <v>102</v>
      </c>
      <c r="I715" s="7" t="s">
        <v>158</v>
      </c>
      <c r="J715" s="7" t="s">
        <v>104</v>
      </c>
      <c r="K715" s="7" t="s">
        <v>105</v>
      </c>
      <c r="L715" s="7" t="s">
        <v>353</v>
      </c>
      <c r="M715" s="7" t="s">
        <v>5611</v>
      </c>
      <c r="N715" s="7" t="s">
        <v>5612</v>
      </c>
      <c r="O715" s="7" t="s">
        <v>5612</v>
      </c>
      <c r="P715" s="7" t="s">
        <v>135</v>
      </c>
      <c r="Q715" s="7"/>
      <c r="R715" s="7" t="s">
        <v>84</v>
      </c>
      <c r="S715" s="7" t="s">
        <v>238</v>
      </c>
      <c r="T715" s="7" t="n">
        <v>0.647</v>
      </c>
      <c r="U715" s="7" t="n">
        <v>1</v>
      </c>
      <c r="V715" s="7" t="s">
        <v>2781</v>
      </c>
      <c r="W715" s="7" t="s">
        <v>2320</v>
      </c>
      <c r="X715" s="7" t="s">
        <v>4991</v>
      </c>
      <c r="Y715" s="7" t="s">
        <v>5612</v>
      </c>
      <c r="Z715" s="7" t="s">
        <v>5599</v>
      </c>
      <c r="AA715" s="7"/>
      <c r="AB715" s="7"/>
      <c r="AC715" s="7" t="n">
        <v>12</v>
      </c>
      <c r="AD715" s="7"/>
      <c r="AE715" s="7" t="s">
        <v>1848</v>
      </c>
      <c r="AF715" s="7" t="s">
        <v>5613</v>
      </c>
      <c r="AG715" s="7" t="s">
        <v>1848</v>
      </c>
      <c r="AH715" s="7" t="s">
        <v>5614</v>
      </c>
      <c r="AI715" s="7" t="s">
        <v>1848</v>
      </c>
      <c r="AJ715" s="7" t="s">
        <v>5615</v>
      </c>
      <c r="AK715" s="7" t="s">
        <v>1848</v>
      </c>
      <c r="AL715" s="7" t="s">
        <v>3738</v>
      </c>
      <c r="AM715" s="7" t="s">
        <v>1848</v>
      </c>
      <c r="AN715" s="7" t="s">
        <v>5616</v>
      </c>
      <c r="AO715" s="7" t="s">
        <v>1848</v>
      </c>
      <c r="AP715" s="7" t="s">
        <v>5617</v>
      </c>
      <c r="AQ715" s="7" t="s">
        <v>1848</v>
      </c>
      <c r="AR715" s="7" t="s">
        <v>5618</v>
      </c>
      <c r="AS715" s="7" t="s">
        <v>1848</v>
      </c>
      <c r="AT715" s="7" t="s">
        <v>1856</v>
      </c>
      <c r="AU715" s="7" t="s">
        <v>1848</v>
      </c>
      <c r="AV715" s="7" t="s">
        <v>5619</v>
      </c>
      <c r="AW715" s="7" t="s">
        <v>1848</v>
      </c>
      <c r="AX715" s="7" t="s">
        <v>5620</v>
      </c>
      <c r="AY715" s="7" t="s">
        <v>1848</v>
      </c>
      <c r="AZ715" s="7" t="s">
        <v>5621</v>
      </c>
      <c r="BA715" s="7" t="s">
        <v>1848</v>
      </c>
      <c r="BB715" s="7" t="s">
        <v>1860</v>
      </c>
      <c r="BC715" s="7" t="s">
        <v>413</v>
      </c>
      <c r="BD715" s="7" t="s">
        <v>440</v>
      </c>
      <c r="BE715" s="7" t="s">
        <v>127</v>
      </c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</row>
    <row r="716" customFormat="false" ht="15" hidden="false" customHeight="false" outlineLevel="0" collapsed="false">
      <c r="A716" s="7" t="s">
        <v>5622</v>
      </c>
      <c r="B716" s="7" t="s">
        <v>5623</v>
      </c>
      <c r="C716" s="7" t="s">
        <v>5624</v>
      </c>
      <c r="D716" s="7" t="s">
        <v>5625</v>
      </c>
      <c r="E716" s="7" t="s">
        <v>101</v>
      </c>
      <c r="F716" s="7" t="s">
        <v>101</v>
      </c>
      <c r="G716" s="7"/>
      <c r="H716" s="7" t="s">
        <v>102</v>
      </c>
      <c r="I716" s="7" t="s">
        <v>132</v>
      </c>
      <c r="J716" s="7" t="s">
        <v>104</v>
      </c>
      <c r="K716" s="7" t="s">
        <v>105</v>
      </c>
      <c r="L716" s="7" t="s">
        <v>106</v>
      </c>
      <c r="M716" s="7" t="s">
        <v>5626</v>
      </c>
      <c r="N716" s="7" t="s">
        <v>5627</v>
      </c>
      <c r="O716" s="7" t="s">
        <v>5627</v>
      </c>
      <c r="P716" s="7" t="s">
        <v>135</v>
      </c>
      <c r="Q716" s="7"/>
      <c r="R716" s="7" t="s">
        <v>109</v>
      </c>
      <c r="S716" s="7" t="s">
        <v>110</v>
      </c>
      <c r="T716" s="7" t="n">
        <v>0.853</v>
      </c>
      <c r="U716" s="7" t="n">
        <v>1</v>
      </c>
      <c r="V716" s="7" t="s">
        <v>90</v>
      </c>
      <c r="W716" s="7" t="s">
        <v>5628</v>
      </c>
      <c r="X716" s="7" t="s">
        <v>2825</v>
      </c>
      <c r="Y716" s="7" t="s">
        <v>5627</v>
      </c>
      <c r="Z716" s="7" t="s">
        <v>5629</v>
      </c>
      <c r="AA716" s="7"/>
      <c r="AB716" s="7"/>
      <c r="AC716" s="7" t="n">
        <v>0</v>
      </c>
      <c r="AD716" s="7" t="s">
        <v>388</v>
      </c>
      <c r="AE716" s="7" t="s">
        <v>1848</v>
      </c>
      <c r="AF716" s="7" t="s">
        <v>5630</v>
      </c>
      <c r="AG716" s="7" t="s">
        <v>115</v>
      </c>
      <c r="AH716" s="7" t="s">
        <v>5631</v>
      </c>
      <c r="AI716" s="7" t="s">
        <v>1848</v>
      </c>
      <c r="AJ716" s="7" t="s">
        <v>5632</v>
      </c>
      <c r="AK716" s="7" t="s">
        <v>1848</v>
      </c>
      <c r="AL716" s="7" t="s">
        <v>5633</v>
      </c>
      <c r="AM716" s="7" t="s">
        <v>1848</v>
      </c>
      <c r="AN716" s="7" t="s">
        <v>5634</v>
      </c>
      <c r="AO716" s="7" t="s">
        <v>1848</v>
      </c>
      <c r="AP716" s="7" t="s">
        <v>5635</v>
      </c>
      <c r="AQ716" s="7" t="s">
        <v>1848</v>
      </c>
      <c r="AR716" s="7" t="s">
        <v>5636</v>
      </c>
      <c r="AS716" s="7" t="s">
        <v>1848</v>
      </c>
      <c r="AT716" s="7" t="s">
        <v>1856</v>
      </c>
      <c r="AU716" s="7" t="s">
        <v>1848</v>
      </c>
      <c r="AV716" s="7" t="s">
        <v>5637</v>
      </c>
      <c r="AW716" s="7" t="s">
        <v>1848</v>
      </c>
      <c r="AX716" s="7" t="s">
        <v>5638</v>
      </c>
      <c r="AY716" s="7" t="s">
        <v>1848</v>
      </c>
      <c r="AZ716" s="7" t="s">
        <v>5639</v>
      </c>
      <c r="BA716" s="7" t="s">
        <v>1848</v>
      </c>
      <c r="BB716" s="7" t="s">
        <v>2352</v>
      </c>
      <c r="BC716" s="7" t="s">
        <v>413</v>
      </c>
      <c r="BD716" s="7" t="s">
        <v>440</v>
      </c>
      <c r="BE716" s="7" t="s">
        <v>127</v>
      </c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</row>
    <row r="717" customFormat="false" ht="15" hidden="false" customHeight="false" outlineLevel="0" collapsed="false">
      <c r="A717" s="7" t="s">
        <v>5640</v>
      </c>
      <c r="B717" s="7" t="s">
        <v>5641</v>
      </c>
      <c r="C717" s="7" t="s">
        <v>5642</v>
      </c>
      <c r="D717" s="7" t="s">
        <v>5643</v>
      </c>
      <c r="E717" s="7" t="s">
        <v>101</v>
      </c>
      <c r="F717" s="7" t="s">
        <v>101</v>
      </c>
      <c r="G717" s="7"/>
      <c r="H717" s="7" t="s">
        <v>102</v>
      </c>
      <c r="I717" s="7" t="s">
        <v>158</v>
      </c>
      <c r="J717" s="7" t="s">
        <v>104</v>
      </c>
      <c r="K717" s="7" t="s">
        <v>105</v>
      </c>
      <c r="L717" s="7" t="s">
        <v>353</v>
      </c>
      <c r="M717" s="7" t="s">
        <v>5644</v>
      </c>
      <c r="N717" s="7" t="s">
        <v>5645</v>
      </c>
      <c r="O717" s="7"/>
      <c r="P717" s="7" t="s">
        <v>135</v>
      </c>
      <c r="Q717" s="7"/>
      <c r="R717" s="7"/>
      <c r="S717" s="7"/>
      <c r="T717" s="7" t="n">
        <v>0.52</v>
      </c>
      <c r="U717" s="7" t="n">
        <v>1</v>
      </c>
      <c r="V717" s="7" t="s">
        <v>90</v>
      </c>
      <c r="W717" s="7" t="s">
        <v>3635</v>
      </c>
      <c r="X717" s="7"/>
      <c r="Y717" s="7" t="s">
        <v>5645</v>
      </c>
      <c r="Z717" s="7"/>
      <c r="AA717" s="7"/>
      <c r="AB717" s="7"/>
      <c r="AC717" s="7"/>
      <c r="AD717" s="7"/>
      <c r="AE717" s="7" t="s">
        <v>1848</v>
      </c>
      <c r="AF717" s="7" t="s">
        <v>5646</v>
      </c>
      <c r="AG717" s="7" t="s">
        <v>115</v>
      </c>
      <c r="AH717" s="7" t="s">
        <v>5647</v>
      </c>
      <c r="AI717" s="7" t="s">
        <v>1848</v>
      </c>
      <c r="AJ717" s="7" t="s">
        <v>5648</v>
      </c>
      <c r="AK717" s="7" t="s">
        <v>1848</v>
      </c>
      <c r="AL717" s="7" t="s">
        <v>2345</v>
      </c>
      <c r="AM717" s="7" t="s">
        <v>1848</v>
      </c>
      <c r="AN717" s="7" t="s">
        <v>5649</v>
      </c>
      <c r="AO717" s="7" t="s">
        <v>1848</v>
      </c>
      <c r="AP717" s="7" t="s">
        <v>5650</v>
      </c>
      <c r="AQ717" s="7" t="s">
        <v>1848</v>
      </c>
      <c r="AR717" s="7" t="s">
        <v>5651</v>
      </c>
      <c r="AS717" s="7" t="s">
        <v>1848</v>
      </c>
      <c r="AT717" s="7" t="s">
        <v>1856</v>
      </c>
      <c r="AU717" s="7" t="s">
        <v>1848</v>
      </c>
      <c r="AV717" s="7" t="s">
        <v>5652</v>
      </c>
      <c r="AW717" s="7" t="s">
        <v>1848</v>
      </c>
      <c r="AX717" s="7" t="s">
        <v>5653</v>
      </c>
      <c r="AY717" s="7" t="s">
        <v>1848</v>
      </c>
      <c r="AZ717" s="7" t="s">
        <v>5654</v>
      </c>
      <c r="BA717" s="7" t="s">
        <v>1848</v>
      </c>
      <c r="BB717" s="7" t="s">
        <v>5655</v>
      </c>
      <c r="BC717" s="7" t="s">
        <v>413</v>
      </c>
      <c r="BD717" s="7" t="s">
        <v>440</v>
      </c>
      <c r="BE717" s="7" t="s">
        <v>127</v>
      </c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</row>
    <row r="718" customFormat="false" ht="15" hidden="false" customHeight="false" outlineLevel="0" collapsed="false">
      <c r="A718" s="7" t="s">
        <v>5656</v>
      </c>
      <c r="B718" s="7" t="s">
        <v>5657</v>
      </c>
      <c r="C718" s="7" t="s">
        <v>5658</v>
      </c>
      <c r="D718" s="7" t="s">
        <v>5659</v>
      </c>
      <c r="E718" s="7" t="s">
        <v>101</v>
      </c>
      <c r="F718" s="7" t="s">
        <v>101</v>
      </c>
      <c r="G718" s="7"/>
      <c r="H718" s="7" t="s">
        <v>102</v>
      </c>
      <c r="I718" s="7" t="s">
        <v>158</v>
      </c>
      <c r="J718" s="7" t="s">
        <v>104</v>
      </c>
      <c r="K718" s="7" t="s">
        <v>105</v>
      </c>
      <c r="L718" s="7" t="s">
        <v>5660</v>
      </c>
      <c r="M718" s="7" t="s">
        <v>5661</v>
      </c>
      <c r="N718" s="7" t="s">
        <v>5662</v>
      </c>
      <c r="O718" s="7" t="s">
        <v>5662</v>
      </c>
      <c r="P718" s="7" t="s">
        <v>135</v>
      </c>
      <c r="Q718" s="7"/>
      <c r="R718" s="7" t="s">
        <v>84</v>
      </c>
      <c r="S718" s="7" t="s">
        <v>238</v>
      </c>
      <c r="T718" s="7" t="n">
        <v>0.69</v>
      </c>
      <c r="U718" s="7" t="n">
        <v>1</v>
      </c>
      <c r="V718" s="7" t="s">
        <v>2781</v>
      </c>
      <c r="W718" s="7" t="s">
        <v>5663</v>
      </c>
      <c r="X718" s="7" t="s">
        <v>5664</v>
      </c>
      <c r="Y718" s="7" t="s">
        <v>5662</v>
      </c>
      <c r="Z718" s="7" t="s">
        <v>5665</v>
      </c>
      <c r="AA718" s="7"/>
      <c r="AB718" s="7"/>
      <c r="AC718" s="7" t="n">
        <v>12</v>
      </c>
      <c r="AD718" s="7"/>
      <c r="AE718" s="7" t="s">
        <v>1848</v>
      </c>
      <c r="AF718" s="7" t="s">
        <v>5666</v>
      </c>
      <c r="AG718" s="7" t="s">
        <v>115</v>
      </c>
      <c r="AH718" s="7" t="s">
        <v>5667</v>
      </c>
      <c r="AI718" s="7" t="s">
        <v>1848</v>
      </c>
      <c r="AJ718" s="7" t="s">
        <v>5668</v>
      </c>
      <c r="AK718" s="7" t="s">
        <v>1848</v>
      </c>
      <c r="AL718" s="7" t="s">
        <v>5669</v>
      </c>
      <c r="AM718" s="7" t="s">
        <v>1848</v>
      </c>
      <c r="AN718" s="7" t="s">
        <v>5670</v>
      </c>
      <c r="AO718" s="7" t="s">
        <v>1848</v>
      </c>
      <c r="AP718" s="7" t="s">
        <v>5671</v>
      </c>
      <c r="AQ718" s="7" t="s">
        <v>1848</v>
      </c>
      <c r="AR718" s="7" t="s">
        <v>5672</v>
      </c>
      <c r="AS718" s="7" t="s">
        <v>1848</v>
      </c>
      <c r="AT718" s="7" t="s">
        <v>1856</v>
      </c>
      <c r="AU718" s="7" t="s">
        <v>1848</v>
      </c>
      <c r="AV718" s="7" t="s">
        <v>5673</v>
      </c>
      <c r="AW718" s="7" t="s">
        <v>1848</v>
      </c>
      <c r="AX718" s="7" t="s">
        <v>5674</v>
      </c>
      <c r="AY718" s="7" t="s">
        <v>1848</v>
      </c>
      <c r="AZ718" s="7" t="s">
        <v>5675</v>
      </c>
      <c r="BA718" s="7" t="s">
        <v>1848</v>
      </c>
      <c r="BB718" s="7" t="s">
        <v>5655</v>
      </c>
      <c r="BC718" s="7" t="s">
        <v>413</v>
      </c>
      <c r="BD718" s="7" t="s">
        <v>440</v>
      </c>
      <c r="BE718" s="7" t="s">
        <v>127</v>
      </c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</row>
    <row r="719" customFormat="false" ht="15" hidden="false" customHeight="false" outlineLevel="0" collapsed="false">
      <c r="A719" s="7" t="s">
        <v>5676</v>
      </c>
      <c r="B719" s="7" t="s">
        <v>5677</v>
      </c>
      <c r="C719" s="7" t="s">
        <v>5678</v>
      </c>
      <c r="D719" s="7" t="s">
        <v>5679</v>
      </c>
      <c r="E719" s="7" t="s">
        <v>101</v>
      </c>
      <c r="F719" s="7" t="s">
        <v>101</v>
      </c>
      <c r="G719" s="7"/>
      <c r="H719" s="7" t="s">
        <v>102</v>
      </c>
      <c r="I719" s="7" t="s">
        <v>158</v>
      </c>
      <c r="J719" s="7" t="s">
        <v>104</v>
      </c>
      <c r="K719" s="7" t="s">
        <v>105</v>
      </c>
      <c r="L719" s="7" t="s">
        <v>353</v>
      </c>
      <c r="M719" s="7" t="s">
        <v>5680</v>
      </c>
      <c r="N719" s="7" t="s">
        <v>5681</v>
      </c>
      <c r="O719" s="7"/>
      <c r="P719" s="7" t="s">
        <v>135</v>
      </c>
      <c r="Q719" s="7"/>
      <c r="R719" s="7"/>
      <c r="S719" s="7"/>
      <c r="T719" s="7" t="n">
        <v>0.873</v>
      </c>
      <c r="U719" s="7" t="n">
        <v>1</v>
      </c>
      <c r="V719" s="7" t="s">
        <v>2781</v>
      </c>
      <c r="W719" s="7" t="s">
        <v>5682</v>
      </c>
      <c r="X719" s="7" t="s">
        <v>5683</v>
      </c>
      <c r="Y719" s="7" t="s">
        <v>5681</v>
      </c>
      <c r="Z719" s="7" t="s">
        <v>5684</v>
      </c>
      <c r="AA719" s="7"/>
      <c r="AB719" s="7"/>
      <c r="AC719" s="7"/>
      <c r="AD719" s="7"/>
      <c r="AE719" s="7" t="s">
        <v>1848</v>
      </c>
      <c r="AF719" s="7" t="s">
        <v>5685</v>
      </c>
      <c r="AG719" s="7" t="s">
        <v>115</v>
      </c>
      <c r="AH719" s="7" t="s">
        <v>5686</v>
      </c>
      <c r="AI719" s="7" t="s">
        <v>1848</v>
      </c>
      <c r="AJ719" s="7" t="s">
        <v>5687</v>
      </c>
      <c r="AK719" s="7" t="s">
        <v>1848</v>
      </c>
      <c r="AL719" s="7" t="s">
        <v>2345</v>
      </c>
      <c r="AM719" s="7" t="s">
        <v>1848</v>
      </c>
      <c r="AN719" s="7" t="s">
        <v>5688</v>
      </c>
      <c r="AO719" s="7" t="s">
        <v>1848</v>
      </c>
      <c r="AP719" s="7" t="s">
        <v>5689</v>
      </c>
      <c r="AQ719" s="7" t="s">
        <v>1848</v>
      </c>
      <c r="AR719" s="7" t="s">
        <v>5690</v>
      </c>
      <c r="AS719" s="7" t="s">
        <v>1848</v>
      </c>
      <c r="AT719" s="7" t="s">
        <v>1856</v>
      </c>
      <c r="AU719" s="7" t="s">
        <v>1848</v>
      </c>
      <c r="AV719" s="7" t="s">
        <v>5691</v>
      </c>
      <c r="AW719" s="7" t="s">
        <v>1848</v>
      </c>
      <c r="AX719" s="7" t="s">
        <v>5692</v>
      </c>
      <c r="AY719" s="7" t="s">
        <v>1848</v>
      </c>
      <c r="AZ719" s="7" t="s">
        <v>5693</v>
      </c>
      <c r="BA719" s="7" t="s">
        <v>1848</v>
      </c>
      <c r="BB719" s="7" t="s">
        <v>5694</v>
      </c>
      <c r="BC719" s="7" t="s">
        <v>413</v>
      </c>
      <c r="BD719" s="7" t="s">
        <v>440</v>
      </c>
      <c r="BE719" s="7" t="s">
        <v>127</v>
      </c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</row>
    <row r="720" customFormat="false" ht="15" hidden="false" customHeight="false" outlineLevel="0" collapsed="false">
      <c r="A720" s="7" t="s">
        <v>5695</v>
      </c>
      <c r="B720" s="7" t="s">
        <v>5696</v>
      </c>
      <c r="C720" s="7" t="s">
        <v>5697</v>
      </c>
      <c r="D720" s="7" t="s">
        <v>5698</v>
      </c>
      <c r="E720" s="7" t="s">
        <v>101</v>
      </c>
      <c r="F720" s="7" t="s">
        <v>101</v>
      </c>
      <c r="G720" s="7"/>
      <c r="H720" s="7" t="s">
        <v>102</v>
      </c>
      <c r="I720" s="7" t="s">
        <v>158</v>
      </c>
      <c r="J720" s="7" t="s">
        <v>104</v>
      </c>
      <c r="K720" s="7" t="s">
        <v>105</v>
      </c>
      <c r="L720" s="7" t="s">
        <v>353</v>
      </c>
      <c r="M720" s="7" t="s">
        <v>5699</v>
      </c>
      <c r="N720" s="7" t="s">
        <v>5700</v>
      </c>
      <c r="O720" s="7"/>
      <c r="P720" s="7" t="s">
        <v>135</v>
      </c>
      <c r="Q720" s="7"/>
      <c r="R720" s="7"/>
      <c r="S720" s="7"/>
      <c r="T720" s="7" t="n">
        <v>0.163</v>
      </c>
      <c r="U720" s="7" t="n">
        <v>1</v>
      </c>
      <c r="V720" s="7" t="s">
        <v>2781</v>
      </c>
      <c r="W720" s="7" t="s">
        <v>3177</v>
      </c>
      <c r="X720" s="7" t="s">
        <v>5701</v>
      </c>
      <c r="Y720" s="7" t="s">
        <v>5700</v>
      </c>
      <c r="Z720" s="7" t="s">
        <v>5702</v>
      </c>
      <c r="AA720" s="7"/>
      <c r="AB720" s="7"/>
      <c r="AC720" s="7"/>
      <c r="AD720" s="7"/>
      <c r="AE720" s="7" t="s">
        <v>1848</v>
      </c>
      <c r="AF720" s="7" t="s">
        <v>5703</v>
      </c>
      <c r="AG720" s="7" t="s">
        <v>1848</v>
      </c>
      <c r="AH720" s="7" t="s">
        <v>5704</v>
      </c>
      <c r="AI720" s="7" t="s">
        <v>1848</v>
      </c>
      <c r="AJ720" s="7" t="s">
        <v>5705</v>
      </c>
      <c r="AK720" s="7" t="s">
        <v>1848</v>
      </c>
      <c r="AL720" s="7" t="s">
        <v>5706</v>
      </c>
      <c r="AM720" s="7" t="s">
        <v>1848</v>
      </c>
      <c r="AN720" s="7" t="s">
        <v>5707</v>
      </c>
      <c r="AO720" s="7" t="s">
        <v>1848</v>
      </c>
      <c r="AP720" s="7" t="s">
        <v>5708</v>
      </c>
      <c r="AQ720" s="7" t="s">
        <v>1848</v>
      </c>
      <c r="AR720" s="7" t="s">
        <v>5709</v>
      </c>
      <c r="AS720" s="7" t="s">
        <v>1848</v>
      </c>
      <c r="AT720" s="7" t="s">
        <v>1856</v>
      </c>
      <c r="AU720" s="7" t="s">
        <v>1848</v>
      </c>
      <c r="AV720" s="7" t="s">
        <v>5710</v>
      </c>
      <c r="AW720" s="7" t="s">
        <v>1848</v>
      </c>
      <c r="AX720" s="7" t="s">
        <v>5711</v>
      </c>
      <c r="AY720" s="7" t="s">
        <v>1848</v>
      </c>
      <c r="AZ720" s="7" t="s">
        <v>3725</v>
      </c>
      <c r="BA720" s="7" t="s">
        <v>1848</v>
      </c>
      <c r="BB720" s="7" t="s">
        <v>3726</v>
      </c>
      <c r="BC720" s="7" t="s">
        <v>413</v>
      </c>
      <c r="BD720" s="7" t="s">
        <v>440</v>
      </c>
      <c r="BE720" s="7" t="s">
        <v>127</v>
      </c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</row>
    <row r="721" customFormat="false" ht="15" hidden="false" customHeight="false" outlineLevel="0" collapsed="false">
      <c r="A721" s="7" t="s">
        <v>5712</v>
      </c>
      <c r="B721" s="7" t="s">
        <v>5713</v>
      </c>
      <c r="C721" s="7" t="s">
        <v>5714</v>
      </c>
      <c r="D721" s="7" t="s">
        <v>5715</v>
      </c>
      <c r="E721" s="7" t="s">
        <v>101</v>
      </c>
      <c r="F721" s="7" t="s">
        <v>101</v>
      </c>
      <c r="G721" s="7"/>
      <c r="H721" s="7" t="s">
        <v>102</v>
      </c>
      <c r="I721" s="7" t="s">
        <v>132</v>
      </c>
      <c r="J721" s="7" t="s">
        <v>104</v>
      </c>
      <c r="K721" s="7" t="s">
        <v>105</v>
      </c>
      <c r="L721" s="7" t="s">
        <v>106</v>
      </c>
      <c r="M721" s="7" t="s">
        <v>5716</v>
      </c>
      <c r="N721" s="7" t="s">
        <v>5717</v>
      </c>
      <c r="O721" s="7" t="s">
        <v>5717</v>
      </c>
      <c r="P721" s="7" t="s">
        <v>135</v>
      </c>
      <c r="Q721" s="7"/>
      <c r="R721" s="7" t="s">
        <v>109</v>
      </c>
      <c r="S721" s="7" t="s">
        <v>110</v>
      </c>
      <c r="T721" s="7" t="n">
        <v>0.281</v>
      </c>
      <c r="U721" s="7" t="n">
        <v>1</v>
      </c>
      <c r="V721" s="7" t="s">
        <v>90</v>
      </c>
      <c r="W721" s="7" t="s">
        <v>5718</v>
      </c>
      <c r="X721" s="7" t="s">
        <v>2825</v>
      </c>
      <c r="Y721" s="7" t="s">
        <v>5717</v>
      </c>
      <c r="Z721" s="7" t="s">
        <v>5719</v>
      </c>
      <c r="AA721" s="7"/>
      <c r="AB721" s="7"/>
      <c r="AC721" s="7" t="n">
        <v>0</v>
      </c>
      <c r="AD721" s="7" t="s">
        <v>388</v>
      </c>
      <c r="AE721" s="7" t="s">
        <v>1848</v>
      </c>
      <c r="AF721" s="7" t="s">
        <v>5720</v>
      </c>
      <c r="AG721" s="7" t="s">
        <v>1848</v>
      </c>
      <c r="AH721" s="7" t="s">
        <v>5721</v>
      </c>
      <c r="AI721" s="7" t="s">
        <v>1848</v>
      </c>
      <c r="AJ721" s="7" t="s">
        <v>5722</v>
      </c>
      <c r="AK721" s="7" t="s">
        <v>1848</v>
      </c>
      <c r="AL721" s="7" t="s">
        <v>5723</v>
      </c>
      <c r="AM721" s="7" t="s">
        <v>1848</v>
      </c>
      <c r="AN721" s="7" t="s">
        <v>5724</v>
      </c>
      <c r="AO721" s="7" t="s">
        <v>1848</v>
      </c>
      <c r="AP721" s="7" t="s">
        <v>5725</v>
      </c>
      <c r="AQ721" s="7" t="s">
        <v>1848</v>
      </c>
      <c r="AR721" s="7" t="s">
        <v>5726</v>
      </c>
      <c r="AS721" s="7" t="s">
        <v>1848</v>
      </c>
      <c r="AT721" s="7" t="s">
        <v>1856</v>
      </c>
      <c r="AU721" s="7" t="s">
        <v>1848</v>
      </c>
      <c r="AV721" s="7" t="s">
        <v>5727</v>
      </c>
      <c r="AW721" s="7" t="s">
        <v>1848</v>
      </c>
      <c r="AX721" s="7" t="s">
        <v>5728</v>
      </c>
      <c r="AY721" s="7" t="s">
        <v>1848</v>
      </c>
      <c r="AZ721" s="7" t="s">
        <v>3725</v>
      </c>
      <c r="BA721" s="7" t="s">
        <v>1848</v>
      </c>
      <c r="BB721" s="7" t="s">
        <v>3726</v>
      </c>
      <c r="BC721" s="7" t="s">
        <v>413</v>
      </c>
      <c r="BD721" s="7" t="s">
        <v>2797</v>
      </c>
      <c r="BE721" s="7" t="s">
        <v>127</v>
      </c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</row>
    <row r="722" customFormat="false" ht="15" hidden="false" customHeight="false" outlineLevel="0" collapsed="false">
      <c r="A722" s="7" t="s">
        <v>5729</v>
      </c>
      <c r="B722" s="7" t="s">
        <v>5730</v>
      </c>
      <c r="C722" s="7" t="s">
        <v>5731</v>
      </c>
      <c r="D722" s="7" t="s">
        <v>5732</v>
      </c>
      <c r="E722" s="7" t="s">
        <v>101</v>
      </c>
      <c r="F722" s="7" t="s">
        <v>101</v>
      </c>
      <c r="G722" s="7"/>
      <c r="H722" s="7" t="s">
        <v>102</v>
      </c>
      <c r="I722" s="7" t="s">
        <v>158</v>
      </c>
      <c r="J722" s="7" t="s">
        <v>104</v>
      </c>
      <c r="K722" s="7" t="s">
        <v>105</v>
      </c>
      <c r="L722" s="7" t="s">
        <v>353</v>
      </c>
      <c r="M722" s="7" t="s">
        <v>5733</v>
      </c>
      <c r="N722" s="7" t="s">
        <v>5734</v>
      </c>
      <c r="O722" s="7"/>
      <c r="P722" s="7" t="s">
        <v>135</v>
      </c>
      <c r="Q722" s="7"/>
      <c r="R722" s="7"/>
      <c r="S722" s="7"/>
      <c r="T722" s="7" t="n">
        <v>0.203</v>
      </c>
      <c r="U722" s="7" t="n">
        <v>1</v>
      </c>
      <c r="V722" s="7" t="s">
        <v>2781</v>
      </c>
      <c r="W722" s="7" t="s">
        <v>5735</v>
      </c>
      <c r="X722" s="7" t="s">
        <v>5736</v>
      </c>
      <c r="Y722" s="7" t="s">
        <v>5734</v>
      </c>
      <c r="Z722" s="7" t="s">
        <v>5737</v>
      </c>
      <c r="AA722" s="7"/>
      <c r="AB722" s="7"/>
      <c r="AC722" s="7"/>
      <c r="AD722" s="7"/>
      <c r="AE722" s="7" t="s">
        <v>1848</v>
      </c>
      <c r="AF722" s="7" t="s">
        <v>5738</v>
      </c>
      <c r="AG722" s="7" t="s">
        <v>1848</v>
      </c>
      <c r="AH722" s="7" t="s">
        <v>5739</v>
      </c>
      <c r="AI722" s="7" t="s">
        <v>1848</v>
      </c>
      <c r="AJ722" s="7" t="s">
        <v>3737</v>
      </c>
      <c r="AK722" s="7" t="s">
        <v>1848</v>
      </c>
      <c r="AL722" s="7" t="s">
        <v>3738</v>
      </c>
      <c r="AM722" s="7" t="s">
        <v>1848</v>
      </c>
      <c r="AN722" s="7" t="s">
        <v>5740</v>
      </c>
      <c r="AO722" s="7" t="s">
        <v>1848</v>
      </c>
      <c r="AP722" s="7" t="s">
        <v>5741</v>
      </c>
      <c r="AQ722" s="7" t="s">
        <v>1848</v>
      </c>
      <c r="AR722" s="7" t="s">
        <v>5742</v>
      </c>
      <c r="AS722" s="7" t="s">
        <v>1848</v>
      </c>
      <c r="AT722" s="7" t="s">
        <v>1856</v>
      </c>
      <c r="AU722" s="7" t="s">
        <v>1848</v>
      </c>
      <c r="AV722" s="7" t="s">
        <v>5743</v>
      </c>
      <c r="AW722" s="7" t="s">
        <v>1848</v>
      </c>
      <c r="AX722" s="7" t="s">
        <v>5744</v>
      </c>
      <c r="AY722" s="7" t="s">
        <v>1848</v>
      </c>
      <c r="AZ722" s="7" t="s">
        <v>3725</v>
      </c>
      <c r="BA722" s="7" t="s">
        <v>1848</v>
      </c>
      <c r="BB722" s="7" t="s">
        <v>3726</v>
      </c>
      <c r="BC722" s="7" t="s">
        <v>413</v>
      </c>
      <c r="BD722" s="7" t="s">
        <v>440</v>
      </c>
      <c r="BE722" s="7" t="s">
        <v>127</v>
      </c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</row>
    <row r="723" customFormat="false" ht="15" hidden="false" customHeight="false" outlineLevel="0" collapsed="false">
      <c r="A723" s="7" t="s">
        <v>5745</v>
      </c>
      <c r="B723" s="7" t="s">
        <v>5746</v>
      </c>
      <c r="C723" s="7" t="s">
        <v>5747</v>
      </c>
      <c r="D723" s="7" t="s">
        <v>5748</v>
      </c>
      <c r="E723" s="7" t="s">
        <v>101</v>
      </c>
      <c r="F723" s="7" t="s">
        <v>101</v>
      </c>
      <c r="G723" s="7"/>
      <c r="H723" s="7" t="s">
        <v>102</v>
      </c>
      <c r="I723" s="7" t="s">
        <v>158</v>
      </c>
      <c r="J723" s="7" t="s">
        <v>104</v>
      </c>
      <c r="K723" s="7" t="s">
        <v>105</v>
      </c>
      <c r="L723" s="7" t="s">
        <v>353</v>
      </c>
      <c r="M723" s="7" t="s">
        <v>5749</v>
      </c>
      <c r="N723" s="7" t="s">
        <v>5750</v>
      </c>
      <c r="O723" s="7" t="s">
        <v>5750</v>
      </c>
      <c r="P723" s="7" t="s">
        <v>135</v>
      </c>
      <c r="Q723" s="7"/>
      <c r="R723" s="7" t="s">
        <v>84</v>
      </c>
      <c r="S723" s="7" t="s">
        <v>238</v>
      </c>
      <c r="T723" s="7" t="n">
        <v>0.204</v>
      </c>
      <c r="U723" s="7" t="n">
        <v>1</v>
      </c>
      <c r="V723" s="7" t="s">
        <v>2781</v>
      </c>
      <c r="W723" s="7" t="s">
        <v>5751</v>
      </c>
      <c r="X723" s="7" t="s">
        <v>5752</v>
      </c>
      <c r="Y723" s="7" t="s">
        <v>5750</v>
      </c>
      <c r="Z723" s="7" t="s">
        <v>5753</v>
      </c>
      <c r="AA723" s="7"/>
      <c r="AB723" s="7"/>
      <c r="AC723" s="7" t="n">
        <v>12</v>
      </c>
      <c r="AD723" s="7"/>
      <c r="AE723" s="7" t="s">
        <v>1848</v>
      </c>
      <c r="AF723" s="7" t="s">
        <v>5754</v>
      </c>
      <c r="AG723" s="7" t="s">
        <v>1848</v>
      </c>
      <c r="AH723" s="7" t="s">
        <v>5755</v>
      </c>
      <c r="AI723" s="7" t="s">
        <v>1848</v>
      </c>
      <c r="AJ723" s="7" t="s">
        <v>5756</v>
      </c>
      <c r="AK723" s="7" t="s">
        <v>1848</v>
      </c>
      <c r="AL723" s="7" t="s">
        <v>5757</v>
      </c>
      <c r="AM723" s="7" t="s">
        <v>1848</v>
      </c>
      <c r="AN723" s="7" t="s">
        <v>5758</v>
      </c>
      <c r="AO723" s="7" t="s">
        <v>1848</v>
      </c>
      <c r="AP723" s="7" t="s">
        <v>5759</v>
      </c>
      <c r="AQ723" s="7" t="s">
        <v>1848</v>
      </c>
      <c r="AR723" s="7" t="s">
        <v>5760</v>
      </c>
      <c r="AS723" s="7" t="s">
        <v>1848</v>
      </c>
      <c r="AT723" s="7" t="s">
        <v>1856</v>
      </c>
      <c r="AU723" s="7" t="s">
        <v>1848</v>
      </c>
      <c r="AV723" s="7" t="s">
        <v>5761</v>
      </c>
      <c r="AW723" s="7" t="s">
        <v>1848</v>
      </c>
      <c r="AX723" s="7" t="s">
        <v>5762</v>
      </c>
      <c r="AY723" s="7" t="s">
        <v>1848</v>
      </c>
      <c r="AZ723" s="7" t="s">
        <v>3725</v>
      </c>
      <c r="BA723" s="7" t="s">
        <v>1848</v>
      </c>
      <c r="BB723" s="7" t="s">
        <v>3726</v>
      </c>
      <c r="BC723" s="7" t="s">
        <v>413</v>
      </c>
      <c r="BD723" s="7" t="s">
        <v>440</v>
      </c>
      <c r="BE723" s="7" t="s">
        <v>127</v>
      </c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</row>
    <row r="724" customFormat="false" ht="15" hidden="false" customHeight="false" outlineLevel="0" collapsed="false">
      <c r="A724" s="7" t="s">
        <v>5763</v>
      </c>
      <c r="B724" s="7" t="s">
        <v>5764</v>
      </c>
      <c r="C724" s="7" t="s">
        <v>5765</v>
      </c>
      <c r="D724" s="7" t="s">
        <v>5766</v>
      </c>
      <c r="E724" s="7" t="s">
        <v>101</v>
      </c>
      <c r="F724" s="7" t="s">
        <v>101</v>
      </c>
      <c r="G724" s="7"/>
      <c r="H724" s="7" t="s">
        <v>102</v>
      </c>
      <c r="I724" s="7" t="s">
        <v>158</v>
      </c>
      <c r="J724" s="7" t="s">
        <v>104</v>
      </c>
      <c r="K724" s="7" t="s">
        <v>105</v>
      </c>
      <c r="L724" s="7" t="s">
        <v>353</v>
      </c>
      <c r="M724" s="7" t="s">
        <v>5767</v>
      </c>
      <c r="N724" s="7" t="s">
        <v>5768</v>
      </c>
      <c r="O724" s="7" t="s">
        <v>5768</v>
      </c>
      <c r="P724" s="7" t="s">
        <v>135</v>
      </c>
      <c r="Q724" s="7"/>
      <c r="R724" s="7" t="s">
        <v>84</v>
      </c>
      <c r="S724" s="7" t="s">
        <v>238</v>
      </c>
      <c r="T724" s="7" t="n">
        <v>0.257</v>
      </c>
      <c r="U724" s="7" t="n">
        <v>1</v>
      </c>
      <c r="V724" s="7" t="s">
        <v>2781</v>
      </c>
      <c r="W724" s="7" t="s">
        <v>3881</v>
      </c>
      <c r="X724" s="7" t="s">
        <v>5769</v>
      </c>
      <c r="Y724" s="7" t="s">
        <v>5768</v>
      </c>
      <c r="Z724" s="7" t="s">
        <v>5770</v>
      </c>
      <c r="AA724" s="7"/>
      <c r="AB724" s="7"/>
      <c r="AC724" s="7" t="n">
        <v>12</v>
      </c>
      <c r="AD724" s="7"/>
      <c r="AE724" s="7" t="s">
        <v>1848</v>
      </c>
      <c r="AF724" s="7" t="s">
        <v>5771</v>
      </c>
      <c r="AG724" s="7" t="s">
        <v>1848</v>
      </c>
      <c r="AH724" s="7" t="s">
        <v>5772</v>
      </c>
      <c r="AI724" s="7" t="s">
        <v>1848</v>
      </c>
      <c r="AJ724" s="7" t="s">
        <v>5773</v>
      </c>
      <c r="AK724" s="7" t="s">
        <v>1848</v>
      </c>
      <c r="AL724" s="7" t="s">
        <v>5774</v>
      </c>
      <c r="AM724" s="7" t="s">
        <v>115</v>
      </c>
      <c r="AN724" s="7" t="s">
        <v>5775</v>
      </c>
      <c r="AO724" s="7" t="s">
        <v>1848</v>
      </c>
      <c r="AP724" s="7" t="s">
        <v>5776</v>
      </c>
      <c r="AQ724" s="7" t="s">
        <v>1848</v>
      </c>
      <c r="AR724" s="7" t="s">
        <v>5777</v>
      </c>
      <c r="AS724" s="7" t="s">
        <v>1848</v>
      </c>
      <c r="AT724" s="7" t="s">
        <v>1856</v>
      </c>
      <c r="AU724" s="7" t="s">
        <v>1848</v>
      </c>
      <c r="AV724" s="7" t="s">
        <v>5778</v>
      </c>
      <c r="AW724" s="7" t="s">
        <v>1848</v>
      </c>
      <c r="AX724" s="7" t="s">
        <v>5779</v>
      </c>
      <c r="AY724" s="7" t="s">
        <v>1848</v>
      </c>
      <c r="AZ724" s="7" t="s">
        <v>3725</v>
      </c>
      <c r="BA724" s="7" t="s">
        <v>1848</v>
      </c>
      <c r="BB724" s="7" t="s">
        <v>3726</v>
      </c>
      <c r="BC724" s="7" t="s">
        <v>413</v>
      </c>
      <c r="BD724" s="7" t="s">
        <v>440</v>
      </c>
      <c r="BE724" s="7" t="s">
        <v>127</v>
      </c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</row>
    <row r="725" customFormat="false" ht="15" hidden="false" customHeight="false" outlineLevel="0" collapsed="false">
      <c r="A725" s="7" t="s">
        <v>5780</v>
      </c>
      <c r="B725" s="7" t="s">
        <v>5781</v>
      </c>
      <c r="C725" s="7" t="s">
        <v>5782</v>
      </c>
      <c r="D725" s="7" t="s">
        <v>5783</v>
      </c>
      <c r="E725" s="7" t="s">
        <v>101</v>
      </c>
      <c r="F725" s="7" t="s">
        <v>101</v>
      </c>
      <c r="G725" s="7"/>
      <c r="H725" s="7" t="s">
        <v>102</v>
      </c>
      <c r="I725" s="7" t="s">
        <v>158</v>
      </c>
      <c r="J725" s="7" t="s">
        <v>104</v>
      </c>
      <c r="K725" s="7" t="s">
        <v>105</v>
      </c>
      <c r="L725" s="7" t="s">
        <v>353</v>
      </c>
      <c r="M725" s="7" t="s">
        <v>5784</v>
      </c>
      <c r="N725" s="7" t="s">
        <v>5785</v>
      </c>
      <c r="O725" s="7" t="s">
        <v>5785</v>
      </c>
      <c r="P725" s="7" t="s">
        <v>135</v>
      </c>
      <c r="Q725" s="7"/>
      <c r="R725" s="7" t="s">
        <v>84</v>
      </c>
      <c r="S725" s="7" t="s">
        <v>238</v>
      </c>
      <c r="T725" s="7" t="n">
        <v>0.323</v>
      </c>
      <c r="U725" s="7" t="n">
        <v>1</v>
      </c>
      <c r="V725" s="7" t="s">
        <v>90</v>
      </c>
      <c r="W725" s="7" t="s">
        <v>5135</v>
      </c>
      <c r="X725" s="7" t="s">
        <v>2825</v>
      </c>
      <c r="Y725" s="7" t="s">
        <v>5785</v>
      </c>
      <c r="Z725" s="7" t="s">
        <v>5786</v>
      </c>
      <c r="AA725" s="7"/>
      <c r="AB725" s="7"/>
      <c r="AC725" s="7" t="n">
        <v>12</v>
      </c>
      <c r="AD725" s="7"/>
      <c r="AE725" s="7" t="s">
        <v>1848</v>
      </c>
      <c r="AF725" s="7" t="s">
        <v>5787</v>
      </c>
      <c r="AG725" s="7" t="s">
        <v>1848</v>
      </c>
      <c r="AH725" s="7" t="s">
        <v>5788</v>
      </c>
      <c r="AI725" s="7" t="s">
        <v>1848</v>
      </c>
      <c r="AJ725" s="7" t="s">
        <v>5789</v>
      </c>
      <c r="AK725" s="7" t="s">
        <v>1848</v>
      </c>
      <c r="AL725" s="7" t="s">
        <v>5790</v>
      </c>
      <c r="AM725" s="7" t="s">
        <v>1848</v>
      </c>
      <c r="AN725" s="7" t="s">
        <v>5791</v>
      </c>
      <c r="AO725" s="7" t="s">
        <v>1848</v>
      </c>
      <c r="AP725" s="7" t="s">
        <v>5792</v>
      </c>
      <c r="AQ725" s="7" t="s">
        <v>1848</v>
      </c>
      <c r="AR725" s="7" t="s">
        <v>5793</v>
      </c>
      <c r="AS725" s="7" t="s">
        <v>1848</v>
      </c>
      <c r="AT725" s="7" t="s">
        <v>1856</v>
      </c>
      <c r="AU725" s="7" t="s">
        <v>1848</v>
      </c>
      <c r="AV725" s="7" t="s">
        <v>5794</v>
      </c>
      <c r="AW725" s="7" t="s">
        <v>1848</v>
      </c>
      <c r="AX725" s="7" t="s">
        <v>5795</v>
      </c>
      <c r="AY725" s="7" t="s">
        <v>1848</v>
      </c>
      <c r="AZ725" s="7" t="s">
        <v>3725</v>
      </c>
      <c r="BA725" s="7" t="s">
        <v>1848</v>
      </c>
      <c r="BB725" s="7" t="s">
        <v>3726</v>
      </c>
      <c r="BC725" s="7" t="s">
        <v>413</v>
      </c>
      <c r="BD725" s="7" t="s">
        <v>440</v>
      </c>
      <c r="BE725" s="7" t="s">
        <v>127</v>
      </c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</row>
    <row r="726" customFormat="false" ht="15" hidden="false" customHeight="false" outlineLevel="0" collapsed="false">
      <c r="A726" s="7" t="s">
        <v>5796</v>
      </c>
      <c r="B726" s="7" t="s">
        <v>5797</v>
      </c>
      <c r="C726" s="7" t="s">
        <v>5798</v>
      </c>
      <c r="D726" s="7" t="s">
        <v>5799</v>
      </c>
      <c r="E726" s="7" t="s">
        <v>101</v>
      </c>
      <c r="F726" s="7" t="s">
        <v>101</v>
      </c>
      <c r="G726" s="7"/>
      <c r="H726" s="7" t="s">
        <v>102</v>
      </c>
      <c r="I726" s="7" t="s">
        <v>158</v>
      </c>
      <c r="J726" s="7" t="s">
        <v>104</v>
      </c>
      <c r="K726" s="7" t="s">
        <v>105</v>
      </c>
      <c r="L726" s="7" t="s">
        <v>5660</v>
      </c>
      <c r="M726" s="7" t="s">
        <v>419</v>
      </c>
      <c r="N726" s="7" t="s">
        <v>5800</v>
      </c>
      <c r="O726" s="7"/>
      <c r="P726" s="7" t="s">
        <v>135</v>
      </c>
      <c r="Q726" s="7"/>
      <c r="R726" s="7"/>
      <c r="S726" s="7"/>
      <c r="T726" s="7" t="n">
        <v>0.213</v>
      </c>
      <c r="U726" s="7" t="n">
        <v>1</v>
      </c>
      <c r="V726" s="7" t="s">
        <v>90</v>
      </c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 t="s">
        <v>1848</v>
      </c>
      <c r="AH726" s="7" t="s">
        <v>1956</v>
      </c>
      <c r="AI726" s="7"/>
      <c r="AJ726" s="7"/>
      <c r="AK726" s="7"/>
      <c r="AL726" s="7"/>
      <c r="AM726" s="7" t="s">
        <v>1848</v>
      </c>
      <c r="AN726" s="7" t="s">
        <v>1957</v>
      </c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 t="s">
        <v>427</v>
      </c>
      <c r="BD726" s="7" t="s">
        <v>440</v>
      </c>
      <c r="BE726" s="7" t="s">
        <v>127</v>
      </c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</row>
    <row r="727" customFormat="false" ht="15" hidden="false" customHeight="false" outlineLevel="0" collapsed="false">
      <c r="A727" s="7" t="s">
        <v>5801</v>
      </c>
      <c r="B727" s="7" t="s">
        <v>5802</v>
      </c>
      <c r="C727" s="7" t="s">
        <v>5803</v>
      </c>
      <c r="D727" s="7" t="s">
        <v>5804</v>
      </c>
      <c r="E727" s="7" t="s">
        <v>101</v>
      </c>
      <c r="F727" s="7" t="s">
        <v>101</v>
      </c>
      <c r="G727" s="7"/>
      <c r="H727" s="7" t="s">
        <v>102</v>
      </c>
      <c r="I727" s="7" t="s">
        <v>1639</v>
      </c>
      <c r="J727" s="7" t="s">
        <v>104</v>
      </c>
      <c r="K727" s="7" t="s">
        <v>105</v>
      </c>
      <c r="L727" s="7" t="s">
        <v>106</v>
      </c>
      <c r="M727" s="7" t="s">
        <v>419</v>
      </c>
      <c r="N727" s="7" t="s">
        <v>5805</v>
      </c>
      <c r="O727" s="7" t="s">
        <v>5805</v>
      </c>
      <c r="P727" s="7" t="s">
        <v>135</v>
      </c>
      <c r="Q727" s="7"/>
      <c r="R727" s="7" t="s">
        <v>109</v>
      </c>
      <c r="S727" s="7" t="s">
        <v>110</v>
      </c>
      <c r="T727" s="7" t="n">
        <v>0.18</v>
      </c>
      <c r="U727" s="7" t="n">
        <v>1</v>
      </c>
      <c r="V727" s="7" t="s">
        <v>90</v>
      </c>
      <c r="W727" s="7"/>
      <c r="X727" s="7"/>
      <c r="Y727" s="7"/>
      <c r="Z727" s="7"/>
      <c r="AA727" s="7"/>
      <c r="AB727" s="7"/>
      <c r="AC727" s="7" t="n">
        <v>2</v>
      </c>
      <c r="AD727" s="7" t="s">
        <v>1954</v>
      </c>
      <c r="AE727" s="7"/>
      <c r="AF727" s="7"/>
      <c r="AG727" s="7" t="s">
        <v>1848</v>
      </c>
      <c r="AH727" s="7" t="s">
        <v>1956</v>
      </c>
      <c r="AI727" s="7"/>
      <c r="AJ727" s="7"/>
      <c r="AK727" s="7"/>
      <c r="AL727" s="7"/>
      <c r="AM727" s="7" t="s">
        <v>1848</v>
      </c>
      <c r="AN727" s="7" t="s">
        <v>1957</v>
      </c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 t="s">
        <v>427</v>
      </c>
      <c r="BD727" s="7" t="s">
        <v>440</v>
      </c>
      <c r="BE727" s="7" t="s">
        <v>127</v>
      </c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</row>
    <row r="728" customFormat="false" ht="15" hidden="false" customHeight="false" outlineLevel="0" collapsed="false">
      <c r="A728" s="7" t="s">
        <v>5806</v>
      </c>
      <c r="B728" s="7" t="s">
        <v>5807</v>
      </c>
      <c r="C728" s="7" t="s">
        <v>5808</v>
      </c>
      <c r="D728" s="7" t="s">
        <v>5809</v>
      </c>
      <c r="E728" s="7" t="s">
        <v>101</v>
      </c>
      <c r="F728" s="7" t="s">
        <v>101</v>
      </c>
      <c r="G728" s="7"/>
      <c r="H728" s="7" t="s">
        <v>102</v>
      </c>
      <c r="I728" s="7" t="s">
        <v>158</v>
      </c>
      <c r="J728" s="7" t="s">
        <v>104</v>
      </c>
      <c r="K728" s="7" t="s">
        <v>105</v>
      </c>
      <c r="L728" s="7" t="s">
        <v>106</v>
      </c>
      <c r="M728" s="7" t="s">
        <v>419</v>
      </c>
      <c r="N728" s="7" t="s">
        <v>5810</v>
      </c>
      <c r="O728" s="7" t="s">
        <v>5810</v>
      </c>
      <c r="P728" s="7" t="s">
        <v>135</v>
      </c>
      <c r="Q728" s="7"/>
      <c r="R728" s="7" t="s">
        <v>109</v>
      </c>
      <c r="S728" s="7" t="s">
        <v>110</v>
      </c>
      <c r="T728" s="7" t="n">
        <v>0.769</v>
      </c>
      <c r="U728" s="7" t="n">
        <v>1</v>
      </c>
      <c r="V728" s="7" t="s">
        <v>90</v>
      </c>
      <c r="W728" s="7"/>
      <c r="X728" s="7"/>
      <c r="Y728" s="7"/>
      <c r="Z728" s="7"/>
      <c r="AA728" s="7"/>
      <c r="AB728" s="7"/>
      <c r="AC728" s="7" t="n">
        <v>0</v>
      </c>
      <c r="AD728" s="7" t="s">
        <v>388</v>
      </c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 t="s">
        <v>427</v>
      </c>
      <c r="BD728" s="7" t="s">
        <v>440</v>
      </c>
      <c r="BE728" s="7" t="s">
        <v>127</v>
      </c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</row>
    <row r="729" customFormat="false" ht="15" hidden="false" customHeight="false" outlineLevel="0" collapsed="false">
      <c r="A729" s="7" t="s">
        <v>5811</v>
      </c>
      <c r="B729" s="7" t="s">
        <v>5812</v>
      </c>
      <c r="C729" s="7" t="s">
        <v>5813</v>
      </c>
      <c r="D729" s="7"/>
      <c r="E729" s="7" t="s">
        <v>101</v>
      </c>
      <c r="F729" s="7" t="s">
        <v>101</v>
      </c>
      <c r="G729" s="7"/>
      <c r="H729" s="7" t="s">
        <v>102</v>
      </c>
      <c r="I729" s="7" t="s">
        <v>158</v>
      </c>
      <c r="J729" s="7" t="s">
        <v>104</v>
      </c>
      <c r="K729" s="7" t="s">
        <v>105</v>
      </c>
      <c r="L729" s="7" t="s">
        <v>106</v>
      </c>
      <c r="M729" s="7" t="s">
        <v>419</v>
      </c>
      <c r="N729" s="7" t="s">
        <v>5814</v>
      </c>
      <c r="O729" s="7" t="s">
        <v>5814</v>
      </c>
      <c r="P729" s="7" t="s">
        <v>135</v>
      </c>
      <c r="Q729" s="7"/>
      <c r="R729" s="7" t="s">
        <v>109</v>
      </c>
      <c r="S729" s="7" t="s">
        <v>110</v>
      </c>
      <c r="T729" s="7" t="n">
        <v>0.841</v>
      </c>
      <c r="U729" s="7" t="n">
        <v>1</v>
      </c>
      <c r="V729" s="7" t="s">
        <v>90</v>
      </c>
      <c r="W729" s="7"/>
      <c r="X729" s="7"/>
      <c r="Y729" s="7" t="s">
        <v>5814</v>
      </c>
      <c r="Z729" s="7"/>
      <c r="AA729" s="7"/>
      <c r="AB729" s="7"/>
      <c r="AC729" s="7" t="n">
        <v>0</v>
      </c>
      <c r="AD729" s="7" t="s">
        <v>388</v>
      </c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 t="s">
        <v>427</v>
      </c>
      <c r="BD729" s="7" t="s">
        <v>747</v>
      </c>
      <c r="BE729" s="7" t="s">
        <v>127</v>
      </c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</row>
    <row r="730" customFormat="false" ht="15" hidden="false" customHeight="false" outlineLevel="0" collapsed="false">
      <c r="A730" s="7" t="s">
        <v>5815</v>
      </c>
      <c r="B730" s="7" t="s">
        <v>5816</v>
      </c>
      <c r="C730" s="7" t="s">
        <v>5817</v>
      </c>
      <c r="D730" s="7" t="s">
        <v>5818</v>
      </c>
      <c r="E730" s="7" t="s">
        <v>101</v>
      </c>
      <c r="F730" s="7" t="s">
        <v>101</v>
      </c>
      <c r="G730" s="7"/>
      <c r="H730" s="7" t="s">
        <v>102</v>
      </c>
      <c r="I730" s="7" t="s">
        <v>132</v>
      </c>
      <c r="J730" s="7" t="s">
        <v>104</v>
      </c>
      <c r="K730" s="7" t="s">
        <v>105</v>
      </c>
      <c r="L730" s="7" t="s">
        <v>106</v>
      </c>
      <c r="M730" s="7" t="s">
        <v>5819</v>
      </c>
      <c r="N730" s="7" t="s">
        <v>5820</v>
      </c>
      <c r="O730" s="7"/>
      <c r="P730" s="7" t="s">
        <v>135</v>
      </c>
      <c r="Q730" s="7"/>
      <c r="R730" s="7"/>
      <c r="S730" s="7"/>
      <c r="T730" s="7" t="n">
        <v>0.795</v>
      </c>
      <c r="U730" s="7" t="n">
        <v>1</v>
      </c>
      <c r="V730" s="7" t="s">
        <v>90</v>
      </c>
      <c r="W730" s="7"/>
      <c r="X730" s="7" t="s">
        <v>2825</v>
      </c>
      <c r="Y730" s="7" t="s">
        <v>5820</v>
      </c>
      <c r="Z730" s="7" t="s">
        <v>2826</v>
      </c>
      <c r="AA730" s="7"/>
      <c r="AB730" s="7"/>
      <c r="AC730" s="7"/>
      <c r="AD730" s="7"/>
      <c r="AE730" s="7" t="s">
        <v>619</v>
      </c>
      <c r="AF730" s="7" t="s">
        <v>5821</v>
      </c>
      <c r="AG730" s="7" t="s">
        <v>619</v>
      </c>
      <c r="AH730" s="7" t="s">
        <v>5822</v>
      </c>
      <c r="AI730" s="7" t="s">
        <v>619</v>
      </c>
      <c r="AJ730" s="7" t="s">
        <v>145</v>
      </c>
      <c r="AK730" s="7" t="s">
        <v>619</v>
      </c>
      <c r="AL730" s="7" t="s">
        <v>145</v>
      </c>
      <c r="AM730" s="7" t="s">
        <v>619</v>
      </c>
      <c r="AN730" s="7" t="s">
        <v>5823</v>
      </c>
      <c r="AO730" s="7" t="s">
        <v>619</v>
      </c>
      <c r="AP730" s="7" t="s">
        <v>5824</v>
      </c>
      <c r="AQ730" s="7" t="s">
        <v>619</v>
      </c>
      <c r="AR730" s="7" t="s">
        <v>5825</v>
      </c>
      <c r="AS730" s="7" t="s">
        <v>619</v>
      </c>
      <c r="AT730" s="7" t="s">
        <v>5826</v>
      </c>
      <c r="AU730" s="7" t="s">
        <v>619</v>
      </c>
      <c r="AV730" s="7" t="s">
        <v>5827</v>
      </c>
      <c r="AW730" s="7" t="s">
        <v>619</v>
      </c>
      <c r="AX730" s="7" t="s">
        <v>5828</v>
      </c>
      <c r="AY730" s="7" t="s">
        <v>619</v>
      </c>
      <c r="AZ730" s="7" t="s">
        <v>145</v>
      </c>
      <c r="BA730" s="7" t="s">
        <v>619</v>
      </c>
      <c r="BB730" s="7" t="s">
        <v>5829</v>
      </c>
      <c r="BC730" s="7" t="s">
        <v>427</v>
      </c>
      <c r="BD730" s="7"/>
      <c r="BE730" s="7" t="s">
        <v>127</v>
      </c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</row>
    <row r="731" customFormat="false" ht="15" hidden="false" customHeight="false" outlineLevel="0" collapsed="false">
      <c r="A731" s="7" t="s">
        <v>5830</v>
      </c>
      <c r="B731" s="7" t="s">
        <v>5831</v>
      </c>
      <c r="C731" s="7" t="s">
        <v>5832</v>
      </c>
      <c r="D731" s="7"/>
      <c r="E731" s="7" t="s">
        <v>101</v>
      </c>
      <c r="F731" s="7" t="s">
        <v>101</v>
      </c>
      <c r="G731" s="7"/>
      <c r="H731" s="7" t="s">
        <v>102</v>
      </c>
      <c r="I731" s="7" t="s">
        <v>158</v>
      </c>
      <c r="J731" s="7" t="s">
        <v>104</v>
      </c>
      <c r="K731" s="7" t="s">
        <v>105</v>
      </c>
      <c r="L731" s="7" t="s">
        <v>106</v>
      </c>
      <c r="M731" s="7" t="s">
        <v>5833</v>
      </c>
      <c r="N731" s="7" t="s">
        <v>5834</v>
      </c>
      <c r="O731" s="7" t="s">
        <v>5834</v>
      </c>
      <c r="P731" s="7" t="s">
        <v>135</v>
      </c>
      <c r="Q731" s="7"/>
      <c r="R731" s="7" t="s">
        <v>109</v>
      </c>
      <c r="S731" s="7" t="s">
        <v>110</v>
      </c>
      <c r="T731" s="7" t="n">
        <v>0.232</v>
      </c>
      <c r="U731" s="7" t="n">
        <v>1</v>
      </c>
      <c r="V731" s="7" t="s">
        <v>90</v>
      </c>
      <c r="W731" s="7"/>
      <c r="X731" s="7"/>
      <c r="Y731" s="7" t="s">
        <v>5834</v>
      </c>
      <c r="Z731" s="7"/>
      <c r="AA731" s="7"/>
      <c r="AB731" s="7"/>
      <c r="AC731" s="7" t="n">
        <v>0</v>
      </c>
      <c r="AD731" s="7" t="s">
        <v>388</v>
      </c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 t="s">
        <v>219</v>
      </c>
      <c r="BD731" s="7" t="s">
        <v>747</v>
      </c>
      <c r="BE731" s="7" t="s">
        <v>127</v>
      </c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</row>
    <row r="732" customFormat="false" ht="15" hidden="false" customHeight="false" outlineLevel="0" collapsed="false">
      <c r="A732" s="7" t="s">
        <v>5835</v>
      </c>
      <c r="B732" s="7" t="s">
        <v>5836</v>
      </c>
      <c r="C732" s="7" t="s">
        <v>5837</v>
      </c>
      <c r="D732" s="7"/>
      <c r="E732" s="7" t="s">
        <v>101</v>
      </c>
      <c r="F732" s="7" t="s">
        <v>101</v>
      </c>
      <c r="G732" s="7"/>
      <c r="H732" s="7" t="s">
        <v>102</v>
      </c>
      <c r="I732" s="7" t="s">
        <v>132</v>
      </c>
      <c r="J732" s="7" t="s">
        <v>104</v>
      </c>
      <c r="K732" s="7" t="s">
        <v>105</v>
      </c>
      <c r="L732" s="7" t="s">
        <v>106</v>
      </c>
      <c r="M732" s="7" t="s">
        <v>5838</v>
      </c>
      <c r="N732" s="7" t="s">
        <v>5839</v>
      </c>
      <c r="O732" s="7"/>
      <c r="P732" s="7" t="s">
        <v>135</v>
      </c>
      <c r="Q732" s="7"/>
      <c r="R732" s="7" t="s">
        <v>135</v>
      </c>
      <c r="S732" s="7" t="s">
        <v>136</v>
      </c>
      <c r="T732" s="7" t="n">
        <v>0.369</v>
      </c>
      <c r="U732" s="7" t="n">
        <v>1</v>
      </c>
      <c r="V732" s="7" t="s">
        <v>90</v>
      </c>
      <c r="W732" s="7"/>
      <c r="X732" s="7"/>
      <c r="Y732" s="7"/>
      <c r="Z732" s="7"/>
      <c r="AA732" s="7"/>
      <c r="AB732" s="7"/>
      <c r="AC732" s="7" t="n">
        <v>0</v>
      </c>
      <c r="AD732" s="7" t="s">
        <v>388</v>
      </c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 t="s">
        <v>427</v>
      </c>
      <c r="BD732" s="7"/>
      <c r="BE732" s="7" t="s">
        <v>127</v>
      </c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</row>
    <row r="733" customFormat="false" ht="15" hidden="false" customHeight="false" outlineLevel="0" collapsed="false">
      <c r="A733" s="7" t="s">
        <v>5840</v>
      </c>
      <c r="B733" s="7" t="s">
        <v>5841</v>
      </c>
      <c r="C733" s="7" t="s">
        <v>5842</v>
      </c>
      <c r="D733" s="7" t="s">
        <v>5843</v>
      </c>
      <c r="E733" s="7" t="s">
        <v>101</v>
      </c>
      <c r="F733" s="7" t="s">
        <v>101</v>
      </c>
      <c r="G733" s="7"/>
      <c r="H733" s="7" t="s">
        <v>102</v>
      </c>
      <c r="I733" s="7" t="s">
        <v>132</v>
      </c>
      <c r="J733" s="7" t="s">
        <v>104</v>
      </c>
      <c r="K733" s="7" t="s">
        <v>105</v>
      </c>
      <c r="L733" s="7" t="s">
        <v>106</v>
      </c>
      <c r="M733" s="7" t="s">
        <v>5844</v>
      </c>
      <c r="N733" s="7" t="s">
        <v>5845</v>
      </c>
      <c r="O733" s="7"/>
      <c r="P733" s="7" t="s">
        <v>135</v>
      </c>
      <c r="Q733" s="7"/>
      <c r="R733" s="7" t="s">
        <v>135</v>
      </c>
      <c r="S733" s="7" t="s">
        <v>136</v>
      </c>
      <c r="T733" s="7" t="n">
        <v>0.825</v>
      </c>
      <c r="U733" s="7" t="n">
        <v>1</v>
      </c>
      <c r="V733" s="7" t="s">
        <v>90</v>
      </c>
      <c r="W733" s="7"/>
      <c r="X733" s="7"/>
      <c r="Y733" s="7"/>
      <c r="Z733" s="7"/>
      <c r="AA733" s="7"/>
      <c r="AB733" s="7"/>
      <c r="AC733" s="7" t="n">
        <v>0</v>
      </c>
      <c r="AD733" s="7" t="s">
        <v>388</v>
      </c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 t="s">
        <v>125</v>
      </c>
      <c r="BD733" s="7"/>
      <c r="BE733" s="7" t="s">
        <v>127</v>
      </c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</row>
    <row r="734" customFormat="false" ht="15" hidden="false" customHeight="false" outlineLevel="0" collapsed="false">
      <c r="A734" s="7" t="s">
        <v>5846</v>
      </c>
      <c r="B734" s="7" t="s">
        <v>5847</v>
      </c>
      <c r="C734" s="7" t="s">
        <v>5848</v>
      </c>
      <c r="D734" s="7" t="s">
        <v>5849</v>
      </c>
      <c r="E734" s="7" t="s">
        <v>101</v>
      </c>
      <c r="F734" s="7" t="s">
        <v>101</v>
      </c>
      <c r="G734" s="7"/>
      <c r="H734" s="7" t="s">
        <v>102</v>
      </c>
      <c r="I734" s="7" t="s">
        <v>158</v>
      </c>
      <c r="J734" s="7" t="s">
        <v>104</v>
      </c>
      <c r="K734" s="7" t="s">
        <v>105</v>
      </c>
      <c r="L734" s="7" t="s">
        <v>353</v>
      </c>
      <c r="M734" s="7" t="s">
        <v>5850</v>
      </c>
      <c r="N734" s="7" t="s">
        <v>5851</v>
      </c>
      <c r="O734" s="7"/>
      <c r="P734" s="7" t="s">
        <v>135</v>
      </c>
      <c r="Q734" s="7"/>
      <c r="R734" s="7" t="s">
        <v>135</v>
      </c>
      <c r="S734" s="7" t="s">
        <v>136</v>
      </c>
      <c r="T734" s="7" t="n">
        <v>0.732</v>
      </c>
      <c r="U734" s="7" t="n">
        <v>1</v>
      </c>
      <c r="V734" s="7" t="s">
        <v>90</v>
      </c>
      <c r="W734" s="7"/>
      <c r="X734" s="7" t="s">
        <v>5852</v>
      </c>
      <c r="Y734" s="7" t="s">
        <v>5851</v>
      </c>
      <c r="Z734" s="7" t="s">
        <v>5853</v>
      </c>
      <c r="AA734" s="7"/>
      <c r="AB734" s="7"/>
      <c r="AC734" s="7" t="n">
        <v>12</v>
      </c>
      <c r="AD734" s="7"/>
      <c r="AE734" s="7" t="s">
        <v>619</v>
      </c>
      <c r="AF734" s="7" t="s">
        <v>5854</v>
      </c>
      <c r="AG734" s="7" t="s">
        <v>619</v>
      </c>
      <c r="AH734" s="7" t="s">
        <v>5855</v>
      </c>
      <c r="AI734" s="7" t="s">
        <v>1848</v>
      </c>
      <c r="AJ734" s="7" t="s">
        <v>145</v>
      </c>
      <c r="AK734" s="7" t="s">
        <v>1848</v>
      </c>
      <c r="AL734" s="7" t="s">
        <v>145</v>
      </c>
      <c r="AM734" s="7" t="s">
        <v>619</v>
      </c>
      <c r="AN734" s="7" t="s">
        <v>145</v>
      </c>
      <c r="AO734" s="7" t="s">
        <v>619</v>
      </c>
      <c r="AP734" s="7" t="s">
        <v>5856</v>
      </c>
      <c r="AQ734" s="7" t="s">
        <v>1848</v>
      </c>
      <c r="AR734" s="7" t="s">
        <v>145</v>
      </c>
      <c r="AS734" s="7" t="s">
        <v>619</v>
      </c>
      <c r="AT734" s="7" t="s">
        <v>145</v>
      </c>
      <c r="AU734" s="7" t="s">
        <v>619</v>
      </c>
      <c r="AV734" s="7" t="s">
        <v>5857</v>
      </c>
      <c r="AW734" s="7" t="s">
        <v>619</v>
      </c>
      <c r="AX734" s="7" t="s">
        <v>5858</v>
      </c>
      <c r="AY734" s="7" t="s">
        <v>619</v>
      </c>
      <c r="AZ734" s="7" t="s">
        <v>145</v>
      </c>
      <c r="BA734" s="7" t="s">
        <v>619</v>
      </c>
      <c r="BB734" s="7" t="s">
        <v>5859</v>
      </c>
      <c r="BC734" s="7" t="s">
        <v>413</v>
      </c>
      <c r="BD734" s="7"/>
      <c r="BE734" s="7" t="s">
        <v>127</v>
      </c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</row>
    <row r="735" customFormat="false" ht="15" hidden="false" customHeight="false" outlineLevel="0" collapsed="false">
      <c r="A735" s="7" t="s">
        <v>5860</v>
      </c>
      <c r="B735" s="7" t="s">
        <v>5861</v>
      </c>
      <c r="C735" s="7" t="s">
        <v>5862</v>
      </c>
      <c r="D735" s="7" t="s">
        <v>934</v>
      </c>
      <c r="E735" s="7" t="s">
        <v>101</v>
      </c>
      <c r="F735" s="7" t="s">
        <v>101</v>
      </c>
      <c r="G735" s="7"/>
      <c r="H735" s="7" t="s">
        <v>102</v>
      </c>
      <c r="I735" s="7" t="s">
        <v>158</v>
      </c>
      <c r="J735" s="7" t="s">
        <v>104</v>
      </c>
      <c r="K735" s="7" t="s">
        <v>105</v>
      </c>
      <c r="L735" s="7" t="s">
        <v>106</v>
      </c>
      <c r="M735" s="7" t="s">
        <v>5863</v>
      </c>
      <c r="N735" s="7" t="s">
        <v>5864</v>
      </c>
      <c r="O735" s="7"/>
      <c r="P735" s="7" t="s">
        <v>135</v>
      </c>
      <c r="Q735" s="7"/>
      <c r="R735" s="7"/>
      <c r="S735" s="7"/>
      <c r="T735" s="7" t="n">
        <v>0.646</v>
      </c>
      <c r="U735" s="7" t="n">
        <v>1</v>
      </c>
      <c r="V735" s="7" t="s">
        <v>90</v>
      </c>
      <c r="W735" s="7" t="s">
        <v>356</v>
      </c>
      <c r="X735" s="7" t="s">
        <v>283</v>
      </c>
      <c r="Y735" s="7" t="s">
        <v>5864</v>
      </c>
      <c r="Z735" s="7" t="s">
        <v>5865</v>
      </c>
      <c r="AA735" s="7"/>
      <c r="AB735" s="7"/>
      <c r="AC735" s="7"/>
      <c r="AD735" s="7"/>
      <c r="AE735" s="7" t="s">
        <v>619</v>
      </c>
      <c r="AF735" s="7" t="s">
        <v>5866</v>
      </c>
      <c r="AG735" s="7" t="s">
        <v>619</v>
      </c>
      <c r="AH735" s="7" t="s">
        <v>5867</v>
      </c>
      <c r="AI735" s="7" t="s">
        <v>619</v>
      </c>
      <c r="AJ735" s="7" t="s">
        <v>145</v>
      </c>
      <c r="AK735" s="7" t="s">
        <v>619</v>
      </c>
      <c r="AL735" s="7" t="s">
        <v>145</v>
      </c>
      <c r="AM735" s="7" t="s">
        <v>619</v>
      </c>
      <c r="AN735" s="7" t="s">
        <v>145</v>
      </c>
      <c r="AO735" s="7" t="s">
        <v>619</v>
      </c>
      <c r="AP735" s="7" t="s">
        <v>5868</v>
      </c>
      <c r="AQ735" s="7" t="s">
        <v>619</v>
      </c>
      <c r="AR735" s="7" t="s">
        <v>5869</v>
      </c>
      <c r="AS735" s="7" t="s">
        <v>619</v>
      </c>
      <c r="AT735" s="7" t="s">
        <v>5826</v>
      </c>
      <c r="AU735" s="7" t="s">
        <v>619</v>
      </c>
      <c r="AV735" s="7" t="s">
        <v>5870</v>
      </c>
      <c r="AW735" s="7" t="s">
        <v>619</v>
      </c>
      <c r="AX735" s="7" t="s">
        <v>145</v>
      </c>
      <c r="AY735" s="7" t="s">
        <v>619</v>
      </c>
      <c r="AZ735" s="7" t="s">
        <v>145</v>
      </c>
      <c r="BA735" s="7" t="s">
        <v>619</v>
      </c>
      <c r="BB735" s="7" t="s">
        <v>5871</v>
      </c>
      <c r="BC735" s="7" t="s">
        <v>413</v>
      </c>
      <c r="BD735" s="7"/>
      <c r="BE735" s="7" t="s">
        <v>127</v>
      </c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</row>
    <row r="736" customFormat="false" ht="15" hidden="false" customHeight="false" outlineLevel="0" collapsed="false">
      <c r="A736" s="7" t="s">
        <v>5872</v>
      </c>
      <c r="B736" s="7" t="s">
        <v>5873</v>
      </c>
      <c r="C736" s="7" t="s">
        <v>5874</v>
      </c>
      <c r="D736" s="7"/>
      <c r="E736" s="7" t="s">
        <v>101</v>
      </c>
      <c r="F736" s="7" t="s">
        <v>101</v>
      </c>
      <c r="G736" s="7"/>
      <c r="H736" s="7" t="s">
        <v>102</v>
      </c>
      <c r="I736" s="7" t="s">
        <v>158</v>
      </c>
      <c r="J736" s="7" t="s">
        <v>104</v>
      </c>
      <c r="K736" s="7" t="s">
        <v>105</v>
      </c>
      <c r="L736" s="7" t="s">
        <v>106</v>
      </c>
      <c r="M736" s="7" t="s">
        <v>5875</v>
      </c>
      <c r="N736" s="7" t="s">
        <v>5876</v>
      </c>
      <c r="O736" s="7" t="s">
        <v>5876</v>
      </c>
      <c r="P736" s="7" t="s">
        <v>135</v>
      </c>
      <c r="Q736" s="7"/>
      <c r="R736" s="7" t="s">
        <v>109</v>
      </c>
      <c r="S736" s="7" t="s">
        <v>110</v>
      </c>
      <c r="T736" s="7" t="n">
        <v>0.199</v>
      </c>
      <c r="U736" s="7" t="n">
        <v>1</v>
      </c>
      <c r="V736" s="7" t="s">
        <v>90</v>
      </c>
      <c r="W736" s="7"/>
      <c r="X736" s="7"/>
      <c r="Y736" s="7" t="s">
        <v>5876</v>
      </c>
      <c r="Z736" s="7"/>
      <c r="AA736" s="7"/>
      <c r="AB736" s="7"/>
      <c r="AC736" s="7" t="n">
        <v>0</v>
      </c>
      <c r="AD736" s="7" t="s">
        <v>388</v>
      </c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 t="s">
        <v>219</v>
      </c>
      <c r="BD736" s="7" t="s">
        <v>747</v>
      </c>
      <c r="BE736" s="7" t="s">
        <v>127</v>
      </c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</row>
    <row r="737" customFormat="false" ht="15" hidden="false" customHeight="false" outlineLevel="0" collapsed="false">
      <c r="A737" s="7" t="s">
        <v>5877</v>
      </c>
      <c r="B737" s="7" t="s">
        <v>5878</v>
      </c>
      <c r="C737" s="7" t="s">
        <v>5879</v>
      </c>
      <c r="D737" s="7" t="s">
        <v>5880</v>
      </c>
      <c r="E737" s="7" t="s">
        <v>101</v>
      </c>
      <c r="F737" s="7" t="s">
        <v>101</v>
      </c>
      <c r="G737" s="7"/>
      <c r="H737" s="7" t="s">
        <v>102</v>
      </c>
      <c r="I737" s="7" t="s">
        <v>374</v>
      </c>
      <c r="J737" s="7" t="s">
        <v>104</v>
      </c>
      <c r="K737" s="7" t="s">
        <v>105</v>
      </c>
      <c r="L737" s="7" t="s">
        <v>106</v>
      </c>
      <c r="M737" s="7"/>
      <c r="N737" s="7" t="s">
        <v>5881</v>
      </c>
      <c r="O737" s="7"/>
      <c r="P737" s="7" t="s">
        <v>135</v>
      </c>
      <c r="Q737" s="7"/>
      <c r="R737" s="7" t="s">
        <v>135</v>
      </c>
      <c r="S737" s="7" t="s">
        <v>136</v>
      </c>
      <c r="T737" s="7" t="n">
        <v>0.207</v>
      </c>
      <c r="U737" s="7" t="n">
        <v>1</v>
      </c>
      <c r="V737" s="7" t="s">
        <v>90</v>
      </c>
      <c r="W737" s="7"/>
      <c r="X737" s="7"/>
      <c r="Y737" s="7"/>
      <c r="Z737" s="7"/>
      <c r="AA737" s="7"/>
      <c r="AB737" s="7"/>
      <c r="AC737" s="7" t="n">
        <v>0</v>
      </c>
      <c r="AD737" s="7" t="s">
        <v>388</v>
      </c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 t="s">
        <v>127</v>
      </c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</row>
    <row r="738" customFormat="false" ht="15" hidden="false" customHeight="false" outlineLevel="0" collapsed="false">
      <c r="A738" s="7" t="s">
        <v>5882</v>
      </c>
      <c r="B738" s="7" t="s">
        <v>5883</v>
      </c>
      <c r="C738" s="7" t="s">
        <v>5884</v>
      </c>
      <c r="D738" s="7" t="s">
        <v>5885</v>
      </c>
      <c r="E738" s="7" t="s">
        <v>101</v>
      </c>
      <c r="F738" s="7" t="s">
        <v>101</v>
      </c>
      <c r="G738" s="7"/>
      <c r="H738" s="7" t="s">
        <v>102</v>
      </c>
      <c r="I738" s="7" t="s">
        <v>300</v>
      </c>
      <c r="J738" s="7" t="s">
        <v>104</v>
      </c>
      <c r="K738" s="7" t="s">
        <v>105</v>
      </c>
      <c r="L738" s="7" t="s">
        <v>106</v>
      </c>
      <c r="M738" s="7" t="s">
        <v>5886</v>
      </c>
      <c r="N738" s="7" t="s">
        <v>5887</v>
      </c>
      <c r="O738" s="7" t="s">
        <v>5888</v>
      </c>
      <c r="P738" s="7" t="s">
        <v>135</v>
      </c>
      <c r="Q738" s="7"/>
      <c r="R738" s="7" t="s">
        <v>84</v>
      </c>
      <c r="S738" s="7" t="s">
        <v>238</v>
      </c>
      <c r="T738" s="7" t="n">
        <v>0.482</v>
      </c>
      <c r="U738" s="7" t="n">
        <v>1</v>
      </c>
      <c r="V738" s="7" t="s">
        <v>90</v>
      </c>
      <c r="W738" s="7" t="s">
        <v>2279</v>
      </c>
      <c r="X738" s="7" t="s">
        <v>2298</v>
      </c>
      <c r="Y738" s="7" t="s">
        <v>5887</v>
      </c>
      <c r="Z738" s="7" t="s">
        <v>5889</v>
      </c>
      <c r="AA738" s="7"/>
      <c r="AB738" s="7"/>
      <c r="AC738" s="7" t="n">
        <v>12</v>
      </c>
      <c r="AD738" s="7"/>
      <c r="AE738" s="7" t="s">
        <v>777</v>
      </c>
      <c r="AF738" s="7" t="s">
        <v>5890</v>
      </c>
      <c r="AG738" s="7" t="s">
        <v>777</v>
      </c>
      <c r="AH738" s="7" t="s">
        <v>5891</v>
      </c>
      <c r="AI738" s="7" t="s">
        <v>777</v>
      </c>
      <c r="AJ738" s="7" t="s">
        <v>5892</v>
      </c>
      <c r="AK738" s="7" t="s">
        <v>777</v>
      </c>
      <c r="AL738" s="7" t="s">
        <v>5893</v>
      </c>
      <c r="AM738" s="7" t="s">
        <v>777</v>
      </c>
      <c r="AN738" s="7" t="s">
        <v>5894</v>
      </c>
      <c r="AO738" s="7" t="s">
        <v>777</v>
      </c>
      <c r="AP738" s="7" t="s">
        <v>5895</v>
      </c>
      <c r="AQ738" s="7" t="s">
        <v>777</v>
      </c>
      <c r="AR738" s="7" t="s">
        <v>5896</v>
      </c>
      <c r="AS738" s="7" t="s">
        <v>777</v>
      </c>
      <c r="AT738" s="7" t="s">
        <v>2047</v>
      </c>
      <c r="AU738" s="7" t="s">
        <v>777</v>
      </c>
      <c r="AV738" s="7" t="s">
        <v>5897</v>
      </c>
      <c r="AW738" s="7" t="s">
        <v>777</v>
      </c>
      <c r="AX738" s="7" t="s">
        <v>5898</v>
      </c>
      <c r="AY738" s="7" t="s">
        <v>777</v>
      </c>
      <c r="AZ738" s="7" t="s">
        <v>5899</v>
      </c>
      <c r="BA738" s="7" t="s">
        <v>777</v>
      </c>
      <c r="BB738" s="7" t="s">
        <v>5900</v>
      </c>
      <c r="BC738" s="7" t="s">
        <v>151</v>
      </c>
      <c r="BD738" s="7"/>
      <c r="BE738" s="7" t="s">
        <v>127</v>
      </c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</row>
    <row r="739" customFormat="false" ht="15" hidden="false" customHeight="false" outlineLevel="0" collapsed="false">
      <c r="A739" s="7" t="s">
        <v>5901</v>
      </c>
      <c r="B739" s="7" t="s">
        <v>5902</v>
      </c>
      <c r="C739" s="7" t="s">
        <v>5903</v>
      </c>
      <c r="D739" s="7"/>
      <c r="E739" s="7" t="s">
        <v>101</v>
      </c>
      <c r="F739" s="7" t="s">
        <v>101</v>
      </c>
      <c r="G739" s="7"/>
      <c r="H739" s="7" t="s">
        <v>102</v>
      </c>
      <c r="I739" s="7" t="s">
        <v>234</v>
      </c>
      <c r="J739" s="7" t="s">
        <v>104</v>
      </c>
      <c r="K739" s="7" t="s">
        <v>105</v>
      </c>
      <c r="L739" s="7" t="s">
        <v>235</v>
      </c>
      <c r="M739" s="7" t="s">
        <v>5904</v>
      </c>
      <c r="N739" s="7" t="s">
        <v>5905</v>
      </c>
      <c r="O739" s="7" t="s">
        <v>5905</v>
      </c>
      <c r="P739" s="7" t="s">
        <v>135</v>
      </c>
      <c r="Q739" s="7"/>
      <c r="R739" s="7" t="s">
        <v>109</v>
      </c>
      <c r="S739" s="7" t="s">
        <v>110</v>
      </c>
      <c r="T739" s="7" t="n">
        <v>0.729</v>
      </c>
      <c r="U739" s="7" t="n">
        <v>1</v>
      </c>
      <c r="V739" s="7" t="s">
        <v>90</v>
      </c>
      <c r="W739" s="7"/>
      <c r="X739" s="7"/>
      <c r="Y739" s="7" t="s">
        <v>5905</v>
      </c>
      <c r="Z739" s="7"/>
      <c r="AA739" s="7"/>
      <c r="AB739" s="7"/>
      <c r="AC739" s="7" t="n">
        <v>0</v>
      </c>
      <c r="AD739" s="7" t="s">
        <v>388</v>
      </c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 t="s">
        <v>125</v>
      </c>
      <c r="BD739" s="7"/>
      <c r="BE739" s="7" t="s">
        <v>127</v>
      </c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</row>
    <row r="740" customFormat="false" ht="15" hidden="false" customHeight="false" outlineLevel="0" collapsed="false">
      <c r="A740" s="7" t="s">
        <v>5906</v>
      </c>
      <c r="B740" s="7" t="s">
        <v>5907</v>
      </c>
      <c r="C740" s="7" t="s">
        <v>5908</v>
      </c>
      <c r="D740" s="7"/>
      <c r="E740" s="7" t="s">
        <v>101</v>
      </c>
      <c r="F740" s="7" t="s">
        <v>101</v>
      </c>
      <c r="G740" s="7"/>
      <c r="H740" s="7" t="s">
        <v>102</v>
      </c>
      <c r="I740" s="7" t="s">
        <v>300</v>
      </c>
      <c r="J740" s="7" t="s">
        <v>104</v>
      </c>
      <c r="K740" s="7" t="s">
        <v>105</v>
      </c>
      <c r="L740" s="7" t="s">
        <v>106</v>
      </c>
      <c r="M740" s="7" t="s">
        <v>5909</v>
      </c>
      <c r="N740" s="7" t="s">
        <v>5910</v>
      </c>
      <c r="O740" s="7"/>
      <c r="P740" s="7" t="s">
        <v>135</v>
      </c>
      <c r="Q740" s="7"/>
      <c r="R740" s="7" t="s">
        <v>135</v>
      </c>
      <c r="S740" s="7" t="s">
        <v>136</v>
      </c>
      <c r="T740" s="7" t="n">
        <v>0.753</v>
      </c>
      <c r="U740" s="7" t="n">
        <v>1</v>
      </c>
      <c r="V740" s="7" t="s">
        <v>90</v>
      </c>
      <c r="W740" s="7"/>
      <c r="X740" s="7"/>
      <c r="Y740" s="7" t="s">
        <v>5910</v>
      </c>
      <c r="Z740" s="7"/>
      <c r="AA740" s="7"/>
      <c r="AB740" s="7"/>
      <c r="AC740" s="7" t="n">
        <v>0</v>
      </c>
      <c r="AD740" s="7" t="s">
        <v>388</v>
      </c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 t="s">
        <v>125</v>
      </c>
      <c r="BD740" s="7"/>
      <c r="BE740" s="7" t="s">
        <v>127</v>
      </c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</row>
    <row r="741" customFormat="false" ht="15" hidden="false" customHeight="false" outlineLevel="0" collapsed="false">
      <c r="A741" s="7" t="s">
        <v>5911</v>
      </c>
      <c r="B741" s="7" t="s">
        <v>5912</v>
      </c>
      <c r="C741" s="7" t="s">
        <v>5913</v>
      </c>
      <c r="D741" s="7"/>
      <c r="E741" s="7" t="s">
        <v>101</v>
      </c>
      <c r="F741" s="7" t="s">
        <v>101</v>
      </c>
      <c r="G741" s="7"/>
      <c r="H741" s="7" t="s">
        <v>102</v>
      </c>
      <c r="I741" s="7" t="s">
        <v>132</v>
      </c>
      <c r="J741" s="7" t="s">
        <v>104</v>
      </c>
      <c r="K741" s="7" t="s">
        <v>105</v>
      </c>
      <c r="L741" s="7" t="s">
        <v>106</v>
      </c>
      <c r="M741" s="7" t="s">
        <v>5914</v>
      </c>
      <c r="N741" s="7" t="s">
        <v>5915</v>
      </c>
      <c r="O741" s="7" t="s">
        <v>5915</v>
      </c>
      <c r="P741" s="7" t="s">
        <v>135</v>
      </c>
      <c r="Q741" s="7"/>
      <c r="R741" s="7" t="s">
        <v>109</v>
      </c>
      <c r="S741" s="7" t="s">
        <v>110</v>
      </c>
      <c r="T741" s="7" t="n">
        <v>0.205</v>
      </c>
      <c r="U741" s="7" t="n">
        <v>1</v>
      </c>
      <c r="V741" s="7" t="s">
        <v>90</v>
      </c>
      <c r="W741" s="7"/>
      <c r="X741" s="7"/>
      <c r="Y741" s="7" t="s">
        <v>5915</v>
      </c>
      <c r="Z741" s="7"/>
      <c r="AA741" s="7"/>
      <c r="AB741" s="7"/>
      <c r="AC741" s="7" t="n">
        <v>0</v>
      </c>
      <c r="AD741" s="7" t="s">
        <v>388</v>
      </c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 t="s">
        <v>219</v>
      </c>
      <c r="BD741" s="7" t="s">
        <v>747</v>
      </c>
      <c r="BE741" s="7" t="s">
        <v>127</v>
      </c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</row>
    <row r="742" customFormat="false" ht="15" hidden="false" customHeight="false" outlineLevel="0" collapsed="false">
      <c r="A742" s="7" t="s">
        <v>5916</v>
      </c>
      <c r="B742" s="7" t="s">
        <v>5917</v>
      </c>
      <c r="C742" s="7" t="s">
        <v>5918</v>
      </c>
      <c r="D742" s="7"/>
      <c r="E742" s="7" t="s">
        <v>101</v>
      </c>
      <c r="F742" s="7" t="s">
        <v>101</v>
      </c>
      <c r="G742" s="7"/>
      <c r="H742" s="7" t="s">
        <v>102</v>
      </c>
      <c r="I742" s="7" t="s">
        <v>158</v>
      </c>
      <c r="J742" s="7" t="s">
        <v>104</v>
      </c>
      <c r="K742" s="7" t="s">
        <v>105</v>
      </c>
      <c r="L742" s="7" t="s">
        <v>106</v>
      </c>
      <c r="M742" s="7" t="s">
        <v>5919</v>
      </c>
      <c r="N742" s="7" t="s">
        <v>5920</v>
      </c>
      <c r="O742" s="7" t="s">
        <v>5920</v>
      </c>
      <c r="P742" s="7" t="s">
        <v>135</v>
      </c>
      <c r="Q742" s="7"/>
      <c r="R742" s="7" t="s">
        <v>109</v>
      </c>
      <c r="S742" s="7" t="s">
        <v>110</v>
      </c>
      <c r="T742" s="7" t="n">
        <v>0.239</v>
      </c>
      <c r="U742" s="7" t="n">
        <v>1</v>
      </c>
      <c r="V742" s="7" t="s">
        <v>90</v>
      </c>
      <c r="W742" s="7" t="s">
        <v>5921</v>
      </c>
      <c r="X742" s="7"/>
      <c r="Y742" s="7" t="s">
        <v>5920</v>
      </c>
      <c r="Z742" s="7"/>
      <c r="AA742" s="7"/>
      <c r="AB742" s="7"/>
      <c r="AC742" s="7" t="n">
        <v>6</v>
      </c>
      <c r="AD742" s="7" t="s">
        <v>5922</v>
      </c>
      <c r="AE742" s="7" t="s">
        <v>5923</v>
      </c>
      <c r="AF742" s="7" t="s">
        <v>5918</v>
      </c>
      <c r="AG742" s="7" t="s">
        <v>115</v>
      </c>
      <c r="AH742" s="7" t="s">
        <v>291</v>
      </c>
      <c r="AI742" s="7"/>
      <c r="AJ742" s="7"/>
      <c r="AK742" s="7"/>
      <c r="AL742" s="7"/>
      <c r="AM742" s="7"/>
      <c r="AN742" s="7"/>
      <c r="AO742" s="7" t="s">
        <v>5923</v>
      </c>
      <c r="AP742" s="7" t="s">
        <v>5924</v>
      </c>
      <c r="AQ742" s="7" t="s">
        <v>5923</v>
      </c>
      <c r="AR742" s="7" t="s">
        <v>3561</v>
      </c>
      <c r="AS742" s="7" t="s">
        <v>5923</v>
      </c>
      <c r="AT742" s="7" t="s">
        <v>2047</v>
      </c>
      <c r="AU742" s="7"/>
      <c r="AV742" s="7"/>
      <c r="AW742" s="7"/>
      <c r="AX742" s="7"/>
      <c r="AY742" s="7"/>
      <c r="AZ742" s="7"/>
      <c r="BA742" s="7" t="s">
        <v>5923</v>
      </c>
      <c r="BB742" s="7" t="s">
        <v>5925</v>
      </c>
      <c r="BC742" s="7" t="s">
        <v>151</v>
      </c>
      <c r="BD742" s="7" t="s">
        <v>747</v>
      </c>
      <c r="BE742" s="7" t="s">
        <v>127</v>
      </c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</row>
    <row r="743" customFormat="false" ht="15" hidden="false" customHeight="false" outlineLevel="0" collapsed="false">
      <c r="A743" s="7" t="s">
        <v>5926</v>
      </c>
      <c r="B743" s="7" t="s">
        <v>5927</v>
      </c>
      <c r="C743" s="7" t="s">
        <v>5928</v>
      </c>
      <c r="D743" s="7" t="s">
        <v>397</v>
      </c>
      <c r="E743" s="7" t="s">
        <v>101</v>
      </c>
      <c r="F743" s="7" t="s">
        <v>101</v>
      </c>
      <c r="G743" s="7"/>
      <c r="H743" s="7" t="s">
        <v>102</v>
      </c>
      <c r="I743" s="7" t="s">
        <v>1726</v>
      </c>
      <c r="J743" s="7" t="s">
        <v>104</v>
      </c>
      <c r="K743" s="7" t="s">
        <v>105</v>
      </c>
      <c r="L743" s="7" t="s">
        <v>106</v>
      </c>
      <c r="M743" s="7" t="s">
        <v>5929</v>
      </c>
      <c r="N743" s="7" t="s">
        <v>5930</v>
      </c>
      <c r="O743" s="7"/>
      <c r="P743" s="7" t="s">
        <v>135</v>
      </c>
      <c r="Q743" s="7"/>
      <c r="R743" s="7" t="s">
        <v>135</v>
      </c>
      <c r="S743" s="7" t="s">
        <v>136</v>
      </c>
      <c r="T743" s="7" t="n">
        <v>0.829</v>
      </c>
      <c r="U743" s="7" t="n">
        <v>1</v>
      </c>
      <c r="V743" s="7" t="s">
        <v>90</v>
      </c>
      <c r="W743" s="7"/>
      <c r="X743" s="7"/>
      <c r="Y743" s="7" t="s">
        <v>5930</v>
      </c>
      <c r="Z743" s="7"/>
      <c r="AA743" s="7"/>
      <c r="AB743" s="7"/>
      <c r="AC743" s="7" t="n">
        <v>5</v>
      </c>
      <c r="AD743" s="7" t="s">
        <v>1897</v>
      </c>
      <c r="AE743" s="7" t="s">
        <v>744</v>
      </c>
      <c r="AF743" s="7" t="s">
        <v>5931</v>
      </c>
      <c r="AG743" s="7" t="s">
        <v>744</v>
      </c>
      <c r="AH743" s="7" t="s">
        <v>5932</v>
      </c>
      <c r="AI743" s="7"/>
      <c r="AJ743" s="7"/>
      <c r="AK743" s="7"/>
      <c r="AL743" s="7"/>
      <c r="AM743" s="7" t="s">
        <v>744</v>
      </c>
      <c r="AN743" s="7" t="s">
        <v>5933</v>
      </c>
      <c r="AO743" s="7" t="s">
        <v>744</v>
      </c>
      <c r="AP743" s="7" t="s">
        <v>397</v>
      </c>
      <c r="AQ743" s="7"/>
      <c r="AR743" s="7"/>
      <c r="AS743" s="7"/>
      <c r="AT743" s="7"/>
      <c r="AU743" s="7"/>
      <c r="AV743" s="7"/>
      <c r="AW743" s="7" t="s">
        <v>744</v>
      </c>
      <c r="AX743" s="7" t="s">
        <v>5930</v>
      </c>
      <c r="AY743" s="7"/>
      <c r="AZ743" s="7"/>
      <c r="BA743" s="7"/>
      <c r="BB743" s="7"/>
      <c r="BC743" s="7" t="s">
        <v>125</v>
      </c>
      <c r="BD743" s="7" t="s">
        <v>5934</v>
      </c>
      <c r="BE743" s="7" t="s">
        <v>127</v>
      </c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</row>
    <row r="744" customFormat="false" ht="15" hidden="false" customHeight="false" outlineLevel="0" collapsed="false">
      <c r="A744" s="7" t="s">
        <v>5935</v>
      </c>
      <c r="B744" s="7" t="s">
        <v>5936</v>
      </c>
      <c r="C744" s="7" t="s">
        <v>5937</v>
      </c>
      <c r="D744" s="7" t="s">
        <v>1473</v>
      </c>
      <c r="E744" s="7" t="s">
        <v>101</v>
      </c>
      <c r="F744" s="7" t="s">
        <v>101</v>
      </c>
      <c r="G744" s="7"/>
      <c r="H744" s="7" t="s">
        <v>102</v>
      </c>
      <c r="I744" s="7" t="s">
        <v>158</v>
      </c>
      <c r="J744" s="7" t="s">
        <v>104</v>
      </c>
      <c r="K744" s="7" t="s">
        <v>105</v>
      </c>
      <c r="L744" s="7" t="s">
        <v>106</v>
      </c>
      <c r="M744" s="7" t="s">
        <v>5938</v>
      </c>
      <c r="N744" s="7" t="s">
        <v>5939</v>
      </c>
      <c r="O744" s="7"/>
      <c r="P744" s="7" t="s">
        <v>135</v>
      </c>
      <c r="Q744" s="7"/>
      <c r="R744" s="7" t="s">
        <v>135</v>
      </c>
      <c r="S744" s="7" t="s">
        <v>136</v>
      </c>
      <c r="T744" s="7" t="n">
        <v>0.096</v>
      </c>
      <c r="U744" s="7" t="n">
        <v>1</v>
      </c>
      <c r="V744" s="7" t="s">
        <v>90</v>
      </c>
      <c r="W744" s="7"/>
      <c r="X744" s="7" t="s">
        <v>5940</v>
      </c>
      <c r="Y744" s="7" t="s">
        <v>5939</v>
      </c>
      <c r="Z744" s="7" t="s">
        <v>5941</v>
      </c>
      <c r="AA744" s="7"/>
      <c r="AB744" s="7"/>
      <c r="AC744" s="7" t="n">
        <v>12</v>
      </c>
      <c r="AD744" s="7"/>
      <c r="AE744" s="7" t="s">
        <v>1848</v>
      </c>
      <c r="AF744" s="7" t="s">
        <v>5942</v>
      </c>
      <c r="AG744" s="7" t="s">
        <v>1848</v>
      </c>
      <c r="AH744" s="7" t="s">
        <v>5943</v>
      </c>
      <c r="AI744" s="7" t="s">
        <v>1848</v>
      </c>
      <c r="AJ744" s="7" t="s">
        <v>5944</v>
      </c>
      <c r="AK744" s="7" t="s">
        <v>1848</v>
      </c>
      <c r="AL744" s="7" t="s">
        <v>338</v>
      </c>
      <c r="AM744" s="7" t="s">
        <v>1848</v>
      </c>
      <c r="AN744" s="7" t="s">
        <v>5945</v>
      </c>
      <c r="AO744" s="7" t="s">
        <v>1848</v>
      </c>
      <c r="AP744" s="7" t="s">
        <v>5946</v>
      </c>
      <c r="AQ744" s="7" t="s">
        <v>1848</v>
      </c>
      <c r="AR744" s="7" t="s">
        <v>5947</v>
      </c>
      <c r="AS744" s="7" t="s">
        <v>1848</v>
      </c>
      <c r="AT744" s="7" t="s">
        <v>5948</v>
      </c>
      <c r="AU744" s="7" t="s">
        <v>1848</v>
      </c>
      <c r="AV744" s="7" t="s">
        <v>5949</v>
      </c>
      <c r="AW744" s="7" t="s">
        <v>1848</v>
      </c>
      <c r="AX744" s="7" t="s">
        <v>5950</v>
      </c>
      <c r="AY744" s="7" t="s">
        <v>1848</v>
      </c>
      <c r="AZ744" s="7" t="s">
        <v>5951</v>
      </c>
      <c r="BA744" s="7" t="s">
        <v>1848</v>
      </c>
      <c r="BB744" s="7" t="s">
        <v>5952</v>
      </c>
      <c r="BC744" s="7" t="s">
        <v>413</v>
      </c>
      <c r="BD744" s="7"/>
      <c r="BE744" s="7" t="s">
        <v>127</v>
      </c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</row>
    <row r="745" customFormat="false" ht="15" hidden="false" customHeight="false" outlineLevel="0" collapsed="false">
      <c r="A745" s="7" t="s">
        <v>5953</v>
      </c>
      <c r="B745" s="7" t="s">
        <v>5954</v>
      </c>
      <c r="C745" s="7" t="s">
        <v>5955</v>
      </c>
      <c r="D745" s="7" t="s">
        <v>1473</v>
      </c>
      <c r="E745" s="7" t="s">
        <v>101</v>
      </c>
      <c r="F745" s="7" t="s">
        <v>101</v>
      </c>
      <c r="G745" s="7"/>
      <c r="H745" s="7" t="s">
        <v>102</v>
      </c>
      <c r="I745" s="7" t="s">
        <v>158</v>
      </c>
      <c r="J745" s="7" t="s">
        <v>104</v>
      </c>
      <c r="K745" s="7" t="s">
        <v>105</v>
      </c>
      <c r="L745" s="7" t="s">
        <v>106</v>
      </c>
      <c r="M745" s="7" t="s">
        <v>5938</v>
      </c>
      <c r="N745" s="7" t="s">
        <v>5939</v>
      </c>
      <c r="O745" s="7"/>
      <c r="P745" s="7" t="s">
        <v>135</v>
      </c>
      <c r="Q745" s="7"/>
      <c r="R745" s="7" t="s">
        <v>135</v>
      </c>
      <c r="S745" s="7" t="s">
        <v>136</v>
      </c>
      <c r="T745" s="7" t="n">
        <v>0.549</v>
      </c>
      <c r="U745" s="7" t="n">
        <v>1</v>
      </c>
      <c r="V745" s="7" t="s">
        <v>90</v>
      </c>
      <c r="W745" s="7"/>
      <c r="X745" s="7" t="s">
        <v>5940</v>
      </c>
      <c r="Y745" s="7" t="s">
        <v>5939</v>
      </c>
      <c r="Z745" s="7" t="s">
        <v>5941</v>
      </c>
      <c r="AA745" s="7"/>
      <c r="AB745" s="7"/>
      <c r="AC745" s="7" t="n">
        <v>12</v>
      </c>
      <c r="AD745" s="7"/>
      <c r="AE745" s="7" t="s">
        <v>1848</v>
      </c>
      <c r="AF745" s="7" t="s">
        <v>5942</v>
      </c>
      <c r="AG745" s="7" t="s">
        <v>1848</v>
      </c>
      <c r="AH745" s="7" t="s">
        <v>5943</v>
      </c>
      <c r="AI745" s="7" t="s">
        <v>1848</v>
      </c>
      <c r="AJ745" s="7" t="s">
        <v>5944</v>
      </c>
      <c r="AK745" s="7" t="s">
        <v>1848</v>
      </c>
      <c r="AL745" s="7" t="s">
        <v>338</v>
      </c>
      <c r="AM745" s="7" t="s">
        <v>1848</v>
      </c>
      <c r="AN745" s="7" t="s">
        <v>5945</v>
      </c>
      <c r="AO745" s="7" t="s">
        <v>1848</v>
      </c>
      <c r="AP745" s="7" t="s">
        <v>5946</v>
      </c>
      <c r="AQ745" s="7" t="s">
        <v>1848</v>
      </c>
      <c r="AR745" s="7" t="s">
        <v>5947</v>
      </c>
      <c r="AS745" s="7" t="s">
        <v>1848</v>
      </c>
      <c r="AT745" s="7" t="s">
        <v>5948</v>
      </c>
      <c r="AU745" s="7" t="s">
        <v>1848</v>
      </c>
      <c r="AV745" s="7" t="s">
        <v>5949</v>
      </c>
      <c r="AW745" s="7" t="s">
        <v>1848</v>
      </c>
      <c r="AX745" s="7" t="s">
        <v>5950</v>
      </c>
      <c r="AY745" s="7" t="s">
        <v>1848</v>
      </c>
      <c r="AZ745" s="7" t="s">
        <v>5951</v>
      </c>
      <c r="BA745" s="7" t="s">
        <v>1848</v>
      </c>
      <c r="BB745" s="7" t="s">
        <v>5952</v>
      </c>
      <c r="BC745" s="7" t="s">
        <v>413</v>
      </c>
      <c r="BD745" s="7"/>
      <c r="BE745" s="7" t="s">
        <v>127</v>
      </c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</row>
    <row r="746" customFormat="false" ht="15" hidden="false" customHeight="false" outlineLevel="0" collapsed="false">
      <c r="A746" s="7" t="s">
        <v>5956</v>
      </c>
      <c r="B746" s="7" t="s">
        <v>5957</v>
      </c>
      <c r="C746" s="7" t="s">
        <v>5958</v>
      </c>
      <c r="D746" s="7"/>
      <c r="E746" s="7" t="s">
        <v>101</v>
      </c>
      <c r="F746" s="7" t="s">
        <v>101</v>
      </c>
      <c r="G746" s="7"/>
      <c r="H746" s="7" t="s">
        <v>102</v>
      </c>
      <c r="I746" s="7" t="s">
        <v>158</v>
      </c>
      <c r="J746" s="7" t="s">
        <v>104</v>
      </c>
      <c r="K746" s="7" t="s">
        <v>105</v>
      </c>
      <c r="L746" s="7" t="s">
        <v>106</v>
      </c>
      <c r="M746" s="7" t="s">
        <v>5959</v>
      </c>
      <c r="N746" s="7" t="s">
        <v>5960</v>
      </c>
      <c r="O746" s="7"/>
      <c r="P746" s="7" t="s">
        <v>135</v>
      </c>
      <c r="Q746" s="7"/>
      <c r="R746" s="7" t="s">
        <v>135</v>
      </c>
      <c r="S746" s="7" t="s">
        <v>136</v>
      </c>
      <c r="T746" s="7" t="n">
        <v>0.239</v>
      </c>
      <c r="U746" s="7" t="n">
        <v>1</v>
      </c>
      <c r="V746" s="7" t="s">
        <v>90</v>
      </c>
      <c r="W746" s="7"/>
      <c r="X746" s="7"/>
      <c r="Y746" s="7"/>
      <c r="Z746" s="7"/>
      <c r="AA746" s="7"/>
      <c r="AB746" s="7"/>
      <c r="AC746" s="7" t="n">
        <v>0</v>
      </c>
      <c r="AD746" s="7" t="s">
        <v>388</v>
      </c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 t="s">
        <v>219</v>
      </c>
      <c r="BD746" s="7"/>
      <c r="BE746" s="7" t="s">
        <v>127</v>
      </c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</row>
    <row r="747" customFormat="false" ht="15" hidden="false" customHeight="false" outlineLevel="0" collapsed="false">
      <c r="A747" s="7" t="s">
        <v>5961</v>
      </c>
      <c r="B747" s="7" t="s">
        <v>5962</v>
      </c>
      <c r="C747" s="7" t="s">
        <v>5963</v>
      </c>
      <c r="D747" s="7" t="s">
        <v>5843</v>
      </c>
      <c r="E747" s="7" t="s">
        <v>101</v>
      </c>
      <c r="F747" s="7" t="s">
        <v>101</v>
      </c>
      <c r="G747" s="7"/>
      <c r="H747" s="7" t="s">
        <v>102</v>
      </c>
      <c r="I747" s="7" t="s">
        <v>158</v>
      </c>
      <c r="J747" s="7" t="s">
        <v>104</v>
      </c>
      <c r="K747" s="7" t="s">
        <v>105</v>
      </c>
      <c r="L747" s="7" t="s">
        <v>106</v>
      </c>
      <c r="M747" s="7" t="s">
        <v>5964</v>
      </c>
      <c r="N747" s="7" t="s">
        <v>5965</v>
      </c>
      <c r="O747" s="7"/>
      <c r="P747" s="7" t="s">
        <v>135</v>
      </c>
      <c r="Q747" s="7"/>
      <c r="R747" s="7" t="s">
        <v>135</v>
      </c>
      <c r="S747" s="7" t="s">
        <v>136</v>
      </c>
      <c r="T747" s="7" t="n">
        <v>0.764</v>
      </c>
      <c r="U747" s="7" t="n">
        <v>1</v>
      </c>
      <c r="V747" s="7" t="s">
        <v>90</v>
      </c>
      <c r="W747" s="7"/>
      <c r="X747" s="7"/>
      <c r="Y747" s="7"/>
      <c r="Z747" s="7"/>
      <c r="AA747" s="7"/>
      <c r="AB747" s="7"/>
      <c r="AC747" s="7" t="n">
        <v>0</v>
      </c>
      <c r="AD747" s="7" t="s">
        <v>388</v>
      </c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 t="s">
        <v>125</v>
      </c>
      <c r="BD747" s="7"/>
      <c r="BE747" s="7" t="s">
        <v>127</v>
      </c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</row>
    <row r="748" customFormat="false" ht="15" hidden="false" customHeight="false" outlineLevel="0" collapsed="false">
      <c r="A748" s="7" t="s">
        <v>5966</v>
      </c>
      <c r="B748" s="7" t="s">
        <v>5967</v>
      </c>
      <c r="C748" s="7" t="s">
        <v>5968</v>
      </c>
      <c r="D748" s="7" t="s">
        <v>5843</v>
      </c>
      <c r="E748" s="7" t="s">
        <v>101</v>
      </c>
      <c r="F748" s="7" t="s">
        <v>101</v>
      </c>
      <c r="G748" s="7"/>
      <c r="H748" s="7" t="s">
        <v>102</v>
      </c>
      <c r="I748" s="7" t="s">
        <v>132</v>
      </c>
      <c r="J748" s="7" t="s">
        <v>104</v>
      </c>
      <c r="K748" s="7" t="s">
        <v>105</v>
      </c>
      <c r="L748" s="7" t="s">
        <v>106</v>
      </c>
      <c r="M748" s="7" t="s">
        <v>5969</v>
      </c>
      <c r="N748" s="7" t="s">
        <v>5970</v>
      </c>
      <c r="O748" s="7"/>
      <c r="P748" s="7" t="s">
        <v>135</v>
      </c>
      <c r="Q748" s="7"/>
      <c r="R748" s="7" t="s">
        <v>135</v>
      </c>
      <c r="S748" s="7" t="s">
        <v>136</v>
      </c>
      <c r="T748" s="7" t="n">
        <v>0.581</v>
      </c>
      <c r="U748" s="7" t="n">
        <v>1</v>
      </c>
      <c r="V748" s="7" t="s">
        <v>90</v>
      </c>
      <c r="W748" s="7"/>
      <c r="X748" s="7"/>
      <c r="Y748" s="7"/>
      <c r="Z748" s="7"/>
      <c r="AA748" s="7"/>
      <c r="AB748" s="7"/>
      <c r="AC748" s="7" t="n">
        <v>0</v>
      </c>
      <c r="AD748" s="7" t="s">
        <v>388</v>
      </c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 t="s">
        <v>125</v>
      </c>
      <c r="BD748" s="7"/>
      <c r="BE748" s="7" t="s">
        <v>127</v>
      </c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</row>
    <row r="749" customFormat="false" ht="15" hidden="false" customHeight="false" outlineLevel="0" collapsed="false">
      <c r="A749" s="7" t="s">
        <v>5971</v>
      </c>
      <c r="B749" s="7" t="s">
        <v>5972</v>
      </c>
      <c r="C749" s="7" t="s">
        <v>5973</v>
      </c>
      <c r="D749" s="7" t="s">
        <v>5843</v>
      </c>
      <c r="E749" s="7" t="s">
        <v>101</v>
      </c>
      <c r="F749" s="7" t="s">
        <v>101</v>
      </c>
      <c r="G749" s="7"/>
      <c r="H749" s="7" t="s">
        <v>102</v>
      </c>
      <c r="I749" s="7" t="s">
        <v>158</v>
      </c>
      <c r="J749" s="7" t="s">
        <v>104</v>
      </c>
      <c r="K749" s="7" t="s">
        <v>105</v>
      </c>
      <c r="L749" s="7" t="s">
        <v>106</v>
      </c>
      <c r="M749" s="7" t="s">
        <v>5974</v>
      </c>
      <c r="N749" s="7" t="s">
        <v>5975</v>
      </c>
      <c r="O749" s="7"/>
      <c r="P749" s="7" t="s">
        <v>135</v>
      </c>
      <c r="Q749" s="7"/>
      <c r="R749" s="7" t="s">
        <v>135</v>
      </c>
      <c r="S749" s="7" t="s">
        <v>136</v>
      </c>
      <c r="T749" s="7" t="n">
        <v>0.906</v>
      </c>
      <c r="U749" s="7" t="n">
        <v>1</v>
      </c>
      <c r="V749" s="7" t="s">
        <v>90</v>
      </c>
      <c r="W749" s="7"/>
      <c r="X749" s="7"/>
      <c r="Y749" s="7"/>
      <c r="Z749" s="7"/>
      <c r="AA749" s="7"/>
      <c r="AB749" s="7"/>
      <c r="AC749" s="7" t="n">
        <v>0</v>
      </c>
      <c r="AD749" s="7" t="s">
        <v>388</v>
      </c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 t="s">
        <v>125</v>
      </c>
      <c r="BD749" s="7"/>
      <c r="BE749" s="7" t="s">
        <v>127</v>
      </c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</row>
    <row r="750" customFormat="false" ht="15" hidden="false" customHeight="false" outlineLevel="0" collapsed="false">
      <c r="A750" s="7" t="s">
        <v>5976</v>
      </c>
      <c r="B750" s="7" t="s">
        <v>5977</v>
      </c>
      <c r="C750" s="7" t="s">
        <v>5978</v>
      </c>
      <c r="D750" s="7" t="s">
        <v>5843</v>
      </c>
      <c r="E750" s="7" t="s">
        <v>101</v>
      </c>
      <c r="F750" s="7" t="s">
        <v>101</v>
      </c>
      <c r="G750" s="7"/>
      <c r="H750" s="7" t="s">
        <v>102</v>
      </c>
      <c r="I750" s="7" t="s">
        <v>158</v>
      </c>
      <c r="J750" s="7" t="s">
        <v>104</v>
      </c>
      <c r="K750" s="7" t="s">
        <v>105</v>
      </c>
      <c r="L750" s="7" t="s">
        <v>106</v>
      </c>
      <c r="M750" s="7" t="s">
        <v>5979</v>
      </c>
      <c r="N750" s="7" t="s">
        <v>5980</v>
      </c>
      <c r="O750" s="7"/>
      <c r="P750" s="7" t="s">
        <v>135</v>
      </c>
      <c r="Q750" s="7"/>
      <c r="R750" s="7" t="s">
        <v>135</v>
      </c>
      <c r="S750" s="7" t="s">
        <v>136</v>
      </c>
      <c r="T750" s="7" t="n">
        <v>0.74</v>
      </c>
      <c r="U750" s="7" t="n">
        <v>1</v>
      </c>
      <c r="V750" s="7" t="s">
        <v>90</v>
      </c>
      <c r="W750" s="7"/>
      <c r="X750" s="7"/>
      <c r="Y750" s="7"/>
      <c r="Z750" s="7"/>
      <c r="AA750" s="7"/>
      <c r="AB750" s="7"/>
      <c r="AC750" s="7" t="n">
        <v>0</v>
      </c>
      <c r="AD750" s="7" t="s">
        <v>388</v>
      </c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 t="s">
        <v>125</v>
      </c>
      <c r="BD750" s="7"/>
      <c r="BE750" s="7" t="s">
        <v>127</v>
      </c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</row>
    <row r="751" customFormat="false" ht="15" hidden="false" customHeight="false" outlineLevel="0" collapsed="false">
      <c r="A751" s="7" t="s">
        <v>5981</v>
      </c>
      <c r="B751" s="7" t="s">
        <v>5982</v>
      </c>
      <c r="C751" s="7" t="s">
        <v>5983</v>
      </c>
      <c r="D751" s="7" t="s">
        <v>5843</v>
      </c>
      <c r="E751" s="7" t="s">
        <v>101</v>
      </c>
      <c r="F751" s="7" t="s">
        <v>101</v>
      </c>
      <c r="G751" s="7"/>
      <c r="H751" s="7" t="s">
        <v>102</v>
      </c>
      <c r="I751" s="7" t="s">
        <v>132</v>
      </c>
      <c r="J751" s="7" t="s">
        <v>104</v>
      </c>
      <c r="K751" s="7" t="s">
        <v>105</v>
      </c>
      <c r="L751" s="7" t="s">
        <v>106</v>
      </c>
      <c r="M751" s="7" t="s">
        <v>5984</v>
      </c>
      <c r="N751" s="7" t="s">
        <v>5985</v>
      </c>
      <c r="O751" s="7"/>
      <c r="P751" s="7" t="s">
        <v>135</v>
      </c>
      <c r="Q751" s="7"/>
      <c r="R751" s="7" t="s">
        <v>135</v>
      </c>
      <c r="S751" s="7" t="s">
        <v>136</v>
      </c>
      <c r="T751" s="7" t="n">
        <v>0.756</v>
      </c>
      <c r="U751" s="7" t="n">
        <v>1</v>
      </c>
      <c r="V751" s="7" t="s">
        <v>90</v>
      </c>
      <c r="W751" s="7"/>
      <c r="X751" s="7"/>
      <c r="Y751" s="7"/>
      <c r="Z751" s="7"/>
      <c r="AA751" s="7"/>
      <c r="AB751" s="7"/>
      <c r="AC751" s="7" t="n">
        <v>0</v>
      </c>
      <c r="AD751" s="7" t="s">
        <v>388</v>
      </c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 t="s">
        <v>125</v>
      </c>
      <c r="BD751" s="7"/>
      <c r="BE751" s="7" t="s">
        <v>127</v>
      </c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</row>
    <row r="752" customFormat="false" ht="15" hidden="false" customHeight="false" outlineLevel="0" collapsed="false">
      <c r="A752" s="7" t="s">
        <v>5986</v>
      </c>
      <c r="B752" s="7" t="s">
        <v>5987</v>
      </c>
      <c r="C752" s="7" t="s">
        <v>5988</v>
      </c>
      <c r="D752" s="7" t="s">
        <v>5843</v>
      </c>
      <c r="E752" s="7" t="s">
        <v>101</v>
      </c>
      <c r="F752" s="7" t="s">
        <v>101</v>
      </c>
      <c r="G752" s="7"/>
      <c r="H752" s="7" t="s">
        <v>102</v>
      </c>
      <c r="I752" s="7" t="s">
        <v>158</v>
      </c>
      <c r="J752" s="7" t="s">
        <v>104</v>
      </c>
      <c r="K752" s="7" t="s">
        <v>105</v>
      </c>
      <c r="L752" s="7" t="s">
        <v>353</v>
      </c>
      <c r="M752" s="7" t="s">
        <v>5989</v>
      </c>
      <c r="N752" s="7" t="s">
        <v>5990</v>
      </c>
      <c r="O752" s="7"/>
      <c r="P752" s="7" t="s">
        <v>135</v>
      </c>
      <c r="Q752" s="7"/>
      <c r="R752" s="7" t="s">
        <v>135</v>
      </c>
      <c r="S752" s="7" t="s">
        <v>136</v>
      </c>
      <c r="T752" s="7" t="n">
        <v>0.787</v>
      </c>
      <c r="U752" s="7" t="n">
        <v>1</v>
      </c>
      <c r="V752" s="7" t="s">
        <v>90</v>
      </c>
      <c r="W752" s="7"/>
      <c r="X752" s="7"/>
      <c r="Y752" s="7"/>
      <c r="Z752" s="7"/>
      <c r="AA752" s="7"/>
      <c r="AB752" s="7"/>
      <c r="AC752" s="7" t="n">
        <v>0</v>
      </c>
      <c r="AD752" s="7" t="s">
        <v>388</v>
      </c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 t="s">
        <v>125</v>
      </c>
      <c r="BD752" s="7"/>
      <c r="BE752" s="7" t="s">
        <v>127</v>
      </c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</row>
    <row r="753" customFormat="false" ht="15" hidden="false" customHeight="false" outlineLevel="0" collapsed="false">
      <c r="A753" s="7" t="s">
        <v>5991</v>
      </c>
      <c r="B753" s="7" t="s">
        <v>5992</v>
      </c>
      <c r="C753" s="7" t="s">
        <v>5993</v>
      </c>
      <c r="D753" s="7" t="s">
        <v>5843</v>
      </c>
      <c r="E753" s="7" t="s">
        <v>101</v>
      </c>
      <c r="F753" s="7" t="s">
        <v>101</v>
      </c>
      <c r="G753" s="7"/>
      <c r="H753" s="7" t="s">
        <v>102</v>
      </c>
      <c r="I753" s="7" t="s">
        <v>158</v>
      </c>
      <c r="J753" s="7" t="s">
        <v>104</v>
      </c>
      <c r="K753" s="7" t="s">
        <v>105</v>
      </c>
      <c r="L753" s="7" t="s">
        <v>106</v>
      </c>
      <c r="M753" s="7" t="s">
        <v>5994</v>
      </c>
      <c r="N753" s="7" t="s">
        <v>5995</v>
      </c>
      <c r="O753" s="7"/>
      <c r="P753" s="7" t="s">
        <v>135</v>
      </c>
      <c r="Q753" s="7"/>
      <c r="R753" s="7" t="s">
        <v>135</v>
      </c>
      <c r="S753" s="7" t="s">
        <v>136</v>
      </c>
      <c r="T753" s="7" t="n">
        <v>0.757</v>
      </c>
      <c r="U753" s="7" t="n">
        <v>1</v>
      </c>
      <c r="V753" s="7" t="s">
        <v>90</v>
      </c>
      <c r="W753" s="7"/>
      <c r="X753" s="7"/>
      <c r="Y753" s="7"/>
      <c r="Z753" s="7"/>
      <c r="AA753" s="7"/>
      <c r="AB753" s="7"/>
      <c r="AC753" s="7" t="n">
        <v>0</v>
      </c>
      <c r="AD753" s="7" t="s">
        <v>388</v>
      </c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 t="s">
        <v>219</v>
      </c>
      <c r="BD753" s="7"/>
      <c r="BE753" s="7" t="s">
        <v>127</v>
      </c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</row>
    <row r="754" customFormat="false" ht="15" hidden="false" customHeight="false" outlineLevel="0" collapsed="false">
      <c r="A754" s="7" t="s">
        <v>5996</v>
      </c>
      <c r="B754" s="7" t="s">
        <v>5997</v>
      </c>
      <c r="C754" s="7" t="s">
        <v>5998</v>
      </c>
      <c r="D754" s="7" t="s">
        <v>5843</v>
      </c>
      <c r="E754" s="7" t="s">
        <v>101</v>
      </c>
      <c r="F754" s="7" t="s">
        <v>101</v>
      </c>
      <c r="G754" s="7"/>
      <c r="H754" s="7" t="s">
        <v>102</v>
      </c>
      <c r="I754" s="7" t="s">
        <v>132</v>
      </c>
      <c r="J754" s="7" t="s">
        <v>104</v>
      </c>
      <c r="K754" s="7" t="s">
        <v>105</v>
      </c>
      <c r="L754" s="7" t="s">
        <v>106</v>
      </c>
      <c r="M754" s="7" t="s">
        <v>5999</v>
      </c>
      <c r="N754" s="7" t="s">
        <v>6000</v>
      </c>
      <c r="O754" s="7"/>
      <c r="P754" s="7" t="s">
        <v>135</v>
      </c>
      <c r="Q754" s="7"/>
      <c r="R754" s="7" t="s">
        <v>135</v>
      </c>
      <c r="S754" s="7" t="s">
        <v>136</v>
      </c>
      <c r="T754" s="7" t="n">
        <v>0.543</v>
      </c>
      <c r="U754" s="7" t="n">
        <v>1</v>
      </c>
      <c r="V754" s="7" t="s">
        <v>90</v>
      </c>
      <c r="W754" s="7"/>
      <c r="X754" s="7"/>
      <c r="Y754" s="7"/>
      <c r="Z754" s="7"/>
      <c r="AA754" s="7"/>
      <c r="AB754" s="7"/>
      <c r="AC754" s="7" t="n">
        <v>0</v>
      </c>
      <c r="AD754" s="7" t="s">
        <v>388</v>
      </c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 t="s">
        <v>125</v>
      </c>
      <c r="BD754" s="7"/>
      <c r="BE754" s="7" t="s">
        <v>127</v>
      </c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</row>
    <row r="755" customFormat="false" ht="15" hidden="false" customHeight="false" outlineLevel="0" collapsed="false">
      <c r="A755" s="7" t="s">
        <v>6001</v>
      </c>
      <c r="B755" s="7" t="s">
        <v>6002</v>
      </c>
      <c r="C755" s="7" t="s">
        <v>6003</v>
      </c>
      <c r="D755" s="7" t="s">
        <v>5843</v>
      </c>
      <c r="E755" s="7" t="s">
        <v>101</v>
      </c>
      <c r="F755" s="7" t="s">
        <v>101</v>
      </c>
      <c r="G755" s="7"/>
      <c r="H755" s="7" t="s">
        <v>102</v>
      </c>
      <c r="I755" s="7" t="s">
        <v>158</v>
      </c>
      <c r="J755" s="7" t="s">
        <v>104</v>
      </c>
      <c r="K755" s="7" t="s">
        <v>105</v>
      </c>
      <c r="L755" s="7" t="s">
        <v>106</v>
      </c>
      <c r="M755" s="7" t="s">
        <v>6004</v>
      </c>
      <c r="N755" s="7" t="s">
        <v>6005</v>
      </c>
      <c r="O755" s="7"/>
      <c r="P755" s="7" t="s">
        <v>135</v>
      </c>
      <c r="Q755" s="7"/>
      <c r="R755" s="7" t="s">
        <v>135</v>
      </c>
      <c r="S755" s="7" t="s">
        <v>136</v>
      </c>
      <c r="T755" s="7" t="n">
        <v>0.626</v>
      </c>
      <c r="U755" s="7" t="n">
        <v>1</v>
      </c>
      <c r="V755" s="7" t="s">
        <v>90</v>
      </c>
      <c r="W755" s="7"/>
      <c r="X755" s="7"/>
      <c r="Y755" s="7"/>
      <c r="Z755" s="7"/>
      <c r="AA755" s="7"/>
      <c r="AB755" s="7"/>
      <c r="AC755" s="7" t="n">
        <v>0</v>
      </c>
      <c r="AD755" s="7" t="s">
        <v>388</v>
      </c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 t="s">
        <v>125</v>
      </c>
      <c r="BD755" s="7"/>
      <c r="BE755" s="7" t="s">
        <v>127</v>
      </c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</row>
    <row r="756" customFormat="false" ht="15" hidden="false" customHeight="false" outlineLevel="0" collapsed="false">
      <c r="A756" s="7" t="s">
        <v>6006</v>
      </c>
      <c r="B756" s="7" t="s">
        <v>6007</v>
      </c>
      <c r="C756" s="7" t="s">
        <v>6008</v>
      </c>
      <c r="D756" s="7" t="s">
        <v>5843</v>
      </c>
      <c r="E756" s="7" t="s">
        <v>101</v>
      </c>
      <c r="F756" s="7" t="s">
        <v>101</v>
      </c>
      <c r="G756" s="7"/>
      <c r="H756" s="7" t="s">
        <v>102</v>
      </c>
      <c r="I756" s="7" t="s">
        <v>158</v>
      </c>
      <c r="J756" s="7" t="s">
        <v>104</v>
      </c>
      <c r="K756" s="7" t="s">
        <v>105</v>
      </c>
      <c r="L756" s="7" t="s">
        <v>106</v>
      </c>
      <c r="M756" s="7" t="s">
        <v>6009</v>
      </c>
      <c r="N756" s="7" t="s">
        <v>6010</v>
      </c>
      <c r="O756" s="7"/>
      <c r="P756" s="7" t="s">
        <v>135</v>
      </c>
      <c r="Q756" s="7"/>
      <c r="R756" s="7" t="s">
        <v>135</v>
      </c>
      <c r="S756" s="7" t="s">
        <v>136</v>
      </c>
      <c r="T756" s="7" t="n">
        <v>0.872</v>
      </c>
      <c r="U756" s="7" t="n">
        <v>1</v>
      </c>
      <c r="V756" s="7" t="s">
        <v>90</v>
      </c>
      <c r="W756" s="7"/>
      <c r="X756" s="7"/>
      <c r="Y756" s="7"/>
      <c r="Z756" s="7"/>
      <c r="AA756" s="7"/>
      <c r="AB756" s="7"/>
      <c r="AC756" s="7" t="n">
        <v>0</v>
      </c>
      <c r="AD756" s="7" t="s">
        <v>388</v>
      </c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 t="s">
        <v>125</v>
      </c>
      <c r="BD756" s="7"/>
      <c r="BE756" s="7" t="s">
        <v>127</v>
      </c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</row>
    <row r="757" customFormat="false" ht="15" hidden="false" customHeight="false" outlineLevel="0" collapsed="false">
      <c r="A757" s="7" t="s">
        <v>6011</v>
      </c>
      <c r="B757" s="7" t="s">
        <v>6012</v>
      </c>
      <c r="C757" s="7" t="s">
        <v>6013</v>
      </c>
      <c r="D757" s="7" t="s">
        <v>5843</v>
      </c>
      <c r="E757" s="7" t="s">
        <v>101</v>
      </c>
      <c r="F757" s="7" t="s">
        <v>101</v>
      </c>
      <c r="G757" s="7"/>
      <c r="H757" s="7" t="s">
        <v>102</v>
      </c>
      <c r="I757" s="7" t="s">
        <v>132</v>
      </c>
      <c r="J757" s="7" t="s">
        <v>104</v>
      </c>
      <c r="K757" s="7" t="s">
        <v>105</v>
      </c>
      <c r="L757" s="7" t="s">
        <v>106</v>
      </c>
      <c r="M757" s="7" t="s">
        <v>6014</v>
      </c>
      <c r="N757" s="7" t="s">
        <v>6015</v>
      </c>
      <c r="O757" s="7"/>
      <c r="P757" s="7" t="s">
        <v>135</v>
      </c>
      <c r="Q757" s="7"/>
      <c r="R757" s="7" t="s">
        <v>135</v>
      </c>
      <c r="S757" s="7" t="s">
        <v>136</v>
      </c>
      <c r="T757" s="7" t="n">
        <v>0.882</v>
      </c>
      <c r="U757" s="7" t="n">
        <v>1</v>
      </c>
      <c r="V757" s="7" t="s">
        <v>90</v>
      </c>
      <c r="W757" s="7"/>
      <c r="X757" s="7"/>
      <c r="Y757" s="7"/>
      <c r="Z757" s="7"/>
      <c r="AA757" s="7"/>
      <c r="AB757" s="7"/>
      <c r="AC757" s="7" t="n">
        <v>0</v>
      </c>
      <c r="AD757" s="7" t="s">
        <v>388</v>
      </c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 t="s">
        <v>125</v>
      </c>
      <c r="BD757" s="7"/>
      <c r="BE757" s="7" t="s">
        <v>127</v>
      </c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</row>
    <row r="758" customFormat="false" ht="15" hidden="false" customHeight="false" outlineLevel="0" collapsed="false">
      <c r="A758" s="7" t="s">
        <v>6016</v>
      </c>
      <c r="B758" s="7" t="s">
        <v>6017</v>
      </c>
      <c r="C758" s="7" t="s">
        <v>6018</v>
      </c>
      <c r="D758" s="7" t="s">
        <v>5843</v>
      </c>
      <c r="E758" s="7" t="s">
        <v>101</v>
      </c>
      <c r="F758" s="7" t="s">
        <v>101</v>
      </c>
      <c r="G758" s="7"/>
      <c r="H758" s="7" t="s">
        <v>102</v>
      </c>
      <c r="I758" s="7" t="s">
        <v>158</v>
      </c>
      <c r="J758" s="7" t="s">
        <v>104</v>
      </c>
      <c r="K758" s="7" t="s">
        <v>105</v>
      </c>
      <c r="L758" s="7" t="s">
        <v>106</v>
      </c>
      <c r="M758" s="7" t="s">
        <v>6019</v>
      </c>
      <c r="N758" s="7" t="s">
        <v>6020</v>
      </c>
      <c r="O758" s="7"/>
      <c r="P758" s="7" t="s">
        <v>135</v>
      </c>
      <c r="Q758" s="7"/>
      <c r="R758" s="7" t="s">
        <v>135</v>
      </c>
      <c r="S758" s="7" t="s">
        <v>136</v>
      </c>
      <c r="T758" s="7" t="n">
        <v>0.663</v>
      </c>
      <c r="U758" s="7" t="n">
        <v>1</v>
      </c>
      <c r="V758" s="7" t="s">
        <v>90</v>
      </c>
      <c r="W758" s="7"/>
      <c r="X758" s="7"/>
      <c r="Y758" s="7"/>
      <c r="Z758" s="7"/>
      <c r="AA758" s="7"/>
      <c r="AB758" s="7"/>
      <c r="AC758" s="7" t="n">
        <v>0</v>
      </c>
      <c r="AD758" s="7" t="s">
        <v>388</v>
      </c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 t="s">
        <v>125</v>
      </c>
      <c r="BD758" s="7"/>
      <c r="BE758" s="7" t="s">
        <v>127</v>
      </c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</row>
    <row r="759" customFormat="false" ht="15" hidden="false" customHeight="false" outlineLevel="0" collapsed="false">
      <c r="A759" s="7" t="s">
        <v>6021</v>
      </c>
      <c r="B759" s="7" t="s">
        <v>6022</v>
      </c>
      <c r="C759" s="7" t="s">
        <v>6023</v>
      </c>
      <c r="D759" s="7" t="s">
        <v>5843</v>
      </c>
      <c r="E759" s="7" t="s">
        <v>101</v>
      </c>
      <c r="F759" s="7" t="s">
        <v>101</v>
      </c>
      <c r="G759" s="7"/>
      <c r="H759" s="7" t="s">
        <v>102</v>
      </c>
      <c r="I759" s="7" t="s">
        <v>158</v>
      </c>
      <c r="J759" s="7" t="s">
        <v>104</v>
      </c>
      <c r="K759" s="7" t="s">
        <v>105</v>
      </c>
      <c r="L759" s="7" t="s">
        <v>106</v>
      </c>
      <c r="M759" s="7" t="s">
        <v>6024</v>
      </c>
      <c r="N759" s="7" t="s">
        <v>6025</v>
      </c>
      <c r="O759" s="7"/>
      <c r="P759" s="7" t="s">
        <v>135</v>
      </c>
      <c r="Q759" s="7"/>
      <c r="R759" s="7" t="s">
        <v>135</v>
      </c>
      <c r="S759" s="7" t="s">
        <v>136</v>
      </c>
      <c r="T759" s="7" t="n">
        <v>0.823</v>
      </c>
      <c r="U759" s="7" t="n">
        <v>1</v>
      </c>
      <c r="V759" s="7" t="s">
        <v>90</v>
      </c>
      <c r="W759" s="7"/>
      <c r="X759" s="7"/>
      <c r="Y759" s="7"/>
      <c r="Z759" s="7"/>
      <c r="AA759" s="7"/>
      <c r="AB759" s="7"/>
      <c r="AC759" s="7" t="n">
        <v>0</v>
      </c>
      <c r="AD759" s="7" t="s">
        <v>388</v>
      </c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 t="s">
        <v>125</v>
      </c>
      <c r="BD759" s="7"/>
      <c r="BE759" s="7" t="s">
        <v>127</v>
      </c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</row>
    <row r="760" customFormat="false" ht="15" hidden="false" customHeight="false" outlineLevel="0" collapsed="false">
      <c r="A760" s="7" t="s">
        <v>6026</v>
      </c>
      <c r="B760" s="7" t="s">
        <v>6027</v>
      </c>
      <c r="C760" s="7" t="s">
        <v>6028</v>
      </c>
      <c r="D760" s="7" t="s">
        <v>5843</v>
      </c>
      <c r="E760" s="7" t="s">
        <v>101</v>
      </c>
      <c r="F760" s="7" t="s">
        <v>101</v>
      </c>
      <c r="G760" s="7"/>
      <c r="H760" s="7" t="s">
        <v>102</v>
      </c>
      <c r="I760" s="7" t="s">
        <v>132</v>
      </c>
      <c r="J760" s="7" t="s">
        <v>104</v>
      </c>
      <c r="K760" s="7" t="s">
        <v>105</v>
      </c>
      <c r="L760" s="7" t="s">
        <v>106</v>
      </c>
      <c r="M760" s="7" t="s">
        <v>6029</v>
      </c>
      <c r="N760" s="7" t="s">
        <v>6030</v>
      </c>
      <c r="O760" s="7"/>
      <c r="P760" s="7" t="s">
        <v>135</v>
      </c>
      <c r="Q760" s="7"/>
      <c r="R760" s="7" t="s">
        <v>135</v>
      </c>
      <c r="S760" s="7" t="s">
        <v>136</v>
      </c>
      <c r="T760" s="7" t="n">
        <v>0.779</v>
      </c>
      <c r="U760" s="7" t="n">
        <v>1</v>
      </c>
      <c r="V760" s="7" t="s">
        <v>90</v>
      </c>
      <c r="W760" s="7"/>
      <c r="X760" s="7"/>
      <c r="Y760" s="7"/>
      <c r="Z760" s="7"/>
      <c r="AA760" s="7"/>
      <c r="AB760" s="7"/>
      <c r="AC760" s="7" t="n">
        <v>0</v>
      </c>
      <c r="AD760" s="7" t="s">
        <v>388</v>
      </c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 t="s">
        <v>125</v>
      </c>
      <c r="BD760" s="7"/>
      <c r="BE760" s="7" t="s">
        <v>127</v>
      </c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</row>
    <row r="761" customFormat="false" ht="15" hidden="false" customHeight="false" outlineLevel="0" collapsed="false">
      <c r="A761" s="7" t="s">
        <v>6031</v>
      </c>
      <c r="B761" s="7" t="s">
        <v>6032</v>
      </c>
      <c r="C761" s="7" t="s">
        <v>6033</v>
      </c>
      <c r="D761" s="7" t="s">
        <v>5843</v>
      </c>
      <c r="E761" s="7" t="s">
        <v>101</v>
      </c>
      <c r="F761" s="7" t="s">
        <v>101</v>
      </c>
      <c r="G761" s="7"/>
      <c r="H761" s="7" t="s">
        <v>102</v>
      </c>
      <c r="I761" s="7" t="s">
        <v>132</v>
      </c>
      <c r="J761" s="7" t="s">
        <v>104</v>
      </c>
      <c r="K761" s="7" t="s">
        <v>105</v>
      </c>
      <c r="L761" s="7" t="s">
        <v>106</v>
      </c>
      <c r="M761" s="7" t="s">
        <v>6034</v>
      </c>
      <c r="N761" s="7" t="s">
        <v>6035</v>
      </c>
      <c r="O761" s="7"/>
      <c r="P761" s="7" t="s">
        <v>135</v>
      </c>
      <c r="Q761" s="7"/>
      <c r="R761" s="7" t="s">
        <v>135</v>
      </c>
      <c r="S761" s="7" t="s">
        <v>136</v>
      </c>
      <c r="T761" s="7" t="n">
        <v>0.093</v>
      </c>
      <c r="U761" s="7" t="n">
        <v>1</v>
      </c>
      <c r="V761" s="7" t="s">
        <v>90</v>
      </c>
      <c r="W761" s="7"/>
      <c r="X761" s="7"/>
      <c r="Y761" s="7"/>
      <c r="Z761" s="7"/>
      <c r="AA761" s="7"/>
      <c r="AB761" s="7"/>
      <c r="AC761" s="7" t="n">
        <v>0</v>
      </c>
      <c r="AD761" s="7" t="s">
        <v>388</v>
      </c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 t="s">
        <v>219</v>
      </c>
      <c r="BD761" s="7"/>
      <c r="BE761" s="7" t="s">
        <v>127</v>
      </c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</row>
    <row r="762" customFormat="false" ht="15" hidden="false" customHeight="false" outlineLevel="0" collapsed="false">
      <c r="A762" s="7" t="s">
        <v>6036</v>
      </c>
      <c r="B762" s="7" t="s">
        <v>6037</v>
      </c>
      <c r="C762" s="7" t="s">
        <v>6038</v>
      </c>
      <c r="D762" s="7"/>
      <c r="E762" s="7" t="s">
        <v>101</v>
      </c>
      <c r="F762" s="7" t="s">
        <v>101</v>
      </c>
      <c r="G762" s="7"/>
      <c r="H762" s="7" t="s">
        <v>102</v>
      </c>
      <c r="I762" s="7" t="s">
        <v>132</v>
      </c>
      <c r="J762" s="7" t="s">
        <v>104</v>
      </c>
      <c r="K762" s="7" t="s">
        <v>105</v>
      </c>
      <c r="L762" s="7" t="s">
        <v>106</v>
      </c>
      <c r="M762" s="7" t="s">
        <v>6039</v>
      </c>
      <c r="N762" s="7" t="s">
        <v>6040</v>
      </c>
      <c r="O762" s="7"/>
      <c r="P762" s="7" t="s">
        <v>135</v>
      </c>
      <c r="Q762" s="7"/>
      <c r="R762" s="7" t="s">
        <v>135</v>
      </c>
      <c r="S762" s="7" t="s">
        <v>136</v>
      </c>
      <c r="T762" s="7" t="n">
        <v>0.804</v>
      </c>
      <c r="U762" s="7" t="n">
        <v>1</v>
      </c>
      <c r="V762" s="7" t="s">
        <v>90</v>
      </c>
      <c r="W762" s="7"/>
      <c r="X762" s="7"/>
      <c r="Y762" s="7" t="s">
        <v>6040</v>
      </c>
      <c r="Z762" s="7"/>
      <c r="AA762" s="7"/>
      <c r="AB762" s="7"/>
      <c r="AC762" s="7" t="n">
        <v>0</v>
      </c>
      <c r="AD762" s="7" t="s">
        <v>388</v>
      </c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 t="s">
        <v>125</v>
      </c>
      <c r="BD762" s="7" t="s">
        <v>6041</v>
      </c>
      <c r="BE762" s="7" t="s">
        <v>127</v>
      </c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</row>
    <row r="763" customFormat="false" ht="15" hidden="false" customHeight="false" outlineLevel="0" collapsed="false">
      <c r="A763" s="7" t="s">
        <v>6042</v>
      </c>
      <c r="B763" s="7" t="s">
        <v>6043</v>
      </c>
      <c r="C763" s="7" t="s">
        <v>6044</v>
      </c>
      <c r="D763" s="7"/>
      <c r="E763" s="7" t="s">
        <v>101</v>
      </c>
      <c r="F763" s="7" t="s">
        <v>101</v>
      </c>
      <c r="G763" s="7"/>
      <c r="H763" s="7" t="s">
        <v>102</v>
      </c>
      <c r="I763" s="7" t="s">
        <v>158</v>
      </c>
      <c r="J763" s="7" t="s">
        <v>104</v>
      </c>
      <c r="K763" s="7" t="s">
        <v>105</v>
      </c>
      <c r="L763" s="7" t="s">
        <v>106</v>
      </c>
      <c r="M763" s="7" t="s">
        <v>6045</v>
      </c>
      <c r="N763" s="7" t="s">
        <v>6046</v>
      </c>
      <c r="O763" s="7"/>
      <c r="P763" s="7" t="s">
        <v>135</v>
      </c>
      <c r="Q763" s="7"/>
      <c r="R763" s="7" t="s">
        <v>135</v>
      </c>
      <c r="S763" s="7" t="s">
        <v>136</v>
      </c>
      <c r="T763" s="7" t="n">
        <v>0.222</v>
      </c>
      <c r="U763" s="7" t="n">
        <v>1</v>
      </c>
      <c r="V763" s="7" t="s">
        <v>90</v>
      </c>
      <c r="W763" s="7"/>
      <c r="X763" s="7"/>
      <c r="Y763" s="7"/>
      <c r="Z763" s="7"/>
      <c r="AA763" s="7"/>
      <c r="AB763" s="7"/>
      <c r="AC763" s="7" t="n">
        <v>0</v>
      </c>
      <c r="AD763" s="7" t="s">
        <v>388</v>
      </c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 t="s">
        <v>219</v>
      </c>
      <c r="BD763" s="7"/>
      <c r="BE763" s="7" t="s">
        <v>127</v>
      </c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</row>
    <row r="764" customFormat="false" ht="15" hidden="false" customHeight="false" outlineLevel="0" collapsed="false">
      <c r="A764" s="7" t="s">
        <v>6047</v>
      </c>
      <c r="B764" s="7" t="s">
        <v>6048</v>
      </c>
      <c r="C764" s="7" t="s">
        <v>6049</v>
      </c>
      <c r="D764" s="7"/>
      <c r="E764" s="7" t="s">
        <v>101</v>
      </c>
      <c r="F764" s="7" t="s">
        <v>101</v>
      </c>
      <c r="G764" s="7"/>
      <c r="H764" s="7" t="s">
        <v>102</v>
      </c>
      <c r="I764" s="7" t="s">
        <v>132</v>
      </c>
      <c r="J764" s="7" t="s">
        <v>104</v>
      </c>
      <c r="K764" s="7" t="s">
        <v>105</v>
      </c>
      <c r="L764" s="7" t="s">
        <v>106</v>
      </c>
      <c r="M764" s="7" t="s">
        <v>6050</v>
      </c>
      <c r="N764" s="7" t="s">
        <v>6051</v>
      </c>
      <c r="O764" s="7" t="s">
        <v>6051</v>
      </c>
      <c r="P764" s="7" t="s">
        <v>135</v>
      </c>
      <c r="Q764" s="7"/>
      <c r="R764" s="7" t="s">
        <v>109</v>
      </c>
      <c r="S764" s="7" t="s">
        <v>110</v>
      </c>
      <c r="T764" s="7" t="n">
        <v>0.248</v>
      </c>
      <c r="U764" s="7" t="n">
        <v>1</v>
      </c>
      <c r="V764" s="7" t="s">
        <v>90</v>
      </c>
      <c r="W764" s="7"/>
      <c r="X764" s="7"/>
      <c r="Y764" s="7" t="s">
        <v>6051</v>
      </c>
      <c r="Z764" s="7"/>
      <c r="AA764" s="7"/>
      <c r="AB764" s="7"/>
      <c r="AC764" s="7" t="n">
        <v>0</v>
      </c>
      <c r="AD764" s="7" t="s">
        <v>388</v>
      </c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 t="s">
        <v>219</v>
      </c>
      <c r="BD764" s="7" t="s">
        <v>747</v>
      </c>
      <c r="BE764" s="7" t="s">
        <v>127</v>
      </c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</row>
    <row r="765" customFormat="false" ht="15" hidden="false" customHeight="false" outlineLevel="0" collapsed="false">
      <c r="A765" s="7" t="s">
        <v>6052</v>
      </c>
      <c r="B765" s="7" t="s">
        <v>6053</v>
      </c>
      <c r="C765" s="7" t="s">
        <v>6054</v>
      </c>
      <c r="D765" s="7" t="s">
        <v>6055</v>
      </c>
      <c r="E765" s="7" t="s">
        <v>101</v>
      </c>
      <c r="F765" s="7" t="s">
        <v>101</v>
      </c>
      <c r="G765" s="7"/>
      <c r="H765" s="7" t="s">
        <v>102</v>
      </c>
      <c r="I765" s="7" t="s">
        <v>103</v>
      </c>
      <c r="J765" s="7" t="s">
        <v>104</v>
      </c>
      <c r="K765" s="7" t="s">
        <v>105</v>
      </c>
      <c r="L765" s="7" t="s">
        <v>106</v>
      </c>
      <c r="M765" s="7" t="s">
        <v>6056</v>
      </c>
      <c r="N765" s="7" t="s">
        <v>6057</v>
      </c>
      <c r="O765" s="7" t="s">
        <v>6057</v>
      </c>
      <c r="P765" s="7" t="s">
        <v>135</v>
      </c>
      <c r="Q765" s="7"/>
      <c r="R765" s="7" t="s">
        <v>84</v>
      </c>
      <c r="S765" s="7" t="s">
        <v>238</v>
      </c>
      <c r="T765" s="7" t="n">
        <v>0.573</v>
      </c>
      <c r="U765" s="7" t="n">
        <v>1</v>
      </c>
      <c r="V765" s="7" t="s">
        <v>90</v>
      </c>
      <c r="W765" s="7" t="s">
        <v>6058</v>
      </c>
      <c r="X765" s="7" t="s">
        <v>2825</v>
      </c>
      <c r="Y765" s="7" t="s">
        <v>6057</v>
      </c>
      <c r="Z765" s="7" t="s">
        <v>6059</v>
      </c>
      <c r="AA765" s="7"/>
      <c r="AB765" s="7"/>
      <c r="AC765" s="7" t="n">
        <v>12</v>
      </c>
      <c r="AD765" s="7"/>
      <c r="AE765" s="7" t="s">
        <v>6060</v>
      </c>
      <c r="AF765" s="7" t="s">
        <v>6061</v>
      </c>
      <c r="AG765" s="7" t="s">
        <v>6060</v>
      </c>
      <c r="AH765" s="7" t="s">
        <v>6062</v>
      </c>
      <c r="AI765" s="7" t="s">
        <v>6060</v>
      </c>
      <c r="AJ765" s="7" t="s">
        <v>145</v>
      </c>
      <c r="AK765" s="7" t="s">
        <v>6060</v>
      </c>
      <c r="AL765" s="7" t="s">
        <v>145</v>
      </c>
      <c r="AM765" s="7" t="s">
        <v>6060</v>
      </c>
      <c r="AN765" s="7" t="s">
        <v>6063</v>
      </c>
      <c r="AO765" s="7" t="s">
        <v>6060</v>
      </c>
      <c r="AP765" s="7" t="s">
        <v>6064</v>
      </c>
      <c r="AQ765" s="7" t="s">
        <v>6065</v>
      </c>
      <c r="AR765" s="7" t="s">
        <v>145</v>
      </c>
      <c r="AS765" s="7" t="s">
        <v>6060</v>
      </c>
      <c r="AT765" s="7" t="s">
        <v>6066</v>
      </c>
      <c r="AU765" s="7" t="s">
        <v>6060</v>
      </c>
      <c r="AV765" s="7" t="s">
        <v>6067</v>
      </c>
      <c r="AW765" s="7" t="s">
        <v>6060</v>
      </c>
      <c r="AX765" s="7" t="s">
        <v>145</v>
      </c>
      <c r="AY765" s="7" t="s">
        <v>6060</v>
      </c>
      <c r="AZ765" s="7" t="s">
        <v>145</v>
      </c>
      <c r="BA765" s="7" t="s">
        <v>6060</v>
      </c>
      <c r="BB765" s="7" t="s">
        <v>6068</v>
      </c>
      <c r="BC765" s="7" t="s">
        <v>151</v>
      </c>
      <c r="BD765" s="7"/>
      <c r="BE765" s="7" t="s">
        <v>127</v>
      </c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</row>
    <row r="766" customFormat="false" ht="15" hidden="false" customHeight="false" outlineLevel="0" collapsed="false">
      <c r="A766" s="7" t="s">
        <v>6069</v>
      </c>
      <c r="B766" s="7" t="s">
        <v>6070</v>
      </c>
      <c r="C766" s="7" t="s">
        <v>6071</v>
      </c>
      <c r="D766" s="7" t="s">
        <v>6072</v>
      </c>
      <c r="E766" s="7" t="s">
        <v>101</v>
      </c>
      <c r="F766" s="7" t="s">
        <v>101</v>
      </c>
      <c r="G766" s="7"/>
      <c r="H766" s="7" t="s">
        <v>102</v>
      </c>
      <c r="I766" s="7" t="s">
        <v>132</v>
      </c>
      <c r="J766" s="7" t="s">
        <v>104</v>
      </c>
      <c r="K766" s="7" t="s">
        <v>105</v>
      </c>
      <c r="L766" s="7" t="s">
        <v>106</v>
      </c>
      <c r="M766" s="7" t="s">
        <v>6073</v>
      </c>
      <c r="N766" s="7" t="s">
        <v>6074</v>
      </c>
      <c r="O766" s="7" t="s">
        <v>6075</v>
      </c>
      <c r="P766" s="7" t="s">
        <v>135</v>
      </c>
      <c r="Q766" s="7"/>
      <c r="R766" s="7" t="s">
        <v>84</v>
      </c>
      <c r="S766" s="7" t="s">
        <v>238</v>
      </c>
      <c r="T766" s="7" t="n">
        <v>0.707</v>
      </c>
      <c r="U766" s="7" t="n">
        <v>1</v>
      </c>
      <c r="V766" s="7" t="s">
        <v>90</v>
      </c>
      <c r="W766" s="7"/>
      <c r="X766" s="7" t="s">
        <v>1810</v>
      </c>
      <c r="Y766" s="7" t="s">
        <v>6074</v>
      </c>
      <c r="Z766" s="7" t="s">
        <v>2172</v>
      </c>
      <c r="AA766" s="7"/>
      <c r="AB766" s="7"/>
      <c r="AC766" s="7" t="n">
        <v>12</v>
      </c>
      <c r="AD766" s="7"/>
      <c r="AE766" s="7" t="s">
        <v>777</v>
      </c>
      <c r="AF766" s="7" t="s">
        <v>6076</v>
      </c>
      <c r="AG766" s="7" t="s">
        <v>777</v>
      </c>
      <c r="AH766" s="7" t="s">
        <v>6077</v>
      </c>
      <c r="AI766" s="7" t="s">
        <v>777</v>
      </c>
      <c r="AJ766" s="7" t="s">
        <v>6078</v>
      </c>
      <c r="AK766" s="7" t="s">
        <v>777</v>
      </c>
      <c r="AL766" s="7" t="s">
        <v>145</v>
      </c>
      <c r="AM766" s="7" t="s">
        <v>777</v>
      </c>
      <c r="AN766" s="7" t="s">
        <v>145</v>
      </c>
      <c r="AO766" s="7" t="s">
        <v>777</v>
      </c>
      <c r="AP766" s="7" t="s">
        <v>6079</v>
      </c>
      <c r="AQ766" s="7" t="s">
        <v>777</v>
      </c>
      <c r="AR766" s="7" t="s">
        <v>6080</v>
      </c>
      <c r="AS766" s="7" t="s">
        <v>777</v>
      </c>
      <c r="AT766" s="7" t="s">
        <v>6081</v>
      </c>
      <c r="AU766" s="7" t="s">
        <v>777</v>
      </c>
      <c r="AV766" s="7" t="s">
        <v>6082</v>
      </c>
      <c r="AW766" s="7" t="s">
        <v>777</v>
      </c>
      <c r="AX766" s="7" t="s">
        <v>145</v>
      </c>
      <c r="AY766" s="7" t="s">
        <v>777</v>
      </c>
      <c r="AZ766" s="7" t="s">
        <v>6083</v>
      </c>
      <c r="BA766" s="7" t="s">
        <v>777</v>
      </c>
      <c r="BB766" s="7" t="s">
        <v>6084</v>
      </c>
      <c r="BC766" s="7" t="s">
        <v>151</v>
      </c>
      <c r="BD766" s="7"/>
      <c r="BE766" s="7" t="s">
        <v>127</v>
      </c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</row>
    <row r="767" customFormat="false" ht="15" hidden="false" customHeight="false" outlineLevel="0" collapsed="false">
      <c r="A767" s="7" t="s">
        <v>6085</v>
      </c>
      <c r="B767" s="7" t="s">
        <v>6086</v>
      </c>
      <c r="C767" s="7" t="s">
        <v>6087</v>
      </c>
      <c r="D767" s="7" t="s">
        <v>6088</v>
      </c>
      <c r="E767" s="7" t="s">
        <v>101</v>
      </c>
      <c r="F767" s="7" t="s">
        <v>101</v>
      </c>
      <c r="G767" s="7"/>
      <c r="H767" s="7" t="s">
        <v>102</v>
      </c>
      <c r="I767" s="7" t="s">
        <v>208</v>
      </c>
      <c r="J767" s="7" t="s">
        <v>104</v>
      </c>
      <c r="K767" s="7" t="s">
        <v>105</v>
      </c>
      <c r="L767" s="7" t="s">
        <v>106</v>
      </c>
      <c r="M767" s="7" t="s">
        <v>6089</v>
      </c>
      <c r="N767" s="7" t="s">
        <v>6090</v>
      </c>
      <c r="O767" s="7"/>
      <c r="P767" s="7" t="s">
        <v>135</v>
      </c>
      <c r="Q767" s="7"/>
      <c r="R767" s="7" t="s">
        <v>135</v>
      </c>
      <c r="S767" s="7" t="s">
        <v>136</v>
      </c>
      <c r="T767" s="7" t="n">
        <v>0.332</v>
      </c>
      <c r="U767" s="7" t="n">
        <v>1</v>
      </c>
      <c r="V767" s="7" t="s">
        <v>90</v>
      </c>
      <c r="W767" s="7"/>
      <c r="X767" s="7"/>
      <c r="Y767" s="7" t="s">
        <v>6090</v>
      </c>
      <c r="Z767" s="7"/>
      <c r="AA767" s="7"/>
      <c r="AB767" s="7"/>
      <c r="AC767" s="7" t="n">
        <v>0</v>
      </c>
      <c r="AD767" s="7" t="s">
        <v>388</v>
      </c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 t="s">
        <v>219</v>
      </c>
      <c r="BD767" s="7"/>
      <c r="BE767" s="7" t="s">
        <v>127</v>
      </c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</row>
    <row r="768" customFormat="false" ht="15" hidden="false" customHeight="false" outlineLevel="0" collapsed="false">
      <c r="A768" s="7" t="s">
        <v>6091</v>
      </c>
      <c r="B768" s="7" t="s">
        <v>6092</v>
      </c>
      <c r="C768" s="7" t="s">
        <v>6093</v>
      </c>
      <c r="D768" s="7" t="s">
        <v>6094</v>
      </c>
      <c r="E768" s="7" t="s">
        <v>101</v>
      </c>
      <c r="F768" s="7" t="s">
        <v>101</v>
      </c>
      <c r="G768" s="7"/>
      <c r="H768" s="7" t="s">
        <v>102</v>
      </c>
      <c r="I768" s="7" t="s">
        <v>132</v>
      </c>
      <c r="J768" s="7" t="s">
        <v>104</v>
      </c>
      <c r="K768" s="7" t="s">
        <v>105</v>
      </c>
      <c r="L768" s="7" t="s">
        <v>106</v>
      </c>
      <c r="M768" s="7" t="s">
        <v>6095</v>
      </c>
      <c r="N768" s="7" t="s">
        <v>6096</v>
      </c>
      <c r="O768" s="7"/>
      <c r="P768" s="7" t="s">
        <v>135</v>
      </c>
      <c r="Q768" s="7"/>
      <c r="R768" s="7"/>
      <c r="S768" s="7"/>
      <c r="T768" s="7" t="n">
        <v>0.178</v>
      </c>
      <c r="U768" s="7" t="n">
        <v>1</v>
      </c>
      <c r="V768" s="7" t="s">
        <v>90</v>
      </c>
      <c r="W768" s="7"/>
      <c r="X768" s="7"/>
      <c r="Y768" s="7" t="s">
        <v>6096</v>
      </c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 t="s">
        <v>219</v>
      </c>
      <c r="BD768" s="7"/>
      <c r="BE768" s="7" t="s">
        <v>127</v>
      </c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</row>
    <row r="769" customFormat="false" ht="15" hidden="false" customHeight="false" outlineLevel="0" collapsed="false">
      <c r="A769" s="7" t="s">
        <v>6097</v>
      </c>
      <c r="B769" s="7" t="s">
        <v>6098</v>
      </c>
      <c r="C769" s="7" t="s">
        <v>6099</v>
      </c>
      <c r="D769" s="7" t="s">
        <v>397</v>
      </c>
      <c r="E769" s="7" t="s">
        <v>101</v>
      </c>
      <c r="F769" s="7" t="s">
        <v>101</v>
      </c>
      <c r="G769" s="7"/>
      <c r="H769" s="7" t="s">
        <v>102</v>
      </c>
      <c r="I769" s="7" t="s">
        <v>300</v>
      </c>
      <c r="J769" s="7" t="s">
        <v>104</v>
      </c>
      <c r="K769" s="7" t="s">
        <v>105</v>
      </c>
      <c r="L769" s="7" t="s">
        <v>106</v>
      </c>
      <c r="M769" s="7" t="s">
        <v>6100</v>
      </c>
      <c r="N769" s="7" t="s">
        <v>6101</v>
      </c>
      <c r="O769" s="7"/>
      <c r="P769" s="7" t="s">
        <v>135</v>
      </c>
      <c r="Q769" s="7"/>
      <c r="R769" s="7" t="s">
        <v>135</v>
      </c>
      <c r="S769" s="7" t="s">
        <v>136</v>
      </c>
      <c r="T769" s="7" t="n">
        <v>0.68</v>
      </c>
      <c r="U769" s="7" t="n">
        <v>1</v>
      </c>
      <c r="V769" s="7" t="s">
        <v>90</v>
      </c>
      <c r="W769" s="7"/>
      <c r="X769" s="7"/>
      <c r="Y769" s="7" t="s">
        <v>6101</v>
      </c>
      <c r="Z769" s="7"/>
      <c r="AA769" s="7"/>
      <c r="AB769" s="7"/>
      <c r="AC769" s="7" t="n">
        <v>5</v>
      </c>
      <c r="AD769" s="7" t="s">
        <v>1897</v>
      </c>
      <c r="AE769" s="7" t="s">
        <v>744</v>
      </c>
      <c r="AF769" s="7" t="s">
        <v>6102</v>
      </c>
      <c r="AG769" s="7" t="s">
        <v>744</v>
      </c>
      <c r="AH769" s="7" t="s">
        <v>6103</v>
      </c>
      <c r="AI769" s="7"/>
      <c r="AJ769" s="7"/>
      <c r="AK769" s="7"/>
      <c r="AL769" s="7"/>
      <c r="AM769" s="7" t="s">
        <v>744</v>
      </c>
      <c r="AN769" s="7" t="s">
        <v>6104</v>
      </c>
      <c r="AO769" s="7" t="s">
        <v>744</v>
      </c>
      <c r="AP769" s="7" t="s">
        <v>397</v>
      </c>
      <c r="AQ769" s="7"/>
      <c r="AR769" s="7"/>
      <c r="AS769" s="7"/>
      <c r="AT769" s="7"/>
      <c r="AU769" s="7"/>
      <c r="AV769" s="7"/>
      <c r="AW769" s="7" t="s">
        <v>744</v>
      </c>
      <c r="AX769" s="7" t="s">
        <v>6101</v>
      </c>
      <c r="AY769" s="7"/>
      <c r="AZ769" s="7"/>
      <c r="BA769" s="7"/>
      <c r="BB769" s="7"/>
      <c r="BC769" s="7" t="s">
        <v>125</v>
      </c>
      <c r="BD769" s="7" t="s">
        <v>6105</v>
      </c>
      <c r="BE769" s="7" t="s">
        <v>127</v>
      </c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</row>
    <row r="770" customFormat="false" ht="15" hidden="false" customHeight="false" outlineLevel="0" collapsed="false">
      <c r="A770" s="7" t="s">
        <v>6106</v>
      </c>
      <c r="B770" s="7" t="s">
        <v>6107</v>
      </c>
      <c r="C770" s="7" t="s">
        <v>6108</v>
      </c>
      <c r="D770" s="7" t="s">
        <v>6109</v>
      </c>
      <c r="E770" s="7" t="s">
        <v>101</v>
      </c>
      <c r="F770" s="7" t="s">
        <v>101</v>
      </c>
      <c r="G770" s="7"/>
      <c r="H770" s="7" t="s">
        <v>102</v>
      </c>
      <c r="I770" s="7" t="s">
        <v>132</v>
      </c>
      <c r="J770" s="7" t="s">
        <v>104</v>
      </c>
      <c r="K770" s="7" t="s">
        <v>105</v>
      </c>
      <c r="L770" s="7" t="s">
        <v>106</v>
      </c>
      <c r="M770" s="7" t="s">
        <v>6110</v>
      </c>
      <c r="N770" s="7" t="s">
        <v>6111</v>
      </c>
      <c r="O770" s="7" t="s">
        <v>6111</v>
      </c>
      <c r="P770" s="7" t="s">
        <v>135</v>
      </c>
      <c r="Q770" s="7"/>
      <c r="R770" s="7" t="s">
        <v>109</v>
      </c>
      <c r="S770" s="7" t="s">
        <v>110</v>
      </c>
      <c r="T770" s="7" t="n">
        <v>0.374</v>
      </c>
      <c r="U770" s="7" t="n">
        <v>1</v>
      </c>
      <c r="V770" s="7" t="s">
        <v>90</v>
      </c>
      <c r="W770" s="7"/>
      <c r="X770" s="7"/>
      <c r="Y770" s="7" t="s">
        <v>6111</v>
      </c>
      <c r="Z770" s="7"/>
      <c r="AA770" s="7"/>
      <c r="AB770" s="7"/>
      <c r="AC770" s="7" t="n">
        <v>0</v>
      </c>
      <c r="AD770" s="7" t="s">
        <v>388</v>
      </c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 t="s">
        <v>427</v>
      </c>
      <c r="BD770" s="7" t="s">
        <v>6112</v>
      </c>
      <c r="BE770" s="7" t="s">
        <v>127</v>
      </c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</row>
    <row r="771" customFormat="false" ht="15" hidden="false" customHeight="false" outlineLevel="0" collapsed="false">
      <c r="A771" s="7" t="s">
        <v>6113</v>
      </c>
      <c r="B771" s="7" t="s">
        <v>6114</v>
      </c>
      <c r="C771" s="7" t="s">
        <v>6115</v>
      </c>
      <c r="D771" s="7"/>
      <c r="E771" s="7" t="s">
        <v>101</v>
      </c>
      <c r="F771" s="7" t="s">
        <v>101</v>
      </c>
      <c r="G771" s="7"/>
      <c r="H771" s="7" t="s">
        <v>102</v>
      </c>
      <c r="I771" s="7" t="s">
        <v>158</v>
      </c>
      <c r="J771" s="7" t="s">
        <v>104</v>
      </c>
      <c r="K771" s="7" t="s">
        <v>105</v>
      </c>
      <c r="L771" s="7" t="s">
        <v>106</v>
      </c>
      <c r="M771" s="7" t="s">
        <v>6116</v>
      </c>
      <c r="N771" s="7" t="s">
        <v>6117</v>
      </c>
      <c r="O771" s="7" t="s">
        <v>6117</v>
      </c>
      <c r="P771" s="7" t="s">
        <v>135</v>
      </c>
      <c r="Q771" s="7"/>
      <c r="R771" s="7" t="s">
        <v>109</v>
      </c>
      <c r="S771" s="7" t="s">
        <v>110</v>
      </c>
      <c r="T771" s="7" t="n">
        <v>0.164</v>
      </c>
      <c r="U771" s="7" t="n">
        <v>1</v>
      </c>
      <c r="V771" s="7" t="s">
        <v>90</v>
      </c>
      <c r="W771" s="7"/>
      <c r="X771" s="7"/>
      <c r="Y771" s="7" t="s">
        <v>6117</v>
      </c>
      <c r="Z771" s="7"/>
      <c r="AA771" s="7"/>
      <c r="AB771" s="7"/>
      <c r="AC771" s="7" t="n">
        <v>0</v>
      </c>
      <c r="AD771" s="7" t="s">
        <v>388</v>
      </c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 t="s">
        <v>219</v>
      </c>
      <c r="BD771" s="7" t="s">
        <v>747</v>
      </c>
      <c r="BE771" s="7" t="s">
        <v>127</v>
      </c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</row>
    <row r="772" customFormat="false" ht="15" hidden="false" customHeight="false" outlineLevel="0" collapsed="false">
      <c r="A772" s="7" t="s">
        <v>6118</v>
      </c>
      <c r="B772" s="7" t="s">
        <v>6119</v>
      </c>
      <c r="C772" s="7" t="s">
        <v>6120</v>
      </c>
      <c r="D772" s="7"/>
      <c r="E772" s="7" t="s">
        <v>101</v>
      </c>
      <c r="F772" s="7" t="s">
        <v>101</v>
      </c>
      <c r="G772" s="7"/>
      <c r="H772" s="7" t="s">
        <v>102</v>
      </c>
      <c r="I772" s="7" t="s">
        <v>1726</v>
      </c>
      <c r="J772" s="7" t="s">
        <v>104</v>
      </c>
      <c r="K772" s="7" t="s">
        <v>105</v>
      </c>
      <c r="L772" s="7" t="s">
        <v>106</v>
      </c>
      <c r="M772" s="7" t="s">
        <v>6121</v>
      </c>
      <c r="N772" s="7" t="s">
        <v>6122</v>
      </c>
      <c r="O772" s="7"/>
      <c r="P772" s="7" t="s">
        <v>135</v>
      </c>
      <c r="Q772" s="7"/>
      <c r="R772" s="7" t="s">
        <v>135</v>
      </c>
      <c r="S772" s="7" t="s">
        <v>136</v>
      </c>
      <c r="T772" s="7" t="n">
        <v>0.817</v>
      </c>
      <c r="U772" s="7" t="n">
        <v>1</v>
      </c>
      <c r="V772" s="7" t="s">
        <v>582</v>
      </c>
      <c r="W772" s="7"/>
      <c r="X772" s="7" t="s">
        <v>139</v>
      </c>
      <c r="Y772" s="7" t="s">
        <v>6122</v>
      </c>
      <c r="Z772" s="7" t="s">
        <v>583</v>
      </c>
      <c r="AA772" s="7"/>
      <c r="AB772" s="7"/>
      <c r="AC772" s="7" t="n">
        <v>12</v>
      </c>
      <c r="AD772" s="7"/>
      <c r="AE772" s="7" t="s">
        <v>189</v>
      </c>
      <c r="AF772" s="7" t="s">
        <v>6123</v>
      </c>
      <c r="AG772" s="7" t="s">
        <v>115</v>
      </c>
      <c r="AH772" s="7" t="s">
        <v>116</v>
      </c>
      <c r="AI772" s="7" t="s">
        <v>242</v>
      </c>
      <c r="AJ772" s="7" t="s">
        <v>145</v>
      </c>
      <c r="AK772" s="7" t="s">
        <v>3776</v>
      </c>
      <c r="AL772" s="7" t="s">
        <v>145</v>
      </c>
      <c r="AM772" s="7" t="s">
        <v>189</v>
      </c>
      <c r="AN772" s="7" t="s">
        <v>6124</v>
      </c>
      <c r="AO772" s="7" t="s">
        <v>242</v>
      </c>
      <c r="AP772" s="7" t="s">
        <v>397</v>
      </c>
      <c r="AQ772" s="7" t="s">
        <v>3776</v>
      </c>
      <c r="AR772" s="7" t="s">
        <v>145</v>
      </c>
      <c r="AS772" s="7" t="s">
        <v>3776</v>
      </c>
      <c r="AT772" s="7" t="s">
        <v>6125</v>
      </c>
      <c r="AU772" s="7" t="s">
        <v>3776</v>
      </c>
      <c r="AV772" s="7" t="s">
        <v>6126</v>
      </c>
      <c r="AW772" s="7" t="s">
        <v>189</v>
      </c>
      <c r="AX772" s="7" t="s">
        <v>6122</v>
      </c>
      <c r="AY772" s="7" t="s">
        <v>3776</v>
      </c>
      <c r="AZ772" s="7" t="s">
        <v>6127</v>
      </c>
      <c r="BA772" s="7" t="s">
        <v>242</v>
      </c>
      <c r="BB772" s="7" t="s">
        <v>6128</v>
      </c>
      <c r="BC772" s="7" t="s">
        <v>151</v>
      </c>
      <c r="BD772" s="7" t="s">
        <v>6129</v>
      </c>
      <c r="BE772" s="7" t="s">
        <v>127</v>
      </c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</row>
    <row r="773" customFormat="false" ht="15" hidden="false" customHeight="false" outlineLevel="0" collapsed="false">
      <c r="A773" s="7" t="s">
        <v>6130</v>
      </c>
      <c r="B773" s="7" t="s">
        <v>6131</v>
      </c>
      <c r="C773" s="7" t="s">
        <v>6132</v>
      </c>
      <c r="D773" s="7" t="s">
        <v>2468</v>
      </c>
      <c r="E773" s="7" t="s">
        <v>101</v>
      </c>
      <c r="F773" s="7" t="s">
        <v>101</v>
      </c>
      <c r="G773" s="7"/>
      <c r="H773" s="7" t="s">
        <v>102</v>
      </c>
      <c r="I773" s="7" t="s">
        <v>300</v>
      </c>
      <c r="J773" s="7" t="s">
        <v>104</v>
      </c>
      <c r="K773" s="7" t="s">
        <v>105</v>
      </c>
      <c r="L773" s="7" t="s">
        <v>106</v>
      </c>
      <c r="M773" s="7" t="s">
        <v>6133</v>
      </c>
      <c r="N773" s="7" t="s">
        <v>6134</v>
      </c>
      <c r="O773" s="7"/>
      <c r="P773" s="7" t="s">
        <v>135</v>
      </c>
      <c r="Q773" s="7"/>
      <c r="R773" s="7" t="s">
        <v>135</v>
      </c>
      <c r="S773" s="7" t="s">
        <v>136</v>
      </c>
      <c r="T773" s="7" t="n">
        <v>0.65</v>
      </c>
      <c r="U773" s="7" t="n">
        <v>1</v>
      </c>
      <c r="V773" s="7" t="s">
        <v>90</v>
      </c>
      <c r="W773" s="7"/>
      <c r="X773" s="7"/>
      <c r="Y773" s="7" t="s">
        <v>6134</v>
      </c>
      <c r="Z773" s="7"/>
      <c r="AA773" s="7"/>
      <c r="AB773" s="7"/>
      <c r="AC773" s="7" t="n">
        <v>6</v>
      </c>
      <c r="AD773" s="7" t="s">
        <v>1235</v>
      </c>
      <c r="AE773" s="7" t="s">
        <v>744</v>
      </c>
      <c r="AF773" s="7" t="s">
        <v>6135</v>
      </c>
      <c r="AG773" s="7" t="s">
        <v>744</v>
      </c>
      <c r="AH773" s="7" t="s">
        <v>6136</v>
      </c>
      <c r="AI773" s="7"/>
      <c r="AJ773" s="7"/>
      <c r="AK773" s="7"/>
      <c r="AL773" s="7"/>
      <c r="AM773" s="7" t="s">
        <v>744</v>
      </c>
      <c r="AN773" s="7" t="s">
        <v>6137</v>
      </c>
      <c r="AO773" s="7" t="s">
        <v>744</v>
      </c>
      <c r="AP773" s="7" t="s">
        <v>6138</v>
      </c>
      <c r="AQ773" s="7" t="s">
        <v>744</v>
      </c>
      <c r="AR773" s="7" t="s">
        <v>101</v>
      </c>
      <c r="AS773" s="7"/>
      <c r="AT773" s="7"/>
      <c r="AU773" s="7"/>
      <c r="AV773" s="7"/>
      <c r="AW773" s="7" t="s">
        <v>744</v>
      </c>
      <c r="AX773" s="7" t="s">
        <v>6134</v>
      </c>
      <c r="AY773" s="7"/>
      <c r="AZ773" s="7"/>
      <c r="BA773" s="7"/>
      <c r="BB773" s="7"/>
      <c r="BC773" s="7" t="s">
        <v>125</v>
      </c>
      <c r="BD773" s="7" t="s">
        <v>6139</v>
      </c>
      <c r="BE773" s="7" t="s">
        <v>127</v>
      </c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</row>
    <row r="774" customFormat="false" ht="15" hidden="false" customHeight="false" outlineLevel="0" collapsed="false">
      <c r="A774" s="7" t="s">
        <v>6140</v>
      </c>
      <c r="B774" s="7" t="s">
        <v>6141</v>
      </c>
      <c r="C774" s="7" t="s">
        <v>6142</v>
      </c>
      <c r="D774" s="7"/>
      <c r="E774" s="7" t="s">
        <v>101</v>
      </c>
      <c r="F774" s="7" t="s">
        <v>101</v>
      </c>
      <c r="G774" s="7"/>
      <c r="H774" s="7" t="s">
        <v>102</v>
      </c>
      <c r="I774" s="7" t="s">
        <v>132</v>
      </c>
      <c r="J774" s="7" t="s">
        <v>104</v>
      </c>
      <c r="K774" s="7" t="s">
        <v>105</v>
      </c>
      <c r="L774" s="7" t="s">
        <v>106</v>
      </c>
      <c r="M774" s="7" t="s">
        <v>6143</v>
      </c>
      <c r="N774" s="7" t="s">
        <v>6144</v>
      </c>
      <c r="O774" s="7"/>
      <c r="P774" s="7" t="s">
        <v>135</v>
      </c>
      <c r="Q774" s="7"/>
      <c r="R774" s="7" t="s">
        <v>135</v>
      </c>
      <c r="S774" s="7" t="s">
        <v>136</v>
      </c>
      <c r="T774" s="7" t="n">
        <v>0.192</v>
      </c>
      <c r="U774" s="7" t="n">
        <v>1</v>
      </c>
      <c r="V774" s="7" t="s">
        <v>90</v>
      </c>
      <c r="W774" s="7"/>
      <c r="X774" s="7"/>
      <c r="Y774" s="7" t="s">
        <v>6144</v>
      </c>
      <c r="Z774" s="7"/>
      <c r="AA774" s="7"/>
      <c r="AB774" s="7"/>
      <c r="AC774" s="7" t="n">
        <v>0</v>
      </c>
      <c r="AD774" s="7" t="s">
        <v>388</v>
      </c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 t="s">
        <v>219</v>
      </c>
      <c r="BD774" s="7"/>
      <c r="BE774" s="7" t="s">
        <v>127</v>
      </c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</row>
    <row r="775" customFormat="false" ht="15" hidden="false" customHeight="false" outlineLevel="0" collapsed="false">
      <c r="A775" s="7" t="s">
        <v>6145</v>
      </c>
      <c r="B775" s="7" t="s">
        <v>6146</v>
      </c>
      <c r="C775" s="7" t="s">
        <v>6147</v>
      </c>
      <c r="D775" s="7"/>
      <c r="E775" s="7" t="s">
        <v>101</v>
      </c>
      <c r="F775" s="7" t="s">
        <v>101</v>
      </c>
      <c r="G775" s="7"/>
      <c r="H775" s="7" t="s">
        <v>102</v>
      </c>
      <c r="I775" s="7" t="s">
        <v>132</v>
      </c>
      <c r="J775" s="7" t="s">
        <v>104</v>
      </c>
      <c r="K775" s="7" t="s">
        <v>105</v>
      </c>
      <c r="L775" s="7" t="s">
        <v>106</v>
      </c>
      <c r="M775" s="7" t="s">
        <v>6148</v>
      </c>
      <c r="N775" s="7" t="s">
        <v>6149</v>
      </c>
      <c r="O775" s="7" t="s">
        <v>6149</v>
      </c>
      <c r="P775" s="7" t="s">
        <v>135</v>
      </c>
      <c r="Q775" s="7"/>
      <c r="R775" s="7" t="s">
        <v>109</v>
      </c>
      <c r="S775" s="7" t="s">
        <v>110</v>
      </c>
      <c r="T775" s="7" t="n">
        <v>0.295</v>
      </c>
      <c r="U775" s="7" t="n">
        <v>1</v>
      </c>
      <c r="V775" s="7" t="s">
        <v>90</v>
      </c>
      <c r="W775" s="7"/>
      <c r="X775" s="7"/>
      <c r="Y775" s="7" t="s">
        <v>6149</v>
      </c>
      <c r="Z775" s="7"/>
      <c r="AA775" s="7"/>
      <c r="AB775" s="7"/>
      <c r="AC775" s="7" t="n">
        <v>0</v>
      </c>
      <c r="AD775" s="7" t="s">
        <v>388</v>
      </c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 t="s">
        <v>219</v>
      </c>
      <c r="BD775" s="7" t="s">
        <v>747</v>
      </c>
      <c r="BE775" s="7" t="s">
        <v>127</v>
      </c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</row>
    <row r="776" customFormat="false" ht="15" hidden="false" customHeight="false" outlineLevel="0" collapsed="false">
      <c r="A776" s="7" t="s">
        <v>6150</v>
      </c>
      <c r="B776" s="7" t="s">
        <v>6151</v>
      </c>
      <c r="C776" s="7" t="s">
        <v>6152</v>
      </c>
      <c r="D776" s="7"/>
      <c r="E776" s="7" t="s">
        <v>101</v>
      </c>
      <c r="F776" s="7" t="s">
        <v>101</v>
      </c>
      <c r="G776" s="7"/>
      <c r="H776" s="7" t="s">
        <v>102</v>
      </c>
      <c r="I776" s="7" t="s">
        <v>1726</v>
      </c>
      <c r="J776" s="7" t="s">
        <v>104</v>
      </c>
      <c r="K776" s="7" t="s">
        <v>105</v>
      </c>
      <c r="L776" s="7" t="s">
        <v>1447</v>
      </c>
      <c r="M776" s="7" t="s">
        <v>6153</v>
      </c>
      <c r="N776" s="7" t="s">
        <v>6154</v>
      </c>
      <c r="O776" s="7"/>
      <c r="P776" s="7" t="s">
        <v>135</v>
      </c>
      <c r="Q776" s="7"/>
      <c r="R776" s="7" t="s">
        <v>135</v>
      </c>
      <c r="S776" s="7" t="s">
        <v>136</v>
      </c>
      <c r="T776" s="7" t="n">
        <v>0.723</v>
      </c>
      <c r="U776" s="7" t="n">
        <v>1</v>
      </c>
      <c r="V776" s="7" t="s">
        <v>90</v>
      </c>
      <c r="W776" s="7"/>
      <c r="X776" s="7"/>
      <c r="Y776" s="7" t="s">
        <v>6154</v>
      </c>
      <c r="Z776" s="7"/>
      <c r="AA776" s="7"/>
      <c r="AB776" s="7"/>
      <c r="AC776" s="7" t="n">
        <v>0</v>
      </c>
      <c r="AD776" s="7" t="s">
        <v>388</v>
      </c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 t="s">
        <v>125</v>
      </c>
      <c r="BD776" s="7"/>
      <c r="BE776" s="7" t="s">
        <v>127</v>
      </c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</row>
    <row r="777" customFormat="false" ht="15" hidden="false" customHeight="false" outlineLevel="0" collapsed="false">
      <c r="A777" s="7" t="s">
        <v>6155</v>
      </c>
      <c r="B777" s="7" t="s">
        <v>6156</v>
      </c>
      <c r="C777" s="7" t="s">
        <v>6157</v>
      </c>
      <c r="D777" s="7"/>
      <c r="E777" s="7" t="s">
        <v>101</v>
      </c>
      <c r="F777" s="7" t="s">
        <v>101</v>
      </c>
      <c r="G777" s="7"/>
      <c r="H777" s="7" t="s">
        <v>102</v>
      </c>
      <c r="I777" s="7" t="s">
        <v>132</v>
      </c>
      <c r="J777" s="7" t="s">
        <v>104</v>
      </c>
      <c r="K777" s="7" t="s">
        <v>105</v>
      </c>
      <c r="L777" s="7" t="s">
        <v>106</v>
      </c>
      <c r="M777" s="7" t="s">
        <v>6158</v>
      </c>
      <c r="N777" s="7" t="s">
        <v>6159</v>
      </c>
      <c r="O777" s="7"/>
      <c r="P777" s="7" t="s">
        <v>135</v>
      </c>
      <c r="Q777" s="7"/>
      <c r="R777" s="7"/>
      <c r="S777" s="7"/>
      <c r="T777" s="7" t="n">
        <v>0.617</v>
      </c>
      <c r="U777" s="7" t="n">
        <v>1</v>
      </c>
      <c r="V777" s="7" t="s">
        <v>90</v>
      </c>
      <c r="W777" s="7"/>
      <c r="X777" s="7"/>
      <c r="Y777" s="7" t="s">
        <v>6159</v>
      </c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 t="s">
        <v>125</v>
      </c>
      <c r="BD777" s="7"/>
      <c r="BE777" s="7" t="s">
        <v>127</v>
      </c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</row>
    <row r="778" customFormat="false" ht="15" hidden="false" customHeight="false" outlineLevel="0" collapsed="false">
      <c r="A778" s="7" t="s">
        <v>6160</v>
      </c>
      <c r="B778" s="7" t="s">
        <v>6161</v>
      </c>
      <c r="C778" s="7" t="s">
        <v>6162</v>
      </c>
      <c r="D778" s="7"/>
      <c r="E778" s="7" t="s">
        <v>101</v>
      </c>
      <c r="F778" s="7" t="s">
        <v>101</v>
      </c>
      <c r="G778" s="7"/>
      <c r="H778" s="7" t="s">
        <v>102</v>
      </c>
      <c r="I778" s="7" t="s">
        <v>234</v>
      </c>
      <c r="J778" s="7" t="s">
        <v>104</v>
      </c>
      <c r="K778" s="7" t="s">
        <v>105</v>
      </c>
      <c r="L778" s="7" t="s">
        <v>235</v>
      </c>
      <c r="M778" s="7" t="s">
        <v>6163</v>
      </c>
      <c r="N778" s="7" t="s">
        <v>6164</v>
      </c>
      <c r="O778" s="7"/>
      <c r="P778" s="7" t="s">
        <v>135</v>
      </c>
      <c r="Q778" s="7"/>
      <c r="R778" s="7" t="s">
        <v>135</v>
      </c>
      <c r="S778" s="7" t="s">
        <v>136</v>
      </c>
      <c r="T778" s="7" t="n">
        <v>0.829</v>
      </c>
      <c r="U778" s="7" t="n">
        <v>1</v>
      </c>
      <c r="V778" s="7" t="s">
        <v>90</v>
      </c>
      <c r="W778" s="7"/>
      <c r="X778" s="7"/>
      <c r="Y778" s="7"/>
      <c r="Z778" s="7"/>
      <c r="AA778" s="7"/>
      <c r="AB778" s="7"/>
      <c r="AC778" s="7" t="n">
        <v>0</v>
      </c>
      <c r="AD778" s="7" t="s">
        <v>388</v>
      </c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 t="s">
        <v>125</v>
      </c>
      <c r="BD778" s="7"/>
      <c r="BE778" s="7" t="s">
        <v>127</v>
      </c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</row>
    <row r="779" customFormat="false" ht="15" hidden="false" customHeight="false" outlineLevel="0" collapsed="false">
      <c r="A779" s="7" t="s">
        <v>6165</v>
      </c>
      <c r="B779" s="7" t="s">
        <v>6166</v>
      </c>
      <c r="C779" s="7" t="s">
        <v>6167</v>
      </c>
      <c r="D779" s="7" t="s">
        <v>5818</v>
      </c>
      <c r="E779" s="7" t="s">
        <v>101</v>
      </c>
      <c r="F779" s="7" t="s">
        <v>101</v>
      </c>
      <c r="G779" s="7"/>
      <c r="H779" s="7" t="s">
        <v>102</v>
      </c>
      <c r="I779" s="7" t="s">
        <v>158</v>
      </c>
      <c r="J779" s="7" t="s">
        <v>104</v>
      </c>
      <c r="K779" s="7" t="s">
        <v>105</v>
      </c>
      <c r="L779" s="7" t="s">
        <v>353</v>
      </c>
      <c r="M779" s="7" t="s">
        <v>6168</v>
      </c>
      <c r="N779" s="7" t="s">
        <v>6169</v>
      </c>
      <c r="O779" s="7"/>
      <c r="P779" s="7" t="s">
        <v>135</v>
      </c>
      <c r="Q779" s="7"/>
      <c r="R779" s="7"/>
      <c r="S779" s="7"/>
      <c r="T779" s="7" t="n">
        <v>0.178</v>
      </c>
      <c r="U779" s="7" t="n">
        <v>1</v>
      </c>
      <c r="V779" s="7" t="s">
        <v>90</v>
      </c>
      <c r="W779" s="7"/>
      <c r="X779" s="7"/>
      <c r="Y779" s="7" t="s">
        <v>6169</v>
      </c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 t="s">
        <v>219</v>
      </c>
      <c r="BD779" s="7"/>
      <c r="BE779" s="7" t="s">
        <v>127</v>
      </c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</row>
    <row r="780" customFormat="false" ht="15" hidden="false" customHeight="false" outlineLevel="0" collapsed="false">
      <c r="A780" s="7" t="s">
        <v>6170</v>
      </c>
      <c r="B780" s="7" t="s">
        <v>6171</v>
      </c>
      <c r="C780" s="7" t="s">
        <v>6172</v>
      </c>
      <c r="D780" s="7"/>
      <c r="E780" s="7" t="s">
        <v>101</v>
      </c>
      <c r="F780" s="7" t="s">
        <v>101</v>
      </c>
      <c r="G780" s="7"/>
      <c r="H780" s="7" t="s">
        <v>102</v>
      </c>
      <c r="I780" s="7" t="s">
        <v>158</v>
      </c>
      <c r="J780" s="7" t="s">
        <v>104</v>
      </c>
      <c r="K780" s="7" t="s">
        <v>105</v>
      </c>
      <c r="L780" s="7" t="s">
        <v>106</v>
      </c>
      <c r="M780" s="7" t="s">
        <v>6173</v>
      </c>
      <c r="N780" s="7" t="s">
        <v>6174</v>
      </c>
      <c r="O780" s="7" t="s">
        <v>6174</v>
      </c>
      <c r="P780" s="7" t="s">
        <v>135</v>
      </c>
      <c r="Q780" s="7"/>
      <c r="R780" s="7" t="s">
        <v>109</v>
      </c>
      <c r="S780" s="7" t="s">
        <v>110</v>
      </c>
      <c r="T780" s="7" t="n">
        <v>0.796</v>
      </c>
      <c r="U780" s="7" t="n">
        <v>1</v>
      </c>
      <c r="V780" s="7" t="s">
        <v>90</v>
      </c>
      <c r="W780" s="7"/>
      <c r="X780" s="7"/>
      <c r="Y780" s="7" t="s">
        <v>6174</v>
      </c>
      <c r="Z780" s="7"/>
      <c r="AA780" s="7"/>
      <c r="AB780" s="7"/>
      <c r="AC780" s="7" t="n">
        <v>0</v>
      </c>
      <c r="AD780" s="7" t="s">
        <v>388</v>
      </c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 t="s">
        <v>125</v>
      </c>
      <c r="BD780" s="7" t="s">
        <v>6175</v>
      </c>
      <c r="BE780" s="7" t="s">
        <v>127</v>
      </c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</row>
    <row r="781" customFormat="false" ht="15" hidden="false" customHeight="false" outlineLevel="0" collapsed="false">
      <c r="A781" s="7" t="s">
        <v>6176</v>
      </c>
      <c r="B781" s="7" t="s">
        <v>6177</v>
      </c>
      <c r="C781" s="7" t="s">
        <v>6178</v>
      </c>
      <c r="D781" s="7" t="s">
        <v>6179</v>
      </c>
      <c r="E781" s="7" t="s">
        <v>101</v>
      </c>
      <c r="F781" s="7" t="s">
        <v>101</v>
      </c>
      <c r="G781" s="7"/>
      <c r="H781" s="7" t="s">
        <v>102</v>
      </c>
      <c r="I781" s="7" t="s">
        <v>158</v>
      </c>
      <c r="J781" s="7" t="s">
        <v>104</v>
      </c>
      <c r="K781" s="7" t="s">
        <v>105</v>
      </c>
      <c r="L781" s="7" t="s">
        <v>106</v>
      </c>
      <c r="M781" s="7" t="s">
        <v>6180</v>
      </c>
      <c r="N781" s="7" t="s">
        <v>6181</v>
      </c>
      <c r="O781" s="7" t="s">
        <v>6181</v>
      </c>
      <c r="P781" s="7" t="s">
        <v>135</v>
      </c>
      <c r="Q781" s="7"/>
      <c r="R781" s="7" t="s">
        <v>109</v>
      </c>
      <c r="S781" s="7" t="s">
        <v>110</v>
      </c>
      <c r="T781" s="7" t="n">
        <v>0.101</v>
      </c>
      <c r="U781" s="7" t="n">
        <v>1</v>
      </c>
      <c r="V781" s="7" t="s">
        <v>90</v>
      </c>
      <c r="W781" s="7"/>
      <c r="X781" s="7"/>
      <c r="Y781" s="7" t="s">
        <v>6181</v>
      </c>
      <c r="Z781" s="7"/>
      <c r="AA781" s="7"/>
      <c r="AB781" s="7"/>
      <c r="AC781" s="7" t="n">
        <v>0</v>
      </c>
      <c r="AD781" s="7" t="s">
        <v>388</v>
      </c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 t="s">
        <v>219</v>
      </c>
      <c r="BD781" s="7" t="s">
        <v>3272</v>
      </c>
      <c r="BE781" s="7" t="s">
        <v>127</v>
      </c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</row>
    <row r="782" customFormat="false" ht="15" hidden="false" customHeight="false" outlineLevel="0" collapsed="false">
      <c r="A782" s="7" t="s">
        <v>6182</v>
      </c>
      <c r="B782" s="7" t="s">
        <v>6183</v>
      </c>
      <c r="C782" s="7" t="s">
        <v>6184</v>
      </c>
      <c r="D782" s="7" t="s">
        <v>5818</v>
      </c>
      <c r="E782" s="7" t="s">
        <v>101</v>
      </c>
      <c r="F782" s="7" t="s">
        <v>101</v>
      </c>
      <c r="G782" s="7"/>
      <c r="H782" s="7" t="s">
        <v>102</v>
      </c>
      <c r="I782" s="7" t="s">
        <v>132</v>
      </c>
      <c r="J782" s="7" t="s">
        <v>104</v>
      </c>
      <c r="K782" s="7" t="s">
        <v>105</v>
      </c>
      <c r="L782" s="7" t="s">
        <v>106</v>
      </c>
      <c r="M782" s="7" t="s">
        <v>6185</v>
      </c>
      <c r="N782" s="7" t="s">
        <v>6186</v>
      </c>
      <c r="O782" s="7"/>
      <c r="P782" s="7" t="s">
        <v>135</v>
      </c>
      <c r="Q782" s="7"/>
      <c r="R782" s="7" t="s">
        <v>135</v>
      </c>
      <c r="S782" s="7" t="s">
        <v>136</v>
      </c>
      <c r="T782" s="7" t="n">
        <v>0.136</v>
      </c>
      <c r="U782" s="7" t="n">
        <v>1</v>
      </c>
      <c r="V782" s="7" t="s">
        <v>90</v>
      </c>
      <c r="W782" s="7"/>
      <c r="X782" s="7"/>
      <c r="Y782" s="7" t="s">
        <v>6186</v>
      </c>
      <c r="Z782" s="7"/>
      <c r="AA782" s="7"/>
      <c r="AB782" s="7"/>
      <c r="AC782" s="7" t="n">
        <v>0</v>
      </c>
      <c r="AD782" s="7" t="s">
        <v>388</v>
      </c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 t="s">
        <v>219</v>
      </c>
      <c r="BD782" s="7"/>
      <c r="BE782" s="7" t="s">
        <v>127</v>
      </c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</row>
    <row r="783" customFormat="false" ht="15" hidden="false" customHeight="false" outlineLevel="0" collapsed="false">
      <c r="A783" s="7" t="s">
        <v>6187</v>
      </c>
      <c r="B783" s="7" t="s">
        <v>6188</v>
      </c>
      <c r="C783" s="7" t="s">
        <v>6189</v>
      </c>
      <c r="D783" s="7"/>
      <c r="E783" s="7" t="s">
        <v>101</v>
      </c>
      <c r="F783" s="7" t="s">
        <v>101</v>
      </c>
      <c r="G783" s="7"/>
      <c r="H783" s="7" t="s">
        <v>102</v>
      </c>
      <c r="I783" s="7" t="s">
        <v>300</v>
      </c>
      <c r="J783" s="7" t="s">
        <v>104</v>
      </c>
      <c r="K783" s="7" t="s">
        <v>105</v>
      </c>
      <c r="L783" s="7" t="s">
        <v>106</v>
      </c>
      <c r="M783" s="7" t="s">
        <v>6190</v>
      </c>
      <c r="N783" s="7" t="s">
        <v>6191</v>
      </c>
      <c r="O783" s="7"/>
      <c r="P783" s="7" t="s">
        <v>135</v>
      </c>
      <c r="Q783" s="7"/>
      <c r="R783" s="7" t="s">
        <v>135</v>
      </c>
      <c r="S783" s="7" t="s">
        <v>136</v>
      </c>
      <c r="T783" s="7" t="n">
        <v>0.279</v>
      </c>
      <c r="U783" s="7" t="n">
        <v>1</v>
      </c>
      <c r="V783" s="7" t="s">
        <v>90</v>
      </c>
      <c r="W783" s="7"/>
      <c r="X783" s="7"/>
      <c r="Y783" s="7" t="s">
        <v>6191</v>
      </c>
      <c r="Z783" s="7"/>
      <c r="AA783" s="7"/>
      <c r="AB783" s="7"/>
      <c r="AC783" s="7" t="n">
        <v>0</v>
      </c>
      <c r="AD783" s="7" t="s">
        <v>388</v>
      </c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 t="s">
        <v>125</v>
      </c>
      <c r="BD783" s="7"/>
      <c r="BE783" s="7" t="s">
        <v>127</v>
      </c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</row>
    <row r="784" customFormat="false" ht="15" hidden="false" customHeight="false" outlineLevel="0" collapsed="false">
      <c r="A784" s="7" t="s">
        <v>6192</v>
      </c>
      <c r="B784" s="7" t="s">
        <v>6193</v>
      </c>
      <c r="C784" s="7" t="s">
        <v>6194</v>
      </c>
      <c r="D784" s="7"/>
      <c r="E784" s="7" t="s">
        <v>101</v>
      </c>
      <c r="F784" s="7" t="s">
        <v>101</v>
      </c>
      <c r="G784" s="7"/>
      <c r="H784" s="7" t="s">
        <v>102</v>
      </c>
      <c r="I784" s="7" t="s">
        <v>158</v>
      </c>
      <c r="J784" s="7" t="s">
        <v>104</v>
      </c>
      <c r="K784" s="7" t="s">
        <v>105</v>
      </c>
      <c r="L784" s="7" t="s">
        <v>2470</v>
      </c>
      <c r="M784" s="7" t="s">
        <v>6195</v>
      </c>
      <c r="N784" s="7" t="s">
        <v>6196</v>
      </c>
      <c r="O784" s="7" t="s">
        <v>6196</v>
      </c>
      <c r="P784" s="7" t="s">
        <v>135</v>
      </c>
      <c r="Q784" s="7"/>
      <c r="R784" s="7" t="s">
        <v>109</v>
      </c>
      <c r="S784" s="7" t="s">
        <v>110</v>
      </c>
      <c r="T784" s="7" t="n">
        <v>0.775</v>
      </c>
      <c r="U784" s="7" t="n">
        <v>1</v>
      </c>
      <c r="V784" s="7" t="s">
        <v>90</v>
      </c>
      <c r="W784" s="7" t="s">
        <v>598</v>
      </c>
      <c r="X784" s="7" t="s">
        <v>6197</v>
      </c>
      <c r="Y784" s="7" t="s">
        <v>6196</v>
      </c>
      <c r="Z784" s="7" t="s">
        <v>6198</v>
      </c>
      <c r="AA784" s="7"/>
      <c r="AB784" s="7"/>
      <c r="AC784" s="7" t="n">
        <v>0</v>
      </c>
      <c r="AD784" s="7" t="s">
        <v>388</v>
      </c>
      <c r="AE784" s="7" t="s">
        <v>6199</v>
      </c>
      <c r="AF784" s="7" t="s">
        <v>6200</v>
      </c>
      <c r="AG784" s="7" t="s">
        <v>6199</v>
      </c>
      <c r="AH784" s="7" t="s">
        <v>6201</v>
      </c>
      <c r="AI784" s="7" t="s">
        <v>6199</v>
      </c>
      <c r="AJ784" s="7" t="s">
        <v>145</v>
      </c>
      <c r="AK784" s="7" t="s">
        <v>6199</v>
      </c>
      <c r="AL784" s="7" t="s">
        <v>145</v>
      </c>
      <c r="AM784" s="7" t="s">
        <v>6199</v>
      </c>
      <c r="AN784" s="7" t="s">
        <v>6202</v>
      </c>
      <c r="AO784" s="7" t="s">
        <v>6199</v>
      </c>
      <c r="AP784" s="7" t="s">
        <v>6203</v>
      </c>
      <c r="AQ784" s="7" t="s">
        <v>6199</v>
      </c>
      <c r="AR784" s="7" t="s">
        <v>145</v>
      </c>
      <c r="AS784" s="7" t="s">
        <v>5923</v>
      </c>
      <c r="AT784" s="7" t="s">
        <v>2047</v>
      </c>
      <c r="AU784" s="7" t="s">
        <v>5923</v>
      </c>
      <c r="AV784" s="7" t="s">
        <v>6204</v>
      </c>
      <c r="AW784" s="7" t="s">
        <v>6199</v>
      </c>
      <c r="AX784" s="7" t="s">
        <v>145</v>
      </c>
      <c r="AY784" s="7" t="s">
        <v>6199</v>
      </c>
      <c r="AZ784" s="7" t="s">
        <v>145</v>
      </c>
      <c r="BA784" s="7" t="s">
        <v>6199</v>
      </c>
      <c r="BB784" s="7" t="s">
        <v>6205</v>
      </c>
      <c r="BC784" s="7" t="s">
        <v>151</v>
      </c>
      <c r="BD784" s="7" t="s">
        <v>747</v>
      </c>
      <c r="BE784" s="7" t="s">
        <v>127</v>
      </c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</row>
    <row r="785" customFormat="false" ht="15" hidden="false" customHeight="false" outlineLevel="0" collapsed="false">
      <c r="A785" s="7" t="s">
        <v>6206</v>
      </c>
      <c r="B785" s="7" t="s">
        <v>6207</v>
      </c>
      <c r="C785" s="7" t="s">
        <v>6208</v>
      </c>
      <c r="D785" s="7"/>
      <c r="E785" s="7" t="s">
        <v>101</v>
      </c>
      <c r="F785" s="7" t="s">
        <v>101</v>
      </c>
      <c r="G785" s="7"/>
      <c r="H785" s="7" t="s">
        <v>102</v>
      </c>
      <c r="I785" s="7" t="s">
        <v>300</v>
      </c>
      <c r="J785" s="7" t="s">
        <v>104</v>
      </c>
      <c r="K785" s="7" t="s">
        <v>105</v>
      </c>
      <c r="L785" s="7" t="s">
        <v>106</v>
      </c>
      <c r="M785" s="7" t="s">
        <v>6209</v>
      </c>
      <c r="N785" s="7" t="s">
        <v>6210</v>
      </c>
      <c r="O785" s="7"/>
      <c r="P785" s="7" t="s">
        <v>135</v>
      </c>
      <c r="Q785" s="7"/>
      <c r="R785" s="7" t="s">
        <v>135</v>
      </c>
      <c r="S785" s="7" t="s">
        <v>136</v>
      </c>
      <c r="T785" s="7" t="n">
        <v>0.762</v>
      </c>
      <c r="U785" s="7" t="n">
        <v>1</v>
      </c>
      <c r="V785" s="7" t="s">
        <v>90</v>
      </c>
      <c r="W785" s="7"/>
      <c r="X785" s="7"/>
      <c r="Y785" s="7" t="s">
        <v>6210</v>
      </c>
      <c r="Z785" s="7"/>
      <c r="AA785" s="7"/>
      <c r="AB785" s="7"/>
      <c r="AC785" s="7" t="n">
        <v>6</v>
      </c>
      <c r="AD785" s="7" t="s">
        <v>1235</v>
      </c>
      <c r="AE785" s="7" t="s">
        <v>744</v>
      </c>
      <c r="AF785" s="7" t="s">
        <v>6211</v>
      </c>
      <c r="AG785" s="7" t="s">
        <v>744</v>
      </c>
      <c r="AH785" s="7" t="s">
        <v>6212</v>
      </c>
      <c r="AI785" s="7"/>
      <c r="AJ785" s="7"/>
      <c r="AK785" s="7"/>
      <c r="AL785" s="7"/>
      <c r="AM785" s="7" t="s">
        <v>744</v>
      </c>
      <c r="AN785" s="7" t="s">
        <v>6213</v>
      </c>
      <c r="AO785" s="7" t="s">
        <v>744</v>
      </c>
      <c r="AP785" s="7" t="s">
        <v>6214</v>
      </c>
      <c r="AQ785" s="7" t="s">
        <v>744</v>
      </c>
      <c r="AR785" s="7" t="s">
        <v>6215</v>
      </c>
      <c r="AS785" s="7"/>
      <c r="AT785" s="7"/>
      <c r="AU785" s="7"/>
      <c r="AV785" s="7"/>
      <c r="AW785" s="7" t="s">
        <v>744</v>
      </c>
      <c r="AX785" s="7" t="s">
        <v>6210</v>
      </c>
      <c r="AY785" s="7"/>
      <c r="AZ785" s="7"/>
      <c r="BA785" s="7"/>
      <c r="BB785" s="7"/>
      <c r="BC785" s="7" t="s">
        <v>125</v>
      </c>
      <c r="BD785" s="7"/>
      <c r="BE785" s="7" t="s">
        <v>127</v>
      </c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</row>
    <row r="786" customFormat="false" ht="15" hidden="false" customHeight="false" outlineLevel="0" collapsed="false">
      <c r="A786" s="7" t="s">
        <v>6216</v>
      </c>
      <c r="B786" s="7" t="s">
        <v>6217</v>
      </c>
      <c r="C786" s="7" t="s">
        <v>6218</v>
      </c>
      <c r="D786" s="7"/>
      <c r="E786" s="7" t="s">
        <v>101</v>
      </c>
      <c r="F786" s="7" t="s">
        <v>101</v>
      </c>
      <c r="G786" s="7"/>
      <c r="H786" s="7" t="s">
        <v>102</v>
      </c>
      <c r="I786" s="7" t="s">
        <v>132</v>
      </c>
      <c r="J786" s="7" t="s">
        <v>104</v>
      </c>
      <c r="K786" s="7" t="s">
        <v>105</v>
      </c>
      <c r="L786" s="7" t="s">
        <v>106</v>
      </c>
      <c r="M786" s="7" t="s">
        <v>6219</v>
      </c>
      <c r="N786" s="7" t="s">
        <v>6220</v>
      </c>
      <c r="O786" s="7"/>
      <c r="P786" s="7" t="s">
        <v>135</v>
      </c>
      <c r="Q786" s="7"/>
      <c r="R786" s="7" t="s">
        <v>135</v>
      </c>
      <c r="S786" s="7" t="s">
        <v>136</v>
      </c>
      <c r="T786" s="7" t="n">
        <v>0.707</v>
      </c>
      <c r="U786" s="7" t="n">
        <v>1</v>
      </c>
      <c r="V786" s="7" t="s">
        <v>90</v>
      </c>
      <c r="W786" s="7"/>
      <c r="X786" s="7"/>
      <c r="Y786" s="7" t="s">
        <v>6220</v>
      </c>
      <c r="Z786" s="7"/>
      <c r="AA786" s="7"/>
      <c r="AB786" s="7"/>
      <c r="AC786" s="7" t="n">
        <v>0</v>
      </c>
      <c r="AD786" s="7" t="s">
        <v>388</v>
      </c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 t="s">
        <v>125</v>
      </c>
      <c r="BD786" s="7"/>
      <c r="BE786" s="7" t="s">
        <v>127</v>
      </c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</row>
    <row r="787" customFormat="false" ht="15" hidden="false" customHeight="false" outlineLevel="0" collapsed="false">
      <c r="A787" s="7" t="s">
        <v>6221</v>
      </c>
      <c r="B787" s="7" t="s">
        <v>6222</v>
      </c>
      <c r="C787" s="7" t="s">
        <v>6223</v>
      </c>
      <c r="D787" s="7" t="s">
        <v>6224</v>
      </c>
      <c r="E787" s="7" t="s">
        <v>101</v>
      </c>
      <c r="F787" s="7" t="s">
        <v>101</v>
      </c>
      <c r="G787" s="7"/>
      <c r="H787" s="7" t="s">
        <v>102</v>
      </c>
      <c r="I787" s="7" t="s">
        <v>374</v>
      </c>
      <c r="J787" s="7" t="s">
        <v>104</v>
      </c>
      <c r="K787" s="7" t="s">
        <v>105</v>
      </c>
      <c r="L787" s="7" t="s">
        <v>2656</v>
      </c>
      <c r="M787" s="7" t="s">
        <v>6225</v>
      </c>
      <c r="N787" s="7" t="s">
        <v>6226</v>
      </c>
      <c r="O787" s="7" t="s">
        <v>6226</v>
      </c>
      <c r="P787" s="7" t="s">
        <v>135</v>
      </c>
      <c r="Q787" s="7"/>
      <c r="R787" s="7" t="s">
        <v>109</v>
      </c>
      <c r="S787" s="7" t="s">
        <v>110</v>
      </c>
      <c r="T787" s="7" t="n">
        <v>0.145</v>
      </c>
      <c r="U787" s="7" t="n">
        <v>1</v>
      </c>
      <c r="V787" s="7" t="s">
        <v>90</v>
      </c>
      <c r="W787" s="7"/>
      <c r="X787" s="7"/>
      <c r="Y787" s="7" t="s">
        <v>6226</v>
      </c>
      <c r="Z787" s="7"/>
      <c r="AA787" s="7"/>
      <c r="AB787" s="7"/>
      <c r="AC787" s="7" t="n">
        <v>0</v>
      </c>
      <c r="AD787" s="7" t="s">
        <v>388</v>
      </c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 t="s">
        <v>219</v>
      </c>
      <c r="BD787" s="7"/>
      <c r="BE787" s="7" t="s">
        <v>127</v>
      </c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</row>
    <row r="788" customFormat="false" ht="15" hidden="false" customHeight="false" outlineLevel="0" collapsed="false">
      <c r="A788" s="7" t="s">
        <v>6227</v>
      </c>
      <c r="B788" s="7" t="s">
        <v>6228</v>
      </c>
      <c r="C788" s="7" t="s">
        <v>6229</v>
      </c>
      <c r="D788" s="7"/>
      <c r="E788" s="7" t="s">
        <v>101</v>
      </c>
      <c r="F788" s="7" t="s">
        <v>101</v>
      </c>
      <c r="G788" s="7"/>
      <c r="H788" s="7" t="s">
        <v>102</v>
      </c>
      <c r="I788" s="7" t="s">
        <v>132</v>
      </c>
      <c r="J788" s="7" t="s">
        <v>104</v>
      </c>
      <c r="K788" s="7" t="s">
        <v>105</v>
      </c>
      <c r="L788" s="7" t="s">
        <v>106</v>
      </c>
      <c r="M788" s="7" t="s">
        <v>6230</v>
      </c>
      <c r="N788" s="7" t="s">
        <v>6231</v>
      </c>
      <c r="O788" s="7" t="s">
        <v>6231</v>
      </c>
      <c r="P788" s="7" t="s">
        <v>135</v>
      </c>
      <c r="Q788" s="7"/>
      <c r="R788" s="7" t="s">
        <v>109</v>
      </c>
      <c r="S788" s="7" t="s">
        <v>110</v>
      </c>
      <c r="T788" s="7" t="n">
        <v>0.305</v>
      </c>
      <c r="U788" s="7" t="n">
        <v>1</v>
      </c>
      <c r="V788" s="7" t="s">
        <v>90</v>
      </c>
      <c r="W788" s="7"/>
      <c r="X788" s="7"/>
      <c r="Y788" s="7" t="s">
        <v>6231</v>
      </c>
      <c r="Z788" s="7"/>
      <c r="AA788" s="7"/>
      <c r="AB788" s="7"/>
      <c r="AC788" s="7" t="n">
        <v>0</v>
      </c>
      <c r="AD788" s="7" t="s">
        <v>388</v>
      </c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 t="s">
        <v>219</v>
      </c>
      <c r="BD788" s="7" t="s">
        <v>747</v>
      </c>
      <c r="BE788" s="7" t="s">
        <v>127</v>
      </c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</row>
    <row r="789" customFormat="false" ht="15" hidden="false" customHeight="false" outlineLevel="0" collapsed="false">
      <c r="A789" s="7" t="s">
        <v>6232</v>
      </c>
      <c r="B789" s="7" t="s">
        <v>6233</v>
      </c>
      <c r="C789" s="7" t="s">
        <v>6234</v>
      </c>
      <c r="D789" s="7"/>
      <c r="E789" s="7" t="s">
        <v>101</v>
      </c>
      <c r="F789" s="7" t="s">
        <v>101</v>
      </c>
      <c r="G789" s="7"/>
      <c r="H789" s="7" t="s">
        <v>102</v>
      </c>
      <c r="I789" s="7" t="s">
        <v>132</v>
      </c>
      <c r="J789" s="7" t="s">
        <v>104</v>
      </c>
      <c r="K789" s="7" t="s">
        <v>105</v>
      </c>
      <c r="L789" s="7" t="s">
        <v>106</v>
      </c>
      <c r="M789" s="7" t="s">
        <v>6230</v>
      </c>
      <c r="N789" s="7" t="s">
        <v>6235</v>
      </c>
      <c r="O789" s="7" t="s">
        <v>6235</v>
      </c>
      <c r="P789" s="7" t="s">
        <v>135</v>
      </c>
      <c r="Q789" s="7"/>
      <c r="R789" s="7" t="s">
        <v>109</v>
      </c>
      <c r="S789" s="7" t="s">
        <v>110</v>
      </c>
      <c r="T789" s="7" t="n">
        <v>0.276</v>
      </c>
      <c r="U789" s="7" t="n">
        <v>1</v>
      </c>
      <c r="V789" s="7" t="s">
        <v>90</v>
      </c>
      <c r="W789" s="7"/>
      <c r="X789" s="7"/>
      <c r="Y789" s="7" t="s">
        <v>6235</v>
      </c>
      <c r="Z789" s="7"/>
      <c r="AA789" s="7"/>
      <c r="AB789" s="7"/>
      <c r="AC789" s="7" t="n">
        <v>0</v>
      </c>
      <c r="AD789" s="7" t="s">
        <v>388</v>
      </c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 t="s">
        <v>219</v>
      </c>
      <c r="BD789" s="7" t="s">
        <v>747</v>
      </c>
      <c r="BE789" s="7" t="s">
        <v>127</v>
      </c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</row>
    <row r="790" customFormat="false" ht="15" hidden="false" customHeight="false" outlineLevel="0" collapsed="false">
      <c r="A790" s="7" t="s">
        <v>6236</v>
      </c>
      <c r="B790" s="7" t="s">
        <v>6237</v>
      </c>
      <c r="C790" s="7" t="s">
        <v>6238</v>
      </c>
      <c r="D790" s="7" t="s">
        <v>5843</v>
      </c>
      <c r="E790" s="7" t="s">
        <v>101</v>
      </c>
      <c r="F790" s="7" t="s">
        <v>101</v>
      </c>
      <c r="G790" s="7"/>
      <c r="H790" s="7" t="s">
        <v>102</v>
      </c>
      <c r="I790" s="7" t="s">
        <v>132</v>
      </c>
      <c r="J790" s="7" t="s">
        <v>104</v>
      </c>
      <c r="K790" s="7" t="s">
        <v>105</v>
      </c>
      <c r="L790" s="7" t="s">
        <v>106</v>
      </c>
      <c r="M790" s="7" t="s">
        <v>6239</v>
      </c>
      <c r="N790" s="7" t="s">
        <v>6240</v>
      </c>
      <c r="O790" s="7"/>
      <c r="P790" s="7" t="s">
        <v>135</v>
      </c>
      <c r="Q790" s="7"/>
      <c r="R790" s="7" t="s">
        <v>135</v>
      </c>
      <c r="S790" s="7" t="s">
        <v>136</v>
      </c>
      <c r="T790" s="7" t="n">
        <v>0.695</v>
      </c>
      <c r="U790" s="7" t="n">
        <v>1</v>
      </c>
      <c r="V790" s="7" t="s">
        <v>90</v>
      </c>
      <c r="W790" s="7"/>
      <c r="X790" s="7"/>
      <c r="Y790" s="7"/>
      <c r="Z790" s="7"/>
      <c r="AA790" s="7"/>
      <c r="AB790" s="7"/>
      <c r="AC790" s="7" t="n">
        <v>0</v>
      </c>
      <c r="AD790" s="7" t="s">
        <v>388</v>
      </c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 t="s">
        <v>125</v>
      </c>
      <c r="BD790" s="7"/>
      <c r="BE790" s="7" t="s">
        <v>127</v>
      </c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</row>
    <row r="791" customFormat="false" ht="15" hidden="false" customHeight="false" outlineLevel="0" collapsed="false">
      <c r="A791" s="7" t="s">
        <v>6241</v>
      </c>
      <c r="B791" s="7" t="s">
        <v>6242</v>
      </c>
      <c r="C791" s="7" t="s">
        <v>6243</v>
      </c>
      <c r="D791" s="7" t="s">
        <v>3763</v>
      </c>
      <c r="E791" s="7" t="s">
        <v>101</v>
      </c>
      <c r="F791" s="7" t="s">
        <v>101</v>
      </c>
      <c r="G791" s="7"/>
      <c r="H791" s="7" t="s">
        <v>102</v>
      </c>
      <c r="I791" s="7" t="s">
        <v>132</v>
      </c>
      <c r="J791" s="7" t="s">
        <v>104</v>
      </c>
      <c r="K791" s="7" t="s">
        <v>105</v>
      </c>
      <c r="L791" s="7" t="s">
        <v>106</v>
      </c>
      <c r="M791" s="7" t="s">
        <v>6244</v>
      </c>
      <c r="N791" s="7" t="s">
        <v>6245</v>
      </c>
      <c r="O791" s="7"/>
      <c r="P791" s="7" t="s">
        <v>135</v>
      </c>
      <c r="Q791" s="7"/>
      <c r="R791" s="7" t="s">
        <v>135</v>
      </c>
      <c r="S791" s="7" t="s">
        <v>136</v>
      </c>
      <c r="T791" s="7" t="n">
        <v>0.134</v>
      </c>
      <c r="U791" s="7" t="n">
        <v>1</v>
      </c>
      <c r="V791" s="7" t="s">
        <v>90</v>
      </c>
      <c r="W791" s="7"/>
      <c r="X791" s="7"/>
      <c r="Y791" s="7"/>
      <c r="Z791" s="7"/>
      <c r="AA791" s="7"/>
      <c r="AB791" s="7"/>
      <c r="AC791" s="7" t="n">
        <v>0</v>
      </c>
      <c r="AD791" s="7" t="s">
        <v>388</v>
      </c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 t="s">
        <v>219</v>
      </c>
      <c r="BD791" s="7"/>
      <c r="BE791" s="7" t="s">
        <v>127</v>
      </c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</row>
    <row r="792" customFormat="false" ht="15" hidden="false" customHeight="false" outlineLevel="0" collapsed="false">
      <c r="A792" s="7" t="s">
        <v>6246</v>
      </c>
      <c r="B792" s="7" t="s">
        <v>6247</v>
      </c>
      <c r="C792" s="7" t="s">
        <v>6248</v>
      </c>
      <c r="D792" s="7"/>
      <c r="E792" s="7" t="s">
        <v>737</v>
      </c>
      <c r="F792" s="7" t="s">
        <v>737</v>
      </c>
      <c r="G792" s="7"/>
      <c r="H792" s="7" t="s">
        <v>102</v>
      </c>
      <c r="I792" s="7" t="s">
        <v>208</v>
      </c>
      <c r="J792" s="7" t="s">
        <v>104</v>
      </c>
      <c r="K792" s="7" t="s">
        <v>105</v>
      </c>
      <c r="L792" s="7" t="s">
        <v>106</v>
      </c>
      <c r="M792" s="7" t="s">
        <v>6249</v>
      </c>
      <c r="N792" s="7" t="s">
        <v>6250</v>
      </c>
      <c r="O792" s="7"/>
      <c r="P792" s="7" t="s">
        <v>135</v>
      </c>
      <c r="Q792" s="7"/>
      <c r="R792" s="7" t="s">
        <v>135</v>
      </c>
      <c r="S792" s="7" t="s">
        <v>136</v>
      </c>
      <c r="T792" s="7" t="n">
        <v>0.785</v>
      </c>
      <c r="U792" s="7" t="n">
        <v>1</v>
      </c>
      <c r="V792" s="7" t="s">
        <v>90</v>
      </c>
      <c r="W792" s="7"/>
      <c r="X792" s="7"/>
      <c r="Y792" s="7" t="s">
        <v>6250</v>
      </c>
      <c r="Z792" s="7"/>
      <c r="AA792" s="7"/>
      <c r="AB792" s="7"/>
      <c r="AC792" s="7" t="n">
        <v>6</v>
      </c>
      <c r="AD792" s="7" t="s">
        <v>1235</v>
      </c>
      <c r="AE792" s="7" t="s">
        <v>744</v>
      </c>
      <c r="AF792" s="7" t="s">
        <v>6251</v>
      </c>
      <c r="AG792" s="7" t="s">
        <v>744</v>
      </c>
      <c r="AH792" s="7" t="s">
        <v>1258</v>
      </c>
      <c r="AI792" s="7"/>
      <c r="AJ792" s="7"/>
      <c r="AK792" s="7"/>
      <c r="AL792" s="7"/>
      <c r="AM792" s="7" t="s">
        <v>744</v>
      </c>
      <c r="AN792" s="7" t="s">
        <v>6252</v>
      </c>
      <c r="AO792" s="7" t="s">
        <v>744</v>
      </c>
      <c r="AP792" s="7" t="s">
        <v>6253</v>
      </c>
      <c r="AQ792" s="7" t="s">
        <v>744</v>
      </c>
      <c r="AR792" s="7" t="s">
        <v>737</v>
      </c>
      <c r="AS792" s="7"/>
      <c r="AT792" s="7"/>
      <c r="AU792" s="7"/>
      <c r="AV792" s="7"/>
      <c r="AW792" s="7" t="s">
        <v>744</v>
      </c>
      <c r="AX792" s="7" t="s">
        <v>6250</v>
      </c>
      <c r="AY792" s="7"/>
      <c r="AZ792" s="7"/>
      <c r="BA792" s="7"/>
      <c r="BB792" s="7"/>
      <c r="BC792" s="7" t="s">
        <v>125</v>
      </c>
      <c r="BD792" s="7"/>
      <c r="BE792" s="7" t="s">
        <v>127</v>
      </c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</row>
    <row r="793" customFormat="false" ht="15" hidden="false" customHeight="false" outlineLevel="0" collapsed="false">
      <c r="A793" s="7" t="s">
        <v>6254</v>
      </c>
      <c r="B793" s="7" t="s">
        <v>6255</v>
      </c>
      <c r="C793" s="7" t="s">
        <v>6256</v>
      </c>
      <c r="D793" s="7"/>
      <c r="E793" s="7" t="s">
        <v>101</v>
      </c>
      <c r="F793" s="7" t="s">
        <v>101</v>
      </c>
      <c r="G793" s="7"/>
      <c r="H793" s="7" t="s">
        <v>102</v>
      </c>
      <c r="I793" s="7" t="s">
        <v>374</v>
      </c>
      <c r="J793" s="7" t="s">
        <v>104</v>
      </c>
      <c r="K793" s="7" t="s">
        <v>105</v>
      </c>
      <c r="L793" s="7" t="s">
        <v>106</v>
      </c>
      <c r="M793" s="7" t="s">
        <v>6257</v>
      </c>
      <c r="N793" s="7" t="s">
        <v>6258</v>
      </c>
      <c r="O793" s="7"/>
      <c r="P793" s="7" t="s">
        <v>135</v>
      </c>
      <c r="Q793" s="7"/>
      <c r="R793" s="7" t="s">
        <v>135</v>
      </c>
      <c r="S793" s="7" t="s">
        <v>136</v>
      </c>
      <c r="T793" s="7" t="n">
        <v>0.734</v>
      </c>
      <c r="U793" s="7" t="n">
        <v>1</v>
      </c>
      <c r="V793" s="7" t="s">
        <v>90</v>
      </c>
      <c r="W793" s="7"/>
      <c r="X793" s="7"/>
      <c r="Y793" s="7" t="s">
        <v>6258</v>
      </c>
      <c r="Z793" s="7"/>
      <c r="AA793" s="7"/>
      <c r="AB793" s="7"/>
      <c r="AC793" s="7" t="n">
        <v>5</v>
      </c>
      <c r="AD793" s="7" t="s">
        <v>1897</v>
      </c>
      <c r="AE793" s="7" t="s">
        <v>744</v>
      </c>
      <c r="AF793" s="7" t="s">
        <v>6259</v>
      </c>
      <c r="AG793" s="7" t="s">
        <v>744</v>
      </c>
      <c r="AH793" s="7" t="s">
        <v>5314</v>
      </c>
      <c r="AI793" s="7"/>
      <c r="AJ793" s="7"/>
      <c r="AK793" s="7"/>
      <c r="AL793" s="7"/>
      <c r="AM793" s="7" t="s">
        <v>744</v>
      </c>
      <c r="AN793" s="7" t="s">
        <v>6260</v>
      </c>
      <c r="AO793" s="7" t="s">
        <v>744</v>
      </c>
      <c r="AP793" s="7" t="s">
        <v>6261</v>
      </c>
      <c r="AQ793" s="7"/>
      <c r="AR793" s="7"/>
      <c r="AS793" s="7"/>
      <c r="AT793" s="7"/>
      <c r="AU793" s="7"/>
      <c r="AV793" s="7"/>
      <c r="AW793" s="7" t="s">
        <v>744</v>
      </c>
      <c r="AX793" s="7" t="s">
        <v>6258</v>
      </c>
      <c r="AY793" s="7"/>
      <c r="AZ793" s="7"/>
      <c r="BA793" s="7"/>
      <c r="BB793" s="7"/>
      <c r="BC793" s="7" t="s">
        <v>125</v>
      </c>
      <c r="BD793" s="7" t="s">
        <v>6262</v>
      </c>
      <c r="BE793" s="7" t="s">
        <v>127</v>
      </c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</row>
    <row r="794" customFormat="false" ht="15" hidden="false" customHeight="false" outlineLevel="0" collapsed="false">
      <c r="A794" s="7" t="s">
        <v>6263</v>
      </c>
      <c r="B794" s="7" t="s">
        <v>6264</v>
      </c>
      <c r="C794" s="7" t="s">
        <v>6265</v>
      </c>
      <c r="D794" s="7" t="s">
        <v>2037</v>
      </c>
      <c r="E794" s="7" t="s">
        <v>101</v>
      </c>
      <c r="F794" s="7" t="s">
        <v>101</v>
      </c>
      <c r="G794" s="7"/>
      <c r="H794" s="7" t="s">
        <v>102</v>
      </c>
      <c r="I794" s="7" t="s">
        <v>132</v>
      </c>
      <c r="J794" s="7" t="s">
        <v>104</v>
      </c>
      <c r="K794" s="7" t="s">
        <v>105</v>
      </c>
      <c r="L794" s="7" t="s">
        <v>106</v>
      </c>
      <c r="M794" s="7" t="s">
        <v>6266</v>
      </c>
      <c r="N794" s="7" t="s">
        <v>6267</v>
      </c>
      <c r="O794" s="7" t="s">
        <v>6267</v>
      </c>
      <c r="P794" s="7" t="s">
        <v>135</v>
      </c>
      <c r="Q794" s="7"/>
      <c r="R794" s="7" t="s">
        <v>109</v>
      </c>
      <c r="S794" s="7" t="s">
        <v>110</v>
      </c>
      <c r="T794" s="7" t="n">
        <v>0.382</v>
      </c>
      <c r="U794" s="7" t="n">
        <v>1</v>
      </c>
      <c r="V794" s="7" t="s">
        <v>90</v>
      </c>
      <c r="W794" s="7"/>
      <c r="X794" s="7"/>
      <c r="Y794" s="7" t="s">
        <v>6267</v>
      </c>
      <c r="Z794" s="7"/>
      <c r="AA794" s="7"/>
      <c r="AB794" s="7"/>
      <c r="AC794" s="7" t="n">
        <v>3</v>
      </c>
      <c r="AD794" s="7" t="s">
        <v>1492</v>
      </c>
      <c r="AE794" s="7" t="s">
        <v>744</v>
      </c>
      <c r="AF794" s="7" t="s">
        <v>6268</v>
      </c>
      <c r="AG794" s="7"/>
      <c r="AH794" s="7"/>
      <c r="AI794" s="7"/>
      <c r="AJ794" s="7"/>
      <c r="AK794" s="7"/>
      <c r="AL794" s="7"/>
      <c r="AM794" s="7"/>
      <c r="AN794" s="7"/>
      <c r="AO794" s="7" t="s">
        <v>744</v>
      </c>
      <c r="AP794" s="7" t="s">
        <v>6269</v>
      </c>
      <c r="AQ794" s="7"/>
      <c r="AR794" s="7"/>
      <c r="AS794" s="7"/>
      <c r="AT794" s="7"/>
      <c r="AU794" s="7"/>
      <c r="AV794" s="7"/>
      <c r="AW794" s="7" t="s">
        <v>744</v>
      </c>
      <c r="AX794" s="7" t="s">
        <v>6267</v>
      </c>
      <c r="AY794" s="7"/>
      <c r="AZ794" s="7"/>
      <c r="BA794" s="7"/>
      <c r="BB794" s="7"/>
      <c r="BC794" s="7" t="s">
        <v>125</v>
      </c>
      <c r="BD794" s="7" t="s">
        <v>3272</v>
      </c>
      <c r="BE794" s="7" t="s">
        <v>127</v>
      </c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</row>
    <row r="795" customFormat="false" ht="15" hidden="false" customHeight="false" outlineLevel="0" collapsed="false">
      <c r="A795" s="7" t="s">
        <v>6270</v>
      </c>
      <c r="B795" s="7" t="s">
        <v>6271</v>
      </c>
      <c r="C795" s="7" t="s">
        <v>6272</v>
      </c>
      <c r="D795" s="7"/>
      <c r="E795" s="7" t="s">
        <v>101</v>
      </c>
      <c r="F795" s="7" t="s">
        <v>101</v>
      </c>
      <c r="G795" s="7"/>
      <c r="H795" s="7" t="s">
        <v>102</v>
      </c>
      <c r="I795" s="7" t="s">
        <v>132</v>
      </c>
      <c r="J795" s="7" t="s">
        <v>104</v>
      </c>
      <c r="K795" s="7" t="s">
        <v>105</v>
      </c>
      <c r="L795" s="7" t="s">
        <v>106</v>
      </c>
      <c r="M795" s="7" t="s">
        <v>419</v>
      </c>
      <c r="N795" s="7" t="s">
        <v>6273</v>
      </c>
      <c r="O795" s="7"/>
      <c r="P795" s="7" t="s">
        <v>135</v>
      </c>
      <c r="Q795" s="7"/>
      <c r="R795" s="7" t="s">
        <v>135</v>
      </c>
      <c r="S795" s="7" t="s">
        <v>136</v>
      </c>
      <c r="T795" s="7" t="n">
        <v>0.271</v>
      </c>
      <c r="U795" s="7" t="n">
        <v>1</v>
      </c>
      <c r="V795" s="7" t="s">
        <v>90</v>
      </c>
      <c r="W795" s="7"/>
      <c r="X795" s="7"/>
      <c r="Y795" s="7" t="s">
        <v>6273</v>
      </c>
      <c r="Z795" s="7"/>
      <c r="AA795" s="7"/>
      <c r="AB795" s="7"/>
      <c r="AC795" s="7" t="n">
        <v>6</v>
      </c>
      <c r="AD795" s="7" t="s">
        <v>1235</v>
      </c>
      <c r="AE795" s="7" t="s">
        <v>744</v>
      </c>
      <c r="AF795" s="7" t="s">
        <v>6274</v>
      </c>
      <c r="AG795" s="7" t="s">
        <v>744</v>
      </c>
      <c r="AH795" s="7" t="s">
        <v>1265</v>
      </c>
      <c r="AI795" s="7"/>
      <c r="AJ795" s="7"/>
      <c r="AK795" s="7"/>
      <c r="AL795" s="7"/>
      <c r="AM795" s="7" t="s">
        <v>744</v>
      </c>
      <c r="AN795" s="7" t="s">
        <v>6275</v>
      </c>
      <c r="AO795" s="7" t="s">
        <v>744</v>
      </c>
      <c r="AP795" s="7" t="s">
        <v>6276</v>
      </c>
      <c r="AQ795" s="7" t="s">
        <v>744</v>
      </c>
      <c r="AR795" s="7" t="s">
        <v>6277</v>
      </c>
      <c r="AS795" s="7"/>
      <c r="AT795" s="7"/>
      <c r="AU795" s="7"/>
      <c r="AV795" s="7"/>
      <c r="AW795" s="7" t="s">
        <v>744</v>
      </c>
      <c r="AX795" s="7" t="s">
        <v>6273</v>
      </c>
      <c r="AY795" s="7"/>
      <c r="AZ795" s="7"/>
      <c r="BA795" s="7"/>
      <c r="BB795" s="7"/>
      <c r="BC795" s="7" t="s">
        <v>427</v>
      </c>
      <c r="BD795" s="7"/>
      <c r="BE795" s="7" t="s">
        <v>127</v>
      </c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</row>
    <row r="796" customFormat="false" ht="15" hidden="false" customHeight="false" outlineLevel="0" collapsed="false">
      <c r="A796" s="7" t="s">
        <v>6278</v>
      </c>
      <c r="B796" s="7" t="s">
        <v>6279</v>
      </c>
      <c r="C796" s="7" t="s">
        <v>6280</v>
      </c>
      <c r="D796" s="7" t="s">
        <v>2363</v>
      </c>
      <c r="E796" s="7" t="s">
        <v>101</v>
      </c>
      <c r="F796" s="7" t="s">
        <v>101</v>
      </c>
      <c r="G796" s="7"/>
      <c r="H796" s="7" t="s">
        <v>102</v>
      </c>
      <c r="I796" s="7" t="s">
        <v>158</v>
      </c>
      <c r="J796" s="7" t="s">
        <v>104</v>
      </c>
      <c r="K796" s="7" t="s">
        <v>105</v>
      </c>
      <c r="L796" s="7" t="s">
        <v>353</v>
      </c>
      <c r="M796" s="7" t="s">
        <v>419</v>
      </c>
      <c r="N796" s="7" t="s">
        <v>6281</v>
      </c>
      <c r="O796" s="7"/>
      <c r="P796" s="7" t="s">
        <v>135</v>
      </c>
      <c r="Q796" s="7"/>
      <c r="R796" s="7"/>
      <c r="S796" s="7"/>
      <c r="T796" s="7" t="n">
        <v>0.241</v>
      </c>
      <c r="U796" s="7" t="n">
        <v>1</v>
      </c>
      <c r="V796" s="7" t="s">
        <v>90</v>
      </c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 t="s">
        <v>1848</v>
      </c>
      <c r="AH796" s="7" t="s">
        <v>1956</v>
      </c>
      <c r="AI796" s="7"/>
      <c r="AJ796" s="7"/>
      <c r="AK796" s="7"/>
      <c r="AL796" s="7"/>
      <c r="AM796" s="7" t="s">
        <v>1848</v>
      </c>
      <c r="AN796" s="7" t="s">
        <v>1957</v>
      </c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 t="s">
        <v>427</v>
      </c>
      <c r="BD796" s="7" t="s">
        <v>440</v>
      </c>
      <c r="BE796" s="7" t="s">
        <v>127</v>
      </c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</row>
    <row r="797" customFormat="false" ht="15" hidden="false" customHeight="false" outlineLevel="0" collapsed="false">
      <c r="A797" s="7" t="s">
        <v>6282</v>
      </c>
      <c r="B797" s="7" t="s">
        <v>6283</v>
      </c>
      <c r="C797" s="7" t="s">
        <v>6284</v>
      </c>
      <c r="D797" s="7"/>
      <c r="E797" s="7" t="s">
        <v>101</v>
      </c>
      <c r="F797" s="7" t="s">
        <v>741</v>
      </c>
      <c r="G797" s="7"/>
      <c r="H797" s="7" t="s">
        <v>102</v>
      </c>
      <c r="I797" s="7" t="s">
        <v>158</v>
      </c>
      <c r="J797" s="7" t="s">
        <v>104</v>
      </c>
      <c r="K797" s="7" t="s">
        <v>105</v>
      </c>
      <c r="L797" s="7" t="s">
        <v>106</v>
      </c>
      <c r="M797" s="7" t="s">
        <v>419</v>
      </c>
      <c r="N797" s="7" t="s">
        <v>6285</v>
      </c>
      <c r="O797" s="7" t="s">
        <v>6285</v>
      </c>
      <c r="P797" s="7" t="s">
        <v>135</v>
      </c>
      <c r="Q797" s="7"/>
      <c r="R797" s="7" t="s">
        <v>84</v>
      </c>
      <c r="S797" s="7" t="s">
        <v>238</v>
      </c>
      <c r="T797" s="7" t="n">
        <v>0.745</v>
      </c>
      <c r="U797" s="7" t="n">
        <v>1</v>
      </c>
      <c r="V797" s="7" t="s">
        <v>90</v>
      </c>
      <c r="W797" s="7" t="s">
        <v>356</v>
      </c>
      <c r="X797" s="7" t="s">
        <v>856</v>
      </c>
      <c r="Y797" s="7" t="s">
        <v>6285</v>
      </c>
      <c r="Z797" s="7" t="s">
        <v>6286</v>
      </c>
      <c r="AA797" s="7"/>
      <c r="AB797" s="7"/>
      <c r="AC797" s="7" t="n">
        <v>12</v>
      </c>
      <c r="AD797" s="7"/>
      <c r="AE797" s="7" t="s">
        <v>619</v>
      </c>
      <c r="AF797" s="7" t="s">
        <v>6287</v>
      </c>
      <c r="AG797" s="7" t="s">
        <v>619</v>
      </c>
      <c r="AH797" s="7" t="s">
        <v>6288</v>
      </c>
      <c r="AI797" s="7" t="s">
        <v>619</v>
      </c>
      <c r="AJ797" s="7" t="s">
        <v>6289</v>
      </c>
      <c r="AK797" s="7" t="s">
        <v>619</v>
      </c>
      <c r="AL797" s="7" t="s">
        <v>6290</v>
      </c>
      <c r="AM797" s="7" t="s">
        <v>619</v>
      </c>
      <c r="AN797" s="7" t="s">
        <v>6291</v>
      </c>
      <c r="AO797" s="7" t="s">
        <v>619</v>
      </c>
      <c r="AP797" s="7" t="s">
        <v>6292</v>
      </c>
      <c r="AQ797" s="7" t="s">
        <v>619</v>
      </c>
      <c r="AR797" s="7" t="s">
        <v>6293</v>
      </c>
      <c r="AS797" s="7" t="s">
        <v>619</v>
      </c>
      <c r="AT797" s="7" t="s">
        <v>122</v>
      </c>
      <c r="AU797" s="7" t="s">
        <v>619</v>
      </c>
      <c r="AV797" s="7" t="s">
        <v>6294</v>
      </c>
      <c r="AW797" s="7" t="s">
        <v>619</v>
      </c>
      <c r="AX797" s="7" t="s">
        <v>6295</v>
      </c>
      <c r="AY797" s="7" t="s">
        <v>619</v>
      </c>
      <c r="AZ797" s="7" t="s">
        <v>6296</v>
      </c>
      <c r="BA797" s="7" t="s">
        <v>619</v>
      </c>
      <c r="BB797" s="7" t="s">
        <v>6297</v>
      </c>
      <c r="BC797" s="7" t="s">
        <v>427</v>
      </c>
      <c r="BD797" s="7" t="s">
        <v>747</v>
      </c>
      <c r="BE797" s="7" t="s">
        <v>127</v>
      </c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</row>
    <row r="798" customFormat="false" ht="15" hidden="false" customHeight="false" outlineLevel="0" collapsed="false">
      <c r="A798" s="7" t="s">
        <v>6298</v>
      </c>
      <c r="B798" s="7" t="s">
        <v>6299</v>
      </c>
      <c r="C798" s="7" t="s">
        <v>6300</v>
      </c>
      <c r="D798" s="7"/>
      <c r="E798" s="7" t="s">
        <v>101</v>
      </c>
      <c r="F798" s="7" t="s">
        <v>741</v>
      </c>
      <c r="G798" s="7"/>
      <c r="H798" s="7" t="s">
        <v>102</v>
      </c>
      <c r="I798" s="7" t="s">
        <v>158</v>
      </c>
      <c r="J798" s="7" t="s">
        <v>104</v>
      </c>
      <c r="K798" s="7" t="s">
        <v>105</v>
      </c>
      <c r="L798" s="7" t="s">
        <v>106</v>
      </c>
      <c r="M798" s="7" t="s">
        <v>419</v>
      </c>
      <c r="N798" s="7" t="s">
        <v>6301</v>
      </c>
      <c r="O798" s="7" t="s">
        <v>6301</v>
      </c>
      <c r="P798" s="7" t="s">
        <v>135</v>
      </c>
      <c r="Q798" s="7"/>
      <c r="R798" s="7" t="s">
        <v>84</v>
      </c>
      <c r="S798" s="7" t="s">
        <v>238</v>
      </c>
      <c r="T798" s="7" t="n">
        <v>0.697</v>
      </c>
      <c r="U798" s="7" t="n">
        <v>1</v>
      </c>
      <c r="V798" s="7" t="s">
        <v>2781</v>
      </c>
      <c r="W798" s="7" t="s">
        <v>6302</v>
      </c>
      <c r="X798" s="7" t="s">
        <v>6303</v>
      </c>
      <c r="Y798" s="7" t="s">
        <v>6301</v>
      </c>
      <c r="Z798" s="7" t="s">
        <v>6304</v>
      </c>
      <c r="AA798" s="7"/>
      <c r="AB798" s="7"/>
      <c r="AC798" s="7" t="n">
        <v>12</v>
      </c>
      <c r="AD798" s="7"/>
      <c r="AE798" s="7" t="s">
        <v>619</v>
      </c>
      <c r="AF798" s="7" t="s">
        <v>6305</v>
      </c>
      <c r="AG798" s="7" t="s">
        <v>619</v>
      </c>
      <c r="AH798" s="7" t="s">
        <v>6306</v>
      </c>
      <c r="AI798" s="7" t="s">
        <v>619</v>
      </c>
      <c r="AJ798" s="7" t="s">
        <v>145</v>
      </c>
      <c r="AK798" s="7" t="s">
        <v>619</v>
      </c>
      <c r="AL798" s="7" t="s">
        <v>145</v>
      </c>
      <c r="AM798" s="7" t="s">
        <v>619</v>
      </c>
      <c r="AN798" s="7" t="s">
        <v>6307</v>
      </c>
      <c r="AO798" s="7" t="s">
        <v>619</v>
      </c>
      <c r="AP798" s="7" t="s">
        <v>6308</v>
      </c>
      <c r="AQ798" s="7" t="s">
        <v>619</v>
      </c>
      <c r="AR798" s="7" t="s">
        <v>6309</v>
      </c>
      <c r="AS798" s="7" t="s">
        <v>619</v>
      </c>
      <c r="AT798" s="7" t="s">
        <v>2894</v>
      </c>
      <c r="AU798" s="7" t="s">
        <v>619</v>
      </c>
      <c r="AV798" s="7" t="s">
        <v>145</v>
      </c>
      <c r="AW798" s="7" t="s">
        <v>619</v>
      </c>
      <c r="AX798" s="7" t="s">
        <v>145</v>
      </c>
      <c r="AY798" s="7" t="s">
        <v>619</v>
      </c>
      <c r="AZ798" s="7" t="s">
        <v>6310</v>
      </c>
      <c r="BA798" s="7" t="s">
        <v>619</v>
      </c>
      <c r="BB798" s="7" t="s">
        <v>158</v>
      </c>
      <c r="BC798" s="7" t="s">
        <v>427</v>
      </c>
      <c r="BD798" s="7" t="s">
        <v>747</v>
      </c>
      <c r="BE798" s="7" t="s">
        <v>127</v>
      </c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</row>
    <row r="799" customFormat="false" ht="15" hidden="false" customHeight="false" outlineLevel="0" collapsed="false">
      <c r="A799" s="7" t="s">
        <v>6311</v>
      </c>
      <c r="B799" s="7" t="s">
        <v>6312</v>
      </c>
      <c r="C799" s="7" t="s">
        <v>6313</v>
      </c>
      <c r="D799" s="7"/>
      <c r="E799" s="7" t="s">
        <v>101</v>
      </c>
      <c r="F799" s="7" t="s">
        <v>741</v>
      </c>
      <c r="G799" s="7"/>
      <c r="H799" s="7" t="s">
        <v>102</v>
      </c>
      <c r="I799" s="7" t="s">
        <v>132</v>
      </c>
      <c r="J799" s="7" t="s">
        <v>104</v>
      </c>
      <c r="K799" s="7" t="s">
        <v>105</v>
      </c>
      <c r="L799" s="7" t="s">
        <v>106</v>
      </c>
      <c r="M799" s="7" t="s">
        <v>419</v>
      </c>
      <c r="N799" s="7" t="s">
        <v>6314</v>
      </c>
      <c r="O799" s="7" t="s">
        <v>6314</v>
      </c>
      <c r="P799" s="7" t="s">
        <v>135</v>
      </c>
      <c r="Q799" s="7"/>
      <c r="R799" s="7" t="s">
        <v>109</v>
      </c>
      <c r="S799" s="7" t="s">
        <v>110</v>
      </c>
      <c r="T799" s="7" t="n">
        <v>0.2</v>
      </c>
      <c r="U799" s="7" t="n">
        <v>1</v>
      </c>
      <c r="V799" s="7" t="s">
        <v>90</v>
      </c>
      <c r="W799" s="7"/>
      <c r="X799" s="7"/>
      <c r="Y799" s="7" t="s">
        <v>6314</v>
      </c>
      <c r="Z799" s="7"/>
      <c r="AA799" s="7"/>
      <c r="AB799" s="7"/>
      <c r="AC799" s="7" t="n">
        <v>0</v>
      </c>
      <c r="AD799" s="7" t="s">
        <v>388</v>
      </c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 t="s">
        <v>427</v>
      </c>
      <c r="BD799" s="7" t="s">
        <v>747</v>
      </c>
      <c r="BE799" s="7" t="s">
        <v>127</v>
      </c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</row>
    <row r="800" customFormat="false" ht="15" hidden="false" customHeight="false" outlineLevel="0" collapsed="false">
      <c r="A800" s="7" t="s">
        <v>6315</v>
      </c>
      <c r="B800" s="7" t="s">
        <v>6316</v>
      </c>
      <c r="C800" s="7" t="s">
        <v>6317</v>
      </c>
      <c r="D800" s="7" t="s">
        <v>6318</v>
      </c>
      <c r="E800" s="7" t="s">
        <v>101</v>
      </c>
      <c r="F800" s="7" t="s">
        <v>101</v>
      </c>
      <c r="G800" s="7"/>
      <c r="H800" s="7" t="s">
        <v>102</v>
      </c>
      <c r="I800" s="7" t="s">
        <v>158</v>
      </c>
      <c r="J800" s="7" t="s">
        <v>104</v>
      </c>
      <c r="K800" s="7" t="s">
        <v>105</v>
      </c>
      <c r="L800" s="7" t="s">
        <v>106</v>
      </c>
      <c r="M800" s="7" t="s">
        <v>419</v>
      </c>
      <c r="N800" s="7" t="s">
        <v>6319</v>
      </c>
      <c r="O800" s="7" t="s">
        <v>6319</v>
      </c>
      <c r="P800" s="7" t="s">
        <v>135</v>
      </c>
      <c r="Q800" s="7"/>
      <c r="R800" s="7" t="s">
        <v>109</v>
      </c>
      <c r="S800" s="7" t="s">
        <v>110</v>
      </c>
      <c r="T800" s="7" t="n">
        <v>0.431</v>
      </c>
      <c r="U800" s="7" t="n">
        <v>1</v>
      </c>
      <c r="V800" s="7" t="s">
        <v>90</v>
      </c>
      <c r="W800" s="7"/>
      <c r="X800" s="7"/>
      <c r="Y800" s="7"/>
      <c r="Z800" s="7"/>
      <c r="AA800" s="7"/>
      <c r="AB800" s="7"/>
      <c r="AC800" s="7" t="n">
        <v>2</v>
      </c>
      <c r="AD800" s="7" t="s">
        <v>1954</v>
      </c>
      <c r="AE800" s="7"/>
      <c r="AF800" s="7"/>
      <c r="AG800" s="7" t="s">
        <v>1848</v>
      </c>
      <c r="AH800" s="7" t="s">
        <v>1956</v>
      </c>
      <c r="AI800" s="7"/>
      <c r="AJ800" s="7"/>
      <c r="AK800" s="7"/>
      <c r="AL800" s="7"/>
      <c r="AM800" s="7" t="s">
        <v>1848</v>
      </c>
      <c r="AN800" s="7" t="s">
        <v>1957</v>
      </c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 t="s">
        <v>427</v>
      </c>
      <c r="BD800" s="7" t="s">
        <v>440</v>
      </c>
      <c r="BE800" s="7" t="s">
        <v>127</v>
      </c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</row>
    <row r="801" customFormat="false" ht="15" hidden="false" customHeight="false" outlineLevel="0" collapsed="false">
      <c r="A801" s="7" t="s">
        <v>6320</v>
      </c>
      <c r="B801" s="7" t="s">
        <v>6321</v>
      </c>
      <c r="C801" s="7" t="s">
        <v>6322</v>
      </c>
      <c r="D801" s="7"/>
      <c r="E801" s="7" t="s">
        <v>101</v>
      </c>
      <c r="F801" s="7" t="s">
        <v>741</v>
      </c>
      <c r="G801" s="7"/>
      <c r="H801" s="7" t="s">
        <v>102</v>
      </c>
      <c r="I801" s="7" t="s">
        <v>132</v>
      </c>
      <c r="J801" s="7" t="s">
        <v>104</v>
      </c>
      <c r="K801" s="7" t="s">
        <v>105</v>
      </c>
      <c r="L801" s="7" t="s">
        <v>106</v>
      </c>
      <c r="M801" s="7" t="s">
        <v>419</v>
      </c>
      <c r="N801" s="7" t="s">
        <v>6323</v>
      </c>
      <c r="O801" s="7" t="s">
        <v>6323</v>
      </c>
      <c r="P801" s="7" t="s">
        <v>135</v>
      </c>
      <c r="Q801" s="7"/>
      <c r="R801" s="7" t="s">
        <v>109</v>
      </c>
      <c r="S801" s="7" t="s">
        <v>110</v>
      </c>
      <c r="T801" s="7" t="n">
        <v>0.193</v>
      </c>
      <c r="U801" s="7" t="n">
        <v>1</v>
      </c>
      <c r="V801" s="7" t="s">
        <v>90</v>
      </c>
      <c r="W801" s="7"/>
      <c r="X801" s="7"/>
      <c r="Y801" s="7" t="s">
        <v>6323</v>
      </c>
      <c r="Z801" s="7"/>
      <c r="AA801" s="7"/>
      <c r="AB801" s="7"/>
      <c r="AC801" s="7" t="n">
        <v>0</v>
      </c>
      <c r="AD801" s="7" t="s">
        <v>388</v>
      </c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 t="s">
        <v>427</v>
      </c>
      <c r="BD801" s="7" t="s">
        <v>747</v>
      </c>
      <c r="BE801" s="7" t="s">
        <v>127</v>
      </c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</row>
    <row r="802" customFormat="false" ht="15" hidden="false" customHeight="false" outlineLevel="0" collapsed="false">
      <c r="A802" s="7" t="s">
        <v>6324</v>
      </c>
      <c r="B802" s="7" t="s">
        <v>6325</v>
      </c>
      <c r="C802" s="7" t="s">
        <v>6326</v>
      </c>
      <c r="D802" s="7" t="s">
        <v>6327</v>
      </c>
      <c r="E802" s="7" t="s">
        <v>101</v>
      </c>
      <c r="F802" s="7" t="s">
        <v>101</v>
      </c>
      <c r="G802" s="7"/>
      <c r="H802" s="7" t="s">
        <v>102</v>
      </c>
      <c r="I802" s="7" t="s">
        <v>158</v>
      </c>
      <c r="J802" s="7" t="s">
        <v>104</v>
      </c>
      <c r="K802" s="7" t="s">
        <v>105</v>
      </c>
      <c r="L802" s="7" t="s">
        <v>353</v>
      </c>
      <c r="M802" s="7" t="s">
        <v>419</v>
      </c>
      <c r="N802" s="7" t="s">
        <v>6328</v>
      </c>
      <c r="O802" s="7"/>
      <c r="P802" s="7" t="s">
        <v>135</v>
      </c>
      <c r="Q802" s="7"/>
      <c r="R802" s="7"/>
      <c r="S802" s="7"/>
      <c r="T802" s="7" t="n">
        <v>0.407</v>
      </c>
      <c r="U802" s="7" t="n">
        <v>1</v>
      </c>
      <c r="V802" s="7" t="s">
        <v>90</v>
      </c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 t="s">
        <v>1848</v>
      </c>
      <c r="AH802" s="7" t="s">
        <v>1956</v>
      </c>
      <c r="AI802" s="7"/>
      <c r="AJ802" s="7"/>
      <c r="AK802" s="7"/>
      <c r="AL802" s="7"/>
      <c r="AM802" s="7" t="s">
        <v>1848</v>
      </c>
      <c r="AN802" s="7" t="s">
        <v>1957</v>
      </c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 t="s">
        <v>427</v>
      </c>
      <c r="BD802" s="7" t="s">
        <v>440</v>
      </c>
      <c r="BE802" s="7" t="s">
        <v>127</v>
      </c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</row>
    <row r="803" customFormat="false" ht="15" hidden="false" customHeight="false" outlineLevel="0" collapsed="false">
      <c r="A803" s="7" t="s">
        <v>6329</v>
      </c>
      <c r="B803" s="7" t="s">
        <v>6330</v>
      </c>
      <c r="C803" s="7" t="s">
        <v>6331</v>
      </c>
      <c r="D803" s="7"/>
      <c r="E803" s="7" t="s">
        <v>101</v>
      </c>
      <c r="F803" s="7" t="s">
        <v>741</v>
      </c>
      <c r="G803" s="7"/>
      <c r="H803" s="7" t="s">
        <v>102</v>
      </c>
      <c r="I803" s="7" t="s">
        <v>132</v>
      </c>
      <c r="J803" s="7" t="s">
        <v>104</v>
      </c>
      <c r="K803" s="7" t="s">
        <v>105</v>
      </c>
      <c r="L803" s="7" t="s">
        <v>106</v>
      </c>
      <c r="M803" s="7" t="s">
        <v>419</v>
      </c>
      <c r="N803" s="7" t="s">
        <v>6332</v>
      </c>
      <c r="O803" s="7" t="s">
        <v>6332</v>
      </c>
      <c r="P803" s="7" t="s">
        <v>135</v>
      </c>
      <c r="Q803" s="7"/>
      <c r="R803" s="7" t="s">
        <v>109</v>
      </c>
      <c r="S803" s="7" t="s">
        <v>110</v>
      </c>
      <c r="T803" s="7" t="n">
        <v>0.872</v>
      </c>
      <c r="U803" s="7" t="n">
        <v>1</v>
      </c>
      <c r="V803" s="7" t="s">
        <v>90</v>
      </c>
      <c r="W803" s="7" t="s">
        <v>980</v>
      </c>
      <c r="X803" s="7" t="s">
        <v>239</v>
      </c>
      <c r="Y803" s="7" t="s">
        <v>6332</v>
      </c>
      <c r="Z803" s="7" t="s">
        <v>6333</v>
      </c>
      <c r="AA803" s="7"/>
      <c r="AB803" s="7"/>
      <c r="AC803" s="7" t="n">
        <v>11</v>
      </c>
      <c r="AD803" s="7" t="s">
        <v>6334</v>
      </c>
      <c r="AE803" s="7" t="s">
        <v>619</v>
      </c>
      <c r="AF803" s="7" t="s">
        <v>6335</v>
      </c>
      <c r="AG803" s="7" t="s">
        <v>619</v>
      </c>
      <c r="AH803" s="7" t="s">
        <v>6336</v>
      </c>
      <c r="AI803" s="7" t="s">
        <v>619</v>
      </c>
      <c r="AJ803" s="7" t="s">
        <v>6337</v>
      </c>
      <c r="AK803" s="7" t="s">
        <v>619</v>
      </c>
      <c r="AL803" s="7" t="s">
        <v>6338</v>
      </c>
      <c r="AM803" s="7" t="s">
        <v>619</v>
      </c>
      <c r="AN803" s="7" t="s">
        <v>6339</v>
      </c>
      <c r="AO803" s="7" t="s">
        <v>619</v>
      </c>
      <c r="AP803" s="7" t="s">
        <v>6340</v>
      </c>
      <c r="AQ803" s="7" t="s">
        <v>619</v>
      </c>
      <c r="AR803" s="7" t="s">
        <v>6341</v>
      </c>
      <c r="AS803" s="7" t="s">
        <v>619</v>
      </c>
      <c r="AT803" s="7" t="s">
        <v>216</v>
      </c>
      <c r="AU803" s="7" t="s">
        <v>619</v>
      </c>
      <c r="AV803" s="7" t="s">
        <v>6342</v>
      </c>
      <c r="AW803" s="7" t="s">
        <v>619</v>
      </c>
      <c r="AX803" s="7" t="s">
        <v>6343</v>
      </c>
      <c r="AY803" s="7"/>
      <c r="AZ803" s="7"/>
      <c r="BA803" s="7" t="s">
        <v>619</v>
      </c>
      <c r="BB803" s="7" t="s">
        <v>6344</v>
      </c>
      <c r="BC803" s="7" t="s">
        <v>427</v>
      </c>
      <c r="BD803" s="7" t="s">
        <v>747</v>
      </c>
      <c r="BE803" s="7" t="s">
        <v>127</v>
      </c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</row>
    <row r="804" customFormat="false" ht="15" hidden="false" customHeight="false" outlineLevel="0" collapsed="false">
      <c r="A804" s="7" t="s">
        <v>6345</v>
      </c>
      <c r="B804" s="7" t="s">
        <v>6346</v>
      </c>
      <c r="C804" s="7" t="s">
        <v>6347</v>
      </c>
      <c r="D804" s="7"/>
      <c r="E804" s="7" t="s">
        <v>101</v>
      </c>
      <c r="F804" s="7" t="s">
        <v>741</v>
      </c>
      <c r="G804" s="7"/>
      <c r="H804" s="7" t="s">
        <v>102</v>
      </c>
      <c r="I804" s="7" t="s">
        <v>158</v>
      </c>
      <c r="J804" s="7" t="s">
        <v>104</v>
      </c>
      <c r="K804" s="7" t="s">
        <v>105</v>
      </c>
      <c r="L804" s="7" t="s">
        <v>106</v>
      </c>
      <c r="M804" s="7" t="s">
        <v>419</v>
      </c>
      <c r="N804" s="7" t="s">
        <v>6348</v>
      </c>
      <c r="O804" s="7" t="s">
        <v>6348</v>
      </c>
      <c r="P804" s="7" t="s">
        <v>135</v>
      </c>
      <c r="Q804" s="7"/>
      <c r="R804" s="7" t="s">
        <v>109</v>
      </c>
      <c r="S804" s="7" t="s">
        <v>110</v>
      </c>
      <c r="T804" s="7" t="n">
        <v>0.598</v>
      </c>
      <c r="U804" s="7" t="n">
        <v>1</v>
      </c>
      <c r="V804" s="7" t="s">
        <v>90</v>
      </c>
      <c r="W804" s="7" t="s">
        <v>597</v>
      </c>
      <c r="X804" s="7" t="s">
        <v>3263</v>
      </c>
      <c r="Y804" s="7" t="s">
        <v>6348</v>
      </c>
      <c r="Z804" s="7" t="s">
        <v>6349</v>
      </c>
      <c r="AA804" s="7"/>
      <c r="AB804" s="7"/>
      <c r="AC804" s="7" t="n">
        <v>11</v>
      </c>
      <c r="AD804" s="7" t="s">
        <v>6334</v>
      </c>
      <c r="AE804" s="7" t="s">
        <v>619</v>
      </c>
      <c r="AF804" s="7" t="s">
        <v>6350</v>
      </c>
      <c r="AG804" s="7" t="s">
        <v>619</v>
      </c>
      <c r="AH804" s="7" t="s">
        <v>6351</v>
      </c>
      <c r="AI804" s="7" t="s">
        <v>619</v>
      </c>
      <c r="AJ804" s="7" t="s">
        <v>6352</v>
      </c>
      <c r="AK804" s="7" t="s">
        <v>619</v>
      </c>
      <c r="AL804" s="7" t="s">
        <v>6353</v>
      </c>
      <c r="AM804" s="7" t="s">
        <v>619</v>
      </c>
      <c r="AN804" s="7" t="s">
        <v>6354</v>
      </c>
      <c r="AO804" s="7" t="s">
        <v>619</v>
      </c>
      <c r="AP804" s="7" t="s">
        <v>6355</v>
      </c>
      <c r="AQ804" s="7" t="s">
        <v>619</v>
      </c>
      <c r="AR804" s="7" t="s">
        <v>6356</v>
      </c>
      <c r="AS804" s="7" t="s">
        <v>619</v>
      </c>
      <c r="AT804" s="7" t="s">
        <v>216</v>
      </c>
      <c r="AU804" s="7" t="s">
        <v>619</v>
      </c>
      <c r="AV804" s="7" t="s">
        <v>6357</v>
      </c>
      <c r="AW804" s="7" t="s">
        <v>619</v>
      </c>
      <c r="AX804" s="7" t="s">
        <v>6358</v>
      </c>
      <c r="AY804" s="7"/>
      <c r="AZ804" s="7"/>
      <c r="BA804" s="7" t="s">
        <v>619</v>
      </c>
      <c r="BB804" s="7" t="s">
        <v>4602</v>
      </c>
      <c r="BC804" s="7" t="s">
        <v>427</v>
      </c>
      <c r="BD804" s="7" t="s">
        <v>747</v>
      </c>
      <c r="BE804" s="7" t="s">
        <v>127</v>
      </c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</row>
    <row r="805" customFormat="false" ht="15" hidden="false" customHeight="false" outlineLevel="0" collapsed="false">
      <c r="A805" s="7" t="s">
        <v>6359</v>
      </c>
      <c r="B805" s="7" t="s">
        <v>6360</v>
      </c>
      <c r="C805" s="7" t="s">
        <v>6361</v>
      </c>
      <c r="D805" s="7"/>
      <c r="E805" s="7" t="s">
        <v>101</v>
      </c>
      <c r="F805" s="7" t="s">
        <v>741</v>
      </c>
      <c r="G805" s="7"/>
      <c r="H805" s="7" t="s">
        <v>102</v>
      </c>
      <c r="I805" s="7" t="s">
        <v>158</v>
      </c>
      <c r="J805" s="7" t="s">
        <v>104</v>
      </c>
      <c r="K805" s="7" t="s">
        <v>105</v>
      </c>
      <c r="L805" s="7" t="s">
        <v>106</v>
      </c>
      <c r="M805" s="7" t="s">
        <v>419</v>
      </c>
      <c r="N805" s="7" t="s">
        <v>6362</v>
      </c>
      <c r="O805" s="7" t="s">
        <v>6362</v>
      </c>
      <c r="P805" s="7" t="s">
        <v>135</v>
      </c>
      <c r="Q805" s="7"/>
      <c r="R805" s="7" t="s">
        <v>109</v>
      </c>
      <c r="S805" s="7" t="s">
        <v>110</v>
      </c>
      <c r="T805" s="7" t="n">
        <v>0.237</v>
      </c>
      <c r="U805" s="7" t="n">
        <v>1</v>
      </c>
      <c r="V805" s="7" t="s">
        <v>90</v>
      </c>
      <c r="W805" s="7"/>
      <c r="X805" s="7"/>
      <c r="Y805" s="7" t="s">
        <v>6362</v>
      </c>
      <c r="Z805" s="7"/>
      <c r="AA805" s="7"/>
      <c r="AB805" s="7"/>
      <c r="AC805" s="7" t="n">
        <v>2</v>
      </c>
      <c r="AD805" s="7" t="s">
        <v>1954</v>
      </c>
      <c r="AE805" s="7"/>
      <c r="AF805" s="7"/>
      <c r="AG805" s="7" t="s">
        <v>1848</v>
      </c>
      <c r="AH805" s="7" t="s">
        <v>1956</v>
      </c>
      <c r="AI805" s="7"/>
      <c r="AJ805" s="7"/>
      <c r="AK805" s="7"/>
      <c r="AL805" s="7"/>
      <c r="AM805" s="7" t="s">
        <v>1848</v>
      </c>
      <c r="AN805" s="7" t="s">
        <v>1957</v>
      </c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 t="s">
        <v>427</v>
      </c>
      <c r="BD805" s="7" t="s">
        <v>747</v>
      </c>
      <c r="BE805" s="7" t="s">
        <v>127</v>
      </c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</row>
    <row r="806" customFormat="false" ht="15" hidden="false" customHeight="false" outlineLevel="0" collapsed="false">
      <c r="A806" s="7" t="s">
        <v>6363</v>
      </c>
      <c r="B806" s="7" t="s">
        <v>6364</v>
      </c>
      <c r="C806" s="7" t="s">
        <v>6365</v>
      </c>
      <c r="D806" s="7"/>
      <c r="E806" s="7" t="s">
        <v>101</v>
      </c>
      <c r="F806" s="7" t="s">
        <v>741</v>
      </c>
      <c r="G806" s="7"/>
      <c r="H806" s="7" t="s">
        <v>102</v>
      </c>
      <c r="I806" s="7" t="s">
        <v>158</v>
      </c>
      <c r="J806" s="7" t="s">
        <v>104</v>
      </c>
      <c r="K806" s="7" t="s">
        <v>105</v>
      </c>
      <c r="L806" s="7" t="s">
        <v>2656</v>
      </c>
      <c r="M806" s="7" t="s">
        <v>419</v>
      </c>
      <c r="N806" s="7" t="s">
        <v>6366</v>
      </c>
      <c r="O806" s="7"/>
      <c r="P806" s="7" t="s">
        <v>135</v>
      </c>
      <c r="Q806" s="7"/>
      <c r="R806" s="7"/>
      <c r="S806" s="7"/>
      <c r="T806" s="7" t="n">
        <v>0.215</v>
      </c>
      <c r="U806" s="7" t="n">
        <v>1</v>
      </c>
      <c r="V806" s="7" t="s">
        <v>90</v>
      </c>
      <c r="W806" s="7"/>
      <c r="X806" s="7"/>
      <c r="Y806" s="7" t="s">
        <v>6366</v>
      </c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 t="s">
        <v>427</v>
      </c>
      <c r="BD806" s="7" t="s">
        <v>747</v>
      </c>
      <c r="BE806" s="7" t="s">
        <v>127</v>
      </c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</row>
    <row r="807" customFormat="false" ht="15" hidden="false" customHeight="false" outlineLevel="0" collapsed="false">
      <c r="A807" s="7" t="s">
        <v>6367</v>
      </c>
      <c r="B807" s="7" t="s">
        <v>6368</v>
      </c>
      <c r="C807" s="7" t="s">
        <v>6369</v>
      </c>
      <c r="D807" s="7"/>
      <c r="E807" s="7" t="s">
        <v>101</v>
      </c>
      <c r="F807" s="7" t="s">
        <v>741</v>
      </c>
      <c r="G807" s="7"/>
      <c r="H807" s="7" t="s">
        <v>102</v>
      </c>
      <c r="I807" s="7" t="s">
        <v>158</v>
      </c>
      <c r="J807" s="7" t="s">
        <v>104</v>
      </c>
      <c r="K807" s="7" t="s">
        <v>105</v>
      </c>
      <c r="L807" s="7" t="s">
        <v>106</v>
      </c>
      <c r="M807" s="7" t="s">
        <v>419</v>
      </c>
      <c r="N807" s="7" t="s">
        <v>6370</v>
      </c>
      <c r="O807" s="7" t="s">
        <v>6370</v>
      </c>
      <c r="P807" s="7" t="s">
        <v>135</v>
      </c>
      <c r="Q807" s="7"/>
      <c r="R807" s="7" t="s">
        <v>109</v>
      </c>
      <c r="S807" s="7" t="s">
        <v>110</v>
      </c>
      <c r="T807" s="7" t="n">
        <v>0.223</v>
      </c>
      <c r="U807" s="7" t="n">
        <v>1</v>
      </c>
      <c r="V807" s="7" t="s">
        <v>90</v>
      </c>
      <c r="W807" s="7"/>
      <c r="X807" s="7"/>
      <c r="Y807" s="7" t="s">
        <v>6370</v>
      </c>
      <c r="Z807" s="7"/>
      <c r="AA807" s="7"/>
      <c r="AB807" s="7"/>
      <c r="AC807" s="7" t="n">
        <v>0</v>
      </c>
      <c r="AD807" s="7" t="s">
        <v>388</v>
      </c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 t="s">
        <v>427</v>
      </c>
      <c r="BD807" s="7" t="s">
        <v>747</v>
      </c>
      <c r="BE807" s="7" t="s">
        <v>127</v>
      </c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</row>
    <row r="808" customFormat="false" ht="15" hidden="false" customHeight="false" outlineLevel="0" collapsed="false">
      <c r="A808" s="7" t="s">
        <v>6371</v>
      </c>
      <c r="B808" s="7" t="s">
        <v>6372</v>
      </c>
      <c r="C808" s="7" t="s">
        <v>6373</v>
      </c>
      <c r="D808" s="7"/>
      <c r="E808" s="7" t="s">
        <v>101</v>
      </c>
      <c r="F808" s="7" t="s">
        <v>741</v>
      </c>
      <c r="G808" s="7"/>
      <c r="H808" s="7" t="s">
        <v>102</v>
      </c>
      <c r="I808" s="7" t="s">
        <v>158</v>
      </c>
      <c r="J808" s="7" t="s">
        <v>104</v>
      </c>
      <c r="K808" s="7" t="s">
        <v>105</v>
      </c>
      <c r="L808" s="7" t="s">
        <v>353</v>
      </c>
      <c r="M808" s="7" t="s">
        <v>419</v>
      </c>
      <c r="N808" s="7" t="s">
        <v>6374</v>
      </c>
      <c r="O808" s="7" t="s">
        <v>6374</v>
      </c>
      <c r="P808" s="7" t="s">
        <v>135</v>
      </c>
      <c r="Q808" s="7"/>
      <c r="R808" s="7" t="s">
        <v>109</v>
      </c>
      <c r="S808" s="7" t="s">
        <v>110</v>
      </c>
      <c r="T808" s="7" t="n">
        <v>0.172</v>
      </c>
      <c r="U808" s="7" t="n">
        <v>1</v>
      </c>
      <c r="V808" s="7" t="s">
        <v>90</v>
      </c>
      <c r="W808" s="7"/>
      <c r="X808" s="7"/>
      <c r="Y808" s="7" t="s">
        <v>6374</v>
      </c>
      <c r="Z808" s="7"/>
      <c r="AA808" s="7"/>
      <c r="AB808" s="7"/>
      <c r="AC808" s="7" t="n">
        <v>0</v>
      </c>
      <c r="AD808" s="7" t="s">
        <v>388</v>
      </c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 t="s">
        <v>427</v>
      </c>
      <c r="BD808" s="7" t="s">
        <v>747</v>
      </c>
      <c r="BE808" s="7" t="s">
        <v>127</v>
      </c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</row>
    <row r="809" customFormat="false" ht="15" hidden="false" customHeight="false" outlineLevel="0" collapsed="false">
      <c r="A809" s="7" t="s">
        <v>6375</v>
      </c>
      <c r="B809" s="7" t="s">
        <v>6376</v>
      </c>
      <c r="C809" s="7" t="s">
        <v>6377</v>
      </c>
      <c r="D809" s="7" t="s">
        <v>3215</v>
      </c>
      <c r="E809" s="7" t="s">
        <v>101</v>
      </c>
      <c r="F809" s="7" t="s">
        <v>101</v>
      </c>
      <c r="G809" s="7"/>
      <c r="H809" s="7" t="s">
        <v>102</v>
      </c>
      <c r="I809" s="7" t="s">
        <v>132</v>
      </c>
      <c r="J809" s="7" t="s">
        <v>104</v>
      </c>
      <c r="K809" s="7" t="s">
        <v>105</v>
      </c>
      <c r="L809" s="7" t="s">
        <v>106</v>
      </c>
      <c r="M809" s="7" t="s">
        <v>419</v>
      </c>
      <c r="N809" s="7" t="s">
        <v>6378</v>
      </c>
      <c r="O809" s="7" t="s">
        <v>6378</v>
      </c>
      <c r="P809" s="7" t="s">
        <v>135</v>
      </c>
      <c r="Q809" s="7"/>
      <c r="R809" s="7" t="s">
        <v>109</v>
      </c>
      <c r="S809" s="7" t="s">
        <v>110</v>
      </c>
      <c r="T809" s="7" t="n">
        <v>0.137</v>
      </c>
      <c r="U809" s="7" t="n">
        <v>1</v>
      </c>
      <c r="V809" s="7" t="s">
        <v>90</v>
      </c>
      <c r="W809" s="7"/>
      <c r="X809" s="7"/>
      <c r="Y809" s="7"/>
      <c r="Z809" s="7"/>
      <c r="AA809" s="7"/>
      <c r="AB809" s="7"/>
      <c r="AC809" s="7" t="n">
        <v>2</v>
      </c>
      <c r="AD809" s="7" t="s">
        <v>1954</v>
      </c>
      <c r="AE809" s="7"/>
      <c r="AF809" s="7"/>
      <c r="AG809" s="7" t="s">
        <v>1848</v>
      </c>
      <c r="AH809" s="7" t="s">
        <v>1956</v>
      </c>
      <c r="AI809" s="7"/>
      <c r="AJ809" s="7"/>
      <c r="AK809" s="7"/>
      <c r="AL809" s="7"/>
      <c r="AM809" s="7" t="s">
        <v>1848</v>
      </c>
      <c r="AN809" s="7" t="s">
        <v>1957</v>
      </c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 t="s">
        <v>427</v>
      </c>
      <c r="BD809" s="7" t="s">
        <v>2797</v>
      </c>
      <c r="BE809" s="7" t="s">
        <v>127</v>
      </c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</row>
    <row r="810" customFormat="false" ht="15" hidden="false" customHeight="false" outlineLevel="0" collapsed="false">
      <c r="A810" s="7" t="s">
        <v>6379</v>
      </c>
      <c r="B810" s="7" t="s">
        <v>6380</v>
      </c>
      <c r="C810" s="7" t="s">
        <v>6381</v>
      </c>
      <c r="D810" s="7" t="s">
        <v>6382</v>
      </c>
      <c r="E810" s="7" t="s">
        <v>101</v>
      </c>
      <c r="F810" s="7" t="s">
        <v>101</v>
      </c>
      <c r="G810" s="7"/>
      <c r="H810" s="7" t="s">
        <v>102</v>
      </c>
      <c r="I810" s="7" t="s">
        <v>158</v>
      </c>
      <c r="J810" s="7" t="s">
        <v>104</v>
      </c>
      <c r="K810" s="7" t="s">
        <v>105</v>
      </c>
      <c r="L810" s="7" t="s">
        <v>353</v>
      </c>
      <c r="M810" s="7" t="s">
        <v>419</v>
      </c>
      <c r="N810" s="7" t="s">
        <v>6383</v>
      </c>
      <c r="O810" s="7"/>
      <c r="P810" s="7" t="s">
        <v>135</v>
      </c>
      <c r="Q810" s="7"/>
      <c r="R810" s="7"/>
      <c r="S810" s="7"/>
      <c r="T810" s="7" t="n">
        <v>0.323</v>
      </c>
      <c r="U810" s="7" t="n">
        <v>1</v>
      </c>
      <c r="V810" s="7" t="s">
        <v>90</v>
      </c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 t="s">
        <v>1848</v>
      </c>
      <c r="AH810" s="7" t="s">
        <v>1956</v>
      </c>
      <c r="AI810" s="7"/>
      <c r="AJ810" s="7"/>
      <c r="AK810" s="7"/>
      <c r="AL810" s="7"/>
      <c r="AM810" s="7" t="s">
        <v>1848</v>
      </c>
      <c r="AN810" s="7" t="s">
        <v>1957</v>
      </c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 t="s">
        <v>427</v>
      </c>
      <c r="BD810" s="7" t="s">
        <v>440</v>
      </c>
      <c r="BE810" s="7" t="s">
        <v>127</v>
      </c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</row>
    <row r="811" customFormat="false" ht="15" hidden="false" customHeight="false" outlineLevel="0" collapsed="false">
      <c r="A811" s="7" t="s">
        <v>6384</v>
      </c>
      <c r="B811" s="7" t="s">
        <v>6385</v>
      </c>
      <c r="C811" s="7" t="s">
        <v>6386</v>
      </c>
      <c r="D811" s="7" t="s">
        <v>6382</v>
      </c>
      <c r="E811" s="7" t="s">
        <v>101</v>
      </c>
      <c r="F811" s="7" t="s">
        <v>101</v>
      </c>
      <c r="G811" s="7"/>
      <c r="H811" s="7" t="s">
        <v>102</v>
      </c>
      <c r="I811" s="7" t="s">
        <v>158</v>
      </c>
      <c r="J811" s="7" t="s">
        <v>104</v>
      </c>
      <c r="K811" s="7" t="s">
        <v>105</v>
      </c>
      <c r="L811" s="7" t="s">
        <v>353</v>
      </c>
      <c r="M811" s="7" t="s">
        <v>419</v>
      </c>
      <c r="N811" s="7" t="s">
        <v>6387</v>
      </c>
      <c r="O811" s="7"/>
      <c r="P811" s="7" t="s">
        <v>135</v>
      </c>
      <c r="Q811" s="7"/>
      <c r="R811" s="7"/>
      <c r="S811" s="7"/>
      <c r="T811" s="7" t="n">
        <v>0.14</v>
      </c>
      <c r="U811" s="7" t="n">
        <v>1</v>
      </c>
      <c r="V811" s="7" t="s">
        <v>90</v>
      </c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 t="s">
        <v>1848</v>
      </c>
      <c r="AH811" s="7" t="s">
        <v>1956</v>
      </c>
      <c r="AI811" s="7"/>
      <c r="AJ811" s="7"/>
      <c r="AK811" s="7"/>
      <c r="AL811" s="7"/>
      <c r="AM811" s="7" t="s">
        <v>1848</v>
      </c>
      <c r="AN811" s="7" t="s">
        <v>1957</v>
      </c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 t="s">
        <v>427</v>
      </c>
      <c r="BD811" s="7" t="s">
        <v>440</v>
      </c>
      <c r="BE811" s="7" t="s">
        <v>127</v>
      </c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</row>
    <row r="812" customFormat="false" ht="15" hidden="false" customHeight="false" outlineLevel="0" collapsed="false">
      <c r="A812" s="7" t="s">
        <v>6388</v>
      </c>
      <c r="B812" s="7" t="s">
        <v>6389</v>
      </c>
      <c r="C812" s="7" t="s">
        <v>6390</v>
      </c>
      <c r="D812" s="7" t="s">
        <v>6391</v>
      </c>
      <c r="E812" s="7" t="s">
        <v>101</v>
      </c>
      <c r="F812" s="7" t="s">
        <v>101</v>
      </c>
      <c r="G812" s="7"/>
      <c r="H812" s="7" t="s">
        <v>102</v>
      </c>
      <c r="I812" s="7" t="s">
        <v>158</v>
      </c>
      <c r="J812" s="7" t="s">
        <v>104</v>
      </c>
      <c r="K812" s="7" t="s">
        <v>105</v>
      </c>
      <c r="L812" s="7" t="s">
        <v>353</v>
      </c>
      <c r="M812" s="7" t="s">
        <v>419</v>
      </c>
      <c r="N812" s="7" t="s">
        <v>6392</v>
      </c>
      <c r="O812" s="7"/>
      <c r="P812" s="7" t="s">
        <v>135</v>
      </c>
      <c r="Q812" s="7"/>
      <c r="R812" s="7"/>
      <c r="S812" s="7"/>
      <c r="T812" s="7" t="n">
        <v>0.223</v>
      </c>
      <c r="U812" s="7" t="n">
        <v>1</v>
      </c>
      <c r="V812" s="7" t="s">
        <v>90</v>
      </c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 t="s">
        <v>1848</v>
      </c>
      <c r="AH812" s="7" t="s">
        <v>1956</v>
      </c>
      <c r="AI812" s="7"/>
      <c r="AJ812" s="7"/>
      <c r="AK812" s="7"/>
      <c r="AL812" s="7"/>
      <c r="AM812" s="7" t="s">
        <v>1848</v>
      </c>
      <c r="AN812" s="7" t="s">
        <v>1957</v>
      </c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 t="s">
        <v>427</v>
      </c>
      <c r="BD812" s="7" t="s">
        <v>440</v>
      </c>
      <c r="BE812" s="7" t="s">
        <v>127</v>
      </c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</row>
    <row r="813" customFormat="false" ht="15" hidden="false" customHeight="false" outlineLevel="0" collapsed="false">
      <c r="A813" s="7" t="s">
        <v>6393</v>
      </c>
      <c r="B813" s="7" t="s">
        <v>6394</v>
      </c>
      <c r="C813" s="7" t="s">
        <v>6395</v>
      </c>
      <c r="D813" s="7" t="s">
        <v>6396</v>
      </c>
      <c r="E813" s="7" t="s">
        <v>101</v>
      </c>
      <c r="F813" s="7" t="s">
        <v>101</v>
      </c>
      <c r="G813" s="7"/>
      <c r="H813" s="7" t="s">
        <v>102</v>
      </c>
      <c r="I813" s="7" t="s">
        <v>158</v>
      </c>
      <c r="J813" s="7" t="s">
        <v>104</v>
      </c>
      <c r="K813" s="7" t="s">
        <v>105</v>
      </c>
      <c r="L813" s="7" t="s">
        <v>353</v>
      </c>
      <c r="M813" s="7" t="s">
        <v>419</v>
      </c>
      <c r="N813" s="7" t="s">
        <v>6397</v>
      </c>
      <c r="O813" s="7" t="s">
        <v>6397</v>
      </c>
      <c r="P813" s="7" t="s">
        <v>135</v>
      </c>
      <c r="Q813" s="7"/>
      <c r="R813" s="7" t="s">
        <v>109</v>
      </c>
      <c r="S813" s="7" t="s">
        <v>110</v>
      </c>
      <c r="T813" s="7" t="n">
        <v>0.225</v>
      </c>
      <c r="U813" s="7" t="n">
        <v>1</v>
      </c>
      <c r="V813" s="7" t="s">
        <v>90</v>
      </c>
      <c r="W813" s="7"/>
      <c r="X813" s="7"/>
      <c r="Y813" s="7"/>
      <c r="Z813" s="7"/>
      <c r="AA813" s="7"/>
      <c r="AB813" s="7"/>
      <c r="AC813" s="7" t="n">
        <v>2</v>
      </c>
      <c r="AD813" s="7" t="s">
        <v>1954</v>
      </c>
      <c r="AE813" s="7"/>
      <c r="AF813" s="7"/>
      <c r="AG813" s="7" t="s">
        <v>1848</v>
      </c>
      <c r="AH813" s="7" t="s">
        <v>1956</v>
      </c>
      <c r="AI813" s="7"/>
      <c r="AJ813" s="7"/>
      <c r="AK813" s="7"/>
      <c r="AL813" s="7"/>
      <c r="AM813" s="7" t="s">
        <v>1848</v>
      </c>
      <c r="AN813" s="7" t="s">
        <v>1957</v>
      </c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 t="s">
        <v>427</v>
      </c>
      <c r="BD813" s="7" t="s">
        <v>440</v>
      </c>
      <c r="BE813" s="7" t="s">
        <v>127</v>
      </c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</row>
    <row r="814" customFormat="false" ht="15" hidden="false" customHeight="false" outlineLevel="0" collapsed="false">
      <c r="A814" s="7" t="s">
        <v>6398</v>
      </c>
      <c r="B814" s="7" t="s">
        <v>6399</v>
      </c>
      <c r="C814" s="7" t="s">
        <v>6400</v>
      </c>
      <c r="D814" s="7" t="s">
        <v>6401</v>
      </c>
      <c r="E814" s="7" t="s">
        <v>101</v>
      </c>
      <c r="F814" s="7" t="s">
        <v>101</v>
      </c>
      <c r="G814" s="7"/>
      <c r="H814" s="7" t="s">
        <v>102</v>
      </c>
      <c r="I814" s="7" t="s">
        <v>158</v>
      </c>
      <c r="J814" s="7" t="s">
        <v>104</v>
      </c>
      <c r="K814" s="7" t="s">
        <v>105</v>
      </c>
      <c r="L814" s="7" t="s">
        <v>353</v>
      </c>
      <c r="M814" s="7" t="s">
        <v>419</v>
      </c>
      <c r="N814" s="7" t="s">
        <v>6402</v>
      </c>
      <c r="O814" s="7" t="s">
        <v>6402</v>
      </c>
      <c r="P814" s="7" t="s">
        <v>135</v>
      </c>
      <c r="Q814" s="7"/>
      <c r="R814" s="7" t="s">
        <v>109</v>
      </c>
      <c r="S814" s="7" t="s">
        <v>110</v>
      </c>
      <c r="T814" s="7" t="n">
        <v>0.21</v>
      </c>
      <c r="U814" s="7" t="n">
        <v>1</v>
      </c>
      <c r="V814" s="7" t="s">
        <v>90</v>
      </c>
      <c r="W814" s="7"/>
      <c r="X814" s="7"/>
      <c r="Y814" s="7"/>
      <c r="Z814" s="7"/>
      <c r="AA814" s="7"/>
      <c r="AB814" s="7"/>
      <c r="AC814" s="7" t="n">
        <v>2</v>
      </c>
      <c r="AD814" s="7" t="s">
        <v>1954</v>
      </c>
      <c r="AE814" s="7"/>
      <c r="AF814" s="7"/>
      <c r="AG814" s="7" t="s">
        <v>1848</v>
      </c>
      <c r="AH814" s="7" t="s">
        <v>1956</v>
      </c>
      <c r="AI814" s="7"/>
      <c r="AJ814" s="7"/>
      <c r="AK814" s="7"/>
      <c r="AL814" s="7"/>
      <c r="AM814" s="7" t="s">
        <v>1848</v>
      </c>
      <c r="AN814" s="7" t="s">
        <v>1957</v>
      </c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 t="s">
        <v>427</v>
      </c>
      <c r="BD814" s="7" t="s">
        <v>2797</v>
      </c>
      <c r="BE814" s="7" t="s">
        <v>127</v>
      </c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</row>
    <row r="815" customFormat="false" ht="15" hidden="false" customHeight="false" outlineLevel="0" collapsed="false">
      <c r="A815" s="7" t="s">
        <v>6403</v>
      </c>
      <c r="B815" s="7" t="s">
        <v>6404</v>
      </c>
      <c r="C815" s="7" t="s">
        <v>6405</v>
      </c>
      <c r="D815" s="7" t="s">
        <v>6406</v>
      </c>
      <c r="E815" s="7" t="s">
        <v>101</v>
      </c>
      <c r="F815" s="7" t="s">
        <v>101</v>
      </c>
      <c r="G815" s="7"/>
      <c r="H815" s="7" t="s">
        <v>102</v>
      </c>
      <c r="I815" s="7" t="s">
        <v>158</v>
      </c>
      <c r="J815" s="7" t="s">
        <v>104</v>
      </c>
      <c r="K815" s="7" t="s">
        <v>105</v>
      </c>
      <c r="L815" s="7" t="s">
        <v>353</v>
      </c>
      <c r="M815" s="7" t="s">
        <v>419</v>
      </c>
      <c r="N815" s="7" t="s">
        <v>6407</v>
      </c>
      <c r="O815" s="7"/>
      <c r="P815" s="7" t="s">
        <v>135</v>
      </c>
      <c r="Q815" s="7"/>
      <c r="R815" s="7"/>
      <c r="S815" s="7"/>
      <c r="T815" s="7" t="n">
        <v>0.272</v>
      </c>
      <c r="U815" s="7" t="n">
        <v>1</v>
      </c>
      <c r="V815" s="7" t="s">
        <v>90</v>
      </c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 t="s">
        <v>1848</v>
      </c>
      <c r="AH815" s="7" t="s">
        <v>1956</v>
      </c>
      <c r="AI815" s="7"/>
      <c r="AJ815" s="7"/>
      <c r="AK815" s="7"/>
      <c r="AL815" s="7"/>
      <c r="AM815" s="7" t="s">
        <v>1848</v>
      </c>
      <c r="AN815" s="7" t="s">
        <v>1957</v>
      </c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 t="s">
        <v>427</v>
      </c>
      <c r="BD815" s="7" t="s">
        <v>440</v>
      </c>
      <c r="BE815" s="7" t="s">
        <v>127</v>
      </c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</row>
    <row r="816" customFormat="false" ht="15" hidden="false" customHeight="false" outlineLevel="0" collapsed="false">
      <c r="A816" s="7" t="s">
        <v>6408</v>
      </c>
      <c r="B816" s="7" t="s">
        <v>6409</v>
      </c>
      <c r="C816" s="7" t="s">
        <v>6410</v>
      </c>
      <c r="D816" s="7" t="s">
        <v>6411</v>
      </c>
      <c r="E816" s="7" t="s">
        <v>101</v>
      </c>
      <c r="F816" s="7" t="s">
        <v>101</v>
      </c>
      <c r="G816" s="7"/>
      <c r="H816" s="7" t="s">
        <v>102</v>
      </c>
      <c r="I816" s="7" t="s">
        <v>158</v>
      </c>
      <c r="J816" s="7" t="s">
        <v>104</v>
      </c>
      <c r="K816" s="7" t="s">
        <v>105</v>
      </c>
      <c r="L816" s="7" t="s">
        <v>353</v>
      </c>
      <c r="M816" s="7" t="s">
        <v>419</v>
      </c>
      <c r="N816" s="7" t="s">
        <v>6412</v>
      </c>
      <c r="O816" s="7"/>
      <c r="P816" s="7" t="s">
        <v>135</v>
      </c>
      <c r="Q816" s="7"/>
      <c r="R816" s="7"/>
      <c r="S816" s="7"/>
      <c r="T816" s="7" t="n">
        <v>0.205</v>
      </c>
      <c r="U816" s="7" t="n">
        <v>1</v>
      </c>
      <c r="V816" s="7" t="s">
        <v>90</v>
      </c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 t="s">
        <v>1848</v>
      </c>
      <c r="AH816" s="7" t="s">
        <v>1956</v>
      </c>
      <c r="AI816" s="7"/>
      <c r="AJ816" s="7"/>
      <c r="AK816" s="7"/>
      <c r="AL816" s="7"/>
      <c r="AM816" s="7" t="s">
        <v>1848</v>
      </c>
      <c r="AN816" s="7" t="s">
        <v>1957</v>
      </c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 t="s">
        <v>427</v>
      </c>
      <c r="BD816" s="7" t="s">
        <v>440</v>
      </c>
      <c r="BE816" s="7" t="s">
        <v>127</v>
      </c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</row>
    <row r="817" customFormat="false" ht="15" hidden="false" customHeight="false" outlineLevel="0" collapsed="false">
      <c r="A817" s="7" t="s">
        <v>6413</v>
      </c>
      <c r="B817" s="7" t="s">
        <v>6414</v>
      </c>
      <c r="C817" s="7" t="s">
        <v>6415</v>
      </c>
      <c r="D817" s="7" t="s">
        <v>6416</v>
      </c>
      <c r="E817" s="7" t="s">
        <v>101</v>
      </c>
      <c r="F817" s="7" t="s">
        <v>101</v>
      </c>
      <c r="G817" s="7"/>
      <c r="H817" s="7" t="s">
        <v>102</v>
      </c>
      <c r="I817" s="7" t="s">
        <v>158</v>
      </c>
      <c r="J817" s="7" t="s">
        <v>104</v>
      </c>
      <c r="K817" s="7" t="s">
        <v>105</v>
      </c>
      <c r="L817" s="7" t="s">
        <v>106</v>
      </c>
      <c r="M817" s="7" t="s">
        <v>419</v>
      </c>
      <c r="N817" s="7" t="s">
        <v>6417</v>
      </c>
      <c r="O817" s="7" t="s">
        <v>6417</v>
      </c>
      <c r="P817" s="7" t="s">
        <v>135</v>
      </c>
      <c r="Q817" s="7"/>
      <c r="R817" s="7" t="s">
        <v>109</v>
      </c>
      <c r="S817" s="7" t="s">
        <v>110</v>
      </c>
      <c r="T817" s="7" t="n">
        <v>0.114</v>
      </c>
      <c r="U817" s="7" t="n">
        <v>1</v>
      </c>
      <c r="V817" s="7" t="s">
        <v>90</v>
      </c>
      <c r="W817" s="7"/>
      <c r="X817" s="7"/>
      <c r="Y817" s="7"/>
      <c r="Z817" s="7"/>
      <c r="AA817" s="7"/>
      <c r="AB817" s="7"/>
      <c r="AC817" s="7" t="n">
        <v>2</v>
      </c>
      <c r="AD817" s="7" t="s">
        <v>1954</v>
      </c>
      <c r="AE817" s="7"/>
      <c r="AF817" s="7"/>
      <c r="AG817" s="7" t="s">
        <v>1848</v>
      </c>
      <c r="AH817" s="7" t="s">
        <v>1956</v>
      </c>
      <c r="AI817" s="7"/>
      <c r="AJ817" s="7"/>
      <c r="AK817" s="7"/>
      <c r="AL817" s="7"/>
      <c r="AM817" s="7" t="s">
        <v>1848</v>
      </c>
      <c r="AN817" s="7" t="s">
        <v>1957</v>
      </c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 t="s">
        <v>427</v>
      </c>
      <c r="BD817" s="7" t="s">
        <v>440</v>
      </c>
      <c r="BE817" s="7" t="s">
        <v>127</v>
      </c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</row>
    <row r="818" customFormat="false" ht="15" hidden="false" customHeight="false" outlineLevel="0" collapsed="false">
      <c r="A818" s="7" t="s">
        <v>6418</v>
      </c>
      <c r="B818" s="7" t="s">
        <v>6419</v>
      </c>
      <c r="C818" s="7" t="s">
        <v>6420</v>
      </c>
      <c r="D818" s="7" t="s">
        <v>6421</v>
      </c>
      <c r="E818" s="7" t="s">
        <v>101</v>
      </c>
      <c r="F818" s="7" t="s">
        <v>101</v>
      </c>
      <c r="G818" s="7"/>
      <c r="H818" s="7" t="s">
        <v>102</v>
      </c>
      <c r="I818" s="7" t="s">
        <v>132</v>
      </c>
      <c r="J818" s="7" t="s">
        <v>104</v>
      </c>
      <c r="K818" s="7" t="s">
        <v>105</v>
      </c>
      <c r="L818" s="7" t="s">
        <v>106</v>
      </c>
      <c r="M818" s="7" t="s">
        <v>419</v>
      </c>
      <c r="N818" s="7" t="s">
        <v>6422</v>
      </c>
      <c r="O818" s="7" t="s">
        <v>6422</v>
      </c>
      <c r="P818" s="7" t="s">
        <v>135</v>
      </c>
      <c r="Q818" s="7"/>
      <c r="R818" s="7" t="s">
        <v>109</v>
      </c>
      <c r="S818" s="7" t="s">
        <v>110</v>
      </c>
      <c r="T818" s="7" t="n">
        <v>0.185</v>
      </c>
      <c r="U818" s="7" t="n">
        <v>1</v>
      </c>
      <c r="V818" s="7" t="s">
        <v>90</v>
      </c>
      <c r="W818" s="7"/>
      <c r="X818" s="7"/>
      <c r="Y818" s="7"/>
      <c r="Z818" s="7"/>
      <c r="AA818" s="7"/>
      <c r="AB818" s="7"/>
      <c r="AC818" s="7" t="n">
        <v>2</v>
      </c>
      <c r="AD818" s="7" t="s">
        <v>1954</v>
      </c>
      <c r="AE818" s="7"/>
      <c r="AF818" s="7"/>
      <c r="AG818" s="7" t="s">
        <v>1848</v>
      </c>
      <c r="AH818" s="7" t="s">
        <v>1956</v>
      </c>
      <c r="AI818" s="7"/>
      <c r="AJ818" s="7"/>
      <c r="AK818" s="7"/>
      <c r="AL818" s="7"/>
      <c r="AM818" s="7" t="s">
        <v>1848</v>
      </c>
      <c r="AN818" s="7" t="s">
        <v>1957</v>
      </c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 t="s">
        <v>427</v>
      </c>
      <c r="BD818" s="7" t="s">
        <v>440</v>
      </c>
      <c r="BE818" s="7" t="s">
        <v>127</v>
      </c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</row>
    <row r="819" customFormat="false" ht="15" hidden="false" customHeight="false" outlineLevel="0" collapsed="false">
      <c r="A819" s="7" t="s">
        <v>6423</v>
      </c>
      <c r="B819" s="7" t="s">
        <v>6424</v>
      </c>
      <c r="C819" s="7" t="s">
        <v>6425</v>
      </c>
      <c r="D819" s="7" t="s">
        <v>6426</v>
      </c>
      <c r="E819" s="7" t="s">
        <v>101</v>
      </c>
      <c r="F819" s="7" t="s">
        <v>101</v>
      </c>
      <c r="G819" s="7"/>
      <c r="H819" s="7" t="s">
        <v>102</v>
      </c>
      <c r="I819" s="7" t="s">
        <v>158</v>
      </c>
      <c r="J819" s="7" t="s">
        <v>104</v>
      </c>
      <c r="K819" s="7" t="s">
        <v>105</v>
      </c>
      <c r="L819" s="7" t="s">
        <v>353</v>
      </c>
      <c r="M819" s="7" t="s">
        <v>419</v>
      </c>
      <c r="N819" s="7" t="s">
        <v>6427</v>
      </c>
      <c r="O819" s="7" t="s">
        <v>6427</v>
      </c>
      <c r="P819" s="7" t="s">
        <v>135</v>
      </c>
      <c r="Q819" s="7"/>
      <c r="R819" s="7" t="s">
        <v>109</v>
      </c>
      <c r="S819" s="7" t="s">
        <v>110</v>
      </c>
      <c r="T819" s="7" t="n">
        <v>0.499</v>
      </c>
      <c r="U819" s="7" t="n">
        <v>1</v>
      </c>
      <c r="V819" s="7" t="s">
        <v>90</v>
      </c>
      <c r="W819" s="7"/>
      <c r="X819" s="7"/>
      <c r="Y819" s="7"/>
      <c r="Z819" s="7"/>
      <c r="AA819" s="7"/>
      <c r="AB819" s="7"/>
      <c r="AC819" s="7" t="n">
        <v>0</v>
      </c>
      <c r="AD819" s="7" t="s">
        <v>388</v>
      </c>
      <c r="AE819" s="7"/>
      <c r="AF819" s="7"/>
      <c r="AG819" s="7" t="s">
        <v>1848</v>
      </c>
      <c r="AH819" s="7" t="s">
        <v>1956</v>
      </c>
      <c r="AI819" s="7"/>
      <c r="AJ819" s="7"/>
      <c r="AK819" s="7"/>
      <c r="AL819" s="7"/>
      <c r="AM819" s="7" t="s">
        <v>1848</v>
      </c>
      <c r="AN819" s="7" t="s">
        <v>1957</v>
      </c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 t="s">
        <v>427</v>
      </c>
      <c r="BD819" s="7" t="s">
        <v>440</v>
      </c>
      <c r="BE819" s="7" t="s">
        <v>127</v>
      </c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</row>
    <row r="820" customFormat="false" ht="15" hidden="false" customHeight="false" outlineLevel="0" collapsed="false">
      <c r="A820" s="7" t="s">
        <v>6428</v>
      </c>
      <c r="B820" s="7" t="s">
        <v>6429</v>
      </c>
      <c r="C820" s="7" t="s">
        <v>6430</v>
      </c>
      <c r="D820" s="7" t="s">
        <v>6431</v>
      </c>
      <c r="E820" s="7" t="s">
        <v>101</v>
      </c>
      <c r="F820" s="7" t="s">
        <v>101</v>
      </c>
      <c r="G820" s="7"/>
      <c r="H820" s="7" t="s">
        <v>102</v>
      </c>
      <c r="I820" s="7" t="s">
        <v>374</v>
      </c>
      <c r="J820" s="7" t="s">
        <v>104</v>
      </c>
      <c r="K820" s="7" t="s">
        <v>105</v>
      </c>
      <c r="L820" s="7" t="s">
        <v>106</v>
      </c>
      <c r="M820" s="7" t="s">
        <v>419</v>
      </c>
      <c r="N820" s="7" t="s">
        <v>6432</v>
      </c>
      <c r="O820" s="7" t="s">
        <v>6432</v>
      </c>
      <c r="P820" s="7" t="s">
        <v>135</v>
      </c>
      <c r="Q820" s="7"/>
      <c r="R820" s="7" t="s">
        <v>109</v>
      </c>
      <c r="S820" s="7" t="s">
        <v>110</v>
      </c>
      <c r="T820" s="7" t="n">
        <v>0.315</v>
      </c>
      <c r="U820" s="7" t="n">
        <v>1</v>
      </c>
      <c r="V820" s="7" t="s">
        <v>90</v>
      </c>
      <c r="W820" s="7"/>
      <c r="X820" s="7"/>
      <c r="Y820" s="7"/>
      <c r="Z820" s="7"/>
      <c r="AA820" s="7"/>
      <c r="AB820" s="7"/>
      <c r="AC820" s="7" t="n">
        <v>2</v>
      </c>
      <c r="AD820" s="7" t="s">
        <v>1954</v>
      </c>
      <c r="AE820" s="7"/>
      <c r="AF820" s="7"/>
      <c r="AG820" s="7" t="s">
        <v>1848</v>
      </c>
      <c r="AH820" s="7" t="s">
        <v>1956</v>
      </c>
      <c r="AI820" s="7"/>
      <c r="AJ820" s="7"/>
      <c r="AK820" s="7"/>
      <c r="AL820" s="7"/>
      <c r="AM820" s="7" t="s">
        <v>1848</v>
      </c>
      <c r="AN820" s="7" t="s">
        <v>1957</v>
      </c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 t="s">
        <v>427</v>
      </c>
      <c r="BD820" s="7" t="s">
        <v>440</v>
      </c>
      <c r="BE820" s="7" t="s">
        <v>127</v>
      </c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</row>
    <row r="821" customFormat="false" ht="15" hidden="false" customHeight="false" outlineLevel="0" collapsed="false">
      <c r="A821" s="7" t="s">
        <v>6433</v>
      </c>
      <c r="B821" s="7" t="s">
        <v>6434</v>
      </c>
      <c r="C821" s="7" t="s">
        <v>6435</v>
      </c>
      <c r="D821" s="7" t="s">
        <v>6436</v>
      </c>
      <c r="E821" s="7" t="s">
        <v>101</v>
      </c>
      <c r="F821" s="7" t="s">
        <v>101</v>
      </c>
      <c r="G821" s="7"/>
      <c r="H821" s="7" t="s">
        <v>102</v>
      </c>
      <c r="I821" s="7" t="s">
        <v>158</v>
      </c>
      <c r="J821" s="7" t="s">
        <v>104</v>
      </c>
      <c r="K821" s="7" t="s">
        <v>105</v>
      </c>
      <c r="L821" s="7" t="s">
        <v>353</v>
      </c>
      <c r="M821" s="7" t="s">
        <v>419</v>
      </c>
      <c r="N821" s="7" t="s">
        <v>6437</v>
      </c>
      <c r="O821" s="7"/>
      <c r="P821" s="7" t="s">
        <v>135</v>
      </c>
      <c r="Q821" s="7"/>
      <c r="R821" s="7"/>
      <c r="S821" s="7"/>
      <c r="T821" s="7" t="n">
        <v>0.371</v>
      </c>
      <c r="U821" s="7" t="n">
        <v>1</v>
      </c>
      <c r="V821" s="7" t="s">
        <v>90</v>
      </c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 t="s">
        <v>427</v>
      </c>
      <c r="BD821" s="7" t="s">
        <v>440</v>
      </c>
      <c r="BE821" s="7" t="s">
        <v>127</v>
      </c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</row>
    <row r="822" customFormat="false" ht="15" hidden="false" customHeight="false" outlineLevel="0" collapsed="false">
      <c r="A822" s="7" t="s">
        <v>6438</v>
      </c>
      <c r="B822" s="7" t="s">
        <v>6439</v>
      </c>
      <c r="C822" s="7" t="s">
        <v>6440</v>
      </c>
      <c r="D822" s="7" t="s">
        <v>6441</v>
      </c>
      <c r="E822" s="7" t="s">
        <v>101</v>
      </c>
      <c r="F822" s="7" t="s">
        <v>101</v>
      </c>
      <c r="G822" s="7"/>
      <c r="H822" s="7" t="s">
        <v>102</v>
      </c>
      <c r="I822" s="7" t="s">
        <v>158</v>
      </c>
      <c r="J822" s="7" t="s">
        <v>104</v>
      </c>
      <c r="K822" s="7" t="s">
        <v>105</v>
      </c>
      <c r="L822" s="7" t="s">
        <v>353</v>
      </c>
      <c r="M822" s="7" t="s">
        <v>419</v>
      </c>
      <c r="N822" s="7" t="s">
        <v>6442</v>
      </c>
      <c r="O822" s="7" t="s">
        <v>6442</v>
      </c>
      <c r="P822" s="7" t="s">
        <v>135</v>
      </c>
      <c r="Q822" s="7"/>
      <c r="R822" s="7" t="s">
        <v>109</v>
      </c>
      <c r="S822" s="7" t="s">
        <v>110</v>
      </c>
      <c r="T822" s="7" t="n">
        <v>0.303</v>
      </c>
      <c r="U822" s="7" t="n">
        <v>1</v>
      </c>
      <c r="V822" s="7" t="s">
        <v>90</v>
      </c>
      <c r="W822" s="7"/>
      <c r="X822" s="7"/>
      <c r="Y822" s="7"/>
      <c r="Z822" s="7"/>
      <c r="AA822" s="7"/>
      <c r="AB822" s="7"/>
      <c r="AC822" s="7" t="n">
        <v>0</v>
      </c>
      <c r="AD822" s="7" t="s">
        <v>388</v>
      </c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 t="s">
        <v>427</v>
      </c>
      <c r="BD822" s="7" t="s">
        <v>440</v>
      </c>
      <c r="BE822" s="7" t="s">
        <v>127</v>
      </c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</row>
    <row r="823" customFormat="false" ht="15" hidden="false" customHeight="false" outlineLevel="0" collapsed="false">
      <c r="A823" s="7" t="s">
        <v>6443</v>
      </c>
      <c r="B823" s="7" t="s">
        <v>6444</v>
      </c>
      <c r="C823" s="7" t="s">
        <v>6445</v>
      </c>
      <c r="D823" s="7" t="s">
        <v>6446</v>
      </c>
      <c r="E823" s="7" t="s">
        <v>101</v>
      </c>
      <c r="F823" s="7" t="s">
        <v>101</v>
      </c>
      <c r="G823" s="7"/>
      <c r="H823" s="7" t="s">
        <v>102</v>
      </c>
      <c r="I823" s="7" t="s">
        <v>158</v>
      </c>
      <c r="J823" s="7" t="s">
        <v>104</v>
      </c>
      <c r="K823" s="7" t="s">
        <v>105</v>
      </c>
      <c r="L823" s="7" t="s">
        <v>353</v>
      </c>
      <c r="M823" s="7" t="s">
        <v>419</v>
      </c>
      <c r="N823" s="7" t="s">
        <v>6447</v>
      </c>
      <c r="O823" s="7"/>
      <c r="P823" s="7" t="s">
        <v>135</v>
      </c>
      <c r="Q823" s="7"/>
      <c r="R823" s="7"/>
      <c r="S823" s="7"/>
      <c r="T823" s="7" t="n">
        <v>0.279</v>
      </c>
      <c r="U823" s="7" t="n">
        <v>1</v>
      </c>
      <c r="V823" s="7" t="s">
        <v>90</v>
      </c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 t="s">
        <v>1848</v>
      </c>
      <c r="AH823" s="7" t="s">
        <v>1956</v>
      </c>
      <c r="AI823" s="7"/>
      <c r="AJ823" s="7"/>
      <c r="AK823" s="7"/>
      <c r="AL823" s="7"/>
      <c r="AM823" s="7" t="s">
        <v>1848</v>
      </c>
      <c r="AN823" s="7" t="s">
        <v>1957</v>
      </c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 t="s">
        <v>427</v>
      </c>
      <c r="BD823" s="7" t="s">
        <v>440</v>
      </c>
      <c r="BE823" s="7" t="s">
        <v>127</v>
      </c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</row>
    <row r="824" customFormat="false" ht="15" hidden="false" customHeight="false" outlineLevel="0" collapsed="false">
      <c r="A824" s="7" t="s">
        <v>6448</v>
      </c>
      <c r="B824" s="7" t="s">
        <v>6449</v>
      </c>
      <c r="C824" s="7" t="s">
        <v>6450</v>
      </c>
      <c r="D824" s="7" t="s">
        <v>6451</v>
      </c>
      <c r="E824" s="7" t="s">
        <v>101</v>
      </c>
      <c r="F824" s="7" t="s">
        <v>101</v>
      </c>
      <c r="G824" s="7"/>
      <c r="H824" s="7" t="s">
        <v>102</v>
      </c>
      <c r="I824" s="7" t="s">
        <v>158</v>
      </c>
      <c r="J824" s="7" t="s">
        <v>104</v>
      </c>
      <c r="K824" s="7" t="s">
        <v>105</v>
      </c>
      <c r="L824" s="7" t="s">
        <v>353</v>
      </c>
      <c r="M824" s="7" t="s">
        <v>419</v>
      </c>
      <c r="N824" s="7" t="s">
        <v>6452</v>
      </c>
      <c r="O824" s="7"/>
      <c r="P824" s="7" t="s">
        <v>135</v>
      </c>
      <c r="Q824" s="7"/>
      <c r="R824" s="7"/>
      <c r="S824" s="7"/>
      <c r="T824" s="7" t="n">
        <v>0.446</v>
      </c>
      <c r="U824" s="7" t="n">
        <v>1</v>
      </c>
      <c r="V824" s="7" t="s">
        <v>90</v>
      </c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 t="s">
        <v>1848</v>
      </c>
      <c r="AH824" s="7" t="s">
        <v>1956</v>
      </c>
      <c r="AI824" s="7"/>
      <c r="AJ824" s="7"/>
      <c r="AK824" s="7"/>
      <c r="AL824" s="7"/>
      <c r="AM824" s="7" t="s">
        <v>1848</v>
      </c>
      <c r="AN824" s="7" t="s">
        <v>1957</v>
      </c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 t="s">
        <v>427</v>
      </c>
      <c r="BD824" s="7" t="s">
        <v>440</v>
      </c>
      <c r="BE824" s="7" t="s">
        <v>127</v>
      </c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</row>
    <row r="825" customFormat="false" ht="15" hidden="false" customHeight="false" outlineLevel="0" collapsed="false">
      <c r="A825" s="7" t="s">
        <v>6453</v>
      </c>
      <c r="B825" s="7" t="s">
        <v>6454</v>
      </c>
      <c r="C825" s="7" t="s">
        <v>6455</v>
      </c>
      <c r="D825" s="7" t="s">
        <v>6456</v>
      </c>
      <c r="E825" s="7" t="s">
        <v>101</v>
      </c>
      <c r="F825" s="7" t="s">
        <v>101</v>
      </c>
      <c r="G825" s="7"/>
      <c r="H825" s="7" t="s">
        <v>102</v>
      </c>
      <c r="I825" s="7" t="s">
        <v>158</v>
      </c>
      <c r="J825" s="7" t="s">
        <v>104</v>
      </c>
      <c r="K825" s="7" t="s">
        <v>105</v>
      </c>
      <c r="L825" s="7" t="s">
        <v>353</v>
      </c>
      <c r="M825" s="7" t="s">
        <v>419</v>
      </c>
      <c r="N825" s="7" t="s">
        <v>6457</v>
      </c>
      <c r="O825" s="7"/>
      <c r="P825" s="7" t="s">
        <v>135</v>
      </c>
      <c r="Q825" s="7"/>
      <c r="R825" s="7"/>
      <c r="S825" s="7"/>
      <c r="T825" s="7" t="n">
        <v>0.45</v>
      </c>
      <c r="U825" s="7" t="n">
        <v>1</v>
      </c>
      <c r="V825" s="7" t="s">
        <v>90</v>
      </c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 t="s">
        <v>1848</v>
      </c>
      <c r="AH825" s="7" t="s">
        <v>1956</v>
      </c>
      <c r="AI825" s="7"/>
      <c r="AJ825" s="7"/>
      <c r="AK825" s="7"/>
      <c r="AL825" s="7"/>
      <c r="AM825" s="7" t="s">
        <v>1848</v>
      </c>
      <c r="AN825" s="7" t="s">
        <v>1957</v>
      </c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 t="s">
        <v>427</v>
      </c>
      <c r="BD825" s="7" t="s">
        <v>440</v>
      </c>
      <c r="BE825" s="7" t="s">
        <v>127</v>
      </c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</row>
    <row r="826" customFormat="false" ht="15" hidden="false" customHeight="false" outlineLevel="0" collapsed="false">
      <c r="A826" s="7" t="s">
        <v>6458</v>
      </c>
      <c r="B826" s="7" t="s">
        <v>6459</v>
      </c>
      <c r="C826" s="7" t="s">
        <v>6460</v>
      </c>
      <c r="D826" s="7" t="s">
        <v>6461</v>
      </c>
      <c r="E826" s="7" t="s">
        <v>101</v>
      </c>
      <c r="F826" s="7" t="s">
        <v>101</v>
      </c>
      <c r="G826" s="7"/>
      <c r="H826" s="7" t="s">
        <v>102</v>
      </c>
      <c r="I826" s="7" t="s">
        <v>158</v>
      </c>
      <c r="J826" s="7" t="s">
        <v>104</v>
      </c>
      <c r="K826" s="7" t="s">
        <v>105</v>
      </c>
      <c r="L826" s="7" t="s">
        <v>353</v>
      </c>
      <c r="M826" s="7" t="s">
        <v>419</v>
      </c>
      <c r="N826" s="7" t="s">
        <v>6462</v>
      </c>
      <c r="O826" s="7"/>
      <c r="P826" s="7" t="s">
        <v>135</v>
      </c>
      <c r="Q826" s="7"/>
      <c r="R826" s="7"/>
      <c r="S826" s="7"/>
      <c r="T826" s="7" t="n">
        <v>0.274</v>
      </c>
      <c r="U826" s="7" t="n">
        <v>1</v>
      </c>
      <c r="V826" s="7" t="s">
        <v>90</v>
      </c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 t="s">
        <v>1848</v>
      </c>
      <c r="AH826" s="7" t="s">
        <v>1956</v>
      </c>
      <c r="AI826" s="7"/>
      <c r="AJ826" s="7"/>
      <c r="AK826" s="7"/>
      <c r="AL826" s="7"/>
      <c r="AM826" s="7" t="s">
        <v>1848</v>
      </c>
      <c r="AN826" s="7" t="s">
        <v>1957</v>
      </c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 t="s">
        <v>427</v>
      </c>
      <c r="BD826" s="7" t="s">
        <v>440</v>
      </c>
      <c r="BE826" s="7" t="s">
        <v>127</v>
      </c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</row>
    <row r="827" customFormat="false" ht="15" hidden="false" customHeight="false" outlineLevel="0" collapsed="false">
      <c r="A827" s="7" t="s">
        <v>6463</v>
      </c>
      <c r="B827" s="7" t="s">
        <v>6464</v>
      </c>
      <c r="C827" s="7" t="s">
        <v>6465</v>
      </c>
      <c r="D827" s="7" t="s">
        <v>6466</v>
      </c>
      <c r="E827" s="7" t="s">
        <v>101</v>
      </c>
      <c r="F827" s="7" t="s">
        <v>101</v>
      </c>
      <c r="G827" s="7"/>
      <c r="H827" s="7" t="s">
        <v>102</v>
      </c>
      <c r="I827" s="7" t="s">
        <v>158</v>
      </c>
      <c r="J827" s="7" t="s">
        <v>104</v>
      </c>
      <c r="K827" s="7" t="s">
        <v>105</v>
      </c>
      <c r="L827" s="7" t="s">
        <v>353</v>
      </c>
      <c r="M827" s="7" t="s">
        <v>419</v>
      </c>
      <c r="N827" s="7" t="s">
        <v>6467</v>
      </c>
      <c r="O827" s="7"/>
      <c r="P827" s="7" t="s">
        <v>135</v>
      </c>
      <c r="Q827" s="7"/>
      <c r="R827" s="7"/>
      <c r="S827" s="7"/>
      <c r="T827" s="7" t="n">
        <v>0.269</v>
      </c>
      <c r="U827" s="7" t="n">
        <v>1</v>
      </c>
      <c r="V827" s="7" t="s">
        <v>90</v>
      </c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 t="s">
        <v>1848</v>
      </c>
      <c r="AH827" s="7" t="s">
        <v>1956</v>
      </c>
      <c r="AI827" s="7"/>
      <c r="AJ827" s="7"/>
      <c r="AK827" s="7"/>
      <c r="AL827" s="7"/>
      <c r="AM827" s="7" t="s">
        <v>1848</v>
      </c>
      <c r="AN827" s="7" t="s">
        <v>1957</v>
      </c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 t="s">
        <v>427</v>
      </c>
      <c r="BD827" s="7" t="s">
        <v>440</v>
      </c>
      <c r="BE827" s="7" t="s">
        <v>127</v>
      </c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</row>
    <row r="828" customFormat="false" ht="15" hidden="false" customHeight="false" outlineLevel="0" collapsed="false">
      <c r="A828" s="7" t="s">
        <v>6468</v>
      </c>
      <c r="B828" s="7" t="s">
        <v>6469</v>
      </c>
      <c r="C828" s="7" t="s">
        <v>6470</v>
      </c>
      <c r="D828" s="7" t="s">
        <v>6471</v>
      </c>
      <c r="E828" s="7" t="s">
        <v>101</v>
      </c>
      <c r="F828" s="7" t="s">
        <v>101</v>
      </c>
      <c r="G828" s="7"/>
      <c r="H828" s="7" t="s">
        <v>102</v>
      </c>
      <c r="I828" s="7" t="s">
        <v>158</v>
      </c>
      <c r="J828" s="7" t="s">
        <v>104</v>
      </c>
      <c r="K828" s="7" t="s">
        <v>105</v>
      </c>
      <c r="L828" s="7" t="s">
        <v>353</v>
      </c>
      <c r="M828" s="7" t="s">
        <v>419</v>
      </c>
      <c r="N828" s="7" t="s">
        <v>6472</v>
      </c>
      <c r="O828" s="7"/>
      <c r="P828" s="7" t="s">
        <v>135</v>
      </c>
      <c r="Q828" s="7"/>
      <c r="R828" s="7"/>
      <c r="S828" s="7"/>
      <c r="T828" s="7" t="n">
        <v>0.562</v>
      </c>
      <c r="U828" s="7" t="n">
        <v>1</v>
      </c>
      <c r="V828" s="7" t="s">
        <v>90</v>
      </c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 t="s">
        <v>1848</v>
      </c>
      <c r="AH828" s="7" t="s">
        <v>1956</v>
      </c>
      <c r="AI828" s="7"/>
      <c r="AJ828" s="7"/>
      <c r="AK828" s="7"/>
      <c r="AL828" s="7"/>
      <c r="AM828" s="7" t="s">
        <v>1848</v>
      </c>
      <c r="AN828" s="7" t="s">
        <v>1957</v>
      </c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 t="s">
        <v>427</v>
      </c>
      <c r="BD828" s="7" t="s">
        <v>440</v>
      </c>
      <c r="BE828" s="7" t="s">
        <v>127</v>
      </c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</row>
    <row r="829" customFormat="false" ht="15" hidden="false" customHeight="false" outlineLevel="0" collapsed="false">
      <c r="A829" s="7" t="s">
        <v>6473</v>
      </c>
      <c r="B829" s="7" t="s">
        <v>6474</v>
      </c>
      <c r="C829" s="7" t="s">
        <v>6475</v>
      </c>
      <c r="D829" s="7" t="s">
        <v>6476</v>
      </c>
      <c r="E829" s="7" t="s">
        <v>101</v>
      </c>
      <c r="F829" s="7" t="s">
        <v>101</v>
      </c>
      <c r="G829" s="7"/>
      <c r="H829" s="7" t="s">
        <v>102</v>
      </c>
      <c r="I829" s="7" t="s">
        <v>158</v>
      </c>
      <c r="J829" s="7" t="s">
        <v>104</v>
      </c>
      <c r="K829" s="7" t="s">
        <v>105</v>
      </c>
      <c r="L829" s="7" t="s">
        <v>106</v>
      </c>
      <c r="M829" s="7" t="s">
        <v>419</v>
      </c>
      <c r="N829" s="7" t="s">
        <v>6477</v>
      </c>
      <c r="O829" s="7" t="s">
        <v>6477</v>
      </c>
      <c r="P829" s="7" t="s">
        <v>135</v>
      </c>
      <c r="Q829" s="7"/>
      <c r="R829" s="7" t="s">
        <v>109</v>
      </c>
      <c r="S829" s="7" t="s">
        <v>110</v>
      </c>
      <c r="T829" s="7" t="n">
        <v>0.237</v>
      </c>
      <c r="U829" s="7" t="n">
        <v>1</v>
      </c>
      <c r="V829" s="7" t="s">
        <v>90</v>
      </c>
      <c r="W829" s="7"/>
      <c r="X829" s="7"/>
      <c r="Y829" s="7"/>
      <c r="Z829" s="7"/>
      <c r="AA829" s="7"/>
      <c r="AB829" s="7"/>
      <c r="AC829" s="7" t="n">
        <v>2</v>
      </c>
      <c r="AD829" s="7" t="s">
        <v>1954</v>
      </c>
      <c r="AE829" s="7"/>
      <c r="AF829" s="7"/>
      <c r="AG829" s="7" t="s">
        <v>1848</v>
      </c>
      <c r="AH829" s="7" t="s">
        <v>1956</v>
      </c>
      <c r="AI829" s="7"/>
      <c r="AJ829" s="7"/>
      <c r="AK829" s="7"/>
      <c r="AL829" s="7"/>
      <c r="AM829" s="7" t="s">
        <v>1848</v>
      </c>
      <c r="AN829" s="7" t="s">
        <v>1957</v>
      </c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 t="s">
        <v>427</v>
      </c>
      <c r="BD829" s="7" t="s">
        <v>440</v>
      </c>
      <c r="BE829" s="7" t="s">
        <v>127</v>
      </c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</row>
    <row r="830" customFormat="false" ht="15" hidden="false" customHeight="false" outlineLevel="0" collapsed="false">
      <c r="A830" s="7" t="s">
        <v>6478</v>
      </c>
      <c r="B830" s="7" t="s">
        <v>6479</v>
      </c>
      <c r="C830" s="7" t="s">
        <v>6480</v>
      </c>
      <c r="D830" s="7" t="s">
        <v>6481</v>
      </c>
      <c r="E830" s="7" t="s">
        <v>101</v>
      </c>
      <c r="F830" s="7" t="s">
        <v>101</v>
      </c>
      <c r="G830" s="7"/>
      <c r="H830" s="7" t="s">
        <v>102</v>
      </c>
      <c r="I830" s="7" t="s">
        <v>158</v>
      </c>
      <c r="J830" s="7" t="s">
        <v>104</v>
      </c>
      <c r="K830" s="7" t="s">
        <v>105</v>
      </c>
      <c r="L830" s="7" t="s">
        <v>353</v>
      </c>
      <c r="M830" s="7" t="s">
        <v>419</v>
      </c>
      <c r="N830" s="7" t="s">
        <v>6482</v>
      </c>
      <c r="O830" s="7" t="s">
        <v>6482</v>
      </c>
      <c r="P830" s="7" t="s">
        <v>135</v>
      </c>
      <c r="Q830" s="7"/>
      <c r="R830" s="7" t="s">
        <v>109</v>
      </c>
      <c r="S830" s="7" t="s">
        <v>110</v>
      </c>
      <c r="T830" s="7" t="n">
        <v>0.377</v>
      </c>
      <c r="U830" s="7" t="n">
        <v>1</v>
      </c>
      <c r="V830" s="7" t="s">
        <v>90</v>
      </c>
      <c r="W830" s="7"/>
      <c r="X830" s="7"/>
      <c r="Y830" s="7"/>
      <c r="Z830" s="7"/>
      <c r="AA830" s="7"/>
      <c r="AB830" s="7"/>
      <c r="AC830" s="7" t="n">
        <v>2</v>
      </c>
      <c r="AD830" s="7" t="s">
        <v>1954</v>
      </c>
      <c r="AE830" s="7"/>
      <c r="AF830" s="7"/>
      <c r="AG830" s="7" t="s">
        <v>1848</v>
      </c>
      <c r="AH830" s="7" t="s">
        <v>1956</v>
      </c>
      <c r="AI830" s="7"/>
      <c r="AJ830" s="7"/>
      <c r="AK830" s="7"/>
      <c r="AL830" s="7"/>
      <c r="AM830" s="7" t="s">
        <v>1848</v>
      </c>
      <c r="AN830" s="7" t="s">
        <v>1957</v>
      </c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 t="s">
        <v>427</v>
      </c>
      <c r="BD830" s="7" t="s">
        <v>440</v>
      </c>
      <c r="BE830" s="7" t="s">
        <v>127</v>
      </c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</row>
    <row r="831" customFormat="false" ht="15" hidden="false" customHeight="false" outlineLevel="0" collapsed="false">
      <c r="A831" s="7" t="s">
        <v>6483</v>
      </c>
      <c r="B831" s="7" t="s">
        <v>6484</v>
      </c>
      <c r="C831" s="7" t="s">
        <v>6485</v>
      </c>
      <c r="D831" s="7" t="s">
        <v>6486</v>
      </c>
      <c r="E831" s="7" t="s">
        <v>101</v>
      </c>
      <c r="F831" s="7" t="s">
        <v>101</v>
      </c>
      <c r="G831" s="7"/>
      <c r="H831" s="7" t="s">
        <v>102</v>
      </c>
      <c r="I831" s="7" t="s">
        <v>158</v>
      </c>
      <c r="J831" s="7" t="s">
        <v>104</v>
      </c>
      <c r="K831" s="7" t="s">
        <v>105</v>
      </c>
      <c r="L831" s="7" t="s">
        <v>353</v>
      </c>
      <c r="M831" s="7" t="s">
        <v>419</v>
      </c>
      <c r="N831" s="7" t="s">
        <v>6487</v>
      </c>
      <c r="O831" s="7" t="s">
        <v>6487</v>
      </c>
      <c r="P831" s="7" t="s">
        <v>135</v>
      </c>
      <c r="Q831" s="7"/>
      <c r="R831" s="7" t="s">
        <v>109</v>
      </c>
      <c r="S831" s="7" t="s">
        <v>110</v>
      </c>
      <c r="T831" s="7" t="n">
        <v>0.167</v>
      </c>
      <c r="U831" s="7" t="n">
        <v>1</v>
      </c>
      <c r="V831" s="7" t="s">
        <v>90</v>
      </c>
      <c r="W831" s="7"/>
      <c r="X831" s="7"/>
      <c r="Y831" s="7"/>
      <c r="Z831" s="7"/>
      <c r="AA831" s="7"/>
      <c r="AB831" s="7"/>
      <c r="AC831" s="7" t="n">
        <v>2</v>
      </c>
      <c r="AD831" s="7" t="s">
        <v>1954</v>
      </c>
      <c r="AE831" s="7"/>
      <c r="AF831" s="7"/>
      <c r="AG831" s="7" t="s">
        <v>1848</v>
      </c>
      <c r="AH831" s="7" t="s">
        <v>1956</v>
      </c>
      <c r="AI831" s="7"/>
      <c r="AJ831" s="7"/>
      <c r="AK831" s="7"/>
      <c r="AL831" s="7"/>
      <c r="AM831" s="7" t="s">
        <v>1848</v>
      </c>
      <c r="AN831" s="7" t="s">
        <v>1957</v>
      </c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 t="s">
        <v>427</v>
      </c>
      <c r="BD831" s="7" t="s">
        <v>440</v>
      </c>
      <c r="BE831" s="7" t="s">
        <v>127</v>
      </c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</row>
    <row r="832" customFormat="false" ht="15" hidden="false" customHeight="false" outlineLevel="0" collapsed="false">
      <c r="A832" s="7" t="s">
        <v>6488</v>
      </c>
      <c r="B832" s="7" t="s">
        <v>6489</v>
      </c>
      <c r="C832" s="7" t="s">
        <v>6490</v>
      </c>
      <c r="D832" s="7" t="s">
        <v>6491</v>
      </c>
      <c r="E832" s="7" t="s">
        <v>101</v>
      </c>
      <c r="F832" s="7" t="s">
        <v>101</v>
      </c>
      <c r="G832" s="7"/>
      <c r="H832" s="7" t="s">
        <v>102</v>
      </c>
      <c r="I832" s="7" t="s">
        <v>158</v>
      </c>
      <c r="J832" s="7" t="s">
        <v>104</v>
      </c>
      <c r="K832" s="7" t="s">
        <v>105</v>
      </c>
      <c r="L832" s="7" t="s">
        <v>353</v>
      </c>
      <c r="M832" s="7" t="s">
        <v>419</v>
      </c>
      <c r="N832" s="7" t="s">
        <v>6492</v>
      </c>
      <c r="O832" s="7" t="s">
        <v>6492</v>
      </c>
      <c r="P832" s="7" t="s">
        <v>135</v>
      </c>
      <c r="Q832" s="7"/>
      <c r="R832" s="7" t="s">
        <v>109</v>
      </c>
      <c r="S832" s="7" t="s">
        <v>110</v>
      </c>
      <c r="T832" s="7" t="n">
        <v>0.142</v>
      </c>
      <c r="U832" s="7" t="n">
        <v>1</v>
      </c>
      <c r="V832" s="7" t="s">
        <v>90</v>
      </c>
      <c r="W832" s="7"/>
      <c r="X832" s="7"/>
      <c r="Y832" s="7"/>
      <c r="Z832" s="7"/>
      <c r="AA832" s="7"/>
      <c r="AB832" s="7"/>
      <c r="AC832" s="7" t="n">
        <v>2</v>
      </c>
      <c r="AD832" s="7" t="s">
        <v>1954</v>
      </c>
      <c r="AE832" s="7"/>
      <c r="AF832" s="7"/>
      <c r="AG832" s="7" t="s">
        <v>1848</v>
      </c>
      <c r="AH832" s="7" t="s">
        <v>1956</v>
      </c>
      <c r="AI832" s="7"/>
      <c r="AJ832" s="7"/>
      <c r="AK832" s="7"/>
      <c r="AL832" s="7"/>
      <c r="AM832" s="7" t="s">
        <v>1848</v>
      </c>
      <c r="AN832" s="7" t="s">
        <v>1957</v>
      </c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 t="s">
        <v>427</v>
      </c>
      <c r="BD832" s="7" t="s">
        <v>440</v>
      </c>
      <c r="BE832" s="7" t="s">
        <v>127</v>
      </c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</row>
    <row r="833" customFormat="false" ht="15" hidden="false" customHeight="false" outlineLevel="0" collapsed="false">
      <c r="A833" s="7" t="s">
        <v>6493</v>
      </c>
      <c r="B833" s="7" t="s">
        <v>6494</v>
      </c>
      <c r="C833" s="7" t="s">
        <v>6495</v>
      </c>
      <c r="D833" s="7" t="s">
        <v>6496</v>
      </c>
      <c r="E833" s="7" t="s">
        <v>101</v>
      </c>
      <c r="F833" s="7" t="s">
        <v>101</v>
      </c>
      <c r="G833" s="7"/>
      <c r="H833" s="7" t="s">
        <v>102</v>
      </c>
      <c r="I833" s="7" t="s">
        <v>158</v>
      </c>
      <c r="J833" s="7" t="s">
        <v>104</v>
      </c>
      <c r="K833" s="7" t="s">
        <v>105</v>
      </c>
      <c r="L833" s="7" t="s">
        <v>353</v>
      </c>
      <c r="M833" s="7" t="s">
        <v>419</v>
      </c>
      <c r="N833" s="7" t="s">
        <v>6497</v>
      </c>
      <c r="O833" s="7" t="s">
        <v>6497</v>
      </c>
      <c r="P833" s="7" t="s">
        <v>135</v>
      </c>
      <c r="Q833" s="7"/>
      <c r="R833" s="7" t="s">
        <v>109</v>
      </c>
      <c r="S833" s="7" t="s">
        <v>110</v>
      </c>
      <c r="T833" s="7" t="n">
        <v>0.167</v>
      </c>
      <c r="U833" s="7" t="n">
        <v>1</v>
      </c>
      <c r="V833" s="7" t="s">
        <v>90</v>
      </c>
      <c r="W833" s="7"/>
      <c r="X833" s="7"/>
      <c r="Y833" s="7"/>
      <c r="Z833" s="7"/>
      <c r="AA833" s="7"/>
      <c r="AB833" s="7"/>
      <c r="AC833" s="7" t="n">
        <v>2</v>
      </c>
      <c r="AD833" s="7" t="s">
        <v>1954</v>
      </c>
      <c r="AE833" s="7"/>
      <c r="AF833" s="7"/>
      <c r="AG833" s="7" t="s">
        <v>1848</v>
      </c>
      <c r="AH833" s="7" t="s">
        <v>1956</v>
      </c>
      <c r="AI833" s="7"/>
      <c r="AJ833" s="7"/>
      <c r="AK833" s="7"/>
      <c r="AL833" s="7"/>
      <c r="AM833" s="7" t="s">
        <v>1848</v>
      </c>
      <c r="AN833" s="7" t="s">
        <v>1957</v>
      </c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 t="s">
        <v>427</v>
      </c>
      <c r="BD833" s="7" t="s">
        <v>440</v>
      </c>
      <c r="BE833" s="7" t="s">
        <v>127</v>
      </c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</row>
    <row r="834" customFormat="false" ht="15" hidden="false" customHeight="false" outlineLevel="0" collapsed="false">
      <c r="A834" s="7" t="s">
        <v>6498</v>
      </c>
      <c r="B834" s="7" t="s">
        <v>6499</v>
      </c>
      <c r="C834" s="7" t="s">
        <v>6500</v>
      </c>
      <c r="D834" s="7" t="s">
        <v>6501</v>
      </c>
      <c r="E834" s="7" t="s">
        <v>101</v>
      </c>
      <c r="F834" s="7" t="s">
        <v>101</v>
      </c>
      <c r="G834" s="7"/>
      <c r="H834" s="7" t="s">
        <v>102</v>
      </c>
      <c r="I834" s="7" t="s">
        <v>132</v>
      </c>
      <c r="J834" s="7" t="s">
        <v>104</v>
      </c>
      <c r="K834" s="7" t="s">
        <v>105</v>
      </c>
      <c r="L834" s="7" t="s">
        <v>106</v>
      </c>
      <c r="M834" s="7" t="s">
        <v>419</v>
      </c>
      <c r="N834" s="7" t="s">
        <v>6502</v>
      </c>
      <c r="O834" s="7" t="s">
        <v>6502</v>
      </c>
      <c r="P834" s="7" t="s">
        <v>135</v>
      </c>
      <c r="Q834" s="7"/>
      <c r="R834" s="7" t="s">
        <v>109</v>
      </c>
      <c r="S834" s="7" t="s">
        <v>110</v>
      </c>
      <c r="T834" s="7" t="n">
        <v>0.149</v>
      </c>
      <c r="U834" s="7" t="n">
        <v>1</v>
      </c>
      <c r="V834" s="7" t="s">
        <v>90</v>
      </c>
      <c r="W834" s="7"/>
      <c r="X834" s="7"/>
      <c r="Y834" s="7"/>
      <c r="Z834" s="7"/>
      <c r="AA834" s="7"/>
      <c r="AB834" s="7"/>
      <c r="AC834" s="7" t="n">
        <v>2</v>
      </c>
      <c r="AD834" s="7" t="s">
        <v>1954</v>
      </c>
      <c r="AE834" s="7"/>
      <c r="AF834" s="7"/>
      <c r="AG834" s="7" t="s">
        <v>1848</v>
      </c>
      <c r="AH834" s="7" t="s">
        <v>1956</v>
      </c>
      <c r="AI834" s="7"/>
      <c r="AJ834" s="7"/>
      <c r="AK834" s="7"/>
      <c r="AL834" s="7"/>
      <c r="AM834" s="7" t="s">
        <v>1848</v>
      </c>
      <c r="AN834" s="7" t="s">
        <v>1957</v>
      </c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 t="s">
        <v>427</v>
      </c>
      <c r="BD834" s="7" t="s">
        <v>440</v>
      </c>
      <c r="BE834" s="7" t="s">
        <v>127</v>
      </c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</row>
    <row r="835" customFormat="false" ht="15" hidden="false" customHeight="false" outlineLevel="0" collapsed="false">
      <c r="A835" s="7" t="s">
        <v>6503</v>
      </c>
      <c r="B835" s="7" t="s">
        <v>6504</v>
      </c>
      <c r="C835" s="7" t="s">
        <v>6505</v>
      </c>
      <c r="D835" s="7" t="s">
        <v>6506</v>
      </c>
      <c r="E835" s="7" t="s">
        <v>101</v>
      </c>
      <c r="F835" s="7" t="s">
        <v>101</v>
      </c>
      <c r="G835" s="7"/>
      <c r="H835" s="7" t="s">
        <v>102</v>
      </c>
      <c r="I835" s="7" t="s">
        <v>158</v>
      </c>
      <c r="J835" s="7" t="s">
        <v>104</v>
      </c>
      <c r="K835" s="7" t="s">
        <v>105</v>
      </c>
      <c r="L835" s="7" t="s">
        <v>353</v>
      </c>
      <c r="M835" s="7" t="s">
        <v>419</v>
      </c>
      <c r="N835" s="7" t="s">
        <v>6507</v>
      </c>
      <c r="O835" s="7"/>
      <c r="P835" s="7" t="s">
        <v>135</v>
      </c>
      <c r="Q835" s="7"/>
      <c r="R835" s="7"/>
      <c r="S835" s="7"/>
      <c r="T835" s="7" t="n">
        <v>0.143</v>
      </c>
      <c r="U835" s="7" t="n">
        <v>1</v>
      </c>
      <c r="V835" s="7" t="s">
        <v>90</v>
      </c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 t="s">
        <v>427</v>
      </c>
      <c r="BD835" s="7" t="s">
        <v>440</v>
      </c>
      <c r="BE835" s="7" t="s">
        <v>127</v>
      </c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</row>
    <row r="836" customFormat="false" ht="15" hidden="false" customHeight="false" outlineLevel="0" collapsed="false">
      <c r="A836" s="7" t="s">
        <v>6508</v>
      </c>
      <c r="B836" s="7" t="s">
        <v>6509</v>
      </c>
      <c r="C836" s="7" t="s">
        <v>6510</v>
      </c>
      <c r="D836" s="7" t="s">
        <v>6511</v>
      </c>
      <c r="E836" s="7" t="s">
        <v>101</v>
      </c>
      <c r="F836" s="7" t="s">
        <v>101</v>
      </c>
      <c r="G836" s="7"/>
      <c r="H836" s="7" t="s">
        <v>102</v>
      </c>
      <c r="I836" s="7" t="s">
        <v>158</v>
      </c>
      <c r="J836" s="7" t="s">
        <v>104</v>
      </c>
      <c r="K836" s="7" t="s">
        <v>105</v>
      </c>
      <c r="L836" s="7" t="s">
        <v>353</v>
      </c>
      <c r="M836" s="7" t="s">
        <v>419</v>
      </c>
      <c r="N836" s="7" t="s">
        <v>6512</v>
      </c>
      <c r="O836" s="7"/>
      <c r="P836" s="7" t="s">
        <v>135</v>
      </c>
      <c r="Q836" s="7"/>
      <c r="R836" s="7"/>
      <c r="S836" s="7"/>
      <c r="T836" s="7" t="n">
        <v>0.195</v>
      </c>
      <c r="U836" s="7" t="n">
        <v>1</v>
      </c>
      <c r="V836" s="7" t="s">
        <v>90</v>
      </c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 t="s">
        <v>1848</v>
      </c>
      <c r="AH836" s="7" t="s">
        <v>1956</v>
      </c>
      <c r="AI836" s="7"/>
      <c r="AJ836" s="7"/>
      <c r="AK836" s="7"/>
      <c r="AL836" s="7"/>
      <c r="AM836" s="7" t="s">
        <v>1848</v>
      </c>
      <c r="AN836" s="7" t="s">
        <v>1957</v>
      </c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 t="s">
        <v>427</v>
      </c>
      <c r="BD836" s="7" t="s">
        <v>440</v>
      </c>
      <c r="BE836" s="7" t="s">
        <v>127</v>
      </c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</row>
    <row r="837" customFormat="false" ht="15" hidden="false" customHeight="false" outlineLevel="0" collapsed="false">
      <c r="A837" s="7" t="s">
        <v>6513</v>
      </c>
      <c r="B837" s="7" t="s">
        <v>6514</v>
      </c>
      <c r="C837" s="7" t="s">
        <v>6515</v>
      </c>
      <c r="D837" s="7" t="s">
        <v>6516</v>
      </c>
      <c r="E837" s="7" t="s">
        <v>101</v>
      </c>
      <c r="F837" s="7" t="s">
        <v>101</v>
      </c>
      <c r="G837" s="7"/>
      <c r="H837" s="7" t="s">
        <v>102</v>
      </c>
      <c r="I837" s="7" t="s">
        <v>158</v>
      </c>
      <c r="J837" s="7" t="s">
        <v>104</v>
      </c>
      <c r="K837" s="7" t="s">
        <v>105</v>
      </c>
      <c r="L837" s="7" t="s">
        <v>353</v>
      </c>
      <c r="M837" s="7" t="s">
        <v>419</v>
      </c>
      <c r="N837" s="7" t="s">
        <v>6517</v>
      </c>
      <c r="O837" s="7"/>
      <c r="P837" s="7" t="s">
        <v>135</v>
      </c>
      <c r="Q837" s="7"/>
      <c r="R837" s="7"/>
      <c r="S837" s="7"/>
      <c r="T837" s="7" t="n">
        <v>0.185</v>
      </c>
      <c r="U837" s="7" t="n">
        <v>1</v>
      </c>
      <c r="V837" s="7" t="s">
        <v>90</v>
      </c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 t="s">
        <v>1848</v>
      </c>
      <c r="AH837" s="7" t="s">
        <v>1956</v>
      </c>
      <c r="AI837" s="7"/>
      <c r="AJ837" s="7"/>
      <c r="AK837" s="7"/>
      <c r="AL837" s="7"/>
      <c r="AM837" s="7" t="s">
        <v>1848</v>
      </c>
      <c r="AN837" s="7" t="s">
        <v>1957</v>
      </c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 t="s">
        <v>427</v>
      </c>
      <c r="BD837" s="7" t="s">
        <v>440</v>
      </c>
      <c r="BE837" s="7" t="s">
        <v>127</v>
      </c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</row>
    <row r="838" customFormat="false" ht="15" hidden="false" customHeight="false" outlineLevel="0" collapsed="false">
      <c r="A838" s="7" t="s">
        <v>6518</v>
      </c>
      <c r="B838" s="7" t="s">
        <v>6519</v>
      </c>
      <c r="C838" s="7" t="s">
        <v>6520</v>
      </c>
      <c r="D838" s="7" t="s">
        <v>6521</v>
      </c>
      <c r="E838" s="7" t="s">
        <v>101</v>
      </c>
      <c r="F838" s="7" t="s">
        <v>101</v>
      </c>
      <c r="G838" s="7"/>
      <c r="H838" s="7" t="s">
        <v>102</v>
      </c>
      <c r="I838" s="7" t="s">
        <v>158</v>
      </c>
      <c r="J838" s="7" t="s">
        <v>104</v>
      </c>
      <c r="K838" s="7" t="s">
        <v>105</v>
      </c>
      <c r="L838" s="7" t="s">
        <v>353</v>
      </c>
      <c r="M838" s="7" t="s">
        <v>419</v>
      </c>
      <c r="N838" s="7" t="s">
        <v>6522</v>
      </c>
      <c r="O838" s="7"/>
      <c r="P838" s="7" t="s">
        <v>135</v>
      </c>
      <c r="Q838" s="7"/>
      <c r="R838" s="7"/>
      <c r="S838" s="7"/>
      <c r="T838" s="7" t="n">
        <v>0.253</v>
      </c>
      <c r="U838" s="7" t="n">
        <v>1</v>
      </c>
      <c r="V838" s="7" t="s">
        <v>90</v>
      </c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 t="s">
        <v>1848</v>
      </c>
      <c r="AH838" s="7" t="s">
        <v>1956</v>
      </c>
      <c r="AI838" s="7"/>
      <c r="AJ838" s="7"/>
      <c r="AK838" s="7"/>
      <c r="AL838" s="7"/>
      <c r="AM838" s="7" t="s">
        <v>1848</v>
      </c>
      <c r="AN838" s="7" t="s">
        <v>1957</v>
      </c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 t="s">
        <v>427</v>
      </c>
      <c r="BD838" s="7" t="s">
        <v>440</v>
      </c>
      <c r="BE838" s="7" t="s">
        <v>127</v>
      </c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</row>
    <row r="839" customFormat="false" ht="15" hidden="false" customHeight="false" outlineLevel="0" collapsed="false">
      <c r="A839" s="7" t="s">
        <v>6523</v>
      </c>
      <c r="B839" s="7" t="s">
        <v>6524</v>
      </c>
      <c r="C839" s="7" t="s">
        <v>6525</v>
      </c>
      <c r="D839" s="7" t="s">
        <v>6526</v>
      </c>
      <c r="E839" s="7" t="s">
        <v>101</v>
      </c>
      <c r="F839" s="7" t="s">
        <v>101</v>
      </c>
      <c r="G839" s="7"/>
      <c r="H839" s="7" t="s">
        <v>102</v>
      </c>
      <c r="I839" s="7" t="s">
        <v>158</v>
      </c>
      <c r="J839" s="7" t="s">
        <v>104</v>
      </c>
      <c r="K839" s="7" t="s">
        <v>105</v>
      </c>
      <c r="L839" s="7" t="s">
        <v>353</v>
      </c>
      <c r="M839" s="7" t="s">
        <v>419</v>
      </c>
      <c r="N839" s="7" t="s">
        <v>6527</v>
      </c>
      <c r="O839" s="7"/>
      <c r="P839" s="7" t="s">
        <v>135</v>
      </c>
      <c r="Q839" s="7"/>
      <c r="R839" s="7"/>
      <c r="S839" s="7"/>
      <c r="T839" s="7" t="n">
        <v>0.222</v>
      </c>
      <c r="U839" s="7" t="n">
        <v>1</v>
      </c>
      <c r="V839" s="7" t="s">
        <v>90</v>
      </c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 t="s">
        <v>1848</v>
      </c>
      <c r="AH839" s="7" t="s">
        <v>1956</v>
      </c>
      <c r="AI839" s="7"/>
      <c r="AJ839" s="7"/>
      <c r="AK839" s="7"/>
      <c r="AL839" s="7"/>
      <c r="AM839" s="7" t="s">
        <v>1848</v>
      </c>
      <c r="AN839" s="7" t="s">
        <v>1957</v>
      </c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 t="s">
        <v>427</v>
      </c>
      <c r="BD839" s="7" t="s">
        <v>440</v>
      </c>
      <c r="BE839" s="7" t="s">
        <v>127</v>
      </c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</row>
    <row r="840" customFormat="false" ht="15" hidden="false" customHeight="false" outlineLevel="0" collapsed="false">
      <c r="A840" s="7" t="s">
        <v>6528</v>
      </c>
      <c r="B840" s="7" t="s">
        <v>6529</v>
      </c>
      <c r="C840" s="7" t="s">
        <v>6530</v>
      </c>
      <c r="D840" s="7" t="s">
        <v>6531</v>
      </c>
      <c r="E840" s="7" t="s">
        <v>101</v>
      </c>
      <c r="F840" s="7" t="s">
        <v>101</v>
      </c>
      <c r="G840" s="7"/>
      <c r="H840" s="7" t="s">
        <v>102</v>
      </c>
      <c r="I840" s="7" t="s">
        <v>158</v>
      </c>
      <c r="J840" s="7" t="s">
        <v>104</v>
      </c>
      <c r="K840" s="7" t="s">
        <v>105</v>
      </c>
      <c r="L840" s="7" t="s">
        <v>353</v>
      </c>
      <c r="M840" s="7" t="s">
        <v>419</v>
      </c>
      <c r="N840" s="7" t="s">
        <v>6532</v>
      </c>
      <c r="O840" s="7"/>
      <c r="P840" s="7" t="s">
        <v>135</v>
      </c>
      <c r="Q840" s="7"/>
      <c r="R840" s="7"/>
      <c r="S840" s="7"/>
      <c r="T840" s="7" t="n">
        <v>0.205</v>
      </c>
      <c r="U840" s="7" t="n">
        <v>1</v>
      </c>
      <c r="V840" s="7" t="s">
        <v>90</v>
      </c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 t="s">
        <v>1848</v>
      </c>
      <c r="AH840" s="7" t="s">
        <v>1956</v>
      </c>
      <c r="AI840" s="7"/>
      <c r="AJ840" s="7"/>
      <c r="AK840" s="7"/>
      <c r="AL840" s="7"/>
      <c r="AM840" s="7" t="s">
        <v>1848</v>
      </c>
      <c r="AN840" s="7" t="s">
        <v>1957</v>
      </c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 t="s">
        <v>427</v>
      </c>
      <c r="BD840" s="7" t="s">
        <v>440</v>
      </c>
      <c r="BE840" s="7" t="s">
        <v>127</v>
      </c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</row>
    <row r="841" customFormat="false" ht="15" hidden="false" customHeight="false" outlineLevel="0" collapsed="false">
      <c r="A841" s="7" t="s">
        <v>6533</v>
      </c>
      <c r="B841" s="7" t="s">
        <v>6534</v>
      </c>
      <c r="C841" s="7" t="s">
        <v>6535</v>
      </c>
      <c r="D841" s="7" t="s">
        <v>6536</v>
      </c>
      <c r="E841" s="7" t="s">
        <v>101</v>
      </c>
      <c r="F841" s="7" t="s">
        <v>101</v>
      </c>
      <c r="G841" s="7"/>
      <c r="H841" s="7" t="s">
        <v>102</v>
      </c>
      <c r="I841" s="7" t="s">
        <v>158</v>
      </c>
      <c r="J841" s="7" t="s">
        <v>104</v>
      </c>
      <c r="K841" s="7" t="s">
        <v>105</v>
      </c>
      <c r="L841" s="7" t="s">
        <v>353</v>
      </c>
      <c r="M841" s="7" t="s">
        <v>419</v>
      </c>
      <c r="N841" s="7" t="s">
        <v>6537</v>
      </c>
      <c r="O841" s="7" t="s">
        <v>6537</v>
      </c>
      <c r="P841" s="7" t="s">
        <v>135</v>
      </c>
      <c r="Q841" s="7"/>
      <c r="R841" s="7" t="s">
        <v>109</v>
      </c>
      <c r="S841" s="7" t="s">
        <v>110</v>
      </c>
      <c r="T841" s="7" t="n">
        <v>0.291</v>
      </c>
      <c r="U841" s="7" t="n">
        <v>1</v>
      </c>
      <c r="V841" s="7" t="s">
        <v>90</v>
      </c>
      <c r="W841" s="7"/>
      <c r="X841" s="7"/>
      <c r="Y841" s="7"/>
      <c r="Z841" s="7"/>
      <c r="AA841" s="7"/>
      <c r="AB841" s="7"/>
      <c r="AC841" s="7" t="n">
        <v>2</v>
      </c>
      <c r="AD841" s="7" t="s">
        <v>1954</v>
      </c>
      <c r="AE841" s="7"/>
      <c r="AF841" s="7"/>
      <c r="AG841" s="7" t="s">
        <v>1848</v>
      </c>
      <c r="AH841" s="7" t="s">
        <v>1956</v>
      </c>
      <c r="AI841" s="7"/>
      <c r="AJ841" s="7"/>
      <c r="AK841" s="7"/>
      <c r="AL841" s="7"/>
      <c r="AM841" s="7" t="s">
        <v>1848</v>
      </c>
      <c r="AN841" s="7" t="s">
        <v>1957</v>
      </c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 t="s">
        <v>427</v>
      </c>
      <c r="BD841" s="7" t="s">
        <v>440</v>
      </c>
      <c r="BE841" s="7" t="s">
        <v>127</v>
      </c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</row>
    <row r="842" customFormat="false" ht="15" hidden="false" customHeight="false" outlineLevel="0" collapsed="false">
      <c r="A842" s="7" t="s">
        <v>6538</v>
      </c>
      <c r="B842" s="7" t="s">
        <v>6539</v>
      </c>
      <c r="C842" s="7" t="s">
        <v>6540</v>
      </c>
      <c r="D842" s="7" t="s">
        <v>6541</v>
      </c>
      <c r="E842" s="7" t="s">
        <v>101</v>
      </c>
      <c r="F842" s="7" t="s">
        <v>101</v>
      </c>
      <c r="G842" s="7"/>
      <c r="H842" s="7" t="s">
        <v>102</v>
      </c>
      <c r="I842" s="7" t="s">
        <v>132</v>
      </c>
      <c r="J842" s="7" t="s">
        <v>104</v>
      </c>
      <c r="K842" s="7" t="s">
        <v>105</v>
      </c>
      <c r="L842" s="7" t="s">
        <v>106</v>
      </c>
      <c r="M842" s="7" t="s">
        <v>419</v>
      </c>
      <c r="N842" s="7" t="s">
        <v>6542</v>
      </c>
      <c r="O842" s="7" t="s">
        <v>6542</v>
      </c>
      <c r="P842" s="7" t="s">
        <v>135</v>
      </c>
      <c r="Q842" s="7"/>
      <c r="R842" s="7" t="s">
        <v>109</v>
      </c>
      <c r="S842" s="7" t="s">
        <v>110</v>
      </c>
      <c r="T842" s="7" t="n">
        <v>0.133</v>
      </c>
      <c r="U842" s="7" t="n">
        <v>1</v>
      </c>
      <c r="V842" s="7" t="s">
        <v>90</v>
      </c>
      <c r="W842" s="7"/>
      <c r="X842" s="7"/>
      <c r="Y842" s="7"/>
      <c r="Z842" s="7"/>
      <c r="AA842" s="7"/>
      <c r="AB842" s="7"/>
      <c r="AC842" s="7" t="n">
        <v>2</v>
      </c>
      <c r="AD842" s="7" t="s">
        <v>1954</v>
      </c>
      <c r="AE842" s="7"/>
      <c r="AF842" s="7"/>
      <c r="AG842" s="7" t="s">
        <v>1848</v>
      </c>
      <c r="AH842" s="7" t="s">
        <v>1956</v>
      </c>
      <c r="AI842" s="7"/>
      <c r="AJ842" s="7"/>
      <c r="AK842" s="7"/>
      <c r="AL842" s="7"/>
      <c r="AM842" s="7" t="s">
        <v>1848</v>
      </c>
      <c r="AN842" s="7" t="s">
        <v>1957</v>
      </c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 t="s">
        <v>427</v>
      </c>
      <c r="BD842" s="7" t="s">
        <v>440</v>
      </c>
      <c r="BE842" s="7" t="s">
        <v>127</v>
      </c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</row>
    <row r="843" customFormat="false" ht="15" hidden="false" customHeight="false" outlineLevel="0" collapsed="false">
      <c r="A843" s="7" t="s">
        <v>6543</v>
      </c>
      <c r="B843" s="7" t="s">
        <v>6544</v>
      </c>
      <c r="C843" s="7" t="s">
        <v>6545</v>
      </c>
      <c r="D843" s="7" t="s">
        <v>6546</v>
      </c>
      <c r="E843" s="7" t="s">
        <v>101</v>
      </c>
      <c r="F843" s="7" t="s">
        <v>101</v>
      </c>
      <c r="G843" s="7"/>
      <c r="H843" s="7" t="s">
        <v>102</v>
      </c>
      <c r="I843" s="7" t="s">
        <v>158</v>
      </c>
      <c r="J843" s="7" t="s">
        <v>104</v>
      </c>
      <c r="K843" s="7" t="s">
        <v>105</v>
      </c>
      <c r="L843" s="7" t="s">
        <v>353</v>
      </c>
      <c r="M843" s="7" t="s">
        <v>419</v>
      </c>
      <c r="N843" s="7" t="s">
        <v>6547</v>
      </c>
      <c r="O843" s="7" t="s">
        <v>6547</v>
      </c>
      <c r="P843" s="7" t="s">
        <v>135</v>
      </c>
      <c r="Q843" s="7"/>
      <c r="R843" s="7" t="s">
        <v>109</v>
      </c>
      <c r="S843" s="7" t="s">
        <v>110</v>
      </c>
      <c r="T843" s="7" t="n">
        <v>0.166</v>
      </c>
      <c r="U843" s="7" t="n">
        <v>1</v>
      </c>
      <c r="V843" s="7" t="s">
        <v>90</v>
      </c>
      <c r="W843" s="7"/>
      <c r="X843" s="7"/>
      <c r="Y843" s="7"/>
      <c r="Z843" s="7"/>
      <c r="AA843" s="7"/>
      <c r="AB843" s="7"/>
      <c r="AC843" s="7" t="n">
        <v>2</v>
      </c>
      <c r="AD843" s="7" t="s">
        <v>1954</v>
      </c>
      <c r="AE843" s="7"/>
      <c r="AF843" s="7"/>
      <c r="AG843" s="7" t="s">
        <v>1848</v>
      </c>
      <c r="AH843" s="7" t="s">
        <v>1956</v>
      </c>
      <c r="AI843" s="7"/>
      <c r="AJ843" s="7"/>
      <c r="AK843" s="7"/>
      <c r="AL843" s="7"/>
      <c r="AM843" s="7" t="s">
        <v>1848</v>
      </c>
      <c r="AN843" s="7" t="s">
        <v>1957</v>
      </c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 t="s">
        <v>427</v>
      </c>
      <c r="BD843" s="7" t="s">
        <v>440</v>
      </c>
      <c r="BE843" s="7" t="s">
        <v>127</v>
      </c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</row>
    <row r="844" customFormat="false" ht="15" hidden="false" customHeight="false" outlineLevel="0" collapsed="false">
      <c r="A844" s="7" t="s">
        <v>6548</v>
      </c>
      <c r="B844" s="7" t="s">
        <v>6549</v>
      </c>
      <c r="C844" s="7" t="s">
        <v>6550</v>
      </c>
      <c r="D844" s="7" t="s">
        <v>6551</v>
      </c>
      <c r="E844" s="7" t="s">
        <v>101</v>
      </c>
      <c r="F844" s="7" t="s">
        <v>101</v>
      </c>
      <c r="G844" s="7"/>
      <c r="H844" s="7" t="s">
        <v>102</v>
      </c>
      <c r="I844" s="7" t="s">
        <v>158</v>
      </c>
      <c r="J844" s="7" t="s">
        <v>104</v>
      </c>
      <c r="K844" s="7" t="s">
        <v>105</v>
      </c>
      <c r="L844" s="7" t="s">
        <v>353</v>
      </c>
      <c r="M844" s="7" t="s">
        <v>419</v>
      </c>
      <c r="N844" s="7" t="s">
        <v>6552</v>
      </c>
      <c r="O844" s="7"/>
      <c r="P844" s="7" t="s">
        <v>135</v>
      </c>
      <c r="Q844" s="7"/>
      <c r="R844" s="7"/>
      <c r="S844" s="7"/>
      <c r="T844" s="7" t="n">
        <v>0.206</v>
      </c>
      <c r="U844" s="7" t="n">
        <v>1</v>
      </c>
      <c r="V844" s="7" t="s">
        <v>90</v>
      </c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 t="s">
        <v>1848</v>
      </c>
      <c r="AH844" s="7" t="s">
        <v>1956</v>
      </c>
      <c r="AI844" s="7"/>
      <c r="AJ844" s="7"/>
      <c r="AK844" s="7"/>
      <c r="AL844" s="7"/>
      <c r="AM844" s="7" t="s">
        <v>1848</v>
      </c>
      <c r="AN844" s="7" t="s">
        <v>1957</v>
      </c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 t="s">
        <v>427</v>
      </c>
      <c r="BD844" s="7" t="s">
        <v>440</v>
      </c>
      <c r="BE844" s="7" t="s">
        <v>127</v>
      </c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</row>
    <row r="845" customFormat="false" ht="15" hidden="false" customHeight="false" outlineLevel="0" collapsed="false">
      <c r="A845" s="7" t="s">
        <v>6553</v>
      </c>
      <c r="B845" s="7" t="s">
        <v>6554</v>
      </c>
      <c r="C845" s="7" t="s">
        <v>6555</v>
      </c>
      <c r="D845" s="7" t="s">
        <v>6556</v>
      </c>
      <c r="E845" s="7" t="s">
        <v>101</v>
      </c>
      <c r="F845" s="7" t="s">
        <v>101</v>
      </c>
      <c r="G845" s="7"/>
      <c r="H845" s="7" t="s">
        <v>102</v>
      </c>
      <c r="I845" s="7" t="s">
        <v>158</v>
      </c>
      <c r="J845" s="7" t="s">
        <v>104</v>
      </c>
      <c r="K845" s="7" t="s">
        <v>105</v>
      </c>
      <c r="L845" s="7" t="s">
        <v>106</v>
      </c>
      <c r="M845" s="7" t="s">
        <v>419</v>
      </c>
      <c r="N845" s="7" t="s">
        <v>6557</v>
      </c>
      <c r="O845" s="7" t="s">
        <v>6557</v>
      </c>
      <c r="P845" s="7" t="s">
        <v>135</v>
      </c>
      <c r="Q845" s="7"/>
      <c r="R845" s="7" t="s">
        <v>109</v>
      </c>
      <c r="S845" s="7" t="s">
        <v>110</v>
      </c>
      <c r="T845" s="7" t="n">
        <v>0.261</v>
      </c>
      <c r="U845" s="7" t="n">
        <v>1</v>
      </c>
      <c r="V845" s="7" t="s">
        <v>90</v>
      </c>
      <c r="W845" s="7"/>
      <c r="X845" s="7"/>
      <c r="Y845" s="7"/>
      <c r="Z845" s="7"/>
      <c r="AA845" s="7"/>
      <c r="AB845" s="7"/>
      <c r="AC845" s="7" t="n">
        <v>2</v>
      </c>
      <c r="AD845" s="7" t="s">
        <v>1954</v>
      </c>
      <c r="AE845" s="7"/>
      <c r="AF845" s="7"/>
      <c r="AG845" s="7" t="s">
        <v>1848</v>
      </c>
      <c r="AH845" s="7" t="s">
        <v>1956</v>
      </c>
      <c r="AI845" s="7"/>
      <c r="AJ845" s="7"/>
      <c r="AK845" s="7"/>
      <c r="AL845" s="7"/>
      <c r="AM845" s="7" t="s">
        <v>1848</v>
      </c>
      <c r="AN845" s="7" t="s">
        <v>1957</v>
      </c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 t="s">
        <v>427</v>
      </c>
      <c r="BD845" s="7" t="s">
        <v>440</v>
      </c>
      <c r="BE845" s="7" t="s">
        <v>127</v>
      </c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</row>
    <row r="846" customFormat="false" ht="15" hidden="false" customHeight="false" outlineLevel="0" collapsed="false">
      <c r="A846" s="7" t="s">
        <v>6558</v>
      </c>
      <c r="B846" s="7" t="s">
        <v>6559</v>
      </c>
      <c r="C846" s="7" t="s">
        <v>6560</v>
      </c>
      <c r="D846" s="7" t="s">
        <v>6561</v>
      </c>
      <c r="E846" s="7" t="s">
        <v>101</v>
      </c>
      <c r="F846" s="7" t="s">
        <v>101</v>
      </c>
      <c r="G846" s="7"/>
      <c r="H846" s="7" t="s">
        <v>102</v>
      </c>
      <c r="I846" s="7" t="s">
        <v>158</v>
      </c>
      <c r="J846" s="7" t="s">
        <v>104</v>
      </c>
      <c r="K846" s="7" t="s">
        <v>105</v>
      </c>
      <c r="L846" s="7" t="s">
        <v>353</v>
      </c>
      <c r="M846" s="7" t="s">
        <v>419</v>
      </c>
      <c r="N846" s="7" t="s">
        <v>6562</v>
      </c>
      <c r="O846" s="7" t="s">
        <v>6562</v>
      </c>
      <c r="P846" s="7" t="s">
        <v>135</v>
      </c>
      <c r="Q846" s="7"/>
      <c r="R846" s="7" t="s">
        <v>109</v>
      </c>
      <c r="S846" s="7" t="s">
        <v>110</v>
      </c>
      <c r="T846" s="7" t="n">
        <v>0.415</v>
      </c>
      <c r="U846" s="7" t="n">
        <v>1</v>
      </c>
      <c r="V846" s="7" t="s">
        <v>90</v>
      </c>
      <c r="W846" s="7"/>
      <c r="X846" s="7"/>
      <c r="Y846" s="7"/>
      <c r="Z846" s="7"/>
      <c r="AA846" s="7"/>
      <c r="AB846" s="7"/>
      <c r="AC846" s="7" t="n">
        <v>2</v>
      </c>
      <c r="AD846" s="7" t="s">
        <v>1954</v>
      </c>
      <c r="AE846" s="7"/>
      <c r="AF846" s="7"/>
      <c r="AG846" s="7" t="s">
        <v>1848</v>
      </c>
      <c r="AH846" s="7" t="s">
        <v>1956</v>
      </c>
      <c r="AI846" s="7"/>
      <c r="AJ846" s="7"/>
      <c r="AK846" s="7"/>
      <c r="AL846" s="7"/>
      <c r="AM846" s="7" t="s">
        <v>1848</v>
      </c>
      <c r="AN846" s="7" t="s">
        <v>1957</v>
      </c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 t="s">
        <v>427</v>
      </c>
      <c r="BD846" s="7" t="s">
        <v>440</v>
      </c>
      <c r="BE846" s="7" t="s">
        <v>127</v>
      </c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</row>
    <row r="847" customFormat="false" ht="15" hidden="false" customHeight="false" outlineLevel="0" collapsed="false">
      <c r="A847" s="7" t="s">
        <v>6563</v>
      </c>
      <c r="B847" s="7" t="s">
        <v>6564</v>
      </c>
      <c r="C847" s="7" t="s">
        <v>6565</v>
      </c>
      <c r="D847" s="7"/>
      <c r="E847" s="7" t="s">
        <v>101</v>
      </c>
      <c r="F847" s="7" t="s">
        <v>101</v>
      </c>
      <c r="G847" s="7"/>
      <c r="H847" s="7" t="s">
        <v>102</v>
      </c>
      <c r="I847" s="7" t="s">
        <v>132</v>
      </c>
      <c r="J847" s="7" t="s">
        <v>104</v>
      </c>
      <c r="K847" s="7" t="s">
        <v>105</v>
      </c>
      <c r="L847" s="7" t="s">
        <v>106</v>
      </c>
      <c r="M847" s="7" t="s">
        <v>419</v>
      </c>
      <c r="N847" s="7" t="s">
        <v>1240</v>
      </c>
      <c r="O847" s="7"/>
      <c r="P847" s="7" t="s">
        <v>135</v>
      </c>
      <c r="Q847" s="7"/>
      <c r="R847" s="7" t="s">
        <v>135</v>
      </c>
      <c r="S847" s="7" t="s">
        <v>136</v>
      </c>
      <c r="T847" s="7" t="n">
        <v>0.534</v>
      </c>
      <c r="U847" s="7" t="n">
        <v>1</v>
      </c>
      <c r="V847" s="7" t="s">
        <v>90</v>
      </c>
      <c r="W847" s="7"/>
      <c r="X847" s="7"/>
      <c r="Y847" s="7" t="s">
        <v>1240</v>
      </c>
      <c r="Z847" s="7"/>
      <c r="AA847" s="7"/>
      <c r="AB847" s="7"/>
      <c r="AC847" s="7" t="n">
        <v>6</v>
      </c>
      <c r="AD847" s="7" t="s">
        <v>1235</v>
      </c>
      <c r="AE847" s="7" t="s">
        <v>744</v>
      </c>
      <c r="AF847" s="7" t="s">
        <v>1236</v>
      </c>
      <c r="AG847" s="7" t="s">
        <v>744</v>
      </c>
      <c r="AH847" s="7" t="s">
        <v>1237</v>
      </c>
      <c r="AI847" s="7"/>
      <c r="AJ847" s="7"/>
      <c r="AK847" s="7"/>
      <c r="AL847" s="7"/>
      <c r="AM847" s="7" t="s">
        <v>744</v>
      </c>
      <c r="AN847" s="7" t="s">
        <v>1238</v>
      </c>
      <c r="AO847" s="7" t="s">
        <v>744</v>
      </c>
      <c r="AP847" s="7" t="s">
        <v>1230</v>
      </c>
      <c r="AQ847" s="7" t="s">
        <v>744</v>
      </c>
      <c r="AR847" s="7" t="s">
        <v>1239</v>
      </c>
      <c r="AS847" s="7"/>
      <c r="AT847" s="7"/>
      <c r="AU847" s="7"/>
      <c r="AV847" s="7"/>
      <c r="AW847" s="7" t="s">
        <v>744</v>
      </c>
      <c r="AX847" s="7" t="s">
        <v>1240</v>
      </c>
      <c r="AY847" s="7"/>
      <c r="AZ847" s="7"/>
      <c r="BA847" s="7"/>
      <c r="BB847" s="7"/>
      <c r="BC847" s="7" t="s">
        <v>427</v>
      </c>
      <c r="BD847" s="7"/>
      <c r="BE847" s="7" t="s">
        <v>127</v>
      </c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</row>
    <row r="848" customFormat="false" ht="15" hidden="false" customHeight="false" outlineLevel="0" collapsed="false">
      <c r="A848" s="7" t="s">
        <v>6566</v>
      </c>
      <c r="B848" s="7" t="s">
        <v>6567</v>
      </c>
      <c r="C848" s="7" t="s">
        <v>6568</v>
      </c>
      <c r="D848" s="7" t="s">
        <v>6569</v>
      </c>
      <c r="E848" s="7" t="s">
        <v>101</v>
      </c>
      <c r="F848" s="7" t="s">
        <v>101</v>
      </c>
      <c r="G848" s="7"/>
      <c r="H848" s="7" t="s">
        <v>102</v>
      </c>
      <c r="I848" s="7" t="s">
        <v>1639</v>
      </c>
      <c r="J848" s="7" t="s">
        <v>104</v>
      </c>
      <c r="K848" s="7" t="s">
        <v>105</v>
      </c>
      <c r="L848" s="7" t="s">
        <v>106</v>
      </c>
      <c r="M848" s="7" t="s">
        <v>419</v>
      </c>
      <c r="N848" s="7" t="s">
        <v>6570</v>
      </c>
      <c r="O848" s="7" t="s">
        <v>6570</v>
      </c>
      <c r="P848" s="7" t="s">
        <v>135</v>
      </c>
      <c r="Q848" s="7"/>
      <c r="R848" s="7" t="s">
        <v>109</v>
      </c>
      <c r="S848" s="7" t="s">
        <v>110</v>
      </c>
      <c r="T848" s="7" t="n">
        <v>0.249</v>
      </c>
      <c r="U848" s="7" t="n">
        <v>1</v>
      </c>
      <c r="V848" s="7" t="s">
        <v>90</v>
      </c>
      <c r="W848" s="7"/>
      <c r="X848" s="7"/>
      <c r="Y848" s="7"/>
      <c r="Z848" s="7"/>
      <c r="AA848" s="7"/>
      <c r="AB848" s="7"/>
      <c r="AC848" s="7" t="n">
        <v>2</v>
      </c>
      <c r="AD848" s="7" t="s">
        <v>1954</v>
      </c>
      <c r="AE848" s="7"/>
      <c r="AF848" s="7"/>
      <c r="AG848" s="7" t="s">
        <v>1848</v>
      </c>
      <c r="AH848" s="7" t="s">
        <v>1956</v>
      </c>
      <c r="AI848" s="7"/>
      <c r="AJ848" s="7"/>
      <c r="AK848" s="7"/>
      <c r="AL848" s="7"/>
      <c r="AM848" s="7" t="s">
        <v>1848</v>
      </c>
      <c r="AN848" s="7" t="s">
        <v>1957</v>
      </c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 t="s">
        <v>427</v>
      </c>
      <c r="BD848" s="7" t="s">
        <v>440</v>
      </c>
      <c r="BE848" s="7" t="s">
        <v>127</v>
      </c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</row>
    <row r="849" customFormat="false" ht="15" hidden="false" customHeight="false" outlineLevel="0" collapsed="false">
      <c r="A849" s="7" t="s">
        <v>6571</v>
      </c>
      <c r="B849" s="7" t="s">
        <v>6572</v>
      </c>
      <c r="C849" s="7" t="s">
        <v>6573</v>
      </c>
      <c r="D849" s="7"/>
      <c r="E849" s="7" t="s">
        <v>101</v>
      </c>
      <c r="F849" s="7" t="s">
        <v>507</v>
      </c>
      <c r="G849" s="7"/>
      <c r="H849" s="7" t="s">
        <v>102</v>
      </c>
      <c r="I849" s="7" t="s">
        <v>158</v>
      </c>
      <c r="J849" s="7" t="s">
        <v>104</v>
      </c>
      <c r="K849" s="7" t="s">
        <v>105</v>
      </c>
      <c r="L849" s="7" t="s">
        <v>353</v>
      </c>
      <c r="M849" s="7" t="s">
        <v>419</v>
      </c>
      <c r="N849" s="7" t="s">
        <v>6574</v>
      </c>
      <c r="O849" s="7"/>
      <c r="P849" s="7" t="s">
        <v>135</v>
      </c>
      <c r="Q849" s="7"/>
      <c r="R849" s="7"/>
      <c r="S849" s="7"/>
      <c r="T849" s="7" t="n">
        <v>0.272</v>
      </c>
      <c r="U849" s="7" t="n">
        <v>1</v>
      </c>
      <c r="V849" s="7" t="s">
        <v>90</v>
      </c>
      <c r="W849" s="7"/>
      <c r="X849" s="7"/>
      <c r="Y849" s="7" t="s">
        <v>6574</v>
      </c>
      <c r="Z849" s="7"/>
      <c r="AA849" s="7"/>
      <c r="AB849" s="7"/>
      <c r="AC849" s="7"/>
      <c r="AD849" s="7"/>
      <c r="AE849" s="7"/>
      <c r="AF849" s="7"/>
      <c r="AG849" s="7" t="s">
        <v>1848</v>
      </c>
      <c r="AH849" s="7" t="s">
        <v>1956</v>
      </c>
      <c r="AI849" s="7"/>
      <c r="AJ849" s="7"/>
      <c r="AK849" s="7"/>
      <c r="AL849" s="7"/>
      <c r="AM849" s="7" t="s">
        <v>1848</v>
      </c>
      <c r="AN849" s="7" t="s">
        <v>1957</v>
      </c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 t="s">
        <v>427</v>
      </c>
      <c r="BD849" s="7" t="s">
        <v>747</v>
      </c>
      <c r="BE849" s="7" t="s">
        <v>127</v>
      </c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</row>
    <row r="850" customFormat="false" ht="15" hidden="false" customHeight="false" outlineLevel="0" collapsed="false">
      <c r="A850" s="7" t="s">
        <v>6575</v>
      </c>
      <c r="B850" s="7" t="s">
        <v>6576</v>
      </c>
      <c r="C850" s="7" t="s">
        <v>6577</v>
      </c>
      <c r="D850" s="7"/>
      <c r="E850" s="7" t="s">
        <v>101</v>
      </c>
      <c r="F850" s="7" t="s">
        <v>507</v>
      </c>
      <c r="G850" s="7"/>
      <c r="H850" s="7" t="s">
        <v>102</v>
      </c>
      <c r="I850" s="7" t="s">
        <v>132</v>
      </c>
      <c r="J850" s="7" t="s">
        <v>104</v>
      </c>
      <c r="K850" s="7" t="s">
        <v>105</v>
      </c>
      <c r="L850" s="7" t="s">
        <v>106</v>
      </c>
      <c r="M850" s="7" t="s">
        <v>419</v>
      </c>
      <c r="N850" s="7" t="s">
        <v>6578</v>
      </c>
      <c r="O850" s="7" t="s">
        <v>6578</v>
      </c>
      <c r="P850" s="7" t="s">
        <v>135</v>
      </c>
      <c r="Q850" s="7"/>
      <c r="R850" s="7" t="s">
        <v>109</v>
      </c>
      <c r="S850" s="7" t="s">
        <v>110</v>
      </c>
      <c r="T850" s="7" t="n">
        <v>0.179</v>
      </c>
      <c r="U850" s="7" t="n">
        <v>1</v>
      </c>
      <c r="V850" s="7" t="s">
        <v>90</v>
      </c>
      <c r="W850" s="7"/>
      <c r="X850" s="7"/>
      <c r="Y850" s="7" t="s">
        <v>6578</v>
      </c>
      <c r="Z850" s="7"/>
      <c r="AA850" s="7"/>
      <c r="AB850" s="7"/>
      <c r="AC850" s="7" t="n">
        <v>2</v>
      </c>
      <c r="AD850" s="7" t="s">
        <v>1954</v>
      </c>
      <c r="AE850" s="7"/>
      <c r="AF850" s="7"/>
      <c r="AG850" s="7" t="s">
        <v>1848</v>
      </c>
      <c r="AH850" s="7" t="s">
        <v>1956</v>
      </c>
      <c r="AI850" s="7"/>
      <c r="AJ850" s="7"/>
      <c r="AK850" s="7"/>
      <c r="AL850" s="7"/>
      <c r="AM850" s="7" t="s">
        <v>1848</v>
      </c>
      <c r="AN850" s="7" t="s">
        <v>1957</v>
      </c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 t="s">
        <v>427</v>
      </c>
      <c r="BD850" s="7" t="s">
        <v>747</v>
      </c>
      <c r="BE850" s="7" t="s">
        <v>127</v>
      </c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</row>
    <row r="851" customFormat="false" ht="15" hidden="false" customHeight="false" outlineLevel="0" collapsed="false">
      <c r="A851" s="7" t="s">
        <v>6579</v>
      </c>
      <c r="B851" s="7" t="s">
        <v>6580</v>
      </c>
      <c r="C851" s="7" t="s">
        <v>6581</v>
      </c>
      <c r="D851" s="7"/>
      <c r="E851" s="7" t="s">
        <v>101</v>
      </c>
      <c r="F851" s="7" t="s">
        <v>507</v>
      </c>
      <c r="G851" s="7"/>
      <c r="H851" s="7" t="s">
        <v>102</v>
      </c>
      <c r="I851" s="7" t="s">
        <v>132</v>
      </c>
      <c r="J851" s="7" t="s">
        <v>104</v>
      </c>
      <c r="K851" s="7" t="s">
        <v>105</v>
      </c>
      <c r="L851" s="7" t="s">
        <v>106</v>
      </c>
      <c r="M851" s="7" t="s">
        <v>419</v>
      </c>
      <c r="N851" s="7" t="s">
        <v>6582</v>
      </c>
      <c r="O851" s="7" t="s">
        <v>6582</v>
      </c>
      <c r="P851" s="7" t="s">
        <v>135</v>
      </c>
      <c r="Q851" s="7"/>
      <c r="R851" s="7" t="s">
        <v>109</v>
      </c>
      <c r="S851" s="7" t="s">
        <v>110</v>
      </c>
      <c r="T851" s="7" t="n">
        <v>0.232</v>
      </c>
      <c r="U851" s="7" t="n">
        <v>1</v>
      </c>
      <c r="V851" s="7" t="s">
        <v>90</v>
      </c>
      <c r="W851" s="7"/>
      <c r="X851" s="7"/>
      <c r="Y851" s="7" t="s">
        <v>6582</v>
      </c>
      <c r="Z851" s="7"/>
      <c r="AA851" s="7"/>
      <c r="AB851" s="7"/>
      <c r="AC851" s="7" t="n">
        <v>0</v>
      </c>
      <c r="AD851" s="7" t="s">
        <v>388</v>
      </c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 t="s">
        <v>427</v>
      </c>
      <c r="BD851" s="7" t="s">
        <v>747</v>
      </c>
      <c r="BE851" s="7" t="s">
        <v>127</v>
      </c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</row>
    <row r="852" customFormat="false" ht="15" hidden="false" customHeight="false" outlineLevel="0" collapsed="false">
      <c r="A852" s="7" t="s">
        <v>6583</v>
      </c>
      <c r="B852" s="7" t="s">
        <v>6584</v>
      </c>
      <c r="C852" s="7" t="s">
        <v>6585</v>
      </c>
      <c r="D852" s="7"/>
      <c r="E852" s="7" t="s">
        <v>101</v>
      </c>
      <c r="F852" s="7" t="s">
        <v>507</v>
      </c>
      <c r="G852" s="7"/>
      <c r="H852" s="7" t="s">
        <v>102</v>
      </c>
      <c r="I852" s="7" t="s">
        <v>158</v>
      </c>
      <c r="J852" s="7" t="s">
        <v>104</v>
      </c>
      <c r="K852" s="7" t="s">
        <v>105</v>
      </c>
      <c r="L852" s="7" t="s">
        <v>106</v>
      </c>
      <c r="M852" s="7" t="s">
        <v>419</v>
      </c>
      <c r="N852" s="7" t="s">
        <v>6586</v>
      </c>
      <c r="O852" s="7" t="s">
        <v>6586</v>
      </c>
      <c r="P852" s="7" t="s">
        <v>135</v>
      </c>
      <c r="Q852" s="7"/>
      <c r="R852" s="7" t="s">
        <v>84</v>
      </c>
      <c r="S852" s="7" t="s">
        <v>238</v>
      </c>
      <c r="T852" s="7" t="n">
        <v>0.586</v>
      </c>
      <c r="U852" s="7" t="n">
        <v>1</v>
      </c>
      <c r="V852" s="7" t="s">
        <v>90</v>
      </c>
      <c r="W852" s="7" t="s">
        <v>163</v>
      </c>
      <c r="X852" s="7" t="s">
        <v>283</v>
      </c>
      <c r="Y852" s="7" t="s">
        <v>6586</v>
      </c>
      <c r="Z852" s="7" t="s">
        <v>6587</v>
      </c>
      <c r="AA852" s="7"/>
      <c r="AB852" s="7"/>
      <c r="AC852" s="7" t="n">
        <v>12</v>
      </c>
      <c r="AD852" s="7"/>
      <c r="AE852" s="7" t="s">
        <v>619</v>
      </c>
      <c r="AF852" s="7" t="s">
        <v>6588</v>
      </c>
      <c r="AG852" s="7" t="s">
        <v>619</v>
      </c>
      <c r="AH852" s="7" t="s">
        <v>6589</v>
      </c>
      <c r="AI852" s="7" t="s">
        <v>619</v>
      </c>
      <c r="AJ852" s="7" t="s">
        <v>145</v>
      </c>
      <c r="AK852" s="7" t="s">
        <v>619</v>
      </c>
      <c r="AL852" s="7" t="s">
        <v>145</v>
      </c>
      <c r="AM852" s="7" t="s">
        <v>619</v>
      </c>
      <c r="AN852" s="7" t="s">
        <v>145</v>
      </c>
      <c r="AO852" s="7" t="s">
        <v>619</v>
      </c>
      <c r="AP852" s="7" t="s">
        <v>6590</v>
      </c>
      <c r="AQ852" s="7" t="s">
        <v>619</v>
      </c>
      <c r="AR852" s="7" t="s">
        <v>6591</v>
      </c>
      <c r="AS852" s="7" t="s">
        <v>619</v>
      </c>
      <c r="AT852" s="7" t="s">
        <v>122</v>
      </c>
      <c r="AU852" s="7" t="s">
        <v>619</v>
      </c>
      <c r="AV852" s="7" t="s">
        <v>145</v>
      </c>
      <c r="AW852" s="7" t="s">
        <v>619</v>
      </c>
      <c r="AX852" s="7" t="s">
        <v>6592</v>
      </c>
      <c r="AY852" s="7" t="s">
        <v>619</v>
      </c>
      <c r="AZ852" s="7" t="s">
        <v>6593</v>
      </c>
      <c r="BA852" s="7" t="s">
        <v>619</v>
      </c>
      <c r="BB852" s="7" t="s">
        <v>369</v>
      </c>
      <c r="BC852" s="7" t="s">
        <v>427</v>
      </c>
      <c r="BD852" s="7" t="s">
        <v>747</v>
      </c>
      <c r="BE852" s="7" t="s">
        <v>127</v>
      </c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</row>
    <row r="853" customFormat="false" ht="15" hidden="false" customHeight="false" outlineLevel="0" collapsed="false">
      <c r="A853" s="7" t="s">
        <v>6594</v>
      </c>
      <c r="B853" s="7" t="s">
        <v>6595</v>
      </c>
      <c r="C853" s="7" t="s">
        <v>6596</v>
      </c>
      <c r="D853" s="7"/>
      <c r="E853" s="7" t="s">
        <v>101</v>
      </c>
      <c r="F853" s="7" t="s">
        <v>507</v>
      </c>
      <c r="G853" s="7"/>
      <c r="H853" s="7" t="s">
        <v>102</v>
      </c>
      <c r="I853" s="7" t="s">
        <v>158</v>
      </c>
      <c r="J853" s="7" t="s">
        <v>104</v>
      </c>
      <c r="K853" s="7" t="s">
        <v>105</v>
      </c>
      <c r="L853" s="7" t="s">
        <v>106</v>
      </c>
      <c r="M853" s="7" t="s">
        <v>419</v>
      </c>
      <c r="N853" s="7" t="s">
        <v>6597</v>
      </c>
      <c r="O853" s="7" t="s">
        <v>6597</v>
      </c>
      <c r="P853" s="7" t="s">
        <v>135</v>
      </c>
      <c r="Q853" s="7"/>
      <c r="R853" s="7" t="s">
        <v>109</v>
      </c>
      <c r="S853" s="7" t="s">
        <v>110</v>
      </c>
      <c r="T853" s="7" t="n">
        <v>0.235</v>
      </c>
      <c r="U853" s="7" t="n">
        <v>1</v>
      </c>
      <c r="V853" s="7" t="s">
        <v>90</v>
      </c>
      <c r="W853" s="7"/>
      <c r="X853" s="7"/>
      <c r="Y853" s="7" t="s">
        <v>6597</v>
      </c>
      <c r="Z853" s="7"/>
      <c r="AA853" s="7"/>
      <c r="AB853" s="7"/>
      <c r="AC853" s="7" t="n">
        <v>0</v>
      </c>
      <c r="AD853" s="7" t="s">
        <v>388</v>
      </c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 t="s">
        <v>427</v>
      </c>
      <c r="BD853" s="7" t="s">
        <v>747</v>
      </c>
      <c r="BE853" s="7" t="s">
        <v>127</v>
      </c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</row>
    <row r="854" customFormat="false" ht="15" hidden="false" customHeight="false" outlineLevel="0" collapsed="false">
      <c r="A854" s="7" t="s">
        <v>6598</v>
      </c>
      <c r="B854" s="7" t="s">
        <v>6599</v>
      </c>
      <c r="C854" s="7" t="s">
        <v>6600</v>
      </c>
      <c r="D854" s="7"/>
      <c r="E854" s="7" t="s">
        <v>101</v>
      </c>
      <c r="F854" s="7" t="s">
        <v>507</v>
      </c>
      <c r="G854" s="7"/>
      <c r="H854" s="7" t="s">
        <v>102</v>
      </c>
      <c r="I854" s="7" t="s">
        <v>158</v>
      </c>
      <c r="J854" s="7" t="s">
        <v>104</v>
      </c>
      <c r="K854" s="7" t="s">
        <v>105</v>
      </c>
      <c r="L854" s="7" t="s">
        <v>106</v>
      </c>
      <c r="M854" s="7" t="s">
        <v>419</v>
      </c>
      <c r="N854" s="7" t="s">
        <v>6601</v>
      </c>
      <c r="O854" s="7" t="s">
        <v>6601</v>
      </c>
      <c r="P854" s="7" t="s">
        <v>135</v>
      </c>
      <c r="Q854" s="7"/>
      <c r="R854" s="7" t="s">
        <v>84</v>
      </c>
      <c r="S854" s="7" t="s">
        <v>238</v>
      </c>
      <c r="T854" s="7" t="n">
        <v>0.826</v>
      </c>
      <c r="U854" s="7" t="n">
        <v>1</v>
      </c>
      <c r="V854" s="7" t="s">
        <v>90</v>
      </c>
      <c r="W854" s="7" t="s">
        <v>186</v>
      </c>
      <c r="X854" s="7" t="s">
        <v>1810</v>
      </c>
      <c r="Y854" s="7" t="s">
        <v>6601</v>
      </c>
      <c r="Z854" s="7" t="s">
        <v>6602</v>
      </c>
      <c r="AA854" s="7"/>
      <c r="AB854" s="7"/>
      <c r="AC854" s="7" t="n">
        <v>12</v>
      </c>
      <c r="AD854" s="7"/>
      <c r="AE854" s="7" t="s">
        <v>619</v>
      </c>
      <c r="AF854" s="7" t="s">
        <v>6603</v>
      </c>
      <c r="AG854" s="7" t="s">
        <v>619</v>
      </c>
      <c r="AH854" s="7" t="s">
        <v>6604</v>
      </c>
      <c r="AI854" s="7" t="s">
        <v>619</v>
      </c>
      <c r="AJ854" s="7" t="s">
        <v>145</v>
      </c>
      <c r="AK854" s="7" t="s">
        <v>619</v>
      </c>
      <c r="AL854" s="7" t="s">
        <v>145</v>
      </c>
      <c r="AM854" s="7" t="s">
        <v>619</v>
      </c>
      <c r="AN854" s="7" t="s">
        <v>145</v>
      </c>
      <c r="AO854" s="7" t="s">
        <v>619</v>
      </c>
      <c r="AP854" s="7" t="s">
        <v>6605</v>
      </c>
      <c r="AQ854" s="7" t="s">
        <v>619</v>
      </c>
      <c r="AR854" s="7" t="s">
        <v>6606</v>
      </c>
      <c r="AS854" s="7" t="s">
        <v>619</v>
      </c>
      <c r="AT854" s="7" t="s">
        <v>6607</v>
      </c>
      <c r="AU854" s="7" t="s">
        <v>619</v>
      </c>
      <c r="AV854" s="7" t="s">
        <v>145</v>
      </c>
      <c r="AW854" s="7" t="s">
        <v>619</v>
      </c>
      <c r="AX854" s="7" t="s">
        <v>145</v>
      </c>
      <c r="AY854" s="7" t="s">
        <v>619</v>
      </c>
      <c r="AZ854" s="7" t="s">
        <v>6608</v>
      </c>
      <c r="BA854" s="7" t="s">
        <v>619</v>
      </c>
      <c r="BB854" s="7" t="s">
        <v>369</v>
      </c>
      <c r="BC854" s="7" t="s">
        <v>427</v>
      </c>
      <c r="BD854" s="7" t="s">
        <v>747</v>
      </c>
      <c r="BE854" s="7" t="s">
        <v>127</v>
      </c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</row>
    <row r="855" customFormat="false" ht="15" hidden="false" customHeight="false" outlineLevel="0" collapsed="false">
      <c r="A855" s="7" t="s">
        <v>6609</v>
      </c>
      <c r="B855" s="7" t="s">
        <v>6610</v>
      </c>
      <c r="C855" s="7" t="s">
        <v>6611</v>
      </c>
      <c r="D855" s="7"/>
      <c r="E855" s="7" t="s">
        <v>101</v>
      </c>
      <c r="F855" s="7" t="s">
        <v>507</v>
      </c>
      <c r="G855" s="7"/>
      <c r="H855" s="7" t="s">
        <v>102</v>
      </c>
      <c r="I855" s="7" t="s">
        <v>132</v>
      </c>
      <c r="J855" s="7" t="s">
        <v>104</v>
      </c>
      <c r="K855" s="7" t="s">
        <v>105</v>
      </c>
      <c r="L855" s="7" t="s">
        <v>106</v>
      </c>
      <c r="M855" s="7" t="s">
        <v>419</v>
      </c>
      <c r="N855" s="7" t="s">
        <v>6612</v>
      </c>
      <c r="O855" s="7" t="s">
        <v>6612</v>
      </c>
      <c r="P855" s="7" t="s">
        <v>135</v>
      </c>
      <c r="Q855" s="7"/>
      <c r="R855" s="7" t="s">
        <v>109</v>
      </c>
      <c r="S855" s="7" t="s">
        <v>110</v>
      </c>
      <c r="T855" s="7" t="n">
        <v>0.427</v>
      </c>
      <c r="U855" s="7" t="n">
        <v>1</v>
      </c>
      <c r="V855" s="7" t="s">
        <v>90</v>
      </c>
      <c r="W855" s="7"/>
      <c r="X855" s="7"/>
      <c r="Y855" s="7" t="s">
        <v>6612</v>
      </c>
      <c r="Z855" s="7"/>
      <c r="AA855" s="7"/>
      <c r="AB855" s="7"/>
      <c r="AC855" s="7" t="n">
        <v>0</v>
      </c>
      <c r="AD855" s="7" t="s">
        <v>388</v>
      </c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 t="s">
        <v>427</v>
      </c>
      <c r="BD855" s="7"/>
      <c r="BE855" s="7" t="s">
        <v>127</v>
      </c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</row>
    <row r="856" customFormat="false" ht="15" hidden="false" customHeight="false" outlineLevel="0" collapsed="false">
      <c r="A856" s="7" t="s">
        <v>6613</v>
      </c>
      <c r="B856" s="7" t="s">
        <v>6614</v>
      </c>
      <c r="C856" s="7" t="s">
        <v>6615</v>
      </c>
      <c r="D856" s="7"/>
      <c r="E856" s="7" t="s">
        <v>101</v>
      </c>
      <c r="F856" s="7" t="s">
        <v>507</v>
      </c>
      <c r="G856" s="7"/>
      <c r="H856" s="7" t="s">
        <v>102</v>
      </c>
      <c r="I856" s="7" t="s">
        <v>158</v>
      </c>
      <c r="J856" s="7" t="s">
        <v>104</v>
      </c>
      <c r="K856" s="7" t="s">
        <v>105</v>
      </c>
      <c r="L856" s="7" t="s">
        <v>106</v>
      </c>
      <c r="M856" s="7" t="s">
        <v>419</v>
      </c>
      <c r="N856" s="7" t="s">
        <v>6616</v>
      </c>
      <c r="O856" s="7" t="s">
        <v>6616</v>
      </c>
      <c r="P856" s="7" t="s">
        <v>135</v>
      </c>
      <c r="Q856" s="7"/>
      <c r="R856" s="7" t="s">
        <v>109</v>
      </c>
      <c r="S856" s="7" t="s">
        <v>110</v>
      </c>
      <c r="T856" s="7" t="n">
        <v>0.201</v>
      </c>
      <c r="U856" s="7" t="n">
        <v>1</v>
      </c>
      <c r="V856" s="7" t="s">
        <v>90</v>
      </c>
      <c r="W856" s="7"/>
      <c r="X856" s="7"/>
      <c r="Y856" s="7" t="s">
        <v>6616</v>
      </c>
      <c r="Z856" s="7"/>
      <c r="AA856" s="7"/>
      <c r="AB856" s="7"/>
      <c r="AC856" s="7" t="n">
        <v>0</v>
      </c>
      <c r="AD856" s="7" t="s">
        <v>388</v>
      </c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 t="s">
        <v>427</v>
      </c>
      <c r="BD856" s="7" t="s">
        <v>747</v>
      </c>
      <c r="BE856" s="7" t="s">
        <v>127</v>
      </c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</row>
    <row r="857" customFormat="false" ht="15" hidden="false" customHeight="false" outlineLevel="0" collapsed="false">
      <c r="A857" s="7" t="s">
        <v>6617</v>
      </c>
      <c r="B857" s="7" t="s">
        <v>6618</v>
      </c>
      <c r="C857" s="7" t="s">
        <v>6619</v>
      </c>
      <c r="D857" s="7"/>
      <c r="E857" s="7" t="s">
        <v>101</v>
      </c>
      <c r="F857" s="7" t="s">
        <v>507</v>
      </c>
      <c r="G857" s="7"/>
      <c r="H857" s="7" t="s">
        <v>102</v>
      </c>
      <c r="I857" s="7" t="s">
        <v>132</v>
      </c>
      <c r="J857" s="7" t="s">
        <v>104</v>
      </c>
      <c r="K857" s="7" t="s">
        <v>105</v>
      </c>
      <c r="L857" s="7" t="s">
        <v>106</v>
      </c>
      <c r="M857" s="7" t="s">
        <v>419</v>
      </c>
      <c r="N857" s="7" t="s">
        <v>6620</v>
      </c>
      <c r="O857" s="7" t="s">
        <v>6620</v>
      </c>
      <c r="P857" s="7" t="s">
        <v>135</v>
      </c>
      <c r="Q857" s="7"/>
      <c r="R857" s="7" t="s">
        <v>109</v>
      </c>
      <c r="S857" s="7" t="s">
        <v>110</v>
      </c>
      <c r="T857" s="7" t="n">
        <v>0.124</v>
      </c>
      <c r="U857" s="7" t="n">
        <v>1</v>
      </c>
      <c r="V857" s="7" t="s">
        <v>90</v>
      </c>
      <c r="W857" s="7"/>
      <c r="X857" s="7"/>
      <c r="Y857" s="7" t="s">
        <v>6620</v>
      </c>
      <c r="Z857" s="7"/>
      <c r="AA857" s="7"/>
      <c r="AB857" s="7"/>
      <c r="AC857" s="7" t="n">
        <v>0</v>
      </c>
      <c r="AD857" s="7" t="s">
        <v>388</v>
      </c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 t="s">
        <v>427</v>
      </c>
      <c r="BD857" s="7" t="s">
        <v>747</v>
      </c>
      <c r="BE857" s="7" t="s">
        <v>127</v>
      </c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</row>
    <row r="858" customFormat="false" ht="15" hidden="false" customHeight="false" outlineLevel="0" collapsed="false">
      <c r="A858" s="7" t="s">
        <v>6621</v>
      </c>
      <c r="B858" s="7" t="s">
        <v>6622</v>
      </c>
      <c r="C858" s="7" t="s">
        <v>6623</v>
      </c>
      <c r="D858" s="7" t="s">
        <v>6624</v>
      </c>
      <c r="E858" s="7" t="s">
        <v>101</v>
      </c>
      <c r="F858" s="7" t="s">
        <v>101</v>
      </c>
      <c r="G858" s="7"/>
      <c r="H858" s="7" t="s">
        <v>102</v>
      </c>
      <c r="I858" s="7" t="s">
        <v>158</v>
      </c>
      <c r="J858" s="7" t="s">
        <v>104</v>
      </c>
      <c r="K858" s="7" t="s">
        <v>105</v>
      </c>
      <c r="L858" s="7" t="s">
        <v>353</v>
      </c>
      <c r="M858" s="7" t="s">
        <v>6625</v>
      </c>
      <c r="N858" s="7" t="s">
        <v>6626</v>
      </c>
      <c r="O858" s="7" t="s">
        <v>6626</v>
      </c>
      <c r="P858" s="7" t="s">
        <v>135</v>
      </c>
      <c r="Q858" s="7"/>
      <c r="R858" s="7" t="s">
        <v>109</v>
      </c>
      <c r="S858" s="7" t="s">
        <v>110</v>
      </c>
      <c r="T858" s="7" t="n">
        <v>0.119</v>
      </c>
      <c r="U858" s="7" t="n">
        <v>1</v>
      </c>
      <c r="V858" s="7" t="s">
        <v>90</v>
      </c>
      <c r="W858" s="7" t="s">
        <v>5735</v>
      </c>
      <c r="X858" s="7" t="s">
        <v>2825</v>
      </c>
      <c r="Y858" s="7" t="s">
        <v>6626</v>
      </c>
      <c r="Z858" s="7" t="s">
        <v>6627</v>
      </c>
      <c r="AA858" s="7"/>
      <c r="AB858" s="7"/>
      <c r="AC858" s="7" t="n">
        <v>7</v>
      </c>
      <c r="AD858" s="7" t="s">
        <v>2439</v>
      </c>
      <c r="AE858" s="7" t="s">
        <v>1848</v>
      </c>
      <c r="AF858" s="7" t="s">
        <v>6628</v>
      </c>
      <c r="AG858" s="7" t="s">
        <v>1848</v>
      </c>
      <c r="AH858" s="7" t="s">
        <v>6629</v>
      </c>
      <c r="AI858" s="7"/>
      <c r="AJ858" s="7"/>
      <c r="AK858" s="7"/>
      <c r="AL858" s="7"/>
      <c r="AM858" s="7" t="s">
        <v>1848</v>
      </c>
      <c r="AN858" s="7" t="s">
        <v>6630</v>
      </c>
      <c r="AO858" s="7" t="s">
        <v>1848</v>
      </c>
      <c r="AP858" s="7" t="s">
        <v>6631</v>
      </c>
      <c r="AQ858" s="7" t="s">
        <v>1848</v>
      </c>
      <c r="AR858" s="7" t="s">
        <v>6632</v>
      </c>
      <c r="AS858" s="7" t="s">
        <v>1848</v>
      </c>
      <c r="AT858" s="7" t="s">
        <v>216</v>
      </c>
      <c r="AU858" s="7"/>
      <c r="AV858" s="7"/>
      <c r="AW858" s="7"/>
      <c r="AX858" s="7"/>
      <c r="AY858" s="7"/>
      <c r="AZ858" s="7"/>
      <c r="BA858" s="7" t="s">
        <v>1848</v>
      </c>
      <c r="BB858" s="7" t="s">
        <v>6633</v>
      </c>
      <c r="BC858" s="7" t="s">
        <v>413</v>
      </c>
      <c r="BD858" s="7" t="s">
        <v>440</v>
      </c>
      <c r="BE858" s="7" t="s">
        <v>127</v>
      </c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</row>
    <row r="859" customFormat="false" ht="15" hidden="false" customHeight="false" outlineLevel="0" collapsed="false">
      <c r="A859" s="7" t="s">
        <v>6634</v>
      </c>
      <c r="B859" s="7" t="s">
        <v>6635</v>
      </c>
      <c r="C859" s="7" t="s">
        <v>6636</v>
      </c>
      <c r="D859" s="7" t="s">
        <v>6637</v>
      </c>
      <c r="E859" s="7" t="s">
        <v>101</v>
      </c>
      <c r="F859" s="7" t="s">
        <v>101</v>
      </c>
      <c r="G859" s="7"/>
      <c r="H859" s="7" t="s">
        <v>102</v>
      </c>
      <c r="I859" s="7" t="s">
        <v>158</v>
      </c>
      <c r="J859" s="7" t="s">
        <v>104</v>
      </c>
      <c r="K859" s="7" t="s">
        <v>105</v>
      </c>
      <c r="L859" s="7" t="s">
        <v>353</v>
      </c>
      <c r="M859" s="7"/>
      <c r="N859" s="7" t="s">
        <v>6638</v>
      </c>
      <c r="O859" s="7"/>
      <c r="P859" s="7" t="s">
        <v>135</v>
      </c>
      <c r="Q859" s="7"/>
      <c r="R859" s="7"/>
      <c r="S859" s="7"/>
      <c r="T859" s="7" t="n">
        <v>0.538</v>
      </c>
      <c r="U859" s="7" t="n">
        <v>1</v>
      </c>
      <c r="V859" s="7" t="s">
        <v>90</v>
      </c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 t="s">
        <v>440</v>
      </c>
      <c r="BE859" s="7" t="s">
        <v>127</v>
      </c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</row>
    <row r="860" customFormat="false" ht="15" hidden="false" customHeight="false" outlineLevel="0" collapsed="false">
      <c r="A860" s="7" t="s">
        <v>6639</v>
      </c>
      <c r="B860" s="7" t="s">
        <v>6640</v>
      </c>
      <c r="C860" s="7" t="s">
        <v>6641</v>
      </c>
      <c r="D860" s="7"/>
      <c r="E860" s="7" t="s">
        <v>101</v>
      </c>
      <c r="F860" s="7" t="s">
        <v>507</v>
      </c>
      <c r="G860" s="7"/>
      <c r="H860" s="7" t="s">
        <v>102</v>
      </c>
      <c r="I860" s="7" t="s">
        <v>132</v>
      </c>
      <c r="J860" s="7" t="s">
        <v>104</v>
      </c>
      <c r="K860" s="7" t="s">
        <v>105</v>
      </c>
      <c r="L860" s="7" t="s">
        <v>106</v>
      </c>
      <c r="M860" s="7" t="s">
        <v>6642</v>
      </c>
      <c r="N860" s="7" t="s">
        <v>6643</v>
      </c>
      <c r="O860" s="7" t="s">
        <v>6644</v>
      </c>
      <c r="P860" s="7" t="s">
        <v>135</v>
      </c>
      <c r="Q860" s="7"/>
      <c r="R860" s="7" t="s">
        <v>109</v>
      </c>
      <c r="S860" s="7" t="s">
        <v>110</v>
      </c>
      <c r="T860" s="7" t="n">
        <v>0.311</v>
      </c>
      <c r="U860" s="7" t="n">
        <v>1</v>
      </c>
      <c r="V860" s="7" t="s">
        <v>90</v>
      </c>
      <c r="W860" s="7"/>
      <c r="X860" s="7"/>
      <c r="Y860" s="7" t="s">
        <v>6643</v>
      </c>
      <c r="Z860" s="7"/>
      <c r="AA860" s="7"/>
      <c r="AB860" s="7"/>
      <c r="AC860" s="7" t="n">
        <v>3</v>
      </c>
      <c r="AD860" s="7" t="s">
        <v>6645</v>
      </c>
      <c r="AE860" s="7" t="s">
        <v>6646</v>
      </c>
      <c r="AF860" s="7" t="s">
        <v>6647</v>
      </c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 t="s">
        <v>6646</v>
      </c>
      <c r="AX860" s="7" t="s">
        <v>326</v>
      </c>
      <c r="AY860" s="7"/>
      <c r="AZ860" s="7"/>
      <c r="BA860" s="7" t="s">
        <v>6646</v>
      </c>
      <c r="BB860" s="7" t="s">
        <v>369</v>
      </c>
      <c r="BC860" s="7" t="s">
        <v>219</v>
      </c>
      <c r="BD860" s="7" t="s">
        <v>747</v>
      </c>
      <c r="BE860" s="7" t="s">
        <v>127</v>
      </c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</row>
    <row r="861" customFormat="false" ht="15" hidden="false" customHeight="false" outlineLevel="0" collapsed="false">
      <c r="A861" s="7" t="s">
        <v>6648</v>
      </c>
      <c r="B861" s="7" t="s">
        <v>6649</v>
      </c>
      <c r="C861" s="7" t="s">
        <v>6650</v>
      </c>
      <c r="D861" s="7" t="s">
        <v>6651</v>
      </c>
      <c r="E861" s="7" t="s">
        <v>101</v>
      </c>
      <c r="F861" s="7" t="s">
        <v>101</v>
      </c>
      <c r="G861" s="7"/>
      <c r="H861" s="7" t="s">
        <v>102</v>
      </c>
      <c r="I861" s="7" t="s">
        <v>158</v>
      </c>
      <c r="J861" s="7" t="s">
        <v>104</v>
      </c>
      <c r="K861" s="7" t="s">
        <v>105</v>
      </c>
      <c r="L861" s="7" t="s">
        <v>353</v>
      </c>
      <c r="M861" s="7" t="s">
        <v>6652</v>
      </c>
      <c r="N861" s="7" t="s">
        <v>6653</v>
      </c>
      <c r="O861" s="7" t="s">
        <v>6653</v>
      </c>
      <c r="P861" s="7" t="s">
        <v>135</v>
      </c>
      <c r="Q861" s="7"/>
      <c r="R861" s="7" t="s">
        <v>109</v>
      </c>
      <c r="S861" s="7" t="s">
        <v>110</v>
      </c>
      <c r="T861" s="7" t="n">
        <v>0.21</v>
      </c>
      <c r="U861" s="7" t="n">
        <v>1</v>
      </c>
      <c r="V861" s="7" t="s">
        <v>2781</v>
      </c>
      <c r="W861" s="7" t="s">
        <v>6654</v>
      </c>
      <c r="X861" s="7" t="s">
        <v>6655</v>
      </c>
      <c r="Y861" s="7" t="s">
        <v>6653</v>
      </c>
      <c r="Z861" s="7" t="s">
        <v>6656</v>
      </c>
      <c r="AA861" s="7"/>
      <c r="AB861" s="7"/>
      <c r="AC861" s="7" t="n">
        <v>7</v>
      </c>
      <c r="AD861" s="7" t="s">
        <v>2439</v>
      </c>
      <c r="AE861" s="7" t="s">
        <v>1848</v>
      </c>
      <c r="AF861" s="7" t="s">
        <v>6657</v>
      </c>
      <c r="AG861" s="7" t="s">
        <v>1848</v>
      </c>
      <c r="AH861" s="7" t="s">
        <v>6658</v>
      </c>
      <c r="AI861" s="7"/>
      <c r="AJ861" s="7"/>
      <c r="AK861" s="7"/>
      <c r="AL861" s="7"/>
      <c r="AM861" s="7" t="s">
        <v>1848</v>
      </c>
      <c r="AN861" s="7" t="s">
        <v>6659</v>
      </c>
      <c r="AO861" s="7" t="s">
        <v>1848</v>
      </c>
      <c r="AP861" s="7" t="s">
        <v>6660</v>
      </c>
      <c r="AQ861" s="7" t="s">
        <v>1848</v>
      </c>
      <c r="AR861" s="7" t="s">
        <v>82</v>
      </c>
      <c r="AS861" s="7" t="s">
        <v>1848</v>
      </c>
      <c r="AT861" s="7" t="s">
        <v>216</v>
      </c>
      <c r="AU861" s="7"/>
      <c r="AV861" s="7"/>
      <c r="AW861" s="7"/>
      <c r="AX861" s="7"/>
      <c r="AY861" s="7"/>
      <c r="AZ861" s="7"/>
      <c r="BA861" s="7" t="s">
        <v>1848</v>
      </c>
      <c r="BB861" s="7" t="s">
        <v>6633</v>
      </c>
      <c r="BC861" s="7" t="s">
        <v>413</v>
      </c>
      <c r="BD861" s="7" t="s">
        <v>440</v>
      </c>
      <c r="BE861" s="7" t="s">
        <v>127</v>
      </c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</row>
    <row r="862" customFormat="false" ht="15" hidden="false" customHeight="false" outlineLevel="0" collapsed="false">
      <c r="A862" s="7" t="s">
        <v>6661</v>
      </c>
      <c r="B862" s="7" t="s">
        <v>6662</v>
      </c>
      <c r="C862" s="7" t="s">
        <v>6663</v>
      </c>
      <c r="D862" s="7"/>
      <c r="E862" s="7" t="s">
        <v>101</v>
      </c>
      <c r="F862" s="7" t="s">
        <v>6664</v>
      </c>
      <c r="G862" s="7"/>
      <c r="H862" s="7" t="s">
        <v>102</v>
      </c>
      <c r="I862" s="7" t="s">
        <v>132</v>
      </c>
      <c r="J862" s="7" t="s">
        <v>104</v>
      </c>
      <c r="K862" s="7" t="s">
        <v>105</v>
      </c>
      <c r="L862" s="7" t="s">
        <v>106</v>
      </c>
      <c r="M862" s="7" t="s">
        <v>419</v>
      </c>
      <c r="N862" s="7" t="s">
        <v>6665</v>
      </c>
      <c r="O862" s="7" t="s">
        <v>6665</v>
      </c>
      <c r="P862" s="7" t="s">
        <v>135</v>
      </c>
      <c r="Q862" s="7"/>
      <c r="R862" s="7" t="s">
        <v>109</v>
      </c>
      <c r="S862" s="7" t="s">
        <v>110</v>
      </c>
      <c r="T862" s="7" t="n">
        <v>0.299</v>
      </c>
      <c r="U862" s="7" t="n">
        <v>1</v>
      </c>
      <c r="V862" s="7" t="s">
        <v>90</v>
      </c>
      <c r="W862" s="7"/>
      <c r="X862" s="7"/>
      <c r="Y862" s="7" t="s">
        <v>6665</v>
      </c>
      <c r="Z862" s="7"/>
      <c r="AA862" s="7"/>
      <c r="AB862" s="7"/>
      <c r="AC862" s="7" t="n">
        <v>0</v>
      </c>
      <c r="AD862" s="7" t="s">
        <v>388</v>
      </c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 t="s">
        <v>427</v>
      </c>
      <c r="BD862" s="7" t="s">
        <v>6666</v>
      </c>
      <c r="BE862" s="7" t="s">
        <v>127</v>
      </c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</row>
    <row r="863" customFormat="false" ht="15" hidden="false" customHeight="false" outlineLevel="0" collapsed="false">
      <c r="A863" s="7" t="s">
        <v>6667</v>
      </c>
      <c r="B863" s="7" t="s">
        <v>6668</v>
      </c>
      <c r="C863" s="7" t="s">
        <v>6669</v>
      </c>
      <c r="D863" s="7" t="s">
        <v>6670</v>
      </c>
      <c r="E863" s="7" t="s">
        <v>101</v>
      </c>
      <c r="F863" s="7" t="s">
        <v>101</v>
      </c>
      <c r="G863" s="7"/>
      <c r="H863" s="7" t="s">
        <v>102</v>
      </c>
      <c r="I863" s="7" t="s">
        <v>158</v>
      </c>
      <c r="J863" s="7" t="s">
        <v>104</v>
      </c>
      <c r="K863" s="7" t="s">
        <v>105</v>
      </c>
      <c r="L863" s="7" t="s">
        <v>353</v>
      </c>
      <c r="M863" s="7" t="s">
        <v>419</v>
      </c>
      <c r="N863" s="7" t="s">
        <v>6671</v>
      </c>
      <c r="O863" s="7"/>
      <c r="P863" s="7" t="s">
        <v>135</v>
      </c>
      <c r="Q863" s="7"/>
      <c r="R863" s="7"/>
      <c r="S863" s="7"/>
      <c r="T863" s="7" t="n">
        <v>0.186</v>
      </c>
      <c r="U863" s="7" t="n">
        <v>1</v>
      </c>
      <c r="V863" s="7" t="s">
        <v>90</v>
      </c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 t="s">
        <v>1848</v>
      </c>
      <c r="AH863" s="7" t="s">
        <v>1956</v>
      </c>
      <c r="AI863" s="7"/>
      <c r="AJ863" s="7"/>
      <c r="AK863" s="7"/>
      <c r="AL863" s="7"/>
      <c r="AM863" s="7" t="s">
        <v>1848</v>
      </c>
      <c r="AN863" s="7" t="s">
        <v>1957</v>
      </c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 t="s">
        <v>427</v>
      </c>
      <c r="BD863" s="7" t="s">
        <v>2797</v>
      </c>
      <c r="BE863" s="7" t="s">
        <v>127</v>
      </c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</row>
    <row r="864" customFormat="false" ht="15" hidden="false" customHeight="false" outlineLevel="0" collapsed="false">
      <c r="A864" s="7" t="s">
        <v>6672</v>
      </c>
      <c r="B864" s="7" t="s">
        <v>6673</v>
      </c>
      <c r="C864" s="7" t="s">
        <v>6674</v>
      </c>
      <c r="D864" s="7" t="s">
        <v>6675</v>
      </c>
      <c r="E864" s="7" t="s">
        <v>101</v>
      </c>
      <c r="F864" s="7" t="s">
        <v>101</v>
      </c>
      <c r="G864" s="7"/>
      <c r="H864" s="7" t="s">
        <v>102</v>
      </c>
      <c r="I864" s="7" t="s">
        <v>158</v>
      </c>
      <c r="J864" s="7" t="s">
        <v>104</v>
      </c>
      <c r="K864" s="7" t="s">
        <v>105</v>
      </c>
      <c r="L864" s="7" t="s">
        <v>106</v>
      </c>
      <c r="M864" s="7" t="s">
        <v>419</v>
      </c>
      <c r="N864" s="7" t="s">
        <v>6676</v>
      </c>
      <c r="O864" s="7" t="s">
        <v>6676</v>
      </c>
      <c r="P864" s="7" t="s">
        <v>135</v>
      </c>
      <c r="Q864" s="7"/>
      <c r="R864" s="7" t="s">
        <v>109</v>
      </c>
      <c r="S864" s="7" t="s">
        <v>110</v>
      </c>
      <c r="T864" s="7" t="n">
        <v>0.279</v>
      </c>
      <c r="U864" s="7" t="n">
        <v>1</v>
      </c>
      <c r="V864" s="7" t="s">
        <v>90</v>
      </c>
      <c r="W864" s="7"/>
      <c r="X864" s="7"/>
      <c r="Y864" s="7"/>
      <c r="Z864" s="7"/>
      <c r="AA864" s="7"/>
      <c r="AB864" s="7"/>
      <c r="AC864" s="7" t="n">
        <v>2</v>
      </c>
      <c r="AD864" s="7" t="s">
        <v>1954</v>
      </c>
      <c r="AE864" s="7"/>
      <c r="AF864" s="7"/>
      <c r="AG864" s="7" t="s">
        <v>1848</v>
      </c>
      <c r="AH864" s="7" t="s">
        <v>1956</v>
      </c>
      <c r="AI864" s="7"/>
      <c r="AJ864" s="7"/>
      <c r="AK864" s="7"/>
      <c r="AL864" s="7"/>
      <c r="AM864" s="7" t="s">
        <v>1848</v>
      </c>
      <c r="AN864" s="7" t="s">
        <v>1957</v>
      </c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 t="s">
        <v>427</v>
      </c>
      <c r="BD864" s="7" t="s">
        <v>2797</v>
      </c>
      <c r="BE864" s="7" t="s">
        <v>127</v>
      </c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</row>
    <row r="865" customFormat="false" ht="15" hidden="false" customHeight="false" outlineLevel="0" collapsed="false">
      <c r="A865" s="7" t="s">
        <v>6677</v>
      </c>
      <c r="B865" s="7" t="s">
        <v>6678</v>
      </c>
      <c r="C865" s="7" t="s">
        <v>6679</v>
      </c>
      <c r="D865" s="7" t="s">
        <v>6680</v>
      </c>
      <c r="E865" s="7" t="s">
        <v>101</v>
      </c>
      <c r="F865" s="7" t="s">
        <v>101</v>
      </c>
      <c r="G865" s="7"/>
      <c r="H865" s="7" t="s">
        <v>102</v>
      </c>
      <c r="I865" s="7" t="s">
        <v>158</v>
      </c>
      <c r="J865" s="7" t="s">
        <v>104</v>
      </c>
      <c r="K865" s="7" t="s">
        <v>105</v>
      </c>
      <c r="L865" s="7" t="s">
        <v>353</v>
      </c>
      <c r="M865" s="7" t="s">
        <v>419</v>
      </c>
      <c r="N865" s="7" t="s">
        <v>6681</v>
      </c>
      <c r="O865" s="7"/>
      <c r="P865" s="7" t="s">
        <v>135</v>
      </c>
      <c r="Q865" s="7"/>
      <c r="R865" s="7"/>
      <c r="S865" s="7"/>
      <c r="T865" s="7" t="n">
        <v>0.168</v>
      </c>
      <c r="U865" s="7" t="n">
        <v>1</v>
      </c>
      <c r="V865" s="7" t="s">
        <v>90</v>
      </c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 t="s">
        <v>427</v>
      </c>
      <c r="BD865" s="7" t="s">
        <v>440</v>
      </c>
      <c r="BE865" s="7" t="s">
        <v>127</v>
      </c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</row>
    <row r="866" customFormat="false" ht="15" hidden="false" customHeight="false" outlineLevel="0" collapsed="false">
      <c r="A866" s="7" t="s">
        <v>6682</v>
      </c>
      <c r="B866" s="7" t="s">
        <v>6683</v>
      </c>
      <c r="C866" s="7" t="s">
        <v>6684</v>
      </c>
      <c r="D866" s="7" t="s">
        <v>3906</v>
      </c>
      <c r="E866" s="7" t="s">
        <v>101</v>
      </c>
      <c r="F866" s="7" t="s">
        <v>101</v>
      </c>
      <c r="G866" s="7"/>
      <c r="H866" s="7" t="s">
        <v>102</v>
      </c>
      <c r="I866" s="7" t="s">
        <v>158</v>
      </c>
      <c r="J866" s="7" t="s">
        <v>104</v>
      </c>
      <c r="K866" s="7" t="s">
        <v>105</v>
      </c>
      <c r="L866" s="7" t="s">
        <v>353</v>
      </c>
      <c r="M866" s="7" t="s">
        <v>419</v>
      </c>
      <c r="N866" s="7" t="s">
        <v>6685</v>
      </c>
      <c r="O866" s="7"/>
      <c r="P866" s="7" t="s">
        <v>135</v>
      </c>
      <c r="Q866" s="7"/>
      <c r="R866" s="7"/>
      <c r="S866" s="7"/>
      <c r="T866" s="7" t="n">
        <v>0.313</v>
      </c>
      <c r="U866" s="7" t="n">
        <v>1</v>
      </c>
      <c r="V866" s="7" t="s">
        <v>90</v>
      </c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 t="s">
        <v>1848</v>
      </c>
      <c r="AH866" s="7" t="s">
        <v>1956</v>
      </c>
      <c r="AI866" s="7"/>
      <c r="AJ866" s="7"/>
      <c r="AK866" s="7"/>
      <c r="AL866" s="7"/>
      <c r="AM866" s="7" t="s">
        <v>1848</v>
      </c>
      <c r="AN866" s="7" t="s">
        <v>1957</v>
      </c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 t="s">
        <v>427</v>
      </c>
      <c r="BD866" s="7" t="s">
        <v>440</v>
      </c>
      <c r="BE866" s="7" t="s">
        <v>127</v>
      </c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</row>
    <row r="867" customFormat="false" ht="15" hidden="false" customHeight="false" outlineLevel="0" collapsed="false">
      <c r="A867" s="7" t="s">
        <v>6686</v>
      </c>
      <c r="B867" s="7" t="s">
        <v>6687</v>
      </c>
      <c r="C867" s="7" t="s">
        <v>6688</v>
      </c>
      <c r="D867" s="7" t="s">
        <v>6689</v>
      </c>
      <c r="E867" s="7" t="s">
        <v>101</v>
      </c>
      <c r="F867" s="7" t="s">
        <v>101</v>
      </c>
      <c r="G867" s="7"/>
      <c r="H867" s="7" t="s">
        <v>102</v>
      </c>
      <c r="I867" s="7" t="s">
        <v>158</v>
      </c>
      <c r="J867" s="7" t="s">
        <v>104</v>
      </c>
      <c r="K867" s="7" t="s">
        <v>105</v>
      </c>
      <c r="L867" s="7" t="s">
        <v>353</v>
      </c>
      <c r="M867" s="7" t="s">
        <v>419</v>
      </c>
      <c r="N867" s="7" t="s">
        <v>6690</v>
      </c>
      <c r="O867" s="7"/>
      <c r="P867" s="7" t="s">
        <v>135</v>
      </c>
      <c r="Q867" s="7"/>
      <c r="R867" s="7"/>
      <c r="S867" s="7"/>
      <c r="T867" s="7" t="n">
        <v>0.202</v>
      </c>
      <c r="U867" s="7" t="n">
        <v>1</v>
      </c>
      <c r="V867" s="7" t="s">
        <v>90</v>
      </c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 t="s">
        <v>1848</v>
      </c>
      <c r="AH867" s="7" t="s">
        <v>1956</v>
      </c>
      <c r="AI867" s="7"/>
      <c r="AJ867" s="7"/>
      <c r="AK867" s="7"/>
      <c r="AL867" s="7"/>
      <c r="AM867" s="7" t="s">
        <v>1848</v>
      </c>
      <c r="AN867" s="7" t="s">
        <v>1957</v>
      </c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 t="s">
        <v>427</v>
      </c>
      <c r="BD867" s="7" t="s">
        <v>440</v>
      </c>
      <c r="BE867" s="7" t="s">
        <v>127</v>
      </c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</row>
    <row r="868" customFormat="false" ht="15" hidden="false" customHeight="false" outlineLevel="0" collapsed="false">
      <c r="A868" s="7" t="s">
        <v>6691</v>
      </c>
      <c r="B868" s="7" t="s">
        <v>6692</v>
      </c>
      <c r="C868" s="7" t="s">
        <v>6693</v>
      </c>
      <c r="D868" s="7" t="s">
        <v>6694</v>
      </c>
      <c r="E868" s="7" t="s">
        <v>101</v>
      </c>
      <c r="F868" s="7" t="s">
        <v>101</v>
      </c>
      <c r="G868" s="7"/>
      <c r="H868" s="7" t="s">
        <v>102</v>
      </c>
      <c r="I868" s="7" t="s">
        <v>158</v>
      </c>
      <c r="J868" s="7" t="s">
        <v>104</v>
      </c>
      <c r="K868" s="7" t="s">
        <v>105</v>
      </c>
      <c r="L868" s="7" t="s">
        <v>353</v>
      </c>
      <c r="M868" s="7" t="s">
        <v>419</v>
      </c>
      <c r="N868" s="7" t="s">
        <v>6695</v>
      </c>
      <c r="O868" s="7" t="s">
        <v>6695</v>
      </c>
      <c r="P868" s="7" t="s">
        <v>135</v>
      </c>
      <c r="Q868" s="7"/>
      <c r="R868" s="7" t="s">
        <v>109</v>
      </c>
      <c r="S868" s="7" t="s">
        <v>110</v>
      </c>
      <c r="T868" s="7" t="n">
        <v>0.204</v>
      </c>
      <c r="U868" s="7" t="n">
        <v>1</v>
      </c>
      <c r="V868" s="7" t="s">
        <v>90</v>
      </c>
      <c r="W868" s="7"/>
      <c r="X868" s="7"/>
      <c r="Y868" s="7"/>
      <c r="Z868" s="7"/>
      <c r="AA868" s="7"/>
      <c r="AB868" s="7"/>
      <c r="AC868" s="7" t="n">
        <v>2</v>
      </c>
      <c r="AD868" s="7" t="s">
        <v>1954</v>
      </c>
      <c r="AE868" s="7"/>
      <c r="AF868" s="7"/>
      <c r="AG868" s="7" t="s">
        <v>1848</v>
      </c>
      <c r="AH868" s="7" t="s">
        <v>1956</v>
      </c>
      <c r="AI868" s="7"/>
      <c r="AJ868" s="7"/>
      <c r="AK868" s="7"/>
      <c r="AL868" s="7"/>
      <c r="AM868" s="7" t="s">
        <v>1848</v>
      </c>
      <c r="AN868" s="7" t="s">
        <v>1957</v>
      </c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 t="s">
        <v>427</v>
      </c>
      <c r="BD868" s="7" t="s">
        <v>440</v>
      </c>
      <c r="BE868" s="7" t="s">
        <v>127</v>
      </c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</row>
    <row r="869" customFormat="false" ht="15" hidden="false" customHeight="false" outlineLevel="0" collapsed="false">
      <c r="A869" s="7" t="s">
        <v>6696</v>
      </c>
      <c r="B869" s="7" t="s">
        <v>6697</v>
      </c>
      <c r="C869" s="7" t="s">
        <v>6698</v>
      </c>
      <c r="D869" s="7" t="s">
        <v>3898</v>
      </c>
      <c r="E869" s="7" t="s">
        <v>101</v>
      </c>
      <c r="F869" s="7" t="s">
        <v>101</v>
      </c>
      <c r="G869" s="7"/>
      <c r="H869" s="7" t="s">
        <v>102</v>
      </c>
      <c r="I869" s="7" t="s">
        <v>158</v>
      </c>
      <c r="J869" s="7" t="s">
        <v>104</v>
      </c>
      <c r="K869" s="7" t="s">
        <v>105</v>
      </c>
      <c r="L869" s="7" t="s">
        <v>106</v>
      </c>
      <c r="M869" s="7" t="s">
        <v>419</v>
      </c>
      <c r="N869" s="7" t="s">
        <v>6699</v>
      </c>
      <c r="O869" s="7"/>
      <c r="P869" s="7" t="s">
        <v>135</v>
      </c>
      <c r="Q869" s="7"/>
      <c r="R869" s="7"/>
      <c r="S869" s="7"/>
      <c r="T869" s="7" t="n">
        <v>0.117</v>
      </c>
      <c r="U869" s="7" t="n">
        <v>1</v>
      </c>
      <c r="V869" s="7" t="s">
        <v>90</v>
      </c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 t="s">
        <v>1848</v>
      </c>
      <c r="AH869" s="7" t="s">
        <v>1956</v>
      </c>
      <c r="AI869" s="7"/>
      <c r="AJ869" s="7"/>
      <c r="AK869" s="7"/>
      <c r="AL869" s="7"/>
      <c r="AM869" s="7" t="s">
        <v>1848</v>
      </c>
      <c r="AN869" s="7" t="s">
        <v>1957</v>
      </c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 t="s">
        <v>427</v>
      </c>
      <c r="BD869" s="7" t="s">
        <v>440</v>
      </c>
      <c r="BE869" s="7" t="s">
        <v>127</v>
      </c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</row>
    <row r="870" customFormat="false" ht="15" hidden="false" customHeight="false" outlineLevel="0" collapsed="false">
      <c r="A870" s="7" t="s">
        <v>6700</v>
      </c>
      <c r="B870" s="7" t="s">
        <v>6701</v>
      </c>
      <c r="C870" s="7" t="s">
        <v>6702</v>
      </c>
      <c r="D870" s="7"/>
      <c r="E870" s="7" t="s">
        <v>101</v>
      </c>
      <c r="F870" s="7" t="s">
        <v>101</v>
      </c>
      <c r="G870" s="7"/>
      <c r="H870" s="7" t="s">
        <v>102</v>
      </c>
      <c r="I870" s="7" t="s">
        <v>158</v>
      </c>
      <c r="J870" s="7" t="s">
        <v>104</v>
      </c>
      <c r="K870" s="7" t="s">
        <v>105</v>
      </c>
      <c r="L870" s="7" t="s">
        <v>106</v>
      </c>
      <c r="M870" s="7" t="s">
        <v>419</v>
      </c>
      <c r="N870" s="7" t="s">
        <v>6703</v>
      </c>
      <c r="O870" s="7" t="s">
        <v>6703</v>
      </c>
      <c r="P870" s="7" t="s">
        <v>135</v>
      </c>
      <c r="Q870" s="7"/>
      <c r="R870" s="7" t="s">
        <v>109</v>
      </c>
      <c r="S870" s="7" t="s">
        <v>110</v>
      </c>
      <c r="T870" s="7" t="n">
        <v>0.302</v>
      </c>
      <c r="U870" s="7" t="n">
        <v>1</v>
      </c>
      <c r="V870" s="7" t="s">
        <v>90</v>
      </c>
      <c r="W870" s="7"/>
      <c r="X870" s="7"/>
      <c r="Y870" s="7" t="s">
        <v>6703</v>
      </c>
      <c r="Z870" s="7"/>
      <c r="AA870" s="7"/>
      <c r="AB870" s="7"/>
      <c r="AC870" s="7" t="n">
        <v>0</v>
      </c>
      <c r="AD870" s="7" t="s">
        <v>388</v>
      </c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 t="s">
        <v>427</v>
      </c>
      <c r="BD870" s="7" t="s">
        <v>747</v>
      </c>
      <c r="BE870" s="7" t="s">
        <v>127</v>
      </c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</row>
    <row r="871" customFormat="false" ht="15" hidden="false" customHeight="false" outlineLevel="0" collapsed="false">
      <c r="A871" s="7" t="s">
        <v>6704</v>
      </c>
      <c r="B871" s="7" t="s">
        <v>6705</v>
      </c>
      <c r="C871" s="7" t="s">
        <v>6706</v>
      </c>
      <c r="D871" s="7" t="s">
        <v>2873</v>
      </c>
      <c r="E871" s="7" t="s">
        <v>101</v>
      </c>
      <c r="F871" s="7" t="s">
        <v>101</v>
      </c>
      <c r="G871" s="7"/>
      <c r="H871" s="7" t="s">
        <v>102</v>
      </c>
      <c r="I871" s="7" t="s">
        <v>158</v>
      </c>
      <c r="J871" s="7" t="s">
        <v>104</v>
      </c>
      <c r="K871" s="7" t="s">
        <v>105</v>
      </c>
      <c r="L871" s="7" t="s">
        <v>353</v>
      </c>
      <c r="M871" s="7" t="s">
        <v>419</v>
      </c>
      <c r="N871" s="7" t="s">
        <v>6707</v>
      </c>
      <c r="O871" s="7"/>
      <c r="P871" s="7" t="s">
        <v>135</v>
      </c>
      <c r="Q871" s="7"/>
      <c r="R871" s="7"/>
      <c r="S871" s="7"/>
      <c r="T871" s="7" t="n">
        <v>0.193</v>
      </c>
      <c r="U871" s="7" t="n">
        <v>1</v>
      </c>
      <c r="V871" s="7" t="s">
        <v>90</v>
      </c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 t="s">
        <v>427</v>
      </c>
      <c r="BD871" s="7" t="s">
        <v>440</v>
      </c>
      <c r="BE871" s="7" t="s">
        <v>127</v>
      </c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</row>
    <row r="872" customFormat="false" ht="15" hidden="false" customHeight="false" outlineLevel="0" collapsed="false">
      <c r="A872" s="7" t="s">
        <v>6708</v>
      </c>
      <c r="B872" s="7" t="s">
        <v>6709</v>
      </c>
      <c r="C872" s="7" t="s">
        <v>6710</v>
      </c>
      <c r="D872" s="7" t="s">
        <v>6711</v>
      </c>
      <c r="E872" s="7" t="s">
        <v>101</v>
      </c>
      <c r="F872" s="7" t="s">
        <v>101</v>
      </c>
      <c r="G872" s="7"/>
      <c r="H872" s="7" t="s">
        <v>102</v>
      </c>
      <c r="I872" s="7" t="s">
        <v>158</v>
      </c>
      <c r="J872" s="7" t="s">
        <v>104</v>
      </c>
      <c r="K872" s="7" t="s">
        <v>105</v>
      </c>
      <c r="L872" s="7" t="s">
        <v>353</v>
      </c>
      <c r="M872" s="7" t="s">
        <v>419</v>
      </c>
      <c r="N872" s="7" t="s">
        <v>6712</v>
      </c>
      <c r="O872" s="7"/>
      <c r="P872" s="7" t="s">
        <v>135</v>
      </c>
      <c r="Q872" s="7"/>
      <c r="R872" s="7"/>
      <c r="S872" s="7"/>
      <c r="T872" s="7" t="n">
        <v>0.348</v>
      </c>
      <c r="U872" s="7" t="n">
        <v>1</v>
      </c>
      <c r="V872" s="7" t="s">
        <v>90</v>
      </c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 t="s">
        <v>1848</v>
      </c>
      <c r="AH872" s="7" t="s">
        <v>1956</v>
      </c>
      <c r="AI872" s="7"/>
      <c r="AJ872" s="7"/>
      <c r="AK872" s="7"/>
      <c r="AL872" s="7"/>
      <c r="AM872" s="7" t="s">
        <v>1848</v>
      </c>
      <c r="AN872" s="7" t="s">
        <v>1957</v>
      </c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 t="s">
        <v>427</v>
      </c>
      <c r="BD872" s="7" t="s">
        <v>440</v>
      </c>
      <c r="BE872" s="7" t="s">
        <v>127</v>
      </c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</row>
    <row r="873" customFormat="false" ht="15" hidden="false" customHeight="false" outlineLevel="0" collapsed="false">
      <c r="A873" s="7" t="s">
        <v>6713</v>
      </c>
      <c r="B873" s="7" t="s">
        <v>6714</v>
      </c>
      <c r="C873" s="7" t="s">
        <v>6715</v>
      </c>
      <c r="D873" s="7" t="s">
        <v>4892</v>
      </c>
      <c r="E873" s="7" t="s">
        <v>101</v>
      </c>
      <c r="F873" s="7" t="s">
        <v>101</v>
      </c>
      <c r="G873" s="7"/>
      <c r="H873" s="7" t="s">
        <v>102</v>
      </c>
      <c r="I873" s="7" t="s">
        <v>158</v>
      </c>
      <c r="J873" s="7" t="s">
        <v>104</v>
      </c>
      <c r="K873" s="7" t="s">
        <v>105</v>
      </c>
      <c r="L873" s="7" t="s">
        <v>353</v>
      </c>
      <c r="M873" s="7" t="s">
        <v>419</v>
      </c>
      <c r="N873" s="7" t="s">
        <v>6716</v>
      </c>
      <c r="O873" s="7"/>
      <c r="P873" s="7" t="s">
        <v>135</v>
      </c>
      <c r="Q873" s="7"/>
      <c r="R873" s="7"/>
      <c r="S873" s="7"/>
      <c r="T873" s="7" t="n">
        <v>0.236</v>
      </c>
      <c r="U873" s="7" t="n">
        <v>1</v>
      </c>
      <c r="V873" s="7" t="s">
        <v>90</v>
      </c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 t="s">
        <v>1848</v>
      </c>
      <c r="AH873" s="7" t="s">
        <v>1956</v>
      </c>
      <c r="AI873" s="7"/>
      <c r="AJ873" s="7"/>
      <c r="AK873" s="7"/>
      <c r="AL873" s="7"/>
      <c r="AM873" s="7" t="s">
        <v>1848</v>
      </c>
      <c r="AN873" s="7" t="s">
        <v>1957</v>
      </c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 t="s">
        <v>427</v>
      </c>
      <c r="BD873" s="7" t="s">
        <v>440</v>
      </c>
      <c r="BE873" s="7" t="s">
        <v>127</v>
      </c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</row>
    <row r="874" customFormat="false" ht="15" hidden="false" customHeight="false" outlineLevel="0" collapsed="false">
      <c r="A874" s="7" t="s">
        <v>6717</v>
      </c>
      <c r="B874" s="7" t="s">
        <v>6718</v>
      </c>
      <c r="C874" s="7" t="s">
        <v>6719</v>
      </c>
      <c r="D874" s="7"/>
      <c r="E874" s="7" t="s">
        <v>101</v>
      </c>
      <c r="F874" s="7" t="s">
        <v>101</v>
      </c>
      <c r="G874" s="7"/>
      <c r="H874" s="7" t="s">
        <v>102</v>
      </c>
      <c r="I874" s="7" t="s">
        <v>158</v>
      </c>
      <c r="J874" s="7" t="s">
        <v>104</v>
      </c>
      <c r="K874" s="7" t="s">
        <v>105</v>
      </c>
      <c r="L874" s="7" t="s">
        <v>235</v>
      </c>
      <c r="M874" s="7" t="s">
        <v>419</v>
      </c>
      <c r="N874" s="7" t="s">
        <v>6720</v>
      </c>
      <c r="O874" s="7"/>
      <c r="P874" s="7" t="s">
        <v>135</v>
      </c>
      <c r="Q874" s="7"/>
      <c r="R874" s="7" t="s">
        <v>135</v>
      </c>
      <c r="S874" s="7" t="s">
        <v>136</v>
      </c>
      <c r="T874" s="7" t="n">
        <v>0.315</v>
      </c>
      <c r="U874" s="7" t="n">
        <v>1</v>
      </c>
      <c r="V874" s="7" t="s">
        <v>90</v>
      </c>
      <c r="W874" s="7"/>
      <c r="X874" s="7"/>
      <c r="Y874" s="7" t="s">
        <v>6720</v>
      </c>
      <c r="Z874" s="7"/>
      <c r="AA874" s="7"/>
      <c r="AB874" s="7"/>
      <c r="AC874" s="7" t="n">
        <v>0</v>
      </c>
      <c r="AD874" s="7" t="s">
        <v>388</v>
      </c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 t="s">
        <v>427</v>
      </c>
      <c r="BD874" s="7"/>
      <c r="BE874" s="7" t="s">
        <v>127</v>
      </c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</row>
    <row r="875" customFormat="false" ht="15" hidden="false" customHeight="false" outlineLevel="0" collapsed="false">
      <c r="A875" s="7" t="s">
        <v>6721</v>
      </c>
      <c r="B875" s="7" t="s">
        <v>6722</v>
      </c>
      <c r="C875" s="7" t="s">
        <v>6723</v>
      </c>
      <c r="D875" s="7"/>
      <c r="E875" s="7" t="s">
        <v>101</v>
      </c>
      <c r="F875" s="7" t="s">
        <v>6724</v>
      </c>
      <c r="G875" s="7"/>
      <c r="H875" s="7" t="s">
        <v>102</v>
      </c>
      <c r="I875" s="7" t="s">
        <v>132</v>
      </c>
      <c r="J875" s="7" t="s">
        <v>104</v>
      </c>
      <c r="K875" s="7" t="s">
        <v>105</v>
      </c>
      <c r="L875" s="7" t="s">
        <v>106</v>
      </c>
      <c r="M875" s="7" t="s">
        <v>419</v>
      </c>
      <c r="N875" s="7" t="s">
        <v>6725</v>
      </c>
      <c r="O875" s="7" t="s">
        <v>6725</v>
      </c>
      <c r="P875" s="7" t="s">
        <v>135</v>
      </c>
      <c r="Q875" s="7"/>
      <c r="R875" s="7" t="s">
        <v>109</v>
      </c>
      <c r="S875" s="7" t="s">
        <v>110</v>
      </c>
      <c r="T875" s="7" t="n">
        <v>0.344</v>
      </c>
      <c r="U875" s="7" t="n">
        <v>1</v>
      </c>
      <c r="V875" s="7" t="s">
        <v>90</v>
      </c>
      <c r="W875" s="7"/>
      <c r="X875" s="7"/>
      <c r="Y875" s="7" t="s">
        <v>6725</v>
      </c>
      <c r="Z875" s="7"/>
      <c r="AA875" s="7"/>
      <c r="AB875" s="7"/>
      <c r="AC875" s="7" t="n">
        <v>2</v>
      </c>
      <c r="AD875" s="7" t="s">
        <v>1954</v>
      </c>
      <c r="AE875" s="7"/>
      <c r="AF875" s="7"/>
      <c r="AG875" s="7" t="s">
        <v>1848</v>
      </c>
      <c r="AH875" s="7" t="s">
        <v>1956</v>
      </c>
      <c r="AI875" s="7"/>
      <c r="AJ875" s="7"/>
      <c r="AK875" s="7"/>
      <c r="AL875" s="7"/>
      <c r="AM875" s="7" t="s">
        <v>1848</v>
      </c>
      <c r="AN875" s="7" t="s">
        <v>1957</v>
      </c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 t="s">
        <v>427</v>
      </c>
      <c r="BD875" s="7"/>
      <c r="BE875" s="7" t="s">
        <v>127</v>
      </c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</row>
    <row r="876" customFormat="false" ht="15" hidden="false" customHeight="false" outlineLevel="0" collapsed="false">
      <c r="A876" s="7" t="s">
        <v>6726</v>
      </c>
      <c r="B876" s="7" t="s">
        <v>6727</v>
      </c>
      <c r="C876" s="7" t="s">
        <v>6728</v>
      </c>
      <c r="D876" s="7" t="s">
        <v>6729</v>
      </c>
      <c r="E876" s="7" t="s">
        <v>101</v>
      </c>
      <c r="F876" s="7" t="s">
        <v>101</v>
      </c>
      <c r="G876" s="7"/>
      <c r="H876" s="7" t="s">
        <v>102</v>
      </c>
      <c r="I876" s="7" t="s">
        <v>158</v>
      </c>
      <c r="J876" s="7" t="s">
        <v>104</v>
      </c>
      <c r="K876" s="7" t="s">
        <v>105</v>
      </c>
      <c r="L876" s="7" t="s">
        <v>106</v>
      </c>
      <c r="M876" s="7" t="s">
        <v>419</v>
      </c>
      <c r="N876" s="7" t="s">
        <v>6730</v>
      </c>
      <c r="O876" s="7" t="s">
        <v>6730</v>
      </c>
      <c r="P876" s="7" t="s">
        <v>135</v>
      </c>
      <c r="Q876" s="7"/>
      <c r="R876" s="7" t="s">
        <v>109</v>
      </c>
      <c r="S876" s="7" t="s">
        <v>110</v>
      </c>
      <c r="T876" s="7" t="n">
        <v>0.272</v>
      </c>
      <c r="U876" s="7" t="n">
        <v>1</v>
      </c>
      <c r="V876" s="7" t="s">
        <v>90</v>
      </c>
      <c r="W876" s="7"/>
      <c r="X876" s="7"/>
      <c r="Y876" s="7"/>
      <c r="Z876" s="7"/>
      <c r="AA876" s="7"/>
      <c r="AB876" s="7"/>
      <c r="AC876" s="7" t="n">
        <v>2</v>
      </c>
      <c r="AD876" s="7" t="s">
        <v>1954</v>
      </c>
      <c r="AE876" s="7"/>
      <c r="AF876" s="7"/>
      <c r="AG876" s="7" t="s">
        <v>1848</v>
      </c>
      <c r="AH876" s="7" t="s">
        <v>1956</v>
      </c>
      <c r="AI876" s="7"/>
      <c r="AJ876" s="7"/>
      <c r="AK876" s="7"/>
      <c r="AL876" s="7"/>
      <c r="AM876" s="7" t="s">
        <v>1848</v>
      </c>
      <c r="AN876" s="7" t="s">
        <v>1957</v>
      </c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 t="s">
        <v>427</v>
      </c>
      <c r="BD876" s="7" t="s">
        <v>440</v>
      </c>
      <c r="BE876" s="7" t="s">
        <v>127</v>
      </c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</row>
    <row r="877" customFormat="false" ht="15" hidden="false" customHeight="false" outlineLevel="0" collapsed="false">
      <c r="A877" s="7" t="s">
        <v>6731</v>
      </c>
      <c r="B877" s="7" t="s">
        <v>6732</v>
      </c>
      <c r="C877" s="7" t="s">
        <v>6733</v>
      </c>
      <c r="D877" s="7" t="s">
        <v>6734</v>
      </c>
      <c r="E877" s="7" t="s">
        <v>101</v>
      </c>
      <c r="F877" s="7" t="s">
        <v>101</v>
      </c>
      <c r="G877" s="7"/>
      <c r="H877" s="7" t="s">
        <v>102</v>
      </c>
      <c r="I877" s="7" t="s">
        <v>158</v>
      </c>
      <c r="J877" s="7" t="s">
        <v>104</v>
      </c>
      <c r="K877" s="7" t="s">
        <v>105</v>
      </c>
      <c r="L877" s="7" t="s">
        <v>353</v>
      </c>
      <c r="M877" s="7" t="s">
        <v>419</v>
      </c>
      <c r="N877" s="7" t="s">
        <v>6735</v>
      </c>
      <c r="O877" s="7" t="s">
        <v>6735</v>
      </c>
      <c r="P877" s="7" t="s">
        <v>135</v>
      </c>
      <c r="Q877" s="7"/>
      <c r="R877" s="7" t="s">
        <v>109</v>
      </c>
      <c r="S877" s="7" t="s">
        <v>110</v>
      </c>
      <c r="T877" s="7" t="n">
        <v>0.365</v>
      </c>
      <c r="U877" s="7" t="n">
        <v>1</v>
      </c>
      <c r="V877" s="7" t="s">
        <v>90</v>
      </c>
      <c r="W877" s="7"/>
      <c r="X877" s="7"/>
      <c r="Y877" s="7"/>
      <c r="Z877" s="7"/>
      <c r="AA877" s="7"/>
      <c r="AB877" s="7"/>
      <c r="AC877" s="7" t="n">
        <v>2</v>
      </c>
      <c r="AD877" s="7" t="s">
        <v>1954</v>
      </c>
      <c r="AE877" s="7"/>
      <c r="AF877" s="7"/>
      <c r="AG877" s="7" t="s">
        <v>1848</v>
      </c>
      <c r="AH877" s="7" t="s">
        <v>1956</v>
      </c>
      <c r="AI877" s="7"/>
      <c r="AJ877" s="7"/>
      <c r="AK877" s="7"/>
      <c r="AL877" s="7"/>
      <c r="AM877" s="7" t="s">
        <v>1848</v>
      </c>
      <c r="AN877" s="7" t="s">
        <v>1957</v>
      </c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 t="s">
        <v>427</v>
      </c>
      <c r="BD877" s="7" t="s">
        <v>440</v>
      </c>
      <c r="BE877" s="7" t="s">
        <v>127</v>
      </c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</row>
    <row r="878" customFormat="false" ht="15" hidden="false" customHeight="false" outlineLevel="0" collapsed="false">
      <c r="A878" s="7" t="s">
        <v>6736</v>
      </c>
      <c r="B878" s="7" t="s">
        <v>6737</v>
      </c>
      <c r="C878" s="7" t="s">
        <v>6738</v>
      </c>
      <c r="D878" s="7" t="s">
        <v>6739</v>
      </c>
      <c r="E878" s="7" t="s">
        <v>101</v>
      </c>
      <c r="F878" s="7" t="s">
        <v>101</v>
      </c>
      <c r="G878" s="7"/>
      <c r="H878" s="7" t="s">
        <v>102</v>
      </c>
      <c r="I878" s="7" t="s">
        <v>158</v>
      </c>
      <c r="J878" s="7" t="s">
        <v>104</v>
      </c>
      <c r="K878" s="7" t="s">
        <v>105</v>
      </c>
      <c r="L878" s="7" t="s">
        <v>353</v>
      </c>
      <c r="M878" s="7" t="s">
        <v>419</v>
      </c>
      <c r="N878" s="7" t="s">
        <v>6740</v>
      </c>
      <c r="O878" s="7"/>
      <c r="P878" s="7" t="s">
        <v>135</v>
      </c>
      <c r="Q878" s="7"/>
      <c r="R878" s="7"/>
      <c r="S878" s="7"/>
      <c r="T878" s="7" t="n">
        <v>0.384</v>
      </c>
      <c r="U878" s="7" t="n">
        <v>1</v>
      </c>
      <c r="V878" s="7" t="s">
        <v>90</v>
      </c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 t="s">
        <v>1848</v>
      </c>
      <c r="AH878" s="7" t="s">
        <v>1956</v>
      </c>
      <c r="AI878" s="7"/>
      <c r="AJ878" s="7"/>
      <c r="AK878" s="7"/>
      <c r="AL878" s="7"/>
      <c r="AM878" s="7" t="s">
        <v>1848</v>
      </c>
      <c r="AN878" s="7" t="s">
        <v>1957</v>
      </c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 t="s">
        <v>427</v>
      </c>
      <c r="BD878" s="7" t="s">
        <v>440</v>
      </c>
      <c r="BE878" s="7" t="s">
        <v>127</v>
      </c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</row>
    <row r="879" customFormat="false" ht="15" hidden="false" customHeight="false" outlineLevel="0" collapsed="false">
      <c r="A879" s="7" t="s">
        <v>6741</v>
      </c>
      <c r="B879" s="7" t="s">
        <v>6742</v>
      </c>
      <c r="C879" s="7" t="s">
        <v>6743</v>
      </c>
      <c r="D879" s="7" t="s">
        <v>6744</v>
      </c>
      <c r="E879" s="7" t="s">
        <v>101</v>
      </c>
      <c r="F879" s="7" t="s">
        <v>101</v>
      </c>
      <c r="G879" s="7"/>
      <c r="H879" s="7" t="s">
        <v>102</v>
      </c>
      <c r="I879" s="7" t="s">
        <v>158</v>
      </c>
      <c r="J879" s="7" t="s">
        <v>104</v>
      </c>
      <c r="K879" s="7" t="s">
        <v>105</v>
      </c>
      <c r="L879" s="7" t="s">
        <v>353</v>
      </c>
      <c r="M879" s="7" t="s">
        <v>419</v>
      </c>
      <c r="N879" s="7" t="s">
        <v>6745</v>
      </c>
      <c r="O879" s="7"/>
      <c r="P879" s="7" t="s">
        <v>135</v>
      </c>
      <c r="Q879" s="7"/>
      <c r="R879" s="7"/>
      <c r="S879" s="7"/>
      <c r="T879" s="7" t="n">
        <v>0.332</v>
      </c>
      <c r="U879" s="7" t="n">
        <v>1</v>
      </c>
      <c r="V879" s="7" t="s">
        <v>90</v>
      </c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 t="s">
        <v>1848</v>
      </c>
      <c r="AH879" s="7" t="s">
        <v>1956</v>
      </c>
      <c r="AI879" s="7"/>
      <c r="AJ879" s="7"/>
      <c r="AK879" s="7"/>
      <c r="AL879" s="7"/>
      <c r="AM879" s="7" t="s">
        <v>1848</v>
      </c>
      <c r="AN879" s="7" t="s">
        <v>1957</v>
      </c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 t="s">
        <v>427</v>
      </c>
      <c r="BD879" s="7" t="s">
        <v>440</v>
      </c>
      <c r="BE879" s="7" t="s">
        <v>127</v>
      </c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</row>
    <row r="880" customFormat="false" ht="15" hidden="false" customHeight="false" outlineLevel="0" collapsed="false">
      <c r="A880" s="7" t="s">
        <v>6746</v>
      </c>
      <c r="B880" s="7" t="s">
        <v>6747</v>
      </c>
      <c r="C880" s="7" t="s">
        <v>6748</v>
      </c>
      <c r="D880" s="7" t="s">
        <v>6749</v>
      </c>
      <c r="E880" s="7" t="s">
        <v>101</v>
      </c>
      <c r="F880" s="7" t="s">
        <v>101</v>
      </c>
      <c r="G880" s="7"/>
      <c r="H880" s="7" t="s">
        <v>102</v>
      </c>
      <c r="I880" s="7" t="s">
        <v>158</v>
      </c>
      <c r="J880" s="7" t="s">
        <v>104</v>
      </c>
      <c r="K880" s="7" t="s">
        <v>105</v>
      </c>
      <c r="L880" s="7" t="s">
        <v>353</v>
      </c>
      <c r="M880" s="7" t="s">
        <v>419</v>
      </c>
      <c r="N880" s="7" t="s">
        <v>6750</v>
      </c>
      <c r="O880" s="7" t="s">
        <v>6750</v>
      </c>
      <c r="P880" s="7" t="s">
        <v>135</v>
      </c>
      <c r="Q880" s="7"/>
      <c r="R880" s="7" t="s">
        <v>109</v>
      </c>
      <c r="S880" s="7" t="s">
        <v>110</v>
      </c>
      <c r="T880" s="7" t="n">
        <v>0.329</v>
      </c>
      <c r="U880" s="7" t="n">
        <v>1</v>
      </c>
      <c r="V880" s="7" t="s">
        <v>90</v>
      </c>
      <c r="W880" s="7"/>
      <c r="X880" s="7"/>
      <c r="Y880" s="7"/>
      <c r="Z880" s="7"/>
      <c r="AA880" s="7"/>
      <c r="AB880" s="7"/>
      <c r="AC880" s="7" t="n">
        <v>2</v>
      </c>
      <c r="AD880" s="7" t="s">
        <v>1954</v>
      </c>
      <c r="AE880" s="7"/>
      <c r="AF880" s="7"/>
      <c r="AG880" s="7" t="s">
        <v>1848</v>
      </c>
      <c r="AH880" s="7" t="s">
        <v>1956</v>
      </c>
      <c r="AI880" s="7"/>
      <c r="AJ880" s="7"/>
      <c r="AK880" s="7"/>
      <c r="AL880" s="7"/>
      <c r="AM880" s="7" t="s">
        <v>1848</v>
      </c>
      <c r="AN880" s="7" t="s">
        <v>1957</v>
      </c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 t="s">
        <v>427</v>
      </c>
      <c r="BD880" s="7" t="s">
        <v>440</v>
      </c>
      <c r="BE880" s="7" t="s">
        <v>127</v>
      </c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</row>
    <row r="881" customFormat="false" ht="15" hidden="false" customHeight="false" outlineLevel="0" collapsed="false">
      <c r="A881" s="7" t="s">
        <v>6751</v>
      </c>
      <c r="B881" s="7" t="s">
        <v>6752</v>
      </c>
      <c r="C881" s="7" t="s">
        <v>6753</v>
      </c>
      <c r="D881" s="7" t="s">
        <v>6754</v>
      </c>
      <c r="E881" s="7" t="s">
        <v>101</v>
      </c>
      <c r="F881" s="7" t="s">
        <v>101</v>
      </c>
      <c r="G881" s="7"/>
      <c r="H881" s="7" t="s">
        <v>102</v>
      </c>
      <c r="I881" s="7" t="s">
        <v>158</v>
      </c>
      <c r="J881" s="7" t="s">
        <v>104</v>
      </c>
      <c r="K881" s="7" t="s">
        <v>105</v>
      </c>
      <c r="L881" s="7" t="s">
        <v>353</v>
      </c>
      <c r="M881" s="7" t="s">
        <v>419</v>
      </c>
      <c r="N881" s="7" t="s">
        <v>6755</v>
      </c>
      <c r="O881" s="7"/>
      <c r="P881" s="7" t="s">
        <v>135</v>
      </c>
      <c r="Q881" s="7"/>
      <c r="R881" s="7"/>
      <c r="S881" s="7"/>
      <c r="T881" s="7" t="n">
        <v>0.3</v>
      </c>
      <c r="U881" s="7" t="n">
        <v>1</v>
      </c>
      <c r="V881" s="7" t="s">
        <v>90</v>
      </c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 t="s">
        <v>1848</v>
      </c>
      <c r="AH881" s="7" t="s">
        <v>1956</v>
      </c>
      <c r="AI881" s="7"/>
      <c r="AJ881" s="7"/>
      <c r="AK881" s="7"/>
      <c r="AL881" s="7"/>
      <c r="AM881" s="7" t="s">
        <v>1848</v>
      </c>
      <c r="AN881" s="7" t="s">
        <v>1957</v>
      </c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 t="s">
        <v>427</v>
      </c>
      <c r="BD881" s="7" t="s">
        <v>440</v>
      </c>
      <c r="BE881" s="7" t="s">
        <v>127</v>
      </c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</row>
    <row r="882" customFormat="false" ht="15" hidden="false" customHeight="false" outlineLevel="0" collapsed="false">
      <c r="A882" s="7" t="s">
        <v>6756</v>
      </c>
      <c r="B882" s="7" t="s">
        <v>6757</v>
      </c>
      <c r="C882" s="7" t="s">
        <v>6758</v>
      </c>
      <c r="D882" s="7" t="s">
        <v>6759</v>
      </c>
      <c r="E882" s="7" t="s">
        <v>101</v>
      </c>
      <c r="F882" s="7" t="s">
        <v>101</v>
      </c>
      <c r="G882" s="7"/>
      <c r="H882" s="7" t="s">
        <v>102</v>
      </c>
      <c r="I882" s="7" t="s">
        <v>158</v>
      </c>
      <c r="J882" s="7" t="s">
        <v>104</v>
      </c>
      <c r="K882" s="7" t="s">
        <v>105</v>
      </c>
      <c r="L882" s="7" t="s">
        <v>353</v>
      </c>
      <c r="M882" s="7" t="s">
        <v>419</v>
      </c>
      <c r="N882" s="7" t="s">
        <v>6760</v>
      </c>
      <c r="O882" s="7" t="s">
        <v>6760</v>
      </c>
      <c r="P882" s="7" t="s">
        <v>135</v>
      </c>
      <c r="Q882" s="7"/>
      <c r="R882" s="7" t="s">
        <v>109</v>
      </c>
      <c r="S882" s="7" t="s">
        <v>110</v>
      </c>
      <c r="T882" s="7" t="n">
        <v>0.451</v>
      </c>
      <c r="U882" s="7" t="n">
        <v>1</v>
      </c>
      <c r="V882" s="7" t="s">
        <v>90</v>
      </c>
      <c r="W882" s="7"/>
      <c r="X882" s="7"/>
      <c r="Y882" s="7"/>
      <c r="Z882" s="7"/>
      <c r="AA882" s="7"/>
      <c r="AB882" s="7"/>
      <c r="AC882" s="7" t="n">
        <v>2</v>
      </c>
      <c r="AD882" s="7" t="s">
        <v>1954</v>
      </c>
      <c r="AE882" s="7"/>
      <c r="AF882" s="7"/>
      <c r="AG882" s="7" t="s">
        <v>1848</v>
      </c>
      <c r="AH882" s="7" t="s">
        <v>1956</v>
      </c>
      <c r="AI882" s="7"/>
      <c r="AJ882" s="7"/>
      <c r="AK882" s="7"/>
      <c r="AL882" s="7"/>
      <c r="AM882" s="7" t="s">
        <v>1848</v>
      </c>
      <c r="AN882" s="7" t="s">
        <v>1957</v>
      </c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 t="s">
        <v>427</v>
      </c>
      <c r="BD882" s="7" t="s">
        <v>440</v>
      </c>
      <c r="BE882" s="7" t="s">
        <v>127</v>
      </c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</row>
    <row r="883" customFormat="false" ht="15" hidden="false" customHeight="false" outlineLevel="0" collapsed="false">
      <c r="A883" s="7" t="s">
        <v>6761</v>
      </c>
      <c r="B883" s="7" t="s">
        <v>6762</v>
      </c>
      <c r="C883" s="7" t="s">
        <v>6763</v>
      </c>
      <c r="D883" s="7" t="s">
        <v>6764</v>
      </c>
      <c r="E883" s="7" t="s">
        <v>101</v>
      </c>
      <c r="F883" s="7" t="s">
        <v>101</v>
      </c>
      <c r="G883" s="7"/>
      <c r="H883" s="7" t="s">
        <v>102</v>
      </c>
      <c r="I883" s="7" t="s">
        <v>158</v>
      </c>
      <c r="J883" s="7" t="s">
        <v>104</v>
      </c>
      <c r="K883" s="7" t="s">
        <v>105</v>
      </c>
      <c r="L883" s="7" t="s">
        <v>353</v>
      </c>
      <c r="M883" s="7" t="s">
        <v>419</v>
      </c>
      <c r="N883" s="7" t="s">
        <v>6765</v>
      </c>
      <c r="O883" s="7" t="s">
        <v>6765</v>
      </c>
      <c r="P883" s="7" t="s">
        <v>135</v>
      </c>
      <c r="Q883" s="7"/>
      <c r="R883" s="7" t="s">
        <v>109</v>
      </c>
      <c r="S883" s="7" t="s">
        <v>110</v>
      </c>
      <c r="T883" s="7" t="n">
        <v>0.476</v>
      </c>
      <c r="U883" s="7" t="n">
        <v>1</v>
      </c>
      <c r="V883" s="7" t="s">
        <v>90</v>
      </c>
      <c r="W883" s="7"/>
      <c r="X883" s="7"/>
      <c r="Y883" s="7"/>
      <c r="Z883" s="7"/>
      <c r="AA883" s="7"/>
      <c r="AB883" s="7"/>
      <c r="AC883" s="7" t="n">
        <v>2</v>
      </c>
      <c r="AD883" s="7" t="s">
        <v>1954</v>
      </c>
      <c r="AE883" s="7"/>
      <c r="AF883" s="7"/>
      <c r="AG883" s="7" t="s">
        <v>1848</v>
      </c>
      <c r="AH883" s="7" t="s">
        <v>1956</v>
      </c>
      <c r="AI883" s="7"/>
      <c r="AJ883" s="7"/>
      <c r="AK883" s="7"/>
      <c r="AL883" s="7"/>
      <c r="AM883" s="7" t="s">
        <v>1848</v>
      </c>
      <c r="AN883" s="7" t="s">
        <v>1957</v>
      </c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 t="s">
        <v>427</v>
      </c>
      <c r="BD883" s="7" t="s">
        <v>440</v>
      </c>
      <c r="BE883" s="7" t="s">
        <v>127</v>
      </c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</row>
    <row r="884" customFormat="false" ht="15" hidden="false" customHeight="false" outlineLevel="0" collapsed="false">
      <c r="A884" s="7" t="s">
        <v>6766</v>
      </c>
      <c r="B884" s="7" t="s">
        <v>6767</v>
      </c>
      <c r="C884" s="7" t="s">
        <v>6768</v>
      </c>
      <c r="D884" s="7" t="s">
        <v>6769</v>
      </c>
      <c r="E884" s="7" t="s">
        <v>101</v>
      </c>
      <c r="F884" s="7" t="s">
        <v>101</v>
      </c>
      <c r="G884" s="7"/>
      <c r="H884" s="7" t="s">
        <v>102</v>
      </c>
      <c r="I884" s="7" t="s">
        <v>208</v>
      </c>
      <c r="J884" s="7" t="s">
        <v>104</v>
      </c>
      <c r="K884" s="7" t="s">
        <v>105</v>
      </c>
      <c r="L884" s="7" t="s">
        <v>106</v>
      </c>
      <c r="M884" s="7" t="s">
        <v>419</v>
      </c>
      <c r="N884" s="7" t="s">
        <v>6770</v>
      </c>
      <c r="O884" s="7" t="s">
        <v>6770</v>
      </c>
      <c r="P884" s="7" t="s">
        <v>135</v>
      </c>
      <c r="Q884" s="7"/>
      <c r="R884" s="7" t="s">
        <v>109</v>
      </c>
      <c r="S884" s="7" t="s">
        <v>110</v>
      </c>
      <c r="T884" s="7" t="n">
        <v>0.562</v>
      </c>
      <c r="U884" s="7" t="n">
        <v>1</v>
      </c>
      <c r="V884" s="7" t="s">
        <v>90</v>
      </c>
      <c r="W884" s="7"/>
      <c r="X884" s="7" t="s">
        <v>2901</v>
      </c>
      <c r="Y884" s="7"/>
      <c r="Z884" s="7" t="s">
        <v>2902</v>
      </c>
      <c r="AA884" s="7"/>
      <c r="AB884" s="7"/>
      <c r="AC884" s="7" t="n">
        <v>2</v>
      </c>
      <c r="AD884" s="7" t="s">
        <v>1954</v>
      </c>
      <c r="AE884" s="7"/>
      <c r="AF884" s="7"/>
      <c r="AG884" s="7" t="s">
        <v>1955</v>
      </c>
      <c r="AH884" s="7" t="s">
        <v>1956</v>
      </c>
      <c r="AI884" s="7"/>
      <c r="AJ884" s="7"/>
      <c r="AK884" s="7"/>
      <c r="AL884" s="7"/>
      <c r="AM884" s="7" t="s">
        <v>1955</v>
      </c>
      <c r="AN884" s="7" t="s">
        <v>1957</v>
      </c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 t="s">
        <v>427</v>
      </c>
      <c r="BD884" s="7" t="s">
        <v>2797</v>
      </c>
      <c r="BE884" s="7" t="s">
        <v>127</v>
      </c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</row>
    <row r="885" customFormat="false" ht="15" hidden="false" customHeight="false" outlineLevel="0" collapsed="false">
      <c r="A885" s="7" t="s">
        <v>6771</v>
      </c>
      <c r="B885" s="7" t="s">
        <v>6772</v>
      </c>
      <c r="C885" s="7" t="s">
        <v>6773</v>
      </c>
      <c r="D885" s="7" t="s">
        <v>6774</v>
      </c>
      <c r="E885" s="7" t="s">
        <v>101</v>
      </c>
      <c r="F885" s="7" t="s">
        <v>101</v>
      </c>
      <c r="G885" s="7"/>
      <c r="H885" s="7" t="s">
        <v>102</v>
      </c>
      <c r="I885" s="7" t="s">
        <v>1104</v>
      </c>
      <c r="J885" s="7" t="s">
        <v>104</v>
      </c>
      <c r="K885" s="7" t="s">
        <v>105</v>
      </c>
      <c r="L885" s="7" t="s">
        <v>1106</v>
      </c>
      <c r="M885" s="7" t="s">
        <v>419</v>
      </c>
      <c r="N885" s="7" t="s">
        <v>6775</v>
      </c>
      <c r="O885" s="7" t="s">
        <v>6775</v>
      </c>
      <c r="P885" s="7" t="s">
        <v>109</v>
      </c>
      <c r="Q885" s="7"/>
      <c r="R885" s="7" t="s">
        <v>109</v>
      </c>
      <c r="S885" s="7" t="s">
        <v>110</v>
      </c>
      <c r="T885" s="7" t="n">
        <v>0.771</v>
      </c>
      <c r="U885" s="7" t="n">
        <v>1</v>
      </c>
      <c r="V885" s="7" t="s">
        <v>90</v>
      </c>
      <c r="W885" s="7"/>
      <c r="X885" s="7" t="s">
        <v>903</v>
      </c>
      <c r="Y885" s="7"/>
      <c r="Z885" s="7" t="s">
        <v>6776</v>
      </c>
      <c r="AA885" s="7"/>
      <c r="AB885" s="7"/>
      <c r="AC885" s="7" t="n">
        <v>2</v>
      </c>
      <c r="AD885" s="7" t="s">
        <v>1954</v>
      </c>
      <c r="AE885" s="7"/>
      <c r="AF885" s="7"/>
      <c r="AG885" s="7" t="s">
        <v>1955</v>
      </c>
      <c r="AH885" s="7" t="s">
        <v>1956</v>
      </c>
      <c r="AI885" s="7"/>
      <c r="AJ885" s="7"/>
      <c r="AK885" s="7"/>
      <c r="AL885" s="7"/>
      <c r="AM885" s="7" t="s">
        <v>1955</v>
      </c>
      <c r="AN885" s="7" t="s">
        <v>1957</v>
      </c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 t="s">
        <v>427</v>
      </c>
      <c r="BD885" s="7"/>
      <c r="BE885" s="7" t="s">
        <v>127</v>
      </c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</row>
    <row r="886" customFormat="false" ht="15" hidden="false" customHeight="false" outlineLevel="0" collapsed="false">
      <c r="A886" s="7" t="s">
        <v>6777</v>
      </c>
      <c r="B886" s="7" t="s">
        <v>6778</v>
      </c>
      <c r="C886" s="7" t="s">
        <v>6779</v>
      </c>
      <c r="D886" s="7" t="s">
        <v>6774</v>
      </c>
      <c r="E886" s="7" t="s">
        <v>101</v>
      </c>
      <c r="F886" s="7" t="s">
        <v>101</v>
      </c>
      <c r="G886" s="7"/>
      <c r="H886" s="7" t="s">
        <v>102</v>
      </c>
      <c r="I886" s="7" t="s">
        <v>103</v>
      </c>
      <c r="J886" s="7" t="s">
        <v>104</v>
      </c>
      <c r="K886" s="7" t="s">
        <v>105</v>
      </c>
      <c r="L886" s="7" t="s">
        <v>106</v>
      </c>
      <c r="M886" s="7" t="s">
        <v>419</v>
      </c>
      <c r="N886" s="7" t="s">
        <v>6780</v>
      </c>
      <c r="O886" s="7" t="s">
        <v>6780</v>
      </c>
      <c r="P886" s="7" t="s">
        <v>135</v>
      </c>
      <c r="Q886" s="7"/>
      <c r="R886" s="7" t="s">
        <v>109</v>
      </c>
      <c r="S886" s="7" t="s">
        <v>110</v>
      </c>
      <c r="T886" s="7" t="n">
        <v>0.872</v>
      </c>
      <c r="U886" s="7" t="n">
        <v>1</v>
      </c>
      <c r="V886" s="7" t="s">
        <v>2781</v>
      </c>
      <c r="W886" s="7" t="s">
        <v>2366</v>
      </c>
      <c r="X886" s="7" t="s">
        <v>5109</v>
      </c>
      <c r="Y886" s="7" t="s">
        <v>6780</v>
      </c>
      <c r="Z886" s="7" t="s">
        <v>6781</v>
      </c>
      <c r="AA886" s="7"/>
      <c r="AB886" s="7"/>
      <c r="AC886" s="7" t="n">
        <v>7</v>
      </c>
      <c r="AD886" s="7" t="s">
        <v>2439</v>
      </c>
      <c r="AE886" s="7" t="s">
        <v>1065</v>
      </c>
      <c r="AF886" s="7" t="s">
        <v>6782</v>
      </c>
      <c r="AG886" s="7" t="s">
        <v>1065</v>
      </c>
      <c r="AH886" s="7" t="s">
        <v>6783</v>
      </c>
      <c r="AI886" s="7"/>
      <c r="AJ886" s="7"/>
      <c r="AK886" s="7"/>
      <c r="AL886" s="7"/>
      <c r="AM886" s="7" t="s">
        <v>1065</v>
      </c>
      <c r="AN886" s="7" t="s">
        <v>6784</v>
      </c>
      <c r="AO886" s="7" t="s">
        <v>1065</v>
      </c>
      <c r="AP886" s="7" t="s">
        <v>6774</v>
      </c>
      <c r="AQ886" s="7" t="s">
        <v>1065</v>
      </c>
      <c r="AR886" s="7" t="s">
        <v>6785</v>
      </c>
      <c r="AS886" s="7" t="s">
        <v>1065</v>
      </c>
      <c r="AT886" s="7" t="s">
        <v>216</v>
      </c>
      <c r="AU886" s="7"/>
      <c r="AV886" s="7"/>
      <c r="AW886" s="7"/>
      <c r="AX886" s="7"/>
      <c r="AY886" s="7"/>
      <c r="AZ886" s="7"/>
      <c r="BA886" s="7" t="s">
        <v>1065</v>
      </c>
      <c r="BB886" s="7" t="s">
        <v>6786</v>
      </c>
      <c r="BC886" s="7" t="s">
        <v>427</v>
      </c>
      <c r="BD886" s="7" t="s">
        <v>440</v>
      </c>
      <c r="BE886" s="7" t="s">
        <v>127</v>
      </c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</row>
    <row r="887" customFormat="false" ht="15" hidden="false" customHeight="false" outlineLevel="0" collapsed="false">
      <c r="A887" s="7" t="s">
        <v>6787</v>
      </c>
      <c r="B887" s="7" t="s">
        <v>6788</v>
      </c>
      <c r="C887" s="7" t="s">
        <v>6789</v>
      </c>
      <c r="D887" s="7" t="s">
        <v>5799</v>
      </c>
      <c r="E887" s="7" t="s">
        <v>101</v>
      </c>
      <c r="F887" s="7" t="s">
        <v>101</v>
      </c>
      <c r="G887" s="7"/>
      <c r="H887" s="7" t="s">
        <v>102</v>
      </c>
      <c r="I887" s="7" t="s">
        <v>103</v>
      </c>
      <c r="J887" s="7" t="s">
        <v>104</v>
      </c>
      <c r="K887" s="7" t="s">
        <v>105</v>
      </c>
      <c r="L887" s="7" t="s">
        <v>106</v>
      </c>
      <c r="M887" s="7" t="s">
        <v>419</v>
      </c>
      <c r="N887" s="7" t="s">
        <v>6790</v>
      </c>
      <c r="O887" s="7" t="s">
        <v>6790</v>
      </c>
      <c r="P887" s="7" t="s">
        <v>135</v>
      </c>
      <c r="Q887" s="7"/>
      <c r="R887" s="7" t="s">
        <v>109</v>
      </c>
      <c r="S887" s="7" t="s">
        <v>110</v>
      </c>
      <c r="T887" s="7" t="n">
        <v>0.517</v>
      </c>
      <c r="U887" s="7" t="n">
        <v>1</v>
      </c>
      <c r="V887" s="7" t="s">
        <v>2781</v>
      </c>
      <c r="W887" s="7" t="s">
        <v>6791</v>
      </c>
      <c r="X887" s="7" t="s">
        <v>6792</v>
      </c>
      <c r="Y887" s="7" t="s">
        <v>6790</v>
      </c>
      <c r="Z887" s="7" t="s">
        <v>6793</v>
      </c>
      <c r="AA887" s="7"/>
      <c r="AB887" s="7"/>
      <c r="AC887" s="7" t="n">
        <v>7</v>
      </c>
      <c r="AD887" s="7" t="s">
        <v>2439</v>
      </c>
      <c r="AE887" s="7" t="s">
        <v>1065</v>
      </c>
      <c r="AF887" s="7" t="s">
        <v>6794</v>
      </c>
      <c r="AG887" s="7" t="s">
        <v>1065</v>
      </c>
      <c r="AH887" s="7" t="s">
        <v>6795</v>
      </c>
      <c r="AI887" s="7"/>
      <c r="AJ887" s="7"/>
      <c r="AK887" s="7"/>
      <c r="AL887" s="7"/>
      <c r="AM887" s="7" t="s">
        <v>1065</v>
      </c>
      <c r="AN887" s="7" t="s">
        <v>6796</v>
      </c>
      <c r="AO887" s="7" t="s">
        <v>1065</v>
      </c>
      <c r="AP887" s="7" t="s">
        <v>5799</v>
      </c>
      <c r="AQ887" s="7" t="s">
        <v>1065</v>
      </c>
      <c r="AR887" s="7" t="s">
        <v>6797</v>
      </c>
      <c r="AS887" s="7" t="s">
        <v>1065</v>
      </c>
      <c r="AT887" s="7" t="s">
        <v>216</v>
      </c>
      <c r="AU887" s="7"/>
      <c r="AV887" s="7"/>
      <c r="AW887" s="7"/>
      <c r="AX887" s="7"/>
      <c r="AY887" s="7"/>
      <c r="AZ887" s="7"/>
      <c r="BA887" s="7" t="s">
        <v>1065</v>
      </c>
      <c r="BB887" s="7" t="s">
        <v>6798</v>
      </c>
      <c r="BC887" s="7" t="s">
        <v>427</v>
      </c>
      <c r="BD887" s="7" t="s">
        <v>440</v>
      </c>
      <c r="BE887" s="7" t="s">
        <v>127</v>
      </c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</row>
    <row r="888" customFormat="false" ht="15" hidden="false" customHeight="false" outlineLevel="0" collapsed="false">
      <c r="A888" s="7" t="s">
        <v>6799</v>
      </c>
      <c r="B888" s="7" t="s">
        <v>6800</v>
      </c>
      <c r="C888" s="7" t="s">
        <v>6801</v>
      </c>
      <c r="D888" s="7" t="s">
        <v>6802</v>
      </c>
      <c r="E888" s="7" t="s">
        <v>101</v>
      </c>
      <c r="F888" s="7" t="s">
        <v>101</v>
      </c>
      <c r="G888" s="7"/>
      <c r="H888" s="7" t="s">
        <v>102</v>
      </c>
      <c r="I888" s="7" t="s">
        <v>103</v>
      </c>
      <c r="J888" s="7" t="s">
        <v>104</v>
      </c>
      <c r="K888" s="7" t="s">
        <v>105</v>
      </c>
      <c r="L888" s="7" t="s">
        <v>106</v>
      </c>
      <c r="M888" s="7" t="s">
        <v>419</v>
      </c>
      <c r="N888" s="7" t="s">
        <v>6803</v>
      </c>
      <c r="O888" s="7" t="s">
        <v>6804</v>
      </c>
      <c r="P888" s="7" t="s">
        <v>135</v>
      </c>
      <c r="Q888" s="7"/>
      <c r="R888" s="7" t="s">
        <v>109</v>
      </c>
      <c r="S888" s="7" t="s">
        <v>110</v>
      </c>
      <c r="T888" s="7" t="n">
        <v>0.391</v>
      </c>
      <c r="U888" s="7" t="n">
        <v>1</v>
      </c>
      <c r="V888" s="7" t="s">
        <v>2781</v>
      </c>
      <c r="W888" s="7" t="s">
        <v>6805</v>
      </c>
      <c r="X888" s="7" t="s">
        <v>6806</v>
      </c>
      <c r="Y888" s="7" t="s">
        <v>6803</v>
      </c>
      <c r="Z888" s="7" t="s">
        <v>6807</v>
      </c>
      <c r="AA888" s="7"/>
      <c r="AB888" s="7"/>
      <c r="AC888" s="7" t="n">
        <v>7</v>
      </c>
      <c r="AD888" s="7" t="s">
        <v>2439</v>
      </c>
      <c r="AE888" s="7" t="s">
        <v>1065</v>
      </c>
      <c r="AF888" s="7" t="s">
        <v>6808</v>
      </c>
      <c r="AG888" s="7" t="s">
        <v>1065</v>
      </c>
      <c r="AH888" s="7" t="s">
        <v>6809</v>
      </c>
      <c r="AI888" s="7"/>
      <c r="AJ888" s="7"/>
      <c r="AK888" s="7"/>
      <c r="AL888" s="7"/>
      <c r="AM888" s="7" t="s">
        <v>1065</v>
      </c>
      <c r="AN888" s="7" t="s">
        <v>6810</v>
      </c>
      <c r="AO888" s="7" t="s">
        <v>1065</v>
      </c>
      <c r="AP888" s="7" t="s">
        <v>6802</v>
      </c>
      <c r="AQ888" s="7" t="s">
        <v>1065</v>
      </c>
      <c r="AR888" s="7" t="s">
        <v>431</v>
      </c>
      <c r="AS888" s="7" t="s">
        <v>1065</v>
      </c>
      <c r="AT888" s="7" t="s">
        <v>1856</v>
      </c>
      <c r="AU888" s="7"/>
      <c r="AV888" s="7"/>
      <c r="AW888" s="7"/>
      <c r="AX888" s="7"/>
      <c r="AY888" s="7"/>
      <c r="AZ888" s="7"/>
      <c r="BA888" s="7" t="s">
        <v>1065</v>
      </c>
      <c r="BB888" s="7" t="s">
        <v>6811</v>
      </c>
      <c r="BC888" s="7" t="s">
        <v>427</v>
      </c>
      <c r="BD888" s="7" t="s">
        <v>2797</v>
      </c>
      <c r="BE888" s="7" t="s">
        <v>127</v>
      </c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</row>
    <row r="889" customFormat="false" ht="15" hidden="false" customHeight="false" outlineLevel="0" collapsed="false">
      <c r="A889" s="7" t="s">
        <v>6812</v>
      </c>
      <c r="B889" s="7" t="s">
        <v>6813</v>
      </c>
      <c r="C889" s="7" t="s">
        <v>6814</v>
      </c>
      <c r="D889" s="7" t="s">
        <v>6382</v>
      </c>
      <c r="E889" s="7" t="s">
        <v>101</v>
      </c>
      <c r="F889" s="7" t="s">
        <v>101</v>
      </c>
      <c r="G889" s="7"/>
      <c r="H889" s="7" t="s">
        <v>102</v>
      </c>
      <c r="I889" s="7" t="s">
        <v>103</v>
      </c>
      <c r="J889" s="7" t="s">
        <v>104</v>
      </c>
      <c r="K889" s="7" t="s">
        <v>105</v>
      </c>
      <c r="L889" s="7" t="s">
        <v>106</v>
      </c>
      <c r="M889" s="7" t="s">
        <v>419</v>
      </c>
      <c r="N889" s="7" t="s">
        <v>6815</v>
      </c>
      <c r="O889" s="7" t="s">
        <v>6815</v>
      </c>
      <c r="P889" s="7" t="s">
        <v>135</v>
      </c>
      <c r="Q889" s="7"/>
      <c r="R889" s="7" t="s">
        <v>109</v>
      </c>
      <c r="S889" s="7" t="s">
        <v>110</v>
      </c>
      <c r="T889" s="7" t="n">
        <v>0.416</v>
      </c>
      <c r="U889" s="7" t="n">
        <v>1</v>
      </c>
      <c r="V889" s="7" t="s">
        <v>2781</v>
      </c>
      <c r="W889" s="7" t="s">
        <v>3616</v>
      </c>
      <c r="X889" s="7" t="s">
        <v>2793</v>
      </c>
      <c r="Y889" s="7" t="s">
        <v>6815</v>
      </c>
      <c r="Z889" s="7" t="s">
        <v>6816</v>
      </c>
      <c r="AA889" s="7"/>
      <c r="AB889" s="7"/>
      <c r="AC889" s="7" t="n">
        <v>7</v>
      </c>
      <c r="AD889" s="7" t="s">
        <v>2439</v>
      </c>
      <c r="AE889" s="7" t="s">
        <v>1065</v>
      </c>
      <c r="AF889" s="7" t="s">
        <v>6817</v>
      </c>
      <c r="AG889" s="7" t="s">
        <v>1065</v>
      </c>
      <c r="AH889" s="7" t="s">
        <v>6818</v>
      </c>
      <c r="AI889" s="7"/>
      <c r="AJ889" s="7"/>
      <c r="AK889" s="7"/>
      <c r="AL889" s="7"/>
      <c r="AM889" s="7" t="s">
        <v>1065</v>
      </c>
      <c r="AN889" s="7" t="s">
        <v>6819</v>
      </c>
      <c r="AO889" s="7" t="s">
        <v>1065</v>
      </c>
      <c r="AP889" s="7" t="s">
        <v>6382</v>
      </c>
      <c r="AQ889" s="7" t="s">
        <v>1065</v>
      </c>
      <c r="AR889" s="7" t="s">
        <v>6820</v>
      </c>
      <c r="AS889" s="7" t="s">
        <v>1065</v>
      </c>
      <c r="AT889" s="7" t="s">
        <v>216</v>
      </c>
      <c r="AU889" s="7"/>
      <c r="AV889" s="7"/>
      <c r="AW889" s="7"/>
      <c r="AX889" s="7"/>
      <c r="AY889" s="7"/>
      <c r="AZ889" s="7"/>
      <c r="BA889" s="7" t="s">
        <v>1065</v>
      </c>
      <c r="BB889" s="7" t="s">
        <v>6821</v>
      </c>
      <c r="BC889" s="7" t="s">
        <v>427</v>
      </c>
      <c r="BD889" s="7" t="s">
        <v>2797</v>
      </c>
      <c r="BE889" s="7" t="s">
        <v>127</v>
      </c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</row>
    <row r="890" customFormat="false" ht="15" hidden="false" customHeight="false" outlineLevel="0" collapsed="false">
      <c r="A890" s="7" t="s">
        <v>6822</v>
      </c>
      <c r="B890" s="7" t="s">
        <v>6823</v>
      </c>
      <c r="C890" s="7" t="s">
        <v>6824</v>
      </c>
      <c r="D890" s="7" t="s">
        <v>6825</v>
      </c>
      <c r="E890" s="7" t="s">
        <v>101</v>
      </c>
      <c r="F890" s="7" t="s">
        <v>101</v>
      </c>
      <c r="G890" s="7"/>
      <c r="H890" s="7" t="s">
        <v>102</v>
      </c>
      <c r="I890" s="7" t="s">
        <v>1104</v>
      </c>
      <c r="J890" s="7" t="s">
        <v>104</v>
      </c>
      <c r="K890" s="7" t="s">
        <v>105</v>
      </c>
      <c r="L890" s="7" t="s">
        <v>2951</v>
      </c>
      <c r="M890" s="7" t="s">
        <v>419</v>
      </c>
      <c r="N890" s="7" t="s">
        <v>6826</v>
      </c>
      <c r="O890" s="7" t="s">
        <v>6827</v>
      </c>
      <c r="P890" s="7" t="s">
        <v>135</v>
      </c>
      <c r="Q890" s="7"/>
      <c r="R890" s="7" t="s">
        <v>109</v>
      </c>
      <c r="S890" s="7" t="s">
        <v>110</v>
      </c>
      <c r="T890" s="7" t="n">
        <v>0.853</v>
      </c>
      <c r="U890" s="7" t="n">
        <v>1</v>
      </c>
      <c r="V890" s="7" t="s">
        <v>5345</v>
      </c>
      <c r="W890" s="7" t="s">
        <v>1511</v>
      </c>
      <c r="X890" s="7" t="s">
        <v>6828</v>
      </c>
      <c r="Y890" s="7" t="s">
        <v>6826</v>
      </c>
      <c r="Z890" s="7" t="s">
        <v>6829</v>
      </c>
      <c r="AA890" s="7"/>
      <c r="AB890" s="7"/>
      <c r="AC890" s="7" t="n">
        <v>7</v>
      </c>
      <c r="AD890" s="7" t="s">
        <v>2439</v>
      </c>
      <c r="AE890" s="7" t="s">
        <v>1065</v>
      </c>
      <c r="AF890" s="7" t="s">
        <v>6830</v>
      </c>
      <c r="AG890" s="7" t="s">
        <v>1065</v>
      </c>
      <c r="AH890" s="7" t="s">
        <v>6831</v>
      </c>
      <c r="AI890" s="7"/>
      <c r="AJ890" s="7"/>
      <c r="AK890" s="7"/>
      <c r="AL890" s="7"/>
      <c r="AM890" s="7" t="s">
        <v>1065</v>
      </c>
      <c r="AN890" s="7" t="s">
        <v>6832</v>
      </c>
      <c r="AO890" s="7" t="s">
        <v>1065</v>
      </c>
      <c r="AP890" s="7" t="s">
        <v>6825</v>
      </c>
      <c r="AQ890" s="7" t="s">
        <v>1065</v>
      </c>
      <c r="AR890" s="7" t="s">
        <v>431</v>
      </c>
      <c r="AS890" s="7" t="s">
        <v>1065</v>
      </c>
      <c r="AT890" s="7" t="s">
        <v>216</v>
      </c>
      <c r="AU890" s="7"/>
      <c r="AV890" s="7"/>
      <c r="AW890" s="7"/>
      <c r="AX890" s="7"/>
      <c r="AY890" s="7"/>
      <c r="AZ890" s="7"/>
      <c r="BA890" s="7" t="s">
        <v>1065</v>
      </c>
      <c r="BB890" s="7" t="s">
        <v>4973</v>
      </c>
      <c r="BC890" s="7" t="s">
        <v>427</v>
      </c>
      <c r="BD890" s="7" t="s">
        <v>440</v>
      </c>
      <c r="BE890" s="7" t="s">
        <v>127</v>
      </c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</row>
    <row r="891" customFormat="false" ht="15" hidden="false" customHeight="false" outlineLevel="0" collapsed="false">
      <c r="A891" s="7" t="s">
        <v>6833</v>
      </c>
      <c r="B891" s="7" t="s">
        <v>6834</v>
      </c>
      <c r="C891" s="7" t="s">
        <v>6835</v>
      </c>
      <c r="D891" s="7" t="s">
        <v>6836</v>
      </c>
      <c r="E891" s="7" t="s">
        <v>101</v>
      </c>
      <c r="F891" s="7" t="s">
        <v>101</v>
      </c>
      <c r="G891" s="7"/>
      <c r="H891" s="7" t="s">
        <v>102</v>
      </c>
      <c r="I891" s="7" t="s">
        <v>158</v>
      </c>
      <c r="J891" s="7" t="s">
        <v>104</v>
      </c>
      <c r="K891" s="7" t="s">
        <v>105</v>
      </c>
      <c r="L891" s="7" t="s">
        <v>353</v>
      </c>
      <c r="M891" s="7" t="s">
        <v>419</v>
      </c>
      <c r="N891" s="7" t="s">
        <v>6837</v>
      </c>
      <c r="O891" s="7" t="s">
        <v>6837</v>
      </c>
      <c r="P891" s="7" t="s">
        <v>135</v>
      </c>
      <c r="Q891" s="7"/>
      <c r="R891" s="7" t="s">
        <v>109</v>
      </c>
      <c r="S891" s="7" t="s">
        <v>110</v>
      </c>
      <c r="T891" s="7" t="n">
        <v>0.375</v>
      </c>
      <c r="U891" s="7" t="n">
        <v>1</v>
      </c>
      <c r="V891" s="7" t="s">
        <v>90</v>
      </c>
      <c r="W891" s="7"/>
      <c r="X891" s="7" t="s">
        <v>658</v>
      </c>
      <c r="Y891" s="7"/>
      <c r="Z891" s="7" t="s">
        <v>3074</v>
      </c>
      <c r="AA891" s="7"/>
      <c r="AB891" s="7"/>
      <c r="AC891" s="7" t="n">
        <v>0</v>
      </c>
      <c r="AD891" s="7" t="s">
        <v>388</v>
      </c>
      <c r="AE891" s="7"/>
      <c r="AF891" s="7"/>
      <c r="AG891" s="7" t="s">
        <v>1955</v>
      </c>
      <c r="AH891" s="7" t="s">
        <v>1956</v>
      </c>
      <c r="AI891" s="7"/>
      <c r="AJ891" s="7"/>
      <c r="AK891" s="7"/>
      <c r="AL891" s="7"/>
      <c r="AM891" s="7" t="s">
        <v>1955</v>
      </c>
      <c r="AN891" s="7" t="s">
        <v>1957</v>
      </c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 t="s">
        <v>427</v>
      </c>
      <c r="BD891" s="7" t="s">
        <v>440</v>
      </c>
      <c r="BE891" s="7" t="s">
        <v>127</v>
      </c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</row>
    <row r="892" customFormat="false" ht="15" hidden="false" customHeight="false" outlineLevel="0" collapsed="false">
      <c r="A892" s="7" t="s">
        <v>6838</v>
      </c>
      <c r="B892" s="7" t="s">
        <v>6839</v>
      </c>
      <c r="C892" s="7" t="s">
        <v>6840</v>
      </c>
      <c r="D892" s="7" t="s">
        <v>6841</v>
      </c>
      <c r="E892" s="7" t="s">
        <v>101</v>
      </c>
      <c r="F892" s="7" t="s">
        <v>101</v>
      </c>
      <c r="G892" s="7"/>
      <c r="H892" s="7" t="s">
        <v>102</v>
      </c>
      <c r="I892" s="7" t="s">
        <v>208</v>
      </c>
      <c r="J892" s="7" t="s">
        <v>104</v>
      </c>
      <c r="K892" s="7" t="s">
        <v>105</v>
      </c>
      <c r="L892" s="7" t="s">
        <v>106</v>
      </c>
      <c r="M892" s="7" t="s">
        <v>419</v>
      </c>
      <c r="N892" s="7" t="s">
        <v>6842</v>
      </c>
      <c r="O892" s="7" t="s">
        <v>6843</v>
      </c>
      <c r="P892" s="7" t="s">
        <v>135</v>
      </c>
      <c r="Q892" s="7"/>
      <c r="R892" s="7" t="s">
        <v>109</v>
      </c>
      <c r="S892" s="7" t="s">
        <v>110</v>
      </c>
      <c r="T892" s="7" t="n">
        <v>0.731</v>
      </c>
      <c r="U892" s="7" t="n">
        <v>1</v>
      </c>
      <c r="V892" s="7" t="s">
        <v>90</v>
      </c>
      <c r="W892" s="7" t="s">
        <v>6844</v>
      </c>
      <c r="X892" s="7" t="s">
        <v>2825</v>
      </c>
      <c r="Y892" s="7" t="s">
        <v>6842</v>
      </c>
      <c r="Z892" s="7" t="s">
        <v>6845</v>
      </c>
      <c r="AA892" s="7"/>
      <c r="AB892" s="7"/>
      <c r="AC892" s="7" t="n">
        <v>7</v>
      </c>
      <c r="AD892" s="7" t="s">
        <v>2439</v>
      </c>
      <c r="AE892" s="7" t="s">
        <v>1065</v>
      </c>
      <c r="AF892" s="7" t="s">
        <v>6846</v>
      </c>
      <c r="AG892" s="7" t="s">
        <v>1065</v>
      </c>
      <c r="AH892" s="7" t="s">
        <v>6847</v>
      </c>
      <c r="AI892" s="7"/>
      <c r="AJ892" s="7"/>
      <c r="AK892" s="7"/>
      <c r="AL892" s="7"/>
      <c r="AM892" s="7" t="s">
        <v>1065</v>
      </c>
      <c r="AN892" s="7" t="s">
        <v>6848</v>
      </c>
      <c r="AO892" s="7" t="s">
        <v>1065</v>
      </c>
      <c r="AP892" s="7" t="s">
        <v>6841</v>
      </c>
      <c r="AQ892" s="7" t="s">
        <v>1065</v>
      </c>
      <c r="AR892" s="7" t="s">
        <v>444</v>
      </c>
      <c r="AS892" s="7" t="s">
        <v>1065</v>
      </c>
      <c r="AT892" s="7" t="s">
        <v>6849</v>
      </c>
      <c r="AU892" s="7"/>
      <c r="AV892" s="7"/>
      <c r="AW892" s="7"/>
      <c r="AX892" s="7"/>
      <c r="AY892" s="7"/>
      <c r="AZ892" s="7"/>
      <c r="BA892" s="7" t="s">
        <v>1065</v>
      </c>
      <c r="BB892" s="7" t="s">
        <v>6850</v>
      </c>
      <c r="BC892" s="7" t="s">
        <v>427</v>
      </c>
      <c r="BD892" s="7" t="s">
        <v>440</v>
      </c>
      <c r="BE892" s="7" t="s">
        <v>127</v>
      </c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</row>
    <row r="893" customFormat="false" ht="15" hidden="false" customHeight="false" outlineLevel="0" collapsed="false">
      <c r="A893" s="7" t="s">
        <v>6851</v>
      </c>
      <c r="B893" s="7" t="s">
        <v>6852</v>
      </c>
      <c r="C893" s="7" t="s">
        <v>6853</v>
      </c>
      <c r="D893" s="7" t="s">
        <v>6854</v>
      </c>
      <c r="E893" s="7" t="s">
        <v>101</v>
      </c>
      <c r="F893" s="7" t="s">
        <v>101</v>
      </c>
      <c r="G893" s="7"/>
      <c r="H893" s="7" t="s">
        <v>102</v>
      </c>
      <c r="I893" s="7" t="s">
        <v>208</v>
      </c>
      <c r="J893" s="7" t="s">
        <v>104</v>
      </c>
      <c r="K893" s="7" t="s">
        <v>105</v>
      </c>
      <c r="L893" s="7" t="s">
        <v>106</v>
      </c>
      <c r="M893" s="7" t="s">
        <v>419</v>
      </c>
      <c r="N893" s="7" t="s">
        <v>6855</v>
      </c>
      <c r="O893" s="7" t="s">
        <v>6856</v>
      </c>
      <c r="P893" s="7" t="s">
        <v>135</v>
      </c>
      <c r="Q893" s="7"/>
      <c r="R893" s="7" t="s">
        <v>109</v>
      </c>
      <c r="S893" s="7" t="s">
        <v>110</v>
      </c>
      <c r="T893" s="7" t="n">
        <v>0.839</v>
      </c>
      <c r="U893" s="7" t="n">
        <v>1</v>
      </c>
      <c r="V893" s="7" t="s">
        <v>90</v>
      </c>
      <c r="W893" s="7" t="s">
        <v>1511</v>
      </c>
      <c r="X893" s="7" t="s">
        <v>2825</v>
      </c>
      <c r="Y893" s="7" t="s">
        <v>6855</v>
      </c>
      <c r="Z893" s="7" t="s">
        <v>6857</v>
      </c>
      <c r="AA893" s="7"/>
      <c r="AB893" s="7"/>
      <c r="AC893" s="7" t="n">
        <v>7</v>
      </c>
      <c r="AD893" s="7" t="s">
        <v>2439</v>
      </c>
      <c r="AE893" s="7" t="s">
        <v>1065</v>
      </c>
      <c r="AF893" s="7" t="s">
        <v>6858</v>
      </c>
      <c r="AG893" s="7" t="s">
        <v>1065</v>
      </c>
      <c r="AH893" s="7" t="s">
        <v>6859</v>
      </c>
      <c r="AI893" s="7"/>
      <c r="AJ893" s="7"/>
      <c r="AK893" s="7"/>
      <c r="AL893" s="7"/>
      <c r="AM893" s="7" t="s">
        <v>1065</v>
      </c>
      <c r="AN893" s="7" t="s">
        <v>6860</v>
      </c>
      <c r="AO893" s="7" t="s">
        <v>1065</v>
      </c>
      <c r="AP893" s="7" t="s">
        <v>6854</v>
      </c>
      <c r="AQ893" s="7" t="s">
        <v>1065</v>
      </c>
      <c r="AR893" s="7" t="s">
        <v>444</v>
      </c>
      <c r="AS893" s="7" t="s">
        <v>1065</v>
      </c>
      <c r="AT893" s="7" t="s">
        <v>6849</v>
      </c>
      <c r="AU893" s="7"/>
      <c r="AV893" s="7"/>
      <c r="AW893" s="7"/>
      <c r="AX893" s="7"/>
      <c r="AY893" s="7"/>
      <c r="AZ893" s="7"/>
      <c r="BA893" s="7" t="s">
        <v>1065</v>
      </c>
      <c r="BB893" s="7" t="s">
        <v>6850</v>
      </c>
      <c r="BC893" s="7" t="s">
        <v>427</v>
      </c>
      <c r="BD893" s="7" t="s">
        <v>440</v>
      </c>
      <c r="BE893" s="7" t="s">
        <v>127</v>
      </c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</row>
    <row r="894" customFormat="false" ht="15" hidden="false" customHeight="false" outlineLevel="0" collapsed="false">
      <c r="A894" s="7" t="s">
        <v>6861</v>
      </c>
      <c r="B894" s="7" t="s">
        <v>6862</v>
      </c>
      <c r="C894" s="7" t="s">
        <v>6863</v>
      </c>
      <c r="D894" s="7" t="s">
        <v>6864</v>
      </c>
      <c r="E894" s="7" t="s">
        <v>101</v>
      </c>
      <c r="F894" s="7" t="s">
        <v>101</v>
      </c>
      <c r="G894" s="7"/>
      <c r="H894" s="7" t="s">
        <v>102</v>
      </c>
      <c r="I894" s="7" t="s">
        <v>1104</v>
      </c>
      <c r="J894" s="7" t="s">
        <v>104</v>
      </c>
      <c r="K894" s="7" t="s">
        <v>105</v>
      </c>
      <c r="L894" s="7" t="s">
        <v>1106</v>
      </c>
      <c r="M894" s="7" t="s">
        <v>419</v>
      </c>
      <c r="N894" s="7" t="s">
        <v>6865</v>
      </c>
      <c r="O894" s="7" t="s">
        <v>6866</v>
      </c>
      <c r="P894" s="7" t="s">
        <v>135</v>
      </c>
      <c r="Q894" s="7"/>
      <c r="R894" s="7" t="s">
        <v>109</v>
      </c>
      <c r="S894" s="7" t="s">
        <v>110</v>
      </c>
      <c r="T894" s="7" t="n">
        <v>0.577</v>
      </c>
      <c r="U894" s="7" t="n">
        <v>1</v>
      </c>
      <c r="V894" s="7" t="s">
        <v>2781</v>
      </c>
      <c r="W894" s="7" t="s">
        <v>6867</v>
      </c>
      <c r="X894" s="7" t="s">
        <v>5222</v>
      </c>
      <c r="Y894" s="7" t="s">
        <v>6865</v>
      </c>
      <c r="Z894" s="7" t="s">
        <v>6868</v>
      </c>
      <c r="AA894" s="7"/>
      <c r="AB894" s="7"/>
      <c r="AC894" s="7" t="n">
        <v>7</v>
      </c>
      <c r="AD894" s="7" t="s">
        <v>2439</v>
      </c>
      <c r="AE894" s="7" t="s">
        <v>1065</v>
      </c>
      <c r="AF894" s="7" t="s">
        <v>6869</v>
      </c>
      <c r="AG894" s="7" t="s">
        <v>1065</v>
      </c>
      <c r="AH894" s="7" t="s">
        <v>6870</v>
      </c>
      <c r="AI894" s="7"/>
      <c r="AJ894" s="7"/>
      <c r="AK894" s="7"/>
      <c r="AL894" s="7"/>
      <c r="AM894" s="7" t="s">
        <v>1065</v>
      </c>
      <c r="AN894" s="7" t="s">
        <v>6871</v>
      </c>
      <c r="AO894" s="7" t="s">
        <v>1065</v>
      </c>
      <c r="AP894" s="7" t="s">
        <v>6864</v>
      </c>
      <c r="AQ894" s="7" t="s">
        <v>1065</v>
      </c>
      <c r="AR894" s="7" t="s">
        <v>444</v>
      </c>
      <c r="AS894" s="7" t="s">
        <v>1065</v>
      </c>
      <c r="AT894" s="7" t="s">
        <v>1856</v>
      </c>
      <c r="AU894" s="7"/>
      <c r="AV894" s="7"/>
      <c r="AW894" s="7"/>
      <c r="AX894" s="7"/>
      <c r="AY894" s="7"/>
      <c r="AZ894" s="7"/>
      <c r="BA894" s="7" t="s">
        <v>1065</v>
      </c>
      <c r="BB894" s="7" t="s">
        <v>6872</v>
      </c>
      <c r="BC894" s="7" t="s">
        <v>427</v>
      </c>
      <c r="BD894" s="7" t="s">
        <v>440</v>
      </c>
      <c r="BE894" s="7" t="s">
        <v>127</v>
      </c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</row>
    <row r="895" customFormat="false" ht="15" hidden="false" customHeight="false" outlineLevel="0" collapsed="false">
      <c r="A895" s="7" t="s">
        <v>6873</v>
      </c>
      <c r="B895" s="7" t="s">
        <v>6874</v>
      </c>
      <c r="C895" s="7" t="s">
        <v>6875</v>
      </c>
      <c r="D895" s="7" t="s">
        <v>6876</v>
      </c>
      <c r="E895" s="7" t="s">
        <v>101</v>
      </c>
      <c r="F895" s="7" t="s">
        <v>101</v>
      </c>
      <c r="G895" s="7"/>
      <c r="H895" s="7" t="s">
        <v>102</v>
      </c>
      <c r="I895" s="7" t="s">
        <v>208</v>
      </c>
      <c r="J895" s="7" t="s">
        <v>104</v>
      </c>
      <c r="K895" s="7" t="s">
        <v>105</v>
      </c>
      <c r="L895" s="7" t="s">
        <v>106</v>
      </c>
      <c r="M895" s="7" t="s">
        <v>419</v>
      </c>
      <c r="N895" s="7" t="s">
        <v>6877</v>
      </c>
      <c r="O895" s="7" t="s">
        <v>6877</v>
      </c>
      <c r="P895" s="7" t="s">
        <v>135</v>
      </c>
      <c r="Q895" s="7"/>
      <c r="R895" s="7" t="s">
        <v>109</v>
      </c>
      <c r="S895" s="7" t="s">
        <v>110</v>
      </c>
      <c r="T895" s="7" t="n">
        <v>0.599</v>
      </c>
      <c r="U895" s="7" t="n">
        <v>1</v>
      </c>
      <c r="V895" s="7" t="s">
        <v>2781</v>
      </c>
      <c r="W895" s="7" t="s">
        <v>6654</v>
      </c>
      <c r="X895" s="7" t="s">
        <v>3636</v>
      </c>
      <c r="Y895" s="7" t="s">
        <v>6877</v>
      </c>
      <c r="Z895" s="7" t="s">
        <v>6878</v>
      </c>
      <c r="AA895" s="7"/>
      <c r="AB895" s="7"/>
      <c r="AC895" s="7" t="n">
        <v>7</v>
      </c>
      <c r="AD895" s="7" t="s">
        <v>2439</v>
      </c>
      <c r="AE895" s="7" t="s">
        <v>1065</v>
      </c>
      <c r="AF895" s="7" t="s">
        <v>6879</v>
      </c>
      <c r="AG895" s="7" t="s">
        <v>1065</v>
      </c>
      <c r="AH895" s="7" t="s">
        <v>6880</v>
      </c>
      <c r="AI895" s="7"/>
      <c r="AJ895" s="7"/>
      <c r="AK895" s="7"/>
      <c r="AL895" s="7"/>
      <c r="AM895" s="7" t="s">
        <v>1065</v>
      </c>
      <c r="AN895" s="7" t="s">
        <v>6881</v>
      </c>
      <c r="AO895" s="7" t="s">
        <v>1065</v>
      </c>
      <c r="AP895" s="7" t="s">
        <v>6876</v>
      </c>
      <c r="AQ895" s="7" t="s">
        <v>1065</v>
      </c>
      <c r="AR895" s="7" t="s">
        <v>6882</v>
      </c>
      <c r="AS895" s="7" t="s">
        <v>1065</v>
      </c>
      <c r="AT895" s="7" t="s">
        <v>4855</v>
      </c>
      <c r="AU895" s="7"/>
      <c r="AV895" s="7"/>
      <c r="AW895" s="7"/>
      <c r="AX895" s="7"/>
      <c r="AY895" s="7"/>
      <c r="AZ895" s="7"/>
      <c r="BA895" s="7" t="s">
        <v>1065</v>
      </c>
      <c r="BB895" s="7" t="s">
        <v>6883</v>
      </c>
      <c r="BC895" s="7" t="s">
        <v>427</v>
      </c>
      <c r="BD895" s="7" t="s">
        <v>440</v>
      </c>
      <c r="BE895" s="7" t="s">
        <v>127</v>
      </c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</row>
    <row r="896" customFormat="false" ht="15" hidden="false" customHeight="false" outlineLevel="0" collapsed="false">
      <c r="A896" s="7" t="s">
        <v>6884</v>
      </c>
      <c r="B896" s="7" t="s">
        <v>6885</v>
      </c>
      <c r="C896" s="7" t="s">
        <v>6886</v>
      </c>
      <c r="D896" s="7" t="s">
        <v>6887</v>
      </c>
      <c r="E896" s="7" t="s">
        <v>101</v>
      </c>
      <c r="F896" s="7" t="s">
        <v>101</v>
      </c>
      <c r="G896" s="7"/>
      <c r="H896" s="7" t="s">
        <v>102</v>
      </c>
      <c r="I896" s="7" t="s">
        <v>1104</v>
      </c>
      <c r="J896" s="7" t="s">
        <v>104</v>
      </c>
      <c r="K896" s="7" t="s">
        <v>105</v>
      </c>
      <c r="L896" s="7" t="s">
        <v>1106</v>
      </c>
      <c r="M896" s="7"/>
      <c r="N896" s="7" t="s">
        <v>6888</v>
      </c>
      <c r="O896" s="7" t="s">
        <v>6888</v>
      </c>
      <c r="P896" s="7" t="s">
        <v>109</v>
      </c>
      <c r="Q896" s="7"/>
      <c r="R896" s="7" t="s">
        <v>109</v>
      </c>
      <c r="S896" s="7" t="s">
        <v>110</v>
      </c>
      <c r="T896" s="7" t="n">
        <v>0.66</v>
      </c>
      <c r="U896" s="7" t="n">
        <v>1</v>
      </c>
      <c r="V896" s="7" t="s">
        <v>90</v>
      </c>
      <c r="W896" s="7"/>
      <c r="X896" s="7" t="s">
        <v>5358</v>
      </c>
      <c r="Y896" s="7"/>
      <c r="Z896" s="7" t="s">
        <v>6889</v>
      </c>
      <c r="AA896" s="7"/>
      <c r="AB896" s="7"/>
      <c r="AC896" s="7" t="n">
        <v>0</v>
      </c>
      <c r="AD896" s="7" t="s">
        <v>388</v>
      </c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 t="s">
        <v>127</v>
      </c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</row>
    <row r="897" customFormat="false" ht="15" hidden="false" customHeight="false" outlineLevel="0" collapsed="false">
      <c r="A897" s="7" t="s">
        <v>6890</v>
      </c>
      <c r="B897" s="7" t="s">
        <v>6891</v>
      </c>
      <c r="C897" s="7" t="s">
        <v>6892</v>
      </c>
      <c r="D897" s="7" t="s">
        <v>6893</v>
      </c>
      <c r="E897" s="7" t="s">
        <v>101</v>
      </c>
      <c r="F897" s="7" t="s">
        <v>101</v>
      </c>
      <c r="G897" s="7"/>
      <c r="H897" s="7" t="s">
        <v>102</v>
      </c>
      <c r="I897" s="7" t="s">
        <v>1104</v>
      </c>
      <c r="J897" s="7" t="s">
        <v>104</v>
      </c>
      <c r="K897" s="7" t="s">
        <v>105</v>
      </c>
      <c r="L897" s="7" t="s">
        <v>1106</v>
      </c>
      <c r="M897" s="7" t="s">
        <v>419</v>
      </c>
      <c r="N897" s="7" t="s">
        <v>6894</v>
      </c>
      <c r="O897" s="7" t="s">
        <v>6895</v>
      </c>
      <c r="P897" s="7" t="s">
        <v>135</v>
      </c>
      <c r="Q897" s="7"/>
      <c r="R897" s="7" t="s">
        <v>109</v>
      </c>
      <c r="S897" s="7" t="s">
        <v>110</v>
      </c>
      <c r="T897" s="7" t="n">
        <v>0.818</v>
      </c>
      <c r="U897" s="7" t="n">
        <v>1</v>
      </c>
      <c r="V897" s="7" t="s">
        <v>2781</v>
      </c>
      <c r="W897" s="7" t="s">
        <v>6896</v>
      </c>
      <c r="X897" s="7" t="s">
        <v>6897</v>
      </c>
      <c r="Y897" s="7" t="s">
        <v>6894</v>
      </c>
      <c r="Z897" s="7" t="s">
        <v>6898</v>
      </c>
      <c r="AA897" s="7"/>
      <c r="AB897" s="7"/>
      <c r="AC897" s="7" t="n">
        <v>7</v>
      </c>
      <c r="AD897" s="7" t="s">
        <v>2439</v>
      </c>
      <c r="AE897" s="7" t="s">
        <v>1065</v>
      </c>
      <c r="AF897" s="7" t="s">
        <v>6899</v>
      </c>
      <c r="AG897" s="7" t="s">
        <v>1065</v>
      </c>
      <c r="AH897" s="7" t="s">
        <v>6900</v>
      </c>
      <c r="AI897" s="7"/>
      <c r="AJ897" s="7"/>
      <c r="AK897" s="7"/>
      <c r="AL897" s="7"/>
      <c r="AM897" s="7" t="s">
        <v>1065</v>
      </c>
      <c r="AN897" s="7" t="s">
        <v>6901</v>
      </c>
      <c r="AO897" s="7" t="s">
        <v>1065</v>
      </c>
      <c r="AP897" s="7" t="s">
        <v>6893</v>
      </c>
      <c r="AQ897" s="7" t="s">
        <v>1065</v>
      </c>
      <c r="AR897" s="7" t="s">
        <v>507</v>
      </c>
      <c r="AS897" s="7" t="s">
        <v>1065</v>
      </c>
      <c r="AT897" s="7" t="s">
        <v>1856</v>
      </c>
      <c r="AU897" s="7"/>
      <c r="AV897" s="7"/>
      <c r="AW897" s="7"/>
      <c r="AX897" s="7"/>
      <c r="AY897" s="7"/>
      <c r="AZ897" s="7"/>
      <c r="BA897" s="7" t="s">
        <v>1065</v>
      </c>
      <c r="BB897" s="7" t="s">
        <v>3980</v>
      </c>
      <c r="BC897" s="7" t="s">
        <v>427</v>
      </c>
      <c r="BD897" s="7" t="s">
        <v>440</v>
      </c>
      <c r="BE897" s="7" t="s">
        <v>127</v>
      </c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</row>
    <row r="898" customFormat="false" ht="15" hidden="false" customHeight="false" outlineLevel="0" collapsed="false">
      <c r="A898" s="7" t="s">
        <v>6902</v>
      </c>
      <c r="B898" s="7" t="s">
        <v>6903</v>
      </c>
      <c r="C898" s="7" t="s">
        <v>6904</v>
      </c>
      <c r="D898" s="7" t="s">
        <v>6905</v>
      </c>
      <c r="E898" s="7" t="s">
        <v>101</v>
      </c>
      <c r="F898" s="7" t="s">
        <v>101</v>
      </c>
      <c r="G898" s="7"/>
      <c r="H898" s="7" t="s">
        <v>102</v>
      </c>
      <c r="I898" s="7" t="s">
        <v>1104</v>
      </c>
      <c r="J898" s="7" t="s">
        <v>104</v>
      </c>
      <c r="K898" s="7" t="s">
        <v>105</v>
      </c>
      <c r="L898" s="7" t="s">
        <v>1106</v>
      </c>
      <c r="M898" s="7" t="s">
        <v>419</v>
      </c>
      <c r="N898" s="7" t="s">
        <v>6906</v>
      </c>
      <c r="O898" s="7" t="s">
        <v>6906</v>
      </c>
      <c r="P898" s="7" t="s">
        <v>135</v>
      </c>
      <c r="Q898" s="7"/>
      <c r="R898" s="7" t="s">
        <v>109</v>
      </c>
      <c r="S898" s="7" t="s">
        <v>110</v>
      </c>
      <c r="T898" s="7" t="n">
        <v>0.604</v>
      </c>
      <c r="U898" s="7" t="n">
        <v>1</v>
      </c>
      <c r="V898" s="7" t="s">
        <v>2781</v>
      </c>
      <c r="W898" s="7" t="s">
        <v>6907</v>
      </c>
      <c r="X898" s="7" t="s">
        <v>6908</v>
      </c>
      <c r="Y898" s="7" t="s">
        <v>6906</v>
      </c>
      <c r="Z898" s="7" t="s">
        <v>6909</v>
      </c>
      <c r="AA898" s="7"/>
      <c r="AB898" s="7"/>
      <c r="AC898" s="7" t="n">
        <v>7</v>
      </c>
      <c r="AD898" s="7" t="s">
        <v>2439</v>
      </c>
      <c r="AE898" s="7" t="s">
        <v>1065</v>
      </c>
      <c r="AF898" s="7" t="s">
        <v>6910</v>
      </c>
      <c r="AG898" s="7" t="s">
        <v>1065</v>
      </c>
      <c r="AH898" s="7" t="s">
        <v>6911</v>
      </c>
      <c r="AI898" s="7"/>
      <c r="AJ898" s="7"/>
      <c r="AK898" s="7"/>
      <c r="AL898" s="7"/>
      <c r="AM898" s="7" t="s">
        <v>1065</v>
      </c>
      <c r="AN898" s="7" t="s">
        <v>6912</v>
      </c>
      <c r="AO898" s="7" t="s">
        <v>1065</v>
      </c>
      <c r="AP898" s="7" t="s">
        <v>6905</v>
      </c>
      <c r="AQ898" s="7" t="s">
        <v>1065</v>
      </c>
      <c r="AR898" s="7" t="s">
        <v>6913</v>
      </c>
      <c r="AS898" s="7" t="s">
        <v>1065</v>
      </c>
      <c r="AT898" s="7" t="s">
        <v>1856</v>
      </c>
      <c r="AU898" s="7"/>
      <c r="AV898" s="7"/>
      <c r="AW898" s="7"/>
      <c r="AX898" s="7"/>
      <c r="AY898" s="7"/>
      <c r="AZ898" s="7"/>
      <c r="BA898" s="7" t="s">
        <v>1065</v>
      </c>
      <c r="BB898" s="7" t="s">
        <v>3980</v>
      </c>
      <c r="BC898" s="7" t="s">
        <v>427</v>
      </c>
      <c r="BD898" s="7" t="s">
        <v>440</v>
      </c>
      <c r="BE898" s="7" t="s">
        <v>127</v>
      </c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</row>
    <row r="899" customFormat="false" ht="15" hidden="false" customHeight="false" outlineLevel="0" collapsed="false">
      <c r="A899" s="7" t="s">
        <v>6914</v>
      </c>
      <c r="B899" s="7" t="s">
        <v>6915</v>
      </c>
      <c r="C899" s="7" t="s">
        <v>6916</v>
      </c>
      <c r="D899" s="7" t="s">
        <v>6917</v>
      </c>
      <c r="E899" s="7" t="s">
        <v>101</v>
      </c>
      <c r="F899" s="7" t="s">
        <v>101</v>
      </c>
      <c r="G899" s="7"/>
      <c r="H899" s="7" t="s">
        <v>102</v>
      </c>
      <c r="I899" s="7" t="s">
        <v>1104</v>
      </c>
      <c r="J899" s="7" t="s">
        <v>104</v>
      </c>
      <c r="K899" s="7" t="s">
        <v>105</v>
      </c>
      <c r="L899" s="7" t="s">
        <v>1106</v>
      </c>
      <c r="M899" s="7" t="s">
        <v>6918</v>
      </c>
      <c r="N899" s="7" t="s">
        <v>6919</v>
      </c>
      <c r="O899" s="7" t="s">
        <v>6919</v>
      </c>
      <c r="P899" s="7" t="s">
        <v>135</v>
      </c>
      <c r="Q899" s="7"/>
      <c r="R899" s="7" t="s">
        <v>84</v>
      </c>
      <c r="S899" s="7" t="s">
        <v>238</v>
      </c>
      <c r="T899" s="7" t="n">
        <v>0.895</v>
      </c>
      <c r="U899" s="7" t="n">
        <v>1</v>
      </c>
      <c r="V899" s="7" t="s">
        <v>582</v>
      </c>
      <c r="W899" s="7" t="s">
        <v>6920</v>
      </c>
      <c r="X899" s="7" t="s">
        <v>139</v>
      </c>
      <c r="Y899" s="7" t="s">
        <v>6919</v>
      </c>
      <c r="Z899" s="7" t="s">
        <v>583</v>
      </c>
      <c r="AA899" s="7"/>
      <c r="AB899" s="7"/>
      <c r="AC899" s="7" t="n">
        <v>12</v>
      </c>
      <c r="AD899" s="7"/>
      <c r="AE899" s="7" t="s">
        <v>1065</v>
      </c>
      <c r="AF899" s="7" t="s">
        <v>6921</v>
      </c>
      <c r="AG899" s="7" t="s">
        <v>1065</v>
      </c>
      <c r="AH899" s="7" t="s">
        <v>6922</v>
      </c>
      <c r="AI899" s="7" t="s">
        <v>1955</v>
      </c>
      <c r="AJ899" s="7" t="s">
        <v>6923</v>
      </c>
      <c r="AK899" s="7" t="s">
        <v>1065</v>
      </c>
      <c r="AL899" s="7" t="s">
        <v>6924</v>
      </c>
      <c r="AM899" s="7" t="s">
        <v>1065</v>
      </c>
      <c r="AN899" s="7" t="s">
        <v>6925</v>
      </c>
      <c r="AO899" s="7" t="s">
        <v>1065</v>
      </c>
      <c r="AP899" s="7" t="s">
        <v>6926</v>
      </c>
      <c r="AQ899" s="7" t="s">
        <v>1065</v>
      </c>
      <c r="AR899" s="7" t="s">
        <v>6927</v>
      </c>
      <c r="AS899" s="7" t="s">
        <v>1955</v>
      </c>
      <c r="AT899" s="7" t="s">
        <v>1856</v>
      </c>
      <c r="AU899" s="7" t="s">
        <v>1065</v>
      </c>
      <c r="AV899" s="7" t="s">
        <v>6928</v>
      </c>
      <c r="AW899" s="7" t="s">
        <v>1955</v>
      </c>
      <c r="AX899" s="7" t="s">
        <v>6929</v>
      </c>
      <c r="AY899" s="7" t="s">
        <v>1065</v>
      </c>
      <c r="AZ899" s="7" t="s">
        <v>6930</v>
      </c>
      <c r="BA899" s="7" t="s">
        <v>1065</v>
      </c>
      <c r="BB899" s="7" t="s">
        <v>6931</v>
      </c>
      <c r="BC899" s="7" t="s">
        <v>151</v>
      </c>
      <c r="BD899" s="7" t="s">
        <v>440</v>
      </c>
      <c r="BE899" s="7" t="s">
        <v>127</v>
      </c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</row>
    <row r="900" customFormat="false" ht="15" hidden="false" customHeight="false" outlineLevel="0" collapsed="false">
      <c r="A900" s="7" t="s">
        <v>6932</v>
      </c>
      <c r="B900" s="7" t="s">
        <v>6933</v>
      </c>
      <c r="C900" s="7" t="s">
        <v>6934</v>
      </c>
      <c r="D900" s="7" t="s">
        <v>6935</v>
      </c>
      <c r="E900" s="7" t="s">
        <v>101</v>
      </c>
      <c r="F900" s="7" t="s">
        <v>101</v>
      </c>
      <c r="G900" s="7"/>
      <c r="H900" s="7" t="s">
        <v>102</v>
      </c>
      <c r="I900" s="7" t="s">
        <v>1104</v>
      </c>
      <c r="J900" s="7" t="s">
        <v>104</v>
      </c>
      <c r="K900" s="7" t="s">
        <v>105</v>
      </c>
      <c r="L900" s="7" t="s">
        <v>6936</v>
      </c>
      <c r="M900" s="7" t="s">
        <v>6937</v>
      </c>
      <c r="N900" s="7" t="s">
        <v>6938</v>
      </c>
      <c r="O900" s="7" t="s">
        <v>6938</v>
      </c>
      <c r="P900" s="7" t="s">
        <v>135</v>
      </c>
      <c r="Q900" s="7"/>
      <c r="R900" s="7" t="s">
        <v>84</v>
      </c>
      <c r="S900" s="7" t="s">
        <v>238</v>
      </c>
      <c r="T900" s="7" t="n">
        <v>0.845</v>
      </c>
      <c r="U900" s="7" t="n">
        <v>1</v>
      </c>
      <c r="V900" s="7" t="s">
        <v>582</v>
      </c>
      <c r="W900" s="7" t="s">
        <v>6939</v>
      </c>
      <c r="X900" s="7" t="s">
        <v>139</v>
      </c>
      <c r="Y900" s="7" t="s">
        <v>6938</v>
      </c>
      <c r="Z900" s="7" t="s">
        <v>6940</v>
      </c>
      <c r="AA900" s="7"/>
      <c r="AB900" s="7"/>
      <c r="AC900" s="7" t="n">
        <v>12</v>
      </c>
      <c r="AD900" s="7"/>
      <c r="AE900" s="7" t="s">
        <v>1065</v>
      </c>
      <c r="AF900" s="7" t="s">
        <v>6941</v>
      </c>
      <c r="AG900" s="7" t="s">
        <v>1065</v>
      </c>
      <c r="AH900" s="7" t="s">
        <v>6942</v>
      </c>
      <c r="AI900" s="7" t="s">
        <v>1065</v>
      </c>
      <c r="AJ900" s="7" t="s">
        <v>6943</v>
      </c>
      <c r="AK900" s="7" t="s">
        <v>1065</v>
      </c>
      <c r="AL900" s="7" t="s">
        <v>145</v>
      </c>
      <c r="AM900" s="7" t="s">
        <v>1065</v>
      </c>
      <c r="AN900" s="7" t="s">
        <v>6944</v>
      </c>
      <c r="AO900" s="7" t="s">
        <v>1065</v>
      </c>
      <c r="AP900" s="7" t="s">
        <v>6945</v>
      </c>
      <c r="AQ900" s="7" t="s">
        <v>1065</v>
      </c>
      <c r="AR900" s="7" t="s">
        <v>6946</v>
      </c>
      <c r="AS900" s="7" t="s">
        <v>1955</v>
      </c>
      <c r="AT900" s="7" t="s">
        <v>1856</v>
      </c>
      <c r="AU900" s="7" t="s">
        <v>1065</v>
      </c>
      <c r="AV900" s="7" t="s">
        <v>6947</v>
      </c>
      <c r="AW900" s="7" t="s">
        <v>1065</v>
      </c>
      <c r="AX900" s="7" t="s">
        <v>6948</v>
      </c>
      <c r="AY900" s="7" t="s">
        <v>1065</v>
      </c>
      <c r="AZ900" s="7" t="s">
        <v>6949</v>
      </c>
      <c r="BA900" s="7" t="s">
        <v>1065</v>
      </c>
      <c r="BB900" s="7" t="s">
        <v>6950</v>
      </c>
      <c r="BC900" s="7" t="s">
        <v>151</v>
      </c>
      <c r="BD900" s="7" t="s">
        <v>440</v>
      </c>
      <c r="BE900" s="7" t="s">
        <v>127</v>
      </c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</row>
    <row r="901" customFormat="false" ht="15" hidden="false" customHeight="false" outlineLevel="0" collapsed="false">
      <c r="A901" s="7" t="s">
        <v>6951</v>
      </c>
      <c r="B901" s="7" t="s">
        <v>6952</v>
      </c>
      <c r="C901" s="7" t="s">
        <v>6953</v>
      </c>
      <c r="D901" s="7" t="s">
        <v>6954</v>
      </c>
      <c r="E901" s="7" t="s">
        <v>101</v>
      </c>
      <c r="F901" s="7" t="s">
        <v>101</v>
      </c>
      <c r="G901" s="7"/>
      <c r="H901" s="7" t="s">
        <v>102</v>
      </c>
      <c r="I901" s="7" t="s">
        <v>103</v>
      </c>
      <c r="J901" s="7" t="s">
        <v>104</v>
      </c>
      <c r="K901" s="7" t="s">
        <v>105</v>
      </c>
      <c r="L901" s="7" t="s">
        <v>106</v>
      </c>
      <c r="M901" s="7" t="s">
        <v>419</v>
      </c>
      <c r="N901" s="7" t="s">
        <v>6955</v>
      </c>
      <c r="O901" s="7" t="s">
        <v>6955</v>
      </c>
      <c r="P901" s="7" t="s">
        <v>135</v>
      </c>
      <c r="Q901" s="7"/>
      <c r="R901" s="7" t="s">
        <v>109</v>
      </c>
      <c r="S901" s="7" t="s">
        <v>110</v>
      </c>
      <c r="T901" s="7" t="n">
        <v>0.857</v>
      </c>
      <c r="U901" s="7" t="n">
        <v>1</v>
      </c>
      <c r="V901" s="7" t="s">
        <v>2781</v>
      </c>
      <c r="W901" s="7" t="s">
        <v>5314</v>
      </c>
      <c r="X901" s="7" t="s">
        <v>2607</v>
      </c>
      <c r="Y901" s="7" t="s">
        <v>6955</v>
      </c>
      <c r="Z901" s="7" t="s">
        <v>6956</v>
      </c>
      <c r="AA901" s="7"/>
      <c r="AB901" s="7"/>
      <c r="AC901" s="7" t="n">
        <v>7</v>
      </c>
      <c r="AD901" s="7" t="s">
        <v>2439</v>
      </c>
      <c r="AE901" s="7" t="s">
        <v>1065</v>
      </c>
      <c r="AF901" s="7" t="s">
        <v>6957</v>
      </c>
      <c r="AG901" s="7" t="s">
        <v>1065</v>
      </c>
      <c r="AH901" s="7" t="s">
        <v>6958</v>
      </c>
      <c r="AI901" s="7"/>
      <c r="AJ901" s="7"/>
      <c r="AK901" s="7"/>
      <c r="AL901" s="7"/>
      <c r="AM901" s="7" t="s">
        <v>1065</v>
      </c>
      <c r="AN901" s="7" t="s">
        <v>6959</v>
      </c>
      <c r="AO901" s="7" t="s">
        <v>1065</v>
      </c>
      <c r="AP901" s="7" t="s">
        <v>6954</v>
      </c>
      <c r="AQ901" s="7" t="s">
        <v>1065</v>
      </c>
      <c r="AR901" s="7" t="s">
        <v>6960</v>
      </c>
      <c r="AS901" s="7" t="s">
        <v>1065</v>
      </c>
      <c r="AT901" s="7" t="s">
        <v>216</v>
      </c>
      <c r="AU901" s="7"/>
      <c r="AV901" s="7"/>
      <c r="AW901" s="7"/>
      <c r="AX901" s="7"/>
      <c r="AY901" s="7"/>
      <c r="AZ901" s="7"/>
      <c r="BA901" s="7" t="s">
        <v>1065</v>
      </c>
      <c r="BB901" s="7" t="s">
        <v>6961</v>
      </c>
      <c r="BC901" s="7" t="s">
        <v>427</v>
      </c>
      <c r="BD901" s="7" t="s">
        <v>440</v>
      </c>
      <c r="BE901" s="7" t="s">
        <v>127</v>
      </c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</row>
    <row r="902" customFormat="false" ht="15" hidden="false" customHeight="false" outlineLevel="0" collapsed="false">
      <c r="A902" s="7" t="s">
        <v>6962</v>
      </c>
      <c r="B902" s="7" t="s">
        <v>6963</v>
      </c>
      <c r="C902" s="7" t="s">
        <v>6964</v>
      </c>
      <c r="D902" s="7" t="s">
        <v>6965</v>
      </c>
      <c r="E902" s="7" t="s">
        <v>101</v>
      </c>
      <c r="F902" s="7" t="s">
        <v>101</v>
      </c>
      <c r="G902" s="7"/>
      <c r="H902" s="7" t="s">
        <v>102</v>
      </c>
      <c r="I902" s="7" t="s">
        <v>132</v>
      </c>
      <c r="J902" s="7" t="s">
        <v>104</v>
      </c>
      <c r="K902" s="7" t="s">
        <v>105</v>
      </c>
      <c r="L902" s="7" t="s">
        <v>106</v>
      </c>
      <c r="M902" s="7" t="s">
        <v>419</v>
      </c>
      <c r="N902" s="7" t="s">
        <v>6966</v>
      </c>
      <c r="O902" s="7" t="s">
        <v>6966</v>
      </c>
      <c r="P902" s="7" t="s">
        <v>135</v>
      </c>
      <c r="Q902" s="7"/>
      <c r="R902" s="7" t="s">
        <v>109</v>
      </c>
      <c r="S902" s="7" t="s">
        <v>110</v>
      </c>
      <c r="T902" s="7" t="n">
        <v>0.65</v>
      </c>
      <c r="U902" s="7" t="n">
        <v>1</v>
      </c>
      <c r="V902" s="7" t="s">
        <v>90</v>
      </c>
      <c r="W902" s="7"/>
      <c r="X902" s="7" t="s">
        <v>357</v>
      </c>
      <c r="Y902" s="7"/>
      <c r="Z902" s="7" t="s">
        <v>6967</v>
      </c>
      <c r="AA902" s="7"/>
      <c r="AB902" s="7"/>
      <c r="AC902" s="7" t="n">
        <v>0</v>
      </c>
      <c r="AD902" s="7" t="s">
        <v>388</v>
      </c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 t="s">
        <v>427</v>
      </c>
      <c r="BD902" s="7" t="s">
        <v>440</v>
      </c>
      <c r="BE902" s="7" t="s">
        <v>127</v>
      </c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</row>
    <row r="903" customFormat="false" ht="15" hidden="false" customHeight="false" outlineLevel="0" collapsed="false">
      <c r="A903" s="7" t="s">
        <v>6968</v>
      </c>
      <c r="B903" s="7" t="s">
        <v>6969</v>
      </c>
      <c r="C903" s="7" t="s">
        <v>6970</v>
      </c>
      <c r="D903" s="7" t="s">
        <v>6971</v>
      </c>
      <c r="E903" s="7" t="s">
        <v>101</v>
      </c>
      <c r="F903" s="7" t="s">
        <v>101</v>
      </c>
      <c r="G903" s="7"/>
      <c r="H903" s="7" t="s">
        <v>102</v>
      </c>
      <c r="I903" s="7" t="s">
        <v>103</v>
      </c>
      <c r="J903" s="7" t="s">
        <v>104</v>
      </c>
      <c r="K903" s="7" t="s">
        <v>105</v>
      </c>
      <c r="L903" s="7" t="s">
        <v>106</v>
      </c>
      <c r="M903" s="7" t="s">
        <v>419</v>
      </c>
      <c r="N903" s="7" t="s">
        <v>6972</v>
      </c>
      <c r="O903" s="7" t="s">
        <v>6972</v>
      </c>
      <c r="P903" s="7" t="s">
        <v>135</v>
      </c>
      <c r="Q903" s="7"/>
      <c r="R903" s="7" t="s">
        <v>109</v>
      </c>
      <c r="S903" s="7" t="s">
        <v>110</v>
      </c>
      <c r="T903" s="7" t="n">
        <v>0.855</v>
      </c>
      <c r="U903" s="7" t="n">
        <v>1</v>
      </c>
      <c r="V903" s="7" t="s">
        <v>90</v>
      </c>
      <c r="W903" s="7"/>
      <c r="X903" s="7" t="s">
        <v>5435</v>
      </c>
      <c r="Y903" s="7"/>
      <c r="Z903" s="7" t="s">
        <v>5436</v>
      </c>
      <c r="AA903" s="7"/>
      <c r="AB903" s="7"/>
      <c r="AC903" s="7" t="n">
        <v>2</v>
      </c>
      <c r="AD903" s="7" t="s">
        <v>1954</v>
      </c>
      <c r="AE903" s="7"/>
      <c r="AF903" s="7"/>
      <c r="AG903" s="7" t="s">
        <v>1955</v>
      </c>
      <c r="AH903" s="7" t="s">
        <v>1956</v>
      </c>
      <c r="AI903" s="7"/>
      <c r="AJ903" s="7"/>
      <c r="AK903" s="7"/>
      <c r="AL903" s="7"/>
      <c r="AM903" s="7" t="s">
        <v>1955</v>
      </c>
      <c r="AN903" s="7" t="s">
        <v>1957</v>
      </c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 t="s">
        <v>427</v>
      </c>
      <c r="BD903" s="7" t="s">
        <v>440</v>
      </c>
      <c r="BE903" s="7" t="s">
        <v>127</v>
      </c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</row>
    <row r="904" customFormat="false" ht="15" hidden="false" customHeight="false" outlineLevel="0" collapsed="false">
      <c r="A904" s="7" t="s">
        <v>6973</v>
      </c>
      <c r="B904" s="7" t="s">
        <v>6974</v>
      </c>
      <c r="C904" s="7" t="s">
        <v>6975</v>
      </c>
      <c r="D904" s="7" t="s">
        <v>3380</v>
      </c>
      <c r="E904" s="7" t="s">
        <v>101</v>
      </c>
      <c r="F904" s="7" t="s">
        <v>101</v>
      </c>
      <c r="G904" s="7"/>
      <c r="H904" s="7" t="s">
        <v>102</v>
      </c>
      <c r="I904" s="7" t="s">
        <v>1104</v>
      </c>
      <c r="J904" s="7" t="s">
        <v>104</v>
      </c>
      <c r="K904" s="7" t="s">
        <v>105</v>
      </c>
      <c r="L904" s="7" t="s">
        <v>1106</v>
      </c>
      <c r="M904" s="7" t="s">
        <v>419</v>
      </c>
      <c r="N904" s="7" t="s">
        <v>6976</v>
      </c>
      <c r="O904" s="7" t="s">
        <v>6976</v>
      </c>
      <c r="P904" s="7" t="s">
        <v>135</v>
      </c>
      <c r="Q904" s="7"/>
      <c r="R904" s="7" t="s">
        <v>109</v>
      </c>
      <c r="S904" s="7" t="s">
        <v>110</v>
      </c>
      <c r="T904" s="7" t="n">
        <v>0.777</v>
      </c>
      <c r="U904" s="7" t="n">
        <v>1</v>
      </c>
      <c r="V904" s="7" t="s">
        <v>2781</v>
      </c>
      <c r="W904" s="7" t="s">
        <v>496</v>
      </c>
      <c r="X904" s="7" t="s">
        <v>6977</v>
      </c>
      <c r="Y904" s="7" t="s">
        <v>6976</v>
      </c>
      <c r="Z904" s="7" t="s">
        <v>6978</v>
      </c>
      <c r="AA904" s="7"/>
      <c r="AB904" s="7"/>
      <c r="AC904" s="7" t="n">
        <v>7</v>
      </c>
      <c r="AD904" s="7" t="s">
        <v>2439</v>
      </c>
      <c r="AE904" s="7" t="s">
        <v>1065</v>
      </c>
      <c r="AF904" s="7" t="s">
        <v>6979</v>
      </c>
      <c r="AG904" s="7" t="s">
        <v>1065</v>
      </c>
      <c r="AH904" s="7" t="s">
        <v>6980</v>
      </c>
      <c r="AI904" s="7"/>
      <c r="AJ904" s="7"/>
      <c r="AK904" s="7"/>
      <c r="AL904" s="7"/>
      <c r="AM904" s="7" t="s">
        <v>1065</v>
      </c>
      <c r="AN904" s="7" t="s">
        <v>6981</v>
      </c>
      <c r="AO904" s="7" t="s">
        <v>1065</v>
      </c>
      <c r="AP904" s="7" t="s">
        <v>3380</v>
      </c>
      <c r="AQ904" s="7" t="s">
        <v>1065</v>
      </c>
      <c r="AR904" s="7" t="s">
        <v>6982</v>
      </c>
      <c r="AS904" s="7" t="s">
        <v>1065</v>
      </c>
      <c r="AT904" s="7" t="s">
        <v>1856</v>
      </c>
      <c r="AU904" s="7"/>
      <c r="AV904" s="7"/>
      <c r="AW904" s="7"/>
      <c r="AX904" s="7"/>
      <c r="AY904" s="7"/>
      <c r="AZ904" s="7"/>
      <c r="BA904" s="7" t="s">
        <v>1065</v>
      </c>
      <c r="BB904" s="7" t="s">
        <v>3980</v>
      </c>
      <c r="BC904" s="7" t="s">
        <v>427</v>
      </c>
      <c r="BD904" s="7" t="s">
        <v>440</v>
      </c>
      <c r="BE904" s="7" t="s">
        <v>127</v>
      </c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</row>
    <row r="905" customFormat="false" ht="15" hidden="false" customHeight="false" outlineLevel="0" collapsed="false">
      <c r="A905" s="7" t="s">
        <v>6983</v>
      </c>
      <c r="B905" s="7" t="s">
        <v>6984</v>
      </c>
      <c r="C905" s="7" t="s">
        <v>6985</v>
      </c>
      <c r="D905" s="7" t="s">
        <v>6986</v>
      </c>
      <c r="E905" s="7" t="s">
        <v>101</v>
      </c>
      <c r="F905" s="7" t="s">
        <v>737</v>
      </c>
      <c r="G905" s="7"/>
      <c r="H905" s="7" t="s">
        <v>102</v>
      </c>
      <c r="I905" s="7" t="s">
        <v>1104</v>
      </c>
      <c r="J905" s="7" t="s">
        <v>104</v>
      </c>
      <c r="K905" s="7" t="s">
        <v>105</v>
      </c>
      <c r="L905" s="7" t="s">
        <v>1106</v>
      </c>
      <c r="M905" s="7"/>
      <c r="N905" s="7" t="s">
        <v>6987</v>
      </c>
      <c r="O905" s="7" t="s">
        <v>6987</v>
      </c>
      <c r="P905" s="7" t="s">
        <v>135</v>
      </c>
      <c r="Q905" s="7"/>
      <c r="R905" s="7" t="s">
        <v>109</v>
      </c>
      <c r="S905" s="7" t="s">
        <v>110</v>
      </c>
      <c r="T905" s="7" t="n">
        <v>0.779</v>
      </c>
      <c r="U905" s="7" t="n">
        <v>1</v>
      </c>
      <c r="V905" s="7" t="s">
        <v>90</v>
      </c>
      <c r="W905" s="7"/>
      <c r="X905" s="7" t="s">
        <v>6988</v>
      </c>
      <c r="Y905" s="7" t="s">
        <v>6987</v>
      </c>
      <c r="Z905" s="7" t="s">
        <v>6989</v>
      </c>
      <c r="AA905" s="7"/>
      <c r="AB905" s="7"/>
      <c r="AC905" s="7" t="n">
        <v>0</v>
      </c>
      <c r="AD905" s="7" t="s">
        <v>388</v>
      </c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 t="s">
        <v>2797</v>
      </c>
      <c r="BE905" s="7" t="s">
        <v>127</v>
      </c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</row>
    <row r="906" customFormat="false" ht="15" hidden="false" customHeight="false" outlineLevel="0" collapsed="false">
      <c r="A906" s="7" t="s">
        <v>6990</v>
      </c>
      <c r="B906" s="7" t="s">
        <v>6991</v>
      </c>
      <c r="C906" s="7" t="s">
        <v>6992</v>
      </c>
      <c r="D906" s="7" t="s">
        <v>6993</v>
      </c>
      <c r="E906" s="7" t="s">
        <v>101</v>
      </c>
      <c r="F906" s="7" t="s">
        <v>101</v>
      </c>
      <c r="G906" s="7"/>
      <c r="H906" s="7" t="s">
        <v>102</v>
      </c>
      <c r="I906" s="7" t="s">
        <v>374</v>
      </c>
      <c r="J906" s="7" t="s">
        <v>104</v>
      </c>
      <c r="K906" s="7" t="s">
        <v>105</v>
      </c>
      <c r="L906" s="7" t="s">
        <v>106</v>
      </c>
      <c r="M906" s="7"/>
      <c r="N906" s="7" t="s">
        <v>6994</v>
      </c>
      <c r="O906" s="7"/>
      <c r="P906" s="7" t="s">
        <v>135</v>
      </c>
      <c r="Q906" s="7"/>
      <c r="R906" s="7" t="s">
        <v>135</v>
      </c>
      <c r="S906" s="7" t="s">
        <v>136</v>
      </c>
      <c r="T906" s="7" t="n">
        <v>0.158</v>
      </c>
      <c r="U906" s="7" t="n">
        <v>1</v>
      </c>
      <c r="V906" s="7" t="s">
        <v>90</v>
      </c>
      <c r="W906" s="7"/>
      <c r="X906" s="7"/>
      <c r="Y906" s="7" t="s">
        <v>6994</v>
      </c>
      <c r="Z906" s="7"/>
      <c r="AA906" s="7"/>
      <c r="AB906" s="7"/>
      <c r="AC906" s="7" t="n">
        <v>0</v>
      </c>
      <c r="AD906" s="7" t="s">
        <v>388</v>
      </c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 t="s">
        <v>127</v>
      </c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</row>
    <row r="907" customFormat="false" ht="15" hidden="false" customHeight="false" outlineLevel="0" collapsed="false">
      <c r="A907" s="7" t="s">
        <v>6995</v>
      </c>
      <c r="B907" s="7" t="s">
        <v>6996</v>
      </c>
      <c r="C907" s="7" t="s">
        <v>6997</v>
      </c>
      <c r="D907" s="7" t="s">
        <v>6998</v>
      </c>
      <c r="E907" s="7" t="s">
        <v>101</v>
      </c>
      <c r="F907" s="7" t="s">
        <v>101</v>
      </c>
      <c r="G907" s="7"/>
      <c r="H907" s="7" t="s">
        <v>102</v>
      </c>
      <c r="I907" s="7" t="s">
        <v>158</v>
      </c>
      <c r="J907" s="7" t="s">
        <v>104</v>
      </c>
      <c r="K907" s="7" t="s">
        <v>105</v>
      </c>
      <c r="L907" s="7" t="s">
        <v>353</v>
      </c>
      <c r="M907" s="7"/>
      <c r="N907" s="7" t="s">
        <v>6999</v>
      </c>
      <c r="O907" s="7" t="s">
        <v>6999</v>
      </c>
      <c r="P907" s="7" t="s">
        <v>135</v>
      </c>
      <c r="Q907" s="7"/>
      <c r="R907" s="7" t="s">
        <v>109</v>
      </c>
      <c r="S907" s="7" t="s">
        <v>110</v>
      </c>
      <c r="T907" s="7" t="n">
        <v>0.564</v>
      </c>
      <c r="U907" s="7" t="n">
        <v>1</v>
      </c>
      <c r="V907" s="7" t="s">
        <v>90</v>
      </c>
      <c r="W907" s="7"/>
      <c r="X907" s="7"/>
      <c r="Y907" s="7"/>
      <c r="Z907" s="7"/>
      <c r="AA907" s="7"/>
      <c r="AB907" s="7"/>
      <c r="AC907" s="7" t="n">
        <v>0</v>
      </c>
      <c r="AD907" s="7" t="s">
        <v>388</v>
      </c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 t="s">
        <v>440</v>
      </c>
      <c r="BE907" s="7" t="s">
        <v>127</v>
      </c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</row>
    <row r="908" customFormat="false" ht="15" hidden="false" customHeight="false" outlineLevel="0" collapsed="false">
      <c r="A908" s="7" t="s">
        <v>7000</v>
      </c>
      <c r="B908" s="7" t="s">
        <v>7001</v>
      </c>
      <c r="C908" s="7" t="s">
        <v>7002</v>
      </c>
      <c r="D908" s="7" t="s">
        <v>7003</v>
      </c>
      <c r="E908" s="7" t="s">
        <v>101</v>
      </c>
      <c r="F908" s="7" t="s">
        <v>101</v>
      </c>
      <c r="G908" s="7"/>
      <c r="H908" s="7" t="s">
        <v>102</v>
      </c>
      <c r="I908" s="7" t="s">
        <v>158</v>
      </c>
      <c r="J908" s="7" t="s">
        <v>104</v>
      </c>
      <c r="K908" s="7" t="s">
        <v>105</v>
      </c>
      <c r="L908" s="7" t="s">
        <v>353</v>
      </c>
      <c r="M908" s="7"/>
      <c r="N908" s="7" t="s">
        <v>7004</v>
      </c>
      <c r="O908" s="7" t="s">
        <v>7004</v>
      </c>
      <c r="P908" s="7" t="s">
        <v>135</v>
      </c>
      <c r="Q908" s="7"/>
      <c r="R908" s="7" t="s">
        <v>109</v>
      </c>
      <c r="S908" s="7" t="s">
        <v>110</v>
      </c>
      <c r="T908" s="7" t="n">
        <v>0.778</v>
      </c>
      <c r="U908" s="7" t="n">
        <v>1</v>
      </c>
      <c r="V908" s="7" t="s">
        <v>90</v>
      </c>
      <c r="W908" s="7"/>
      <c r="X908" s="7"/>
      <c r="Y908" s="7"/>
      <c r="Z908" s="7"/>
      <c r="AA908" s="7"/>
      <c r="AB908" s="7"/>
      <c r="AC908" s="7" t="n">
        <v>0</v>
      </c>
      <c r="AD908" s="7" t="s">
        <v>388</v>
      </c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 t="s">
        <v>440</v>
      </c>
      <c r="BE908" s="7" t="s">
        <v>127</v>
      </c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</row>
    <row r="909" customFormat="false" ht="15" hidden="false" customHeight="false" outlineLevel="0" collapsed="false">
      <c r="A909" s="7" t="s">
        <v>7005</v>
      </c>
      <c r="B909" s="7" t="s">
        <v>7006</v>
      </c>
      <c r="C909" s="7" t="s">
        <v>7007</v>
      </c>
      <c r="D909" s="7" t="s">
        <v>5643</v>
      </c>
      <c r="E909" s="7" t="s">
        <v>101</v>
      </c>
      <c r="F909" s="7" t="s">
        <v>101</v>
      </c>
      <c r="G909" s="7"/>
      <c r="H909" s="7" t="s">
        <v>102</v>
      </c>
      <c r="I909" s="7" t="s">
        <v>158</v>
      </c>
      <c r="J909" s="7" t="s">
        <v>104</v>
      </c>
      <c r="K909" s="7" t="s">
        <v>105</v>
      </c>
      <c r="L909" s="7" t="s">
        <v>353</v>
      </c>
      <c r="M909" s="7"/>
      <c r="N909" s="7" t="s">
        <v>7008</v>
      </c>
      <c r="O909" s="7" t="s">
        <v>7008</v>
      </c>
      <c r="P909" s="7" t="s">
        <v>135</v>
      </c>
      <c r="Q909" s="7"/>
      <c r="R909" s="7" t="s">
        <v>109</v>
      </c>
      <c r="S909" s="7" t="s">
        <v>110</v>
      </c>
      <c r="T909" s="7" t="n">
        <v>0.625</v>
      </c>
      <c r="U909" s="7" t="n">
        <v>1</v>
      </c>
      <c r="V909" s="7" t="s">
        <v>90</v>
      </c>
      <c r="W909" s="7"/>
      <c r="X909" s="7"/>
      <c r="Y909" s="7"/>
      <c r="Z909" s="7"/>
      <c r="AA909" s="7"/>
      <c r="AB909" s="7"/>
      <c r="AC909" s="7" t="n">
        <v>0</v>
      </c>
      <c r="AD909" s="7" t="s">
        <v>388</v>
      </c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 t="s">
        <v>440</v>
      </c>
      <c r="BE909" s="7" t="s">
        <v>127</v>
      </c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</row>
    <row r="910" customFormat="false" ht="15" hidden="false" customHeight="false" outlineLevel="0" collapsed="false">
      <c r="A910" s="7" t="s">
        <v>7009</v>
      </c>
      <c r="B910" s="7" t="s">
        <v>7010</v>
      </c>
      <c r="C910" s="7" t="s">
        <v>7011</v>
      </c>
      <c r="D910" s="7" t="s">
        <v>7012</v>
      </c>
      <c r="E910" s="7" t="s">
        <v>101</v>
      </c>
      <c r="F910" s="7" t="s">
        <v>101</v>
      </c>
      <c r="G910" s="7"/>
      <c r="H910" s="7" t="s">
        <v>102</v>
      </c>
      <c r="I910" s="7" t="s">
        <v>234</v>
      </c>
      <c r="J910" s="7" t="s">
        <v>104</v>
      </c>
      <c r="K910" s="7" t="s">
        <v>105</v>
      </c>
      <c r="L910" s="7" t="s">
        <v>235</v>
      </c>
      <c r="M910" s="7"/>
      <c r="N910" s="7" t="s">
        <v>7013</v>
      </c>
      <c r="O910" s="7" t="s">
        <v>7013</v>
      </c>
      <c r="P910" s="7" t="s">
        <v>135</v>
      </c>
      <c r="Q910" s="7"/>
      <c r="R910" s="7" t="s">
        <v>109</v>
      </c>
      <c r="S910" s="7" t="s">
        <v>110</v>
      </c>
      <c r="T910" s="7" t="n">
        <v>0.32</v>
      </c>
      <c r="U910" s="7" t="n">
        <v>1</v>
      </c>
      <c r="V910" s="7" t="s">
        <v>90</v>
      </c>
      <c r="W910" s="7"/>
      <c r="X910" s="7"/>
      <c r="Y910" s="7" t="s">
        <v>7013</v>
      </c>
      <c r="Z910" s="7"/>
      <c r="AA910" s="7"/>
      <c r="AB910" s="7"/>
      <c r="AC910" s="7" t="n">
        <v>0</v>
      </c>
      <c r="AD910" s="7" t="s">
        <v>388</v>
      </c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 t="s">
        <v>127</v>
      </c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</row>
    <row r="911" customFormat="false" ht="15" hidden="false" customHeight="false" outlineLevel="0" collapsed="false">
      <c r="A911" s="7" t="s">
        <v>7014</v>
      </c>
      <c r="B911" s="7" t="s">
        <v>7015</v>
      </c>
      <c r="C911" s="7" t="s">
        <v>7016</v>
      </c>
      <c r="D911" s="7" t="s">
        <v>7017</v>
      </c>
      <c r="E911" s="7" t="s">
        <v>101</v>
      </c>
      <c r="F911" s="7" t="s">
        <v>101</v>
      </c>
      <c r="G911" s="7"/>
      <c r="H911" s="7" t="s">
        <v>102</v>
      </c>
      <c r="I911" s="7" t="s">
        <v>158</v>
      </c>
      <c r="J911" s="7" t="s">
        <v>104</v>
      </c>
      <c r="K911" s="7" t="s">
        <v>105</v>
      </c>
      <c r="L911" s="7" t="s">
        <v>353</v>
      </c>
      <c r="M911" s="7"/>
      <c r="N911" s="7" t="s">
        <v>7018</v>
      </c>
      <c r="O911" s="7" t="s">
        <v>7018</v>
      </c>
      <c r="P911" s="7" t="s">
        <v>135</v>
      </c>
      <c r="Q911" s="7"/>
      <c r="R911" s="7" t="s">
        <v>109</v>
      </c>
      <c r="S911" s="7" t="s">
        <v>110</v>
      </c>
      <c r="T911" s="7" t="n">
        <v>0.613</v>
      </c>
      <c r="U911" s="7" t="n">
        <v>1</v>
      </c>
      <c r="V911" s="7" t="s">
        <v>90</v>
      </c>
      <c r="W911" s="7"/>
      <c r="X911" s="7"/>
      <c r="Y911" s="7"/>
      <c r="Z911" s="7"/>
      <c r="AA911" s="7"/>
      <c r="AB911" s="7"/>
      <c r="AC911" s="7" t="n">
        <v>0</v>
      </c>
      <c r="AD911" s="7" t="s">
        <v>388</v>
      </c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 t="s">
        <v>2797</v>
      </c>
      <c r="BE911" s="7" t="s">
        <v>127</v>
      </c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</row>
    <row r="912" customFormat="false" ht="15" hidden="false" customHeight="false" outlineLevel="0" collapsed="false">
      <c r="A912" s="7" t="s">
        <v>7019</v>
      </c>
      <c r="B912" s="7" t="s">
        <v>7020</v>
      </c>
      <c r="C912" s="7" t="s">
        <v>7021</v>
      </c>
      <c r="D912" s="7"/>
      <c r="E912" s="7" t="s">
        <v>101</v>
      </c>
      <c r="F912" s="7" t="s">
        <v>101</v>
      </c>
      <c r="G912" s="7"/>
      <c r="H912" s="7" t="s">
        <v>102</v>
      </c>
      <c r="I912" s="7" t="s">
        <v>132</v>
      </c>
      <c r="J912" s="7" t="s">
        <v>104</v>
      </c>
      <c r="K912" s="7" t="s">
        <v>105</v>
      </c>
      <c r="L912" s="7" t="s">
        <v>106</v>
      </c>
      <c r="M912" s="7"/>
      <c r="N912" s="7" t="s">
        <v>7022</v>
      </c>
      <c r="O912" s="7"/>
      <c r="P912" s="7" t="s">
        <v>135</v>
      </c>
      <c r="Q912" s="7"/>
      <c r="R912" s="7" t="s">
        <v>135</v>
      </c>
      <c r="S912" s="7" t="s">
        <v>136</v>
      </c>
      <c r="T912" s="7" t="n">
        <v>0.239</v>
      </c>
      <c r="U912" s="7" t="n">
        <v>1</v>
      </c>
      <c r="V912" s="7" t="s">
        <v>90</v>
      </c>
      <c r="W912" s="7"/>
      <c r="X912" s="7"/>
      <c r="Y912" s="7" t="s">
        <v>7022</v>
      </c>
      <c r="Z912" s="7"/>
      <c r="AA912" s="7"/>
      <c r="AB912" s="7"/>
      <c r="AC912" s="7" t="n">
        <v>0</v>
      </c>
      <c r="AD912" s="7" t="s">
        <v>388</v>
      </c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 t="s">
        <v>127</v>
      </c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</row>
    <row r="913" customFormat="false" ht="15" hidden="false" customHeight="false" outlineLevel="0" collapsed="false">
      <c r="A913" s="7" t="s">
        <v>7023</v>
      </c>
      <c r="B913" s="7" t="s">
        <v>7024</v>
      </c>
      <c r="C913" s="7" t="s">
        <v>7025</v>
      </c>
      <c r="D913" s="7"/>
      <c r="E913" s="7" t="s">
        <v>101</v>
      </c>
      <c r="F913" s="7" t="s">
        <v>101</v>
      </c>
      <c r="G913" s="7"/>
      <c r="H913" s="7" t="s">
        <v>102</v>
      </c>
      <c r="I913" s="7" t="s">
        <v>158</v>
      </c>
      <c r="J913" s="7" t="s">
        <v>104</v>
      </c>
      <c r="K913" s="7" t="s">
        <v>105</v>
      </c>
      <c r="L913" s="7" t="s">
        <v>106</v>
      </c>
      <c r="M913" s="7"/>
      <c r="N913" s="7" t="s">
        <v>7026</v>
      </c>
      <c r="O913" s="7" t="s">
        <v>7026</v>
      </c>
      <c r="P913" s="7" t="s">
        <v>135</v>
      </c>
      <c r="Q913" s="7"/>
      <c r="R913" s="7" t="s">
        <v>109</v>
      </c>
      <c r="S913" s="7" t="s">
        <v>110</v>
      </c>
      <c r="T913" s="7" t="n">
        <v>0.719</v>
      </c>
      <c r="U913" s="7" t="n">
        <v>1</v>
      </c>
      <c r="V913" s="7" t="s">
        <v>90</v>
      </c>
      <c r="W913" s="7"/>
      <c r="X913" s="7"/>
      <c r="Y913" s="7" t="s">
        <v>7026</v>
      </c>
      <c r="Z913" s="7"/>
      <c r="AA913" s="7"/>
      <c r="AB913" s="7"/>
      <c r="AC913" s="7" t="n">
        <v>0</v>
      </c>
      <c r="AD913" s="7" t="s">
        <v>388</v>
      </c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 t="s">
        <v>747</v>
      </c>
      <c r="BE913" s="7" t="s">
        <v>127</v>
      </c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</row>
    <row r="914" customFormat="false" ht="15" hidden="false" customHeight="false" outlineLevel="0" collapsed="false">
      <c r="A914" s="7" t="s">
        <v>7027</v>
      </c>
      <c r="B914" s="7" t="s">
        <v>7028</v>
      </c>
      <c r="C914" s="7" t="s">
        <v>7029</v>
      </c>
      <c r="D914" s="7" t="s">
        <v>7030</v>
      </c>
      <c r="E914" s="7" t="s">
        <v>101</v>
      </c>
      <c r="F914" s="7" t="s">
        <v>101</v>
      </c>
      <c r="G914" s="7"/>
      <c r="H914" s="7" t="s">
        <v>102</v>
      </c>
      <c r="I914" s="7" t="s">
        <v>132</v>
      </c>
      <c r="J914" s="7" t="s">
        <v>104</v>
      </c>
      <c r="K914" s="7" t="s">
        <v>105</v>
      </c>
      <c r="L914" s="7" t="s">
        <v>106</v>
      </c>
      <c r="M914" s="7"/>
      <c r="N914" s="7" t="s">
        <v>7031</v>
      </c>
      <c r="O914" s="7"/>
      <c r="P914" s="7" t="s">
        <v>135</v>
      </c>
      <c r="Q914" s="7"/>
      <c r="R914" s="7" t="s">
        <v>135</v>
      </c>
      <c r="S914" s="7" t="s">
        <v>136</v>
      </c>
      <c r="T914" s="7" t="n">
        <v>0.198</v>
      </c>
      <c r="U914" s="7" t="n">
        <v>1</v>
      </c>
      <c r="V914" s="7" t="s">
        <v>90</v>
      </c>
      <c r="W914" s="7"/>
      <c r="X914" s="7"/>
      <c r="Y914" s="7" t="s">
        <v>7031</v>
      </c>
      <c r="Z914" s="7"/>
      <c r="AA914" s="7"/>
      <c r="AB914" s="7"/>
      <c r="AC914" s="7" t="n">
        <v>0</v>
      </c>
      <c r="AD914" s="7" t="s">
        <v>388</v>
      </c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 t="s">
        <v>127</v>
      </c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</row>
    <row r="915" customFormat="false" ht="15" hidden="false" customHeight="false" outlineLevel="0" collapsed="false">
      <c r="A915" s="7" t="s">
        <v>7032</v>
      </c>
      <c r="B915" s="7" t="s">
        <v>7033</v>
      </c>
      <c r="C915" s="7" t="s">
        <v>7034</v>
      </c>
      <c r="D915" s="7"/>
      <c r="E915" s="7" t="s">
        <v>101</v>
      </c>
      <c r="F915" s="7" t="s">
        <v>101</v>
      </c>
      <c r="G915" s="7"/>
      <c r="H915" s="7" t="s">
        <v>102</v>
      </c>
      <c r="I915" s="7" t="s">
        <v>132</v>
      </c>
      <c r="J915" s="7" t="s">
        <v>104</v>
      </c>
      <c r="K915" s="7" t="s">
        <v>105</v>
      </c>
      <c r="L915" s="7" t="s">
        <v>106</v>
      </c>
      <c r="M915" s="7"/>
      <c r="N915" s="7" t="s">
        <v>7035</v>
      </c>
      <c r="O915" s="7"/>
      <c r="P915" s="7" t="s">
        <v>135</v>
      </c>
      <c r="Q915" s="7"/>
      <c r="R915" s="7" t="s">
        <v>135</v>
      </c>
      <c r="S915" s="7" t="s">
        <v>136</v>
      </c>
      <c r="T915" s="7" t="n">
        <v>0.161</v>
      </c>
      <c r="U915" s="7" t="n">
        <v>1</v>
      </c>
      <c r="V915" s="7" t="s">
        <v>90</v>
      </c>
      <c r="W915" s="7"/>
      <c r="X915" s="7"/>
      <c r="Y915" s="7" t="s">
        <v>7035</v>
      </c>
      <c r="Z915" s="7"/>
      <c r="AA915" s="7"/>
      <c r="AB915" s="7"/>
      <c r="AC915" s="7" t="n">
        <v>0</v>
      </c>
      <c r="AD915" s="7" t="s">
        <v>388</v>
      </c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 t="s">
        <v>127</v>
      </c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</row>
    <row r="916" customFormat="false" ht="15" hidden="false" customHeight="false" outlineLevel="0" collapsed="false">
      <c r="A916" s="7" t="s">
        <v>7036</v>
      </c>
      <c r="B916" s="7" t="s">
        <v>7037</v>
      </c>
      <c r="C916" s="7" t="s">
        <v>7038</v>
      </c>
      <c r="D916" s="7" t="s">
        <v>7039</v>
      </c>
      <c r="E916" s="7" t="s">
        <v>101</v>
      </c>
      <c r="F916" s="7" t="s">
        <v>101</v>
      </c>
      <c r="G916" s="7"/>
      <c r="H916" s="7" t="s">
        <v>102</v>
      </c>
      <c r="I916" s="7" t="s">
        <v>132</v>
      </c>
      <c r="J916" s="7" t="s">
        <v>104</v>
      </c>
      <c r="K916" s="7" t="s">
        <v>105</v>
      </c>
      <c r="L916" s="7" t="s">
        <v>106</v>
      </c>
      <c r="M916" s="7"/>
      <c r="N916" s="7" t="s">
        <v>7040</v>
      </c>
      <c r="O916" s="7"/>
      <c r="P916" s="7" t="s">
        <v>135</v>
      </c>
      <c r="Q916" s="7"/>
      <c r="R916" s="7" t="s">
        <v>135</v>
      </c>
      <c r="S916" s="7" t="s">
        <v>136</v>
      </c>
      <c r="T916" s="7" t="n">
        <v>0.214</v>
      </c>
      <c r="U916" s="7" t="n">
        <v>1</v>
      </c>
      <c r="V916" s="7" t="s">
        <v>90</v>
      </c>
      <c r="W916" s="7"/>
      <c r="X916" s="7"/>
      <c r="Y916" s="7" t="s">
        <v>7040</v>
      </c>
      <c r="Z916" s="7"/>
      <c r="AA916" s="7"/>
      <c r="AB916" s="7"/>
      <c r="AC916" s="7" t="n">
        <v>0</v>
      </c>
      <c r="AD916" s="7" t="s">
        <v>388</v>
      </c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 t="s">
        <v>127</v>
      </c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</row>
    <row r="917" customFormat="false" ht="15" hidden="false" customHeight="false" outlineLevel="0" collapsed="false">
      <c r="A917" s="7" t="s">
        <v>7041</v>
      </c>
      <c r="B917" s="7" t="s">
        <v>7042</v>
      </c>
      <c r="C917" s="7" t="s">
        <v>7043</v>
      </c>
      <c r="D917" s="7" t="s">
        <v>7044</v>
      </c>
      <c r="E917" s="7" t="s">
        <v>101</v>
      </c>
      <c r="F917" s="7" t="s">
        <v>101</v>
      </c>
      <c r="G917" s="7"/>
      <c r="H917" s="7" t="s">
        <v>102</v>
      </c>
      <c r="I917" s="7" t="s">
        <v>374</v>
      </c>
      <c r="J917" s="7" t="s">
        <v>104</v>
      </c>
      <c r="K917" s="7" t="s">
        <v>105</v>
      </c>
      <c r="L917" s="7" t="s">
        <v>2656</v>
      </c>
      <c r="M917" s="7"/>
      <c r="N917" s="7" t="s">
        <v>7045</v>
      </c>
      <c r="O917" s="7"/>
      <c r="P917" s="7" t="s">
        <v>135</v>
      </c>
      <c r="Q917" s="7"/>
      <c r="R917" s="7" t="s">
        <v>135</v>
      </c>
      <c r="S917" s="7" t="s">
        <v>136</v>
      </c>
      <c r="T917" s="7" t="n">
        <v>0.192</v>
      </c>
      <c r="U917" s="7" t="n">
        <v>1</v>
      </c>
      <c r="V917" s="7" t="s">
        <v>90</v>
      </c>
      <c r="W917" s="7"/>
      <c r="X917" s="7"/>
      <c r="Y917" s="7" t="s">
        <v>7045</v>
      </c>
      <c r="Z917" s="7"/>
      <c r="AA917" s="7"/>
      <c r="AB917" s="7"/>
      <c r="AC917" s="7" t="n">
        <v>0</v>
      </c>
      <c r="AD917" s="7" t="s">
        <v>388</v>
      </c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 t="s">
        <v>7046</v>
      </c>
      <c r="BE917" s="7" t="s">
        <v>127</v>
      </c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</row>
    <row r="918" customFormat="false" ht="15" hidden="false" customHeight="false" outlineLevel="0" collapsed="false">
      <c r="A918" s="7" t="s">
        <v>7047</v>
      </c>
      <c r="B918" s="7" t="s">
        <v>7048</v>
      </c>
      <c r="C918" s="7" t="s">
        <v>7049</v>
      </c>
      <c r="D918" s="7" t="s">
        <v>5843</v>
      </c>
      <c r="E918" s="7" t="s">
        <v>101</v>
      </c>
      <c r="F918" s="7" t="s">
        <v>101</v>
      </c>
      <c r="G918" s="7"/>
      <c r="H918" s="7" t="s">
        <v>102</v>
      </c>
      <c r="I918" s="7" t="s">
        <v>158</v>
      </c>
      <c r="J918" s="7" t="s">
        <v>104</v>
      </c>
      <c r="K918" s="7" t="s">
        <v>105</v>
      </c>
      <c r="L918" s="7" t="s">
        <v>106</v>
      </c>
      <c r="M918" s="7"/>
      <c r="N918" s="7" t="s">
        <v>7050</v>
      </c>
      <c r="O918" s="7"/>
      <c r="P918" s="7" t="s">
        <v>135</v>
      </c>
      <c r="Q918" s="7"/>
      <c r="R918" s="7" t="s">
        <v>135</v>
      </c>
      <c r="S918" s="7" t="s">
        <v>136</v>
      </c>
      <c r="T918" s="7" t="n">
        <v>0.784</v>
      </c>
      <c r="U918" s="7" t="n">
        <v>1</v>
      </c>
      <c r="V918" s="7" t="s">
        <v>90</v>
      </c>
      <c r="W918" s="7"/>
      <c r="X918" s="7"/>
      <c r="Y918" s="7"/>
      <c r="Z918" s="7"/>
      <c r="AA918" s="7"/>
      <c r="AB918" s="7"/>
      <c r="AC918" s="7" t="n">
        <v>0</v>
      </c>
      <c r="AD918" s="7" t="s">
        <v>388</v>
      </c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 t="s">
        <v>127</v>
      </c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</row>
    <row r="919" customFormat="false" ht="15" hidden="false" customHeight="false" outlineLevel="0" collapsed="false">
      <c r="A919" s="7" t="s">
        <v>7051</v>
      </c>
      <c r="B919" s="7" t="s">
        <v>7052</v>
      </c>
      <c r="C919" s="7" t="s">
        <v>7053</v>
      </c>
      <c r="D919" s="7" t="s">
        <v>7054</v>
      </c>
      <c r="E919" s="7" t="s">
        <v>101</v>
      </c>
      <c r="F919" s="7" t="s">
        <v>101</v>
      </c>
      <c r="G919" s="7"/>
      <c r="H919" s="7" t="s">
        <v>102</v>
      </c>
      <c r="I919" s="7" t="s">
        <v>158</v>
      </c>
      <c r="J919" s="7" t="s">
        <v>104</v>
      </c>
      <c r="K919" s="7" t="s">
        <v>105</v>
      </c>
      <c r="L919" s="7" t="s">
        <v>106</v>
      </c>
      <c r="M919" s="7"/>
      <c r="N919" s="7" t="s">
        <v>7055</v>
      </c>
      <c r="O919" s="7"/>
      <c r="P919" s="7" t="s">
        <v>135</v>
      </c>
      <c r="Q919" s="7"/>
      <c r="R919" s="7" t="s">
        <v>135</v>
      </c>
      <c r="S919" s="7" t="s">
        <v>136</v>
      </c>
      <c r="T919" s="7" t="n">
        <v>0.1</v>
      </c>
      <c r="U919" s="7" t="n">
        <v>1</v>
      </c>
      <c r="V919" s="7" t="s">
        <v>90</v>
      </c>
      <c r="W919" s="7"/>
      <c r="X919" s="7"/>
      <c r="Y919" s="7" t="s">
        <v>7055</v>
      </c>
      <c r="Z919" s="7"/>
      <c r="AA919" s="7"/>
      <c r="AB919" s="7"/>
      <c r="AC919" s="7" t="n">
        <v>0</v>
      </c>
      <c r="AD919" s="7" t="s">
        <v>388</v>
      </c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 t="s">
        <v>127</v>
      </c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</row>
    <row r="920" customFormat="false" ht="15" hidden="false" customHeight="false" outlineLevel="0" collapsed="false">
      <c r="A920" s="7" t="s">
        <v>7056</v>
      </c>
      <c r="B920" s="7" t="s">
        <v>7057</v>
      </c>
      <c r="C920" s="7" t="s">
        <v>7058</v>
      </c>
      <c r="D920" s="7" t="s">
        <v>5355</v>
      </c>
      <c r="E920" s="7" t="s">
        <v>101</v>
      </c>
      <c r="F920" s="7" t="s">
        <v>101</v>
      </c>
      <c r="G920" s="7"/>
      <c r="H920" s="7" t="s">
        <v>102</v>
      </c>
      <c r="I920" s="7" t="s">
        <v>132</v>
      </c>
      <c r="J920" s="7" t="s">
        <v>104</v>
      </c>
      <c r="K920" s="7" t="s">
        <v>105</v>
      </c>
      <c r="L920" s="7" t="s">
        <v>106</v>
      </c>
      <c r="M920" s="7"/>
      <c r="N920" s="7" t="s">
        <v>7059</v>
      </c>
      <c r="O920" s="7"/>
      <c r="P920" s="7" t="s">
        <v>135</v>
      </c>
      <c r="Q920" s="7"/>
      <c r="R920" s="7" t="s">
        <v>135</v>
      </c>
      <c r="S920" s="7" t="s">
        <v>136</v>
      </c>
      <c r="T920" s="7" t="n">
        <v>0.351</v>
      </c>
      <c r="U920" s="7" t="n">
        <v>1</v>
      </c>
      <c r="V920" s="7" t="s">
        <v>90</v>
      </c>
      <c r="W920" s="7"/>
      <c r="X920" s="7"/>
      <c r="Y920" s="7" t="s">
        <v>7059</v>
      </c>
      <c r="Z920" s="7"/>
      <c r="AA920" s="7"/>
      <c r="AB920" s="7"/>
      <c r="AC920" s="7" t="n">
        <v>0</v>
      </c>
      <c r="AD920" s="7" t="s">
        <v>388</v>
      </c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 t="s">
        <v>127</v>
      </c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</row>
    <row r="921" customFormat="false" ht="15" hidden="false" customHeight="false" outlineLevel="0" collapsed="false">
      <c r="A921" s="7" t="s">
        <v>7060</v>
      </c>
      <c r="B921" s="7" t="s">
        <v>7061</v>
      </c>
      <c r="C921" s="7" t="s">
        <v>7062</v>
      </c>
      <c r="D921" s="7"/>
      <c r="E921" s="7" t="s">
        <v>101</v>
      </c>
      <c r="F921" s="7" t="s">
        <v>101</v>
      </c>
      <c r="G921" s="7"/>
      <c r="H921" s="7" t="s">
        <v>102</v>
      </c>
      <c r="I921" s="7" t="s">
        <v>208</v>
      </c>
      <c r="J921" s="7" t="s">
        <v>104</v>
      </c>
      <c r="K921" s="7" t="s">
        <v>105</v>
      </c>
      <c r="L921" s="7" t="s">
        <v>235</v>
      </c>
      <c r="M921" s="7"/>
      <c r="N921" s="7" t="s">
        <v>7063</v>
      </c>
      <c r="O921" s="7"/>
      <c r="P921" s="7" t="s">
        <v>135</v>
      </c>
      <c r="Q921" s="7"/>
      <c r="R921" s="7" t="s">
        <v>135</v>
      </c>
      <c r="S921" s="7" t="s">
        <v>136</v>
      </c>
      <c r="T921" s="7" t="n">
        <v>0.27</v>
      </c>
      <c r="U921" s="7" t="n">
        <v>1</v>
      </c>
      <c r="V921" s="7" t="s">
        <v>90</v>
      </c>
      <c r="W921" s="7"/>
      <c r="X921" s="7"/>
      <c r="Y921" s="7"/>
      <c r="Z921" s="7"/>
      <c r="AA921" s="7"/>
      <c r="AB921" s="7"/>
      <c r="AC921" s="7" t="n">
        <v>0</v>
      </c>
      <c r="AD921" s="7" t="s">
        <v>388</v>
      </c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 t="s">
        <v>127</v>
      </c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</row>
    <row r="922" customFormat="false" ht="15" hidden="false" customHeight="false" outlineLevel="0" collapsed="false">
      <c r="A922" s="7" t="s">
        <v>7064</v>
      </c>
      <c r="B922" s="7" t="s">
        <v>7065</v>
      </c>
      <c r="C922" s="7" t="s">
        <v>7066</v>
      </c>
      <c r="D922" s="7"/>
      <c r="E922" s="7" t="s">
        <v>101</v>
      </c>
      <c r="F922" s="7" t="s">
        <v>101</v>
      </c>
      <c r="G922" s="7"/>
      <c r="H922" s="7" t="s">
        <v>102</v>
      </c>
      <c r="I922" s="7" t="s">
        <v>132</v>
      </c>
      <c r="J922" s="7" t="s">
        <v>104</v>
      </c>
      <c r="K922" s="7" t="s">
        <v>105</v>
      </c>
      <c r="L922" s="7" t="s">
        <v>106</v>
      </c>
      <c r="M922" s="7"/>
      <c r="N922" s="7" t="s">
        <v>7067</v>
      </c>
      <c r="O922" s="7"/>
      <c r="P922" s="7" t="s">
        <v>135</v>
      </c>
      <c r="Q922" s="7"/>
      <c r="R922" s="7" t="s">
        <v>135</v>
      </c>
      <c r="S922" s="7" t="s">
        <v>136</v>
      </c>
      <c r="T922" s="7" t="n">
        <v>0.191</v>
      </c>
      <c r="U922" s="7" t="n">
        <v>1</v>
      </c>
      <c r="V922" s="7" t="s">
        <v>90</v>
      </c>
      <c r="W922" s="7"/>
      <c r="X922" s="7"/>
      <c r="Y922" s="7" t="s">
        <v>7067</v>
      </c>
      <c r="Z922" s="7"/>
      <c r="AA922" s="7"/>
      <c r="AB922" s="7"/>
      <c r="AC922" s="7" t="n">
        <v>0</v>
      </c>
      <c r="AD922" s="7" t="s">
        <v>388</v>
      </c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 t="s">
        <v>127</v>
      </c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</row>
    <row r="923" customFormat="false" ht="15" hidden="false" customHeight="false" outlineLevel="0" collapsed="false">
      <c r="A923" s="7" t="s">
        <v>7068</v>
      </c>
      <c r="B923" s="7" t="s">
        <v>7069</v>
      </c>
      <c r="C923" s="7" t="s">
        <v>7070</v>
      </c>
      <c r="D923" s="7"/>
      <c r="E923" s="7" t="s">
        <v>101</v>
      </c>
      <c r="F923" s="7" t="s">
        <v>101</v>
      </c>
      <c r="G923" s="7"/>
      <c r="H923" s="7" t="s">
        <v>102</v>
      </c>
      <c r="I923" s="7" t="s">
        <v>374</v>
      </c>
      <c r="J923" s="7" t="s">
        <v>104</v>
      </c>
      <c r="K923" s="7" t="s">
        <v>105</v>
      </c>
      <c r="L923" s="7" t="s">
        <v>106</v>
      </c>
      <c r="M923" s="7"/>
      <c r="N923" s="7" t="s">
        <v>7071</v>
      </c>
      <c r="O923" s="7"/>
      <c r="P923" s="7" t="s">
        <v>135</v>
      </c>
      <c r="Q923" s="7"/>
      <c r="R923" s="7" t="s">
        <v>135</v>
      </c>
      <c r="S923" s="7" t="s">
        <v>136</v>
      </c>
      <c r="T923" s="7" t="n">
        <v>0.278</v>
      </c>
      <c r="U923" s="7" t="n">
        <v>1</v>
      </c>
      <c r="V923" s="7" t="s">
        <v>90</v>
      </c>
      <c r="W923" s="7"/>
      <c r="X923" s="7"/>
      <c r="Y923" s="7" t="s">
        <v>7071</v>
      </c>
      <c r="Z923" s="7"/>
      <c r="AA923" s="7"/>
      <c r="AB923" s="7"/>
      <c r="AC923" s="7" t="n">
        <v>0</v>
      </c>
      <c r="AD923" s="7" t="s">
        <v>388</v>
      </c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 t="s">
        <v>127</v>
      </c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</row>
    <row r="924" customFormat="false" ht="15" hidden="false" customHeight="false" outlineLevel="0" collapsed="false">
      <c r="A924" s="7" t="s">
        <v>7072</v>
      </c>
      <c r="B924" s="7" t="s">
        <v>7073</v>
      </c>
      <c r="C924" s="7" t="s">
        <v>7074</v>
      </c>
      <c r="D924" s="7" t="s">
        <v>2037</v>
      </c>
      <c r="E924" s="7" t="s">
        <v>101</v>
      </c>
      <c r="F924" s="7" t="s">
        <v>101</v>
      </c>
      <c r="G924" s="7"/>
      <c r="H924" s="7" t="s">
        <v>102</v>
      </c>
      <c r="I924" s="7" t="s">
        <v>132</v>
      </c>
      <c r="J924" s="7" t="s">
        <v>104</v>
      </c>
      <c r="K924" s="7" t="s">
        <v>105</v>
      </c>
      <c r="L924" s="7" t="s">
        <v>106</v>
      </c>
      <c r="M924" s="7"/>
      <c r="N924" s="7" t="s">
        <v>7075</v>
      </c>
      <c r="O924" s="7" t="s">
        <v>7075</v>
      </c>
      <c r="P924" s="7" t="s">
        <v>135</v>
      </c>
      <c r="Q924" s="7"/>
      <c r="R924" s="7" t="s">
        <v>109</v>
      </c>
      <c r="S924" s="7" t="s">
        <v>110</v>
      </c>
      <c r="T924" s="7" t="n">
        <v>0.697</v>
      </c>
      <c r="U924" s="7" t="n">
        <v>1</v>
      </c>
      <c r="V924" s="7" t="s">
        <v>90</v>
      </c>
      <c r="W924" s="7"/>
      <c r="X924" s="7"/>
      <c r="Y924" s="7" t="s">
        <v>7075</v>
      </c>
      <c r="Z924" s="7"/>
      <c r="AA924" s="7"/>
      <c r="AB924" s="7"/>
      <c r="AC924" s="7" t="n">
        <v>5</v>
      </c>
      <c r="AD924" s="7" t="s">
        <v>1897</v>
      </c>
      <c r="AE924" s="7" t="s">
        <v>744</v>
      </c>
      <c r="AF924" s="7" t="s">
        <v>7074</v>
      </c>
      <c r="AG924" s="7" t="s">
        <v>744</v>
      </c>
      <c r="AH924" s="7" t="s">
        <v>7076</v>
      </c>
      <c r="AI924" s="7"/>
      <c r="AJ924" s="7"/>
      <c r="AK924" s="7"/>
      <c r="AL924" s="7"/>
      <c r="AM924" s="7" t="s">
        <v>744</v>
      </c>
      <c r="AN924" s="7" t="s">
        <v>7077</v>
      </c>
      <c r="AO924" s="7" t="s">
        <v>744</v>
      </c>
      <c r="AP924" s="7" t="s">
        <v>2037</v>
      </c>
      <c r="AQ924" s="7"/>
      <c r="AR924" s="7"/>
      <c r="AS924" s="7"/>
      <c r="AT924" s="7"/>
      <c r="AU924" s="7"/>
      <c r="AV924" s="7"/>
      <c r="AW924" s="7" t="s">
        <v>744</v>
      </c>
      <c r="AX924" s="7" t="s">
        <v>7075</v>
      </c>
      <c r="AY924" s="7"/>
      <c r="AZ924" s="7"/>
      <c r="BA924" s="7"/>
      <c r="BB924" s="7"/>
      <c r="BC924" s="7"/>
      <c r="BD924" s="7" t="s">
        <v>3272</v>
      </c>
      <c r="BE924" s="7" t="s">
        <v>127</v>
      </c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</row>
    <row r="925" customFormat="false" ht="15" hidden="false" customHeight="false" outlineLevel="0" collapsed="false">
      <c r="A925" s="7" t="s">
        <v>7078</v>
      </c>
      <c r="B925" s="7" t="s">
        <v>7079</v>
      </c>
      <c r="C925" s="7" t="s">
        <v>7080</v>
      </c>
      <c r="D925" s="7"/>
      <c r="E925" s="7" t="s">
        <v>101</v>
      </c>
      <c r="F925" s="7" t="s">
        <v>101</v>
      </c>
      <c r="G925" s="7"/>
      <c r="H925" s="7" t="s">
        <v>102</v>
      </c>
      <c r="I925" s="7" t="s">
        <v>132</v>
      </c>
      <c r="J925" s="7" t="s">
        <v>104</v>
      </c>
      <c r="K925" s="7" t="s">
        <v>105</v>
      </c>
      <c r="L925" s="7" t="s">
        <v>106</v>
      </c>
      <c r="M925" s="7"/>
      <c r="N925" s="7" t="s">
        <v>7081</v>
      </c>
      <c r="O925" s="7"/>
      <c r="P925" s="7" t="s">
        <v>135</v>
      </c>
      <c r="Q925" s="7"/>
      <c r="R925" s="7" t="s">
        <v>135</v>
      </c>
      <c r="S925" s="7" t="s">
        <v>136</v>
      </c>
      <c r="T925" s="7" t="n">
        <v>0.269</v>
      </c>
      <c r="U925" s="7" t="n">
        <v>1</v>
      </c>
      <c r="V925" s="7" t="s">
        <v>90</v>
      </c>
      <c r="W925" s="7"/>
      <c r="X925" s="7"/>
      <c r="Y925" s="7" t="s">
        <v>7081</v>
      </c>
      <c r="Z925" s="7"/>
      <c r="AA925" s="7"/>
      <c r="AB925" s="7"/>
      <c r="AC925" s="7" t="n">
        <v>0</v>
      </c>
      <c r="AD925" s="7" t="s">
        <v>388</v>
      </c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 t="s">
        <v>127</v>
      </c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</row>
    <row r="926" customFormat="false" ht="15" hidden="false" customHeight="false" outlineLevel="0" collapsed="false">
      <c r="A926" s="7" t="s">
        <v>7082</v>
      </c>
      <c r="B926" s="7" t="s">
        <v>7083</v>
      </c>
      <c r="C926" s="7" t="s">
        <v>7084</v>
      </c>
      <c r="D926" s="7"/>
      <c r="E926" s="7" t="s">
        <v>101</v>
      </c>
      <c r="F926" s="7" t="s">
        <v>101</v>
      </c>
      <c r="G926" s="7"/>
      <c r="H926" s="7" t="s">
        <v>102</v>
      </c>
      <c r="I926" s="7" t="s">
        <v>132</v>
      </c>
      <c r="J926" s="7" t="s">
        <v>104</v>
      </c>
      <c r="K926" s="7" t="s">
        <v>105</v>
      </c>
      <c r="L926" s="7" t="s">
        <v>106</v>
      </c>
      <c r="M926" s="7"/>
      <c r="N926" s="7" t="s">
        <v>7085</v>
      </c>
      <c r="O926" s="7"/>
      <c r="P926" s="7" t="s">
        <v>135</v>
      </c>
      <c r="Q926" s="7"/>
      <c r="R926" s="7" t="s">
        <v>135</v>
      </c>
      <c r="S926" s="7" t="s">
        <v>136</v>
      </c>
      <c r="T926" s="7" t="n">
        <v>0.199</v>
      </c>
      <c r="U926" s="7" t="n">
        <v>1</v>
      </c>
      <c r="V926" s="7" t="s">
        <v>90</v>
      </c>
      <c r="W926" s="7"/>
      <c r="X926" s="7"/>
      <c r="Y926" s="7" t="s">
        <v>7085</v>
      </c>
      <c r="Z926" s="7"/>
      <c r="AA926" s="7"/>
      <c r="AB926" s="7"/>
      <c r="AC926" s="7" t="n">
        <v>0</v>
      </c>
      <c r="AD926" s="7" t="s">
        <v>388</v>
      </c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 t="s">
        <v>127</v>
      </c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</row>
    <row r="927" customFormat="false" ht="15" hidden="false" customHeight="false" outlineLevel="0" collapsed="false">
      <c r="A927" s="7" t="s">
        <v>7086</v>
      </c>
      <c r="B927" s="7" t="s">
        <v>7087</v>
      </c>
      <c r="C927" s="7" t="s">
        <v>7088</v>
      </c>
      <c r="D927" s="7"/>
      <c r="E927" s="7" t="s">
        <v>101</v>
      </c>
      <c r="F927" s="7" t="s">
        <v>101</v>
      </c>
      <c r="G927" s="7"/>
      <c r="H927" s="7" t="s">
        <v>102</v>
      </c>
      <c r="I927" s="7" t="s">
        <v>103</v>
      </c>
      <c r="J927" s="7" t="s">
        <v>104</v>
      </c>
      <c r="K927" s="7" t="s">
        <v>105</v>
      </c>
      <c r="L927" s="7" t="s">
        <v>106</v>
      </c>
      <c r="M927" s="7"/>
      <c r="N927" s="7" t="s">
        <v>7089</v>
      </c>
      <c r="O927" s="7"/>
      <c r="P927" s="7" t="s">
        <v>135</v>
      </c>
      <c r="Q927" s="7"/>
      <c r="R927" s="7" t="s">
        <v>135</v>
      </c>
      <c r="S927" s="7" t="s">
        <v>136</v>
      </c>
      <c r="T927" s="7" t="n">
        <v>0.153</v>
      </c>
      <c r="U927" s="7" t="n">
        <v>1</v>
      </c>
      <c r="V927" s="7" t="s">
        <v>90</v>
      </c>
      <c r="W927" s="7"/>
      <c r="X927" s="7"/>
      <c r="Y927" s="7" t="s">
        <v>7089</v>
      </c>
      <c r="Z927" s="7"/>
      <c r="AA927" s="7"/>
      <c r="AB927" s="7"/>
      <c r="AC927" s="7" t="n">
        <v>0</v>
      </c>
      <c r="AD927" s="7" t="s">
        <v>388</v>
      </c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 t="s">
        <v>127</v>
      </c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</row>
    <row r="928" customFormat="false" ht="15" hidden="false" customHeight="false" outlineLevel="0" collapsed="false">
      <c r="A928" s="7" t="s">
        <v>7090</v>
      </c>
      <c r="B928" s="7" t="s">
        <v>7091</v>
      </c>
      <c r="C928" s="7" t="s">
        <v>7092</v>
      </c>
      <c r="D928" s="7" t="s">
        <v>5107</v>
      </c>
      <c r="E928" s="7" t="s">
        <v>101</v>
      </c>
      <c r="F928" s="7" t="s">
        <v>101</v>
      </c>
      <c r="G928" s="7"/>
      <c r="H928" s="7" t="s">
        <v>102</v>
      </c>
      <c r="I928" s="7" t="s">
        <v>132</v>
      </c>
      <c r="J928" s="7" t="s">
        <v>104</v>
      </c>
      <c r="K928" s="7" t="s">
        <v>105</v>
      </c>
      <c r="L928" s="7" t="s">
        <v>106</v>
      </c>
      <c r="M928" s="7"/>
      <c r="N928" s="7" t="s">
        <v>5108</v>
      </c>
      <c r="O928" s="7" t="s">
        <v>5108</v>
      </c>
      <c r="P928" s="7" t="s">
        <v>135</v>
      </c>
      <c r="Q928" s="7"/>
      <c r="R928" s="7" t="s">
        <v>109</v>
      </c>
      <c r="S928" s="7" t="s">
        <v>110</v>
      </c>
      <c r="T928" s="7" t="n">
        <v>0.563</v>
      </c>
      <c r="U928" s="7" t="n">
        <v>1</v>
      </c>
      <c r="V928" s="7" t="s">
        <v>90</v>
      </c>
      <c r="W928" s="7"/>
      <c r="X928" s="7"/>
      <c r="Y928" s="7"/>
      <c r="Z928" s="7"/>
      <c r="AA928" s="7"/>
      <c r="AB928" s="7"/>
      <c r="AC928" s="7" t="n">
        <v>0</v>
      </c>
      <c r="AD928" s="7" t="s">
        <v>388</v>
      </c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 t="s">
        <v>440</v>
      </c>
      <c r="BE928" s="7" t="s">
        <v>127</v>
      </c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</row>
    <row r="929" customFormat="false" ht="15" hidden="false" customHeight="false" outlineLevel="0" collapsed="false">
      <c r="A929" s="7" t="s">
        <v>7093</v>
      </c>
      <c r="B929" s="7" t="s">
        <v>7094</v>
      </c>
      <c r="C929" s="7" t="s">
        <v>7095</v>
      </c>
      <c r="D929" s="7" t="s">
        <v>7096</v>
      </c>
      <c r="E929" s="7" t="s">
        <v>101</v>
      </c>
      <c r="F929" s="7" t="s">
        <v>101</v>
      </c>
      <c r="G929" s="7"/>
      <c r="H929" s="7" t="s">
        <v>102</v>
      </c>
      <c r="I929" s="7" t="s">
        <v>132</v>
      </c>
      <c r="J929" s="7" t="s">
        <v>104</v>
      </c>
      <c r="K929" s="7" t="s">
        <v>105</v>
      </c>
      <c r="L929" s="7" t="s">
        <v>106</v>
      </c>
      <c r="M929" s="7"/>
      <c r="N929" s="7" t="s">
        <v>7097</v>
      </c>
      <c r="O929" s="7" t="s">
        <v>7097</v>
      </c>
      <c r="P929" s="7" t="s">
        <v>135</v>
      </c>
      <c r="Q929" s="7"/>
      <c r="R929" s="7" t="s">
        <v>109</v>
      </c>
      <c r="S929" s="7" t="s">
        <v>110</v>
      </c>
      <c r="T929" s="7" t="n">
        <v>0.581</v>
      </c>
      <c r="U929" s="7" t="n">
        <v>1</v>
      </c>
      <c r="V929" s="7" t="s">
        <v>90</v>
      </c>
      <c r="W929" s="7"/>
      <c r="X929" s="7"/>
      <c r="Y929" s="7"/>
      <c r="Z929" s="7"/>
      <c r="AA929" s="7"/>
      <c r="AB929" s="7"/>
      <c r="AC929" s="7" t="n">
        <v>0</v>
      </c>
      <c r="AD929" s="7" t="s">
        <v>388</v>
      </c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 t="s">
        <v>440</v>
      </c>
      <c r="BE929" s="7" t="s">
        <v>127</v>
      </c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</row>
    <row r="930" customFormat="false" ht="15" hidden="false" customHeight="false" outlineLevel="0" collapsed="false">
      <c r="A930" s="7" t="s">
        <v>7098</v>
      </c>
      <c r="B930" s="7" t="s">
        <v>7099</v>
      </c>
      <c r="C930" s="7" t="s">
        <v>7100</v>
      </c>
      <c r="D930" s="7" t="s">
        <v>7101</v>
      </c>
      <c r="E930" s="7" t="s">
        <v>101</v>
      </c>
      <c r="F930" s="7" t="s">
        <v>101</v>
      </c>
      <c r="G930" s="7"/>
      <c r="H930" s="7" t="s">
        <v>102</v>
      </c>
      <c r="I930" s="7" t="s">
        <v>158</v>
      </c>
      <c r="J930" s="7" t="s">
        <v>104</v>
      </c>
      <c r="K930" s="7" t="s">
        <v>105</v>
      </c>
      <c r="L930" s="7" t="s">
        <v>1488</v>
      </c>
      <c r="M930" s="7"/>
      <c r="N930" s="7" t="s">
        <v>7102</v>
      </c>
      <c r="O930" s="7" t="s">
        <v>7102</v>
      </c>
      <c r="P930" s="7" t="s">
        <v>135</v>
      </c>
      <c r="Q930" s="7"/>
      <c r="R930" s="7" t="s">
        <v>109</v>
      </c>
      <c r="S930" s="7" t="s">
        <v>110</v>
      </c>
      <c r="T930" s="7" t="n">
        <v>0.71</v>
      </c>
      <c r="U930" s="7" t="n">
        <v>1</v>
      </c>
      <c r="V930" s="7" t="s">
        <v>90</v>
      </c>
      <c r="W930" s="7"/>
      <c r="X930" s="7"/>
      <c r="Y930" s="7"/>
      <c r="Z930" s="7"/>
      <c r="AA930" s="7"/>
      <c r="AB930" s="7"/>
      <c r="AC930" s="7" t="n">
        <v>0</v>
      </c>
      <c r="AD930" s="7" t="s">
        <v>388</v>
      </c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 t="s">
        <v>2797</v>
      </c>
      <c r="BE930" s="7" t="s">
        <v>127</v>
      </c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</row>
    <row r="931" customFormat="false" ht="15" hidden="false" customHeight="false" outlineLevel="0" collapsed="false">
      <c r="A931" s="7" t="s">
        <v>7103</v>
      </c>
      <c r="B931" s="7" t="s">
        <v>7104</v>
      </c>
      <c r="C931" s="7" t="s">
        <v>7105</v>
      </c>
      <c r="D931" s="7" t="s">
        <v>7106</v>
      </c>
      <c r="E931" s="7" t="s">
        <v>101</v>
      </c>
      <c r="F931" s="7" t="s">
        <v>101</v>
      </c>
      <c r="G931" s="7"/>
      <c r="H931" s="7" t="s">
        <v>102</v>
      </c>
      <c r="I931" s="7" t="s">
        <v>158</v>
      </c>
      <c r="J931" s="7" t="s">
        <v>104</v>
      </c>
      <c r="K931" s="7" t="s">
        <v>105</v>
      </c>
      <c r="L931" s="7" t="s">
        <v>353</v>
      </c>
      <c r="M931" s="7"/>
      <c r="N931" s="7" t="s">
        <v>7107</v>
      </c>
      <c r="O931" s="7" t="s">
        <v>7107</v>
      </c>
      <c r="P931" s="7" t="s">
        <v>135</v>
      </c>
      <c r="Q931" s="7"/>
      <c r="R931" s="7" t="s">
        <v>109</v>
      </c>
      <c r="S931" s="7" t="s">
        <v>110</v>
      </c>
      <c r="T931" s="7" t="n">
        <v>0.634</v>
      </c>
      <c r="U931" s="7" t="n">
        <v>1</v>
      </c>
      <c r="V931" s="7" t="s">
        <v>90</v>
      </c>
      <c r="W931" s="7"/>
      <c r="X931" s="7"/>
      <c r="Y931" s="7"/>
      <c r="Z931" s="7"/>
      <c r="AA931" s="7"/>
      <c r="AB931" s="7"/>
      <c r="AC931" s="7" t="n">
        <v>0</v>
      </c>
      <c r="AD931" s="7" t="s">
        <v>388</v>
      </c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 t="s">
        <v>440</v>
      </c>
      <c r="BE931" s="7" t="s">
        <v>127</v>
      </c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</row>
    <row r="932" customFormat="false" ht="15" hidden="false" customHeight="false" outlineLevel="0" collapsed="false">
      <c r="A932" s="7" t="s">
        <v>7108</v>
      </c>
      <c r="B932" s="7" t="s">
        <v>7109</v>
      </c>
      <c r="C932" s="7" t="s">
        <v>7110</v>
      </c>
      <c r="D932" s="7" t="s">
        <v>7111</v>
      </c>
      <c r="E932" s="7" t="s">
        <v>101</v>
      </c>
      <c r="F932" s="7" t="s">
        <v>101</v>
      </c>
      <c r="G932" s="7"/>
      <c r="H932" s="7" t="s">
        <v>102</v>
      </c>
      <c r="I932" s="7" t="s">
        <v>158</v>
      </c>
      <c r="J932" s="7" t="s">
        <v>104</v>
      </c>
      <c r="K932" s="7" t="s">
        <v>105</v>
      </c>
      <c r="L932" s="7" t="s">
        <v>353</v>
      </c>
      <c r="M932" s="7"/>
      <c r="N932" s="7" t="s">
        <v>7112</v>
      </c>
      <c r="O932" s="7" t="s">
        <v>7112</v>
      </c>
      <c r="P932" s="7" t="s">
        <v>135</v>
      </c>
      <c r="Q932" s="7"/>
      <c r="R932" s="7" t="s">
        <v>109</v>
      </c>
      <c r="S932" s="7" t="s">
        <v>110</v>
      </c>
      <c r="T932" s="7" t="n">
        <v>0.59</v>
      </c>
      <c r="U932" s="7" t="n">
        <v>1</v>
      </c>
      <c r="V932" s="7" t="s">
        <v>90</v>
      </c>
      <c r="W932" s="7"/>
      <c r="X932" s="7"/>
      <c r="Y932" s="7"/>
      <c r="Z932" s="7"/>
      <c r="AA932" s="7"/>
      <c r="AB932" s="7"/>
      <c r="AC932" s="7" t="n">
        <v>0</v>
      </c>
      <c r="AD932" s="7" t="s">
        <v>388</v>
      </c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 t="s">
        <v>440</v>
      </c>
      <c r="BE932" s="7" t="s">
        <v>127</v>
      </c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</row>
    <row r="933" customFormat="false" ht="15" hidden="false" customHeight="false" outlineLevel="0" collapsed="false">
      <c r="A933" s="7" t="s">
        <v>7113</v>
      </c>
      <c r="B933" s="7" t="s">
        <v>7114</v>
      </c>
      <c r="C933" s="7" t="s">
        <v>7115</v>
      </c>
      <c r="D933" s="7" t="s">
        <v>6496</v>
      </c>
      <c r="E933" s="7" t="s">
        <v>101</v>
      </c>
      <c r="F933" s="7" t="s">
        <v>101</v>
      </c>
      <c r="G933" s="7"/>
      <c r="H933" s="7" t="s">
        <v>102</v>
      </c>
      <c r="I933" s="7" t="s">
        <v>158</v>
      </c>
      <c r="J933" s="7" t="s">
        <v>104</v>
      </c>
      <c r="K933" s="7" t="s">
        <v>105</v>
      </c>
      <c r="L933" s="7" t="s">
        <v>353</v>
      </c>
      <c r="M933" s="7"/>
      <c r="N933" s="7" t="s">
        <v>7116</v>
      </c>
      <c r="O933" s="7" t="s">
        <v>7116</v>
      </c>
      <c r="P933" s="7" t="s">
        <v>135</v>
      </c>
      <c r="Q933" s="7"/>
      <c r="R933" s="7" t="s">
        <v>109</v>
      </c>
      <c r="S933" s="7" t="s">
        <v>110</v>
      </c>
      <c r="T933" s="7" t="n">
        <v>0.615</v>
      </c>
      <c r="U933" s="7" t="n">
        <v>1</v>
      </c>
      <c r="V933" s="7" t="s">
        <v>90</v>
      </c>
      <c r="W933" s="7"/>
      <c r="X933" s="7"/>
      <c r="Y933" s="7"/>
      <c r="Z933" s="7"/>
      <c r="AA933" s="7"/>
      <c r="AB933" s="7"/>
      <c r="AC933" s="7" t="n">
        <v>0</v>
      </c>
      <c r="AD933" s="7" t="s">
        <v>388</v>
      </c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 t="s">
        <v>440</v>
      </c>
      <c r="BE933" s="7" t="s">
        <v>127</v>
      </c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</row>
    <row r="934" customFormat="false" ht="15" hidden="false" customHeight="false" outlineLevel="0" collapsed="false">
      <c r="A934" s="7" t="s">
        <v>7117</v>
      </c>
      <c r="B934" s="7" t="s">
        <v>7118</v>
      </c>
      <c r="C934" s="7" t="s">
        <v>7119</v>
      </c>
      <c r="D934" s="7" t="s">
        <v>7120</v>
      </c>
      <c r="E934" s="7" t="s">
        <v>101</v>
      </c>
      <c r="F934" s="7" t="s">
        <v>101</v>
      </c>
      <c r="G934" s="7"/>
      <c r="H934" s="7" t="s">
        <v>102</v>
      </c>
      <c r="I934" s="7" t="s">
        <v>158</v>
      </c>
      <c r="J934" s="7" t="s">
        <v>104</v>
      </c>
      <c r="K934" s="7" t="s">
        <v>105</v>
      </c>
      <c r="L934" s="7" t="s">
        <v>353</v>
      </c>
      <c r="M934" s="7"/>
      <c r="N934" s="7" t="s">
        <v>7121</v>
      </c>
      <c r="O934" s="7" t="s">
        <v>7121</v>
      </c>
      <c r="P934" s="7" t="s">
        <v>135</v>
      </c>
      <c r="Q934" s="7"/>
      <c r="R934" s="7" t="s">
        <v>109</v>
      </c>
      <c r="S934" s="7" t="s">
        <v>110</v>
      </c>
      <c r="T934" s="7" t="n">
        <v>0.753</v>
      </c>
      <c r="U934" s="7" t="n">
        <v>1</v>
      </c>
      <c r="V934" s="7" t="s">
        <v>90</v>
      </c>
      <c r="W934" s="7"/>
      <c r="X934" s="7"/>
      <c r="Y934" s="7"/>
      <c r="Z934" s="7"/>
      <c r="AA934" s="7"/>
      <c r="AB934" s="7"/>
      <c r="AC934" s="7" t="n">
        <v>0</v>
      </c>
      <c r="AD934" s="7" t="s">
        <v>388</v>
      </c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 t="s">
        <v>440</v>
      </c>
      <c r="BE934" s="7" t="s">
        <v>127</v>
      </c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</row>
    <row r="935" customFormat="false" ht="15" hidden="false" customHeight="false" outlineLevel="0" collapsed="false">
      <c r="A935" s="7" t="s">
        <v>7122</v>
      </c>
      <c r="B935" s="7" t="s">
        <v>7123</v>
      </c>
      <c r="C935" s="7" t="s">
        <v>7124</v>
      </c>
      <c r="D935" s="7" t="s">
        <v>7125</v>
      </c>
      <c r="E935" s="7" t="s">
        <v>101</v>
      </c>
      <c r="F935" s="7" t="s">
        <v>101</v>
      </c>
      <c r="G935" s="7"/>
      <c r="H935" s="7" t="s">
        <v>102</v>
      </c>
      <c r="I935" s="7" t="s">
        <v>158</v>
      </c>
      <c r="J935" s="7" t="s">
        <v>104</v>
      </c>
      <c r="K935" s="7" t="s">
        <v>105</v>
      </c>
      <c r="L935" s="7" t="s">
        <v>106</v>
      </c>
      <c r="M935" s="7"/>
      <c r="N935" s="7" t="s">
        <v>7126</v>
      </c>
      <c r="O935" s="7" t="s">
        <v>7126</v>
      </c>
      <c r="P935" s="7" t="s">
        <v>135</v>
      </c>
      <c r="Q935" s="7"/>
      <c r="R935" s="7" t="s">
        <v>109</v>
      </c>
      <c r="S935" s="7" t="s">
        <v>110</v>
      </c>
      <c r="T935" s="7" t="n">
        <v>0.739</v>
      </c>
      <c r="U935" s="7" t="n">
        <v>1</v>
      </c>
      <c r="V935" s="7" t="s">
        <v>90</v>
      </c>
      <c r="W935" s="7"/>
      <c r="X935" s="7"/>
      <c r="Y935" s="7"/>
      <c r="Z935" s="7"/>
      <c r="AA935" s="7"/>
      <c r="AB935" s="7"/>
      <c r="AC935" s="7" t="n">
        <v>0</v>
      </c>
      <c r="AD935" s="7" t="s">
        <v>388</v>
      </c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 t="s">
        <v>440</v>
      </c>
      <c r="BE935" s="7" t="s">
        <v>127</v>
      </c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</row>
    <row r="936" customFormat="false" ht="15" hidden="false" customHeight="false" outlineLevel="0" collapsed="false">
      <c r="A936" s="7" t="s">
        <v>7127</v>
      </c>
      <c r="B936" s="7" t="s">
        <v>7128</v>
      </c>
      <c r="C936" s="7" t="s">
        <v>7129</v>
      </c>
      <c r="D936" s="7" t="s">
        <v>4984</v>
      </c>
      <c r="E936" s="7" t="s">
        <v>101</v>
      </c>
      <c r="F936" s="7" t="s">
        <v>101</v>
      </c>
      <c r="G936" s="7"/>
      <c r="H936" s="7" t="s">
        <v>102</v>
      </c>
      <c r="I936" s="7" t="s">
        <v>158</v>
      </c>
      <c r="J936" s="7" t="s">
        <v>104</v>
      </c>
      <c r="K936" s="7" t="s">
        <v>105</v>
      </c>
      <c r="L936" s="7" t="s">
        <v>353</v>
      </c>
      <c r="M936" s="7"/>
      <c r="N936" s="7" t="s">
        <v>4985</v>
      </c>
      <c r="O936" s="7" t="s">
        <v>4985</v>
      </c>
      <c r="P936" s="7" t="s">
        <v>135</v>
      </c>
      <c r="Q936" s="7"/>
      <c r="R936" s="7" t="s">
        <v>109</v>
      </c>
      <c r="S936" s="7" t="s">
        <v>110</v>
      </c>
      <c r="T936" s="7" t="n">
        <v>0.798</v>
      </c>
      <c r="U936" s="7" t="n">
        <v>1</v>
      </c>
      <c r="V936" s="7" t="s">
        <v>90</v>
      </c>
      <c r="W936" s="7"/>
      <c r="X936" s="7"/>
      <c r="Y936" s="7"/>
      <c r="Z936" s="7"/>
      <c r="AA936" s="7"/>
      <c r="AB936" s="7"/>
      <c r="AC936" s="7" t="n">
        <v>0</v>
      </c>
      <c r="AD936" s="7" t="s">
        <v>388</v>
      </c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 t="s">
        <v>440</v>
      </c>
      <c r="BE936" s="7" t="s">
        <v>127</v>
      </c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</row>
    <row r="937" customFormat="false" ht="15" hidden="false" customHeight="false" outlineLevel="0" collapsed="false">
      <c r="A937" s="7" t="s">
        <v>7130</v>
      </c>
      <c r="B937" s="7" t="s">
        <v>7131</v>
      </c>
      <c r="C937" s="7" t="s">
        <v>7132</v>
      </c>
      <c r="D937" s="7" t="s">
        <v>7133</v>
      </c>
      <c r="E937" s="7" t="s">
        <v>101</v>
      </c>
      <c r="F937" s="7" t="s">
        <v>101</v>
      </c>
      <c r="G937" s="7"/>
      <c r="H937" s="7" t="s">
        <v>102</v>
      </c>
      <c r="I937" s="7" t="s">
        <v>158</v>
      </c>
      <c r="J937" s="7" t="s">
        <v>104</v>
      </c>
      <c r="K937" s="7" t="s">
        <v>105</v>
      </c>
      <c r="L937" s="7" t="s">
        <v>353</v>
      </c>
      <c r="M937" s="7"/>
      <c r="N937" s="7" t="s">
        <v>7134</v>
      </c>
      <c r="O937" s="7" t="s">
        <v>7134</v>
      </c>
      <c r="P937" s="7" t="s">
        <v>135</v>
      </c>
      <c r="Q937" s="7"/>
      <c r="R937" s="7" t="s">
        <v>109</v>
      </c>
      <c r="S937" s="7" t="s">
        <v>110</v>
      </c>
      <c r="T937" s="7" t="n">
        <v>0.721</v>
      </c>
      <c r="U937" s="7" t="n">
        <v>1</v>
      </c>
      <c r="V937" s="7" t="s">
        <v>90</v>
      </c>
      <c r="W937" s="7"/>
      <c r="X937" s="7"/>
      <c r="Y937" s="7"/>
      <c r="Z937" s="7"/>
      <c r="AA937" s="7"/>
      <c r="AB937" s="7"/>
      <c r="AC937" s="7" t="n">
        <v>0</v>
      </c>
      <c r="AD937" s="7" t="s">
        <v>388</v>
      </c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 t="s">
        <v>440</v>
      </c>
      <c r="BE937" s="7" t="s">
        <v>127</v>
      </c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</row>
    <row r="938" customFormat="false" ht="15" hidden="false" customHeight="false" outlineLevel="0" collapsed="false">
      <c r="A938" s="7" t="s">
        <v>7135</v>
      </c>
      <c r="B938" s="7" t="s">
        <v>7136</v>
      </c>
      <c r="C938" s="7" t="s">
        <v>7137</v>
      </c>
      <c r="D938" s="7" t="s">
        <v>7138</v>
      </c>
      <c r="E938" s="7" t="s">
        <v>101</v>
      </c>
      <c r="F938" s="7" t="s">
        <v>101</v>
      </c>
      <c r="G938" s="7"/>
      <c r="H938" s="7" t="s">
        <v>102</v>
      </c>
      <c r="I938" s="7" t="s">
        <v>132</v>
      </c>
      <c r="J938" s="7" t="s">
        <v>104</v>
      </c>
      <c r="K938" s="7" t="s">
        <v>105</v>
      </c>
      <c r="L938" s="7" t="s">
        <v>106</v>
      </c>
      <c r="M938" s="7"/>
      <c r="N938" s="7" t="s">
        <v>7139</v>
      </c>
      <c r="O938" s="7" t="s">
        <v>7139</v>
      </c>
      <c r="P938" s="7" t="s">
        <v>135</v>
      </c>
      <c r="Q938" s="7"/>
      <c r="R938" s="7" t="s">
        <v>109</v>
      </c>
      <c r="S938" s="7" t="s">
        <v>110</v>
      </c>
      <c r="T938" s="7" t="n">
        <v>0.786</v>
      </c>
      <c r="U938" s="7" t="n">
        <v>1</v>
      </c>
      <c r="V938" s="7" t="s">
        <v>90</v>
      </c>
      <c r="W938" s="7"/>
      <c r="X938" s="7"/>
      <c r="Y938" s="7"/>
      <c r="Z938" s="7"/>
      <c r="AA938" s="7"/>
      <c r="AB938" s="7"/>
      <c r="AC938" s="7" t="n">
        <v>0</v>
      </c>
      <c r="AD938" s="7" t="s">
        <v>388</v>
      </c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 t="s">
        <v>440</v>
      </c>
      <c r="BE938" s="7" t="s">
        <v>127</v>
      </c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</row>
    <row r="939" customFormat="false" ht="15" hidden="false" customHeight="false" outlineLevel="0" collapsed="false">
      <c r="A939" s="7" t="s">
        <v>7140</v>
      </c>
      <c r="B939" s="7" t="s">
        <v>7141</v>
      </c>
      <c r="C939" s="7" t="s">
        <v>7142</v>
      </c>
      <c r="D939" s="7" t="s">
        <v>7143</v>
      </c>
      <c r="E939" s="7" t="s">
        <v>101</v>
      </c>
      <c r="F939" s="7" t="s">
        <v>101</v>
      </c>
      <c r="G939" s="7"/>
      <c r="H939" s="7" t="s">
        <v>102</v>
      </c>
      <c r="I939" s="7" t="s">
        <v>158</v>
      </c>
      <c r="J939" s="7" t="s">
        <v>104</v>
      </c>
      <c r="K939" s="7" t="s">
        <v>105</v>
      </c>
      <c r="L939" s="7" t="s">
        <v>353</v>
      </c>
      <c r="M939" s="7"/>
      <c r="N939" s="7" t="s">
        <v>7144</v>
      </c>
      <c r="O939" s="7" t="s">
        <v>7144</v>
      </c>
      <c r="P939" s="7" t="s">
        <v>135</v>
      </c>
      <c r="Q939" s="7"/>
      <c r="R939" s="7" t="s">
        <v>109</v>
      </c>
      <c r="S939" s="7" t="s">
        <v>110</v>
      </c>
      <c r="T939" s="7" t="n">
        <v>0.645</v>
      </c>
      <c r="U939" s="7" t="n">
        <v>1</v>
      </c>
      <c r="V939" s="7" t="s">
        <v>90</v>
      </c>
      <c r="W939" s="7"/>
      <c r="X939" s="7"/>
      <c r="Y939" s="7"/>
      <c r="Z939" s="7"/>
      <c r="AA939" s="7"/>
      <c r="AB939" s="7"/>
      <c r="AC939" s="7" t="n">
        <v>0</v>
      </c>
      <c r="AD939" s="7" t="s">
        <v>388</v>
      </c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 t="s">
        <v>440</v>
      </c>
      <c r="BE939" s="7" t="s">
        <v>127</v>
      </c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</row>
    <row r="940" customFormat="false" ht="15" hidden="false" customHeight="false" outlineLevel="0" collapsed="false">
      <c r="A940" s="7" t="s">
        <v>7145</v>
      </c>
      <c r="B940" s="7" t="s">
        <v>7146</v>
      </c>
      <c r="C940" s="7" t="s">
        <v>7147</v>
      </c>
      <c r="D940" s="7" t="s">
        <v>7148</v>
      </c>
      <c r="E940" s="7" t="s">
        <v>101</v>
      </c>
      <c r="F940" s="7" t="s">
        <v>101</v>
      </c>
      <c r="G940" s="7"/>
      <c r="H940" s="7" t="s">
        <v>102</v>
      </c>
      <c r="I940" s="7" t="s">
        <v>132</v>
      </c>
      <c r="J940" s="7" t="s">
        <v>104</v>
      </c>
      <c r="K940" s="7" t="s">
        <v>105</v>
      </c>
      <c r="L940" s="7" t="s">
        <v>106</v>
      </c>
      <c r="M940" s="7"/>
      <c r="N940" s="7" t="s">
        <v>7149</v>
      </c>
      <c r="O940" s="7" t="s">
        <v>7149</v>
      </c>
      <c r="P940" s="7" t="s">
        <v>135</v>
      </c>
      <c r="Q940" s="7"/>
      <c r="R940" s="7" t="s">
        <v>109</v>
      </c>
      <c r="S940" s="7" t="s">
        <v>110</v>
      </c>
      <c r="T940" s="7" t="n">
        <v>0.296</v>
      </c>
      <c r="U940" s="7" t="n">
        <v>1</v>
      </c>
      <c r="V940" s="7" t="s">
        <v>90</v>
      </c>
      <c r="W940" s="7"/>
      <c r="X940" s="7"/>
      <c r="Y940" s="7" t="s">
        <v>7149</v>
      </c>
      <c r="Z940" s="7"/>
      <c r="AA940" s="7"/>
      <c r="AB940" s="7"/>
      <c r="AC940" s="7" t="n">
        <v>0</v>
      </c>
      <c r="AD940" s="7" t="s">
        <v>388</v>
      </c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 t="s">
        <v>127</v>
      </c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</row>
    <row r="941" customFormat="false" ht="15" hidden="false" customHeight="false" outlineLevel="0" collapsed="false">
      <c r="A941" s="7" t="s">
        <v>7150</v>
      </c>
      <c r="B941" s="7" t="s">
        <v>7151</v>
      </c>
      <c r="C941" s="7" t="s">
        <v>7152</v>
      </c>
      <c r="D941" s="7" t="s">
        <v>7153</v>
      </c>
      <c r="E941" s="7" t="s">
        <v>101</v>
      </c>
      <c r="F941" s="7" t="s">
        <v>101</v>
      </c>
      <c r="G941" s="7"/>
      <c r="H941" s="7" t="s">
        <v>102</v>
      </c>
      <c r="I941" s="7" t="s">
        <v>132</v>
      </c>
      <c r="J941" s="7" t="s">
        <v>104</v>
      </c>
      <c r="K941" s="7" t="s">
        <v>105</v>
      </c>
      <c r="L941" s="7" t="s">
        <v>106</v>
      </c>
      <c r="M941" s="7" t="s">
        <v>7154</v>
      </c>
      <c r="N941" s="7" t="s">
        <v>7155</v>
      </c>
      <c r="O941" s="7" t="s">
        <v>7155</v>
      </c>
      <c r="P941" s="7" t="s">
        <v>135</v>
      </c>
      <c r="Q941" s="7"/>
      <c r="R941" s="7" t="s">
        <v>109</v>
      </c>
      <c r="S941" s="7" t="s">
        <v>110</v>
      </c>
      <c r="T941" s="7" t="n">
        <v>0.279</v>
      </c>
      <c r="U941" s="7" t="n">
        <v>1</v>
      </c>
      <c r="V941" s="7" t="s">
        <v>90</v>
      </c>
      <c r="W941" s="7"/>
      <c r="X941" s="7"/>
      <c r="Y941" s="7" t="s">
        <v>7155</v>
      </c>
      <c r="Z941" s="7"/>
      <c r="AA941" s="7"/>
      <c r="AB941" s="7"/>
      <c r="AC941" s="7" t="n">
        <v>0</v>
      </c>
      <c r="AD941" s="7" t="s">
        <v>388</v>
      </c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 t="s">
        <v>219</v>
      </c>
      <c r="BD941" s="7"/>
      <c r="BE941" s="7" t="s">
        <v>127</v>
      </c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</row>
    <row r="942" customFormat="false" ht="15" hidden="false" customHeight="false" outlineLevel="0" collapsed="false">
      <c r="A942" s="7" t="s">
        <v>7156</v>
      </c>
      <c r="B942" s="7" t="s">
        <v>7157</v>
      </c>
      <c r="C942" s="7" t="s">
        <v>7158</v>
      </c>
      <c r="D942" s="7"/>
      <c r="E942" s="7" t="s">
        <v>101</v>
      </c>
      <c r="F942" s="7" t="s">
        <v>101</v>
      </c>
      <c r="G942" s="7"/>
      <c r="H942" s="7" t="s">
        <v>102</v>
      </c>
      <c r="I942" s="7" t="s">
        <v>132</v>
      </c>
      <c r="J942" s="7" t="s">
        <v>104</v>
      </c>
      <c r="K942" s="7" t="s">
        <v>105</v>
      </c>
      <c r="L942" s="7" t="s">
        <v>106</v>
      </c>
      <c r="M942" s="7" t="s">
        <v>7159</v>
      </c>
      <c r="N942" s="7" t="s">
        <v>7160</v>
      </c>
      <c r="O942" s="7"/>
      <c r="P942" s="7" t="s">
        <v>135</v>
      </c>
      <c r="Q942" s="7"/>
      <c r="R942" s="7" t="s">
        <v>135</v>
      </c>
      <c r="S942" s="7" t="s">
        <v>136</v>
      </c>
      <c r="T942" s="7" t="n">
        <v>0.265</v>
      </c>
      <c r="U942" s="7" t="n">
        <v>1</v>
      </c>
      <c r="V942" s="7" t="s">
        <v>90</v>
      </c>
      <c r="W942" s="7"/>
      <c r="X942" s="7"/>
      <c r="Y942" s="7" t="s">
        <v>7160</v>
      </c>
      <c r="Z942" s="7"/>
      <c r="AA942" s="7"/>
      <c r="AB942" s="7"/>
      <c r="AC942" s="7" t="n">
        <v>0</v>
      </c>
      <c r="AD942" s="7" t="s">
        <v>388</v>
      </c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 t="s">
        <v>219</v>
      </c>
      <c r="BD942" s="7"/>
      <c r="BE942" s="7" t="s">
        <v>127</v>
      </c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</row>
    <row r="943" customFormat="false" ht="15" hidden="false" customHeight="false" outlineLevel="0" collapsed="false">
      <c r="A943" s="7" t="s">
        <v>7161</v>
      </c>
      <c r="B943" s="7" t="s">
        <v>7162</v>
      </c>
      <c r="C943" s="7" t="s">
        <v>7163</v>
      </c>
      <c r="D943" s="7" t="s">
        <v>7164</v>
      </c>
      <c r="E943" s="7" t="s">
        <v>101</v>
      </c>
      <c r="F943" s="7" t="s">
        <v>101</v>
      </c>
      <c r="G943" s="7"/>
      <c r="H943" s="7" t="s">
        <v>102</v>
      </c>
      <c r="I943" s="7" t="s">
        <v>158</v>
      </c>
      <c r="J943" s="7" t="s">
        <v>104</v>
      </c>
      <c r="K943" s="7" t="s">
        <v>105</v>
      </c>
      <c r="L943" s="7" t="s">
        <v>106</v>
      </c>
      <c r="M943" s="7" t="s">
        <v>7165</v>
      </c>
      <c r="N943" s="7" t="s">
        <v>7166</v>
      </c>
      <c r="O943" s="7"/>
      <c r="P943" s="7" t="s">
        <v>135</v>
      </c>
      <c r="Q943" s="7"/>
      <c r="R943" s="7" t="s">
        <v>135</v>
      </c>
      <c r="S943" s="7" t="s">
        <v>136</v>
      </c>
      <c r="T943" s="7" t="n">
        <v>0.309</v>
      </c>
      <c r="U943" s="7" t="n">
        <v>1</v>
      </c>
      <c r="V943" s="7" t="s">
        <v>90</v>
      </c>
      <c r="W943" s="7"/>
      <c r="X943" s="7"/>
      <c r="Y943" s="7" t="s">
        <v>7166</v>
      </c>
      <c r="Z943" s="7"/>
      <c r="AA943" s="7"/>
      <c r="AB943" s="7"/>
      <c r="AC943" s="7" t="n">
        <v>0</v>
      </c>
      <c r="AD943" s="7" t="s">
        <v>388</v>
      </c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 t="s">
        <v>219</v>
      </c>
      <c r="BD943" s="7" t="s">
        <v>7167</v>
      </c>
      <c r="BE943" s="7" t="s">
        <v>127</v>
      </c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</row>
    <row r="944" customFormat="false" ht="15" hidden="false" customHeight="false" outlineLevel="0" collapsed="false">
      <c r="A944" s="7" t="s">
        <v>7168</v>
      </c>
      <c r="B944" s="7" t="s">
        <v>7169</v>
      </c>
      <c r="C944" s="7" t="s">
        <v>7170</v>
      </c>
      <c r="D944" s="7" t="s">
        <v>7171</v>
      </c>
      <c r="E944" s="7" t="s">
        <v>101</v>
      </c>
      <c r="F944" s="7" t="s">
        <v>101</v>
      </c>
      <c r="G944" s="7"/>
      <c r="H944" s="7" t="s">
        <v>102</v>
      </c>
      <c r="I944" s="7" t="s">
        <v>132</v>
      </c>
      <c r="J944" s="7" t="s">
        <v>104</v>
      </c>
      <c r="K944" s="7" t="s">
        <v>105</v>
      </c>
      <c r="L944" s="7" t="s">
        <v>106</v>
      </c>
      <c r="M944" s="7"/>
      <c r="N944" s="7" t="s">
        <v>7172</v>
      </c>
      <c r="O944" s="7" t="s">
        <v>7172</v>
      </c>
      <c r="P944" s="7" t="s">
        <v>135</v>
      </c>
      <c r="Q944" s="7"/>
      <c r="R944" s="7" t="s">
        <v>109</v>
      </c>
      <c r="S944" s="7" t="s">
        <v>110</v>
      </c>
      <c r="T944" s="7" t="n">
        <v>0.313</v>
      </c>
      <c r="U944" s="7" t="n">
        <v>1</v>
      </c>
      <c r="V944" s="7" t="s">
        <v>90</v>
      </c>
      <c r="W944" s="7"/>
      <c r="X944" s="7"/>
      <c r="Y944" s="7" t="s">
        <v>7172</v>
      </c>
      <c r="Z944" s="7"/>
      <c r="AA944" s="7"/>
      <c r="AB944" s="7"/>
      <c r="AC944" s="7" t="n">
        <v>0</v>
      </c>
      <c r="AD944" s="7" t="s">
        <v>388</v>
      </c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 t="s">
        <v>127</v>
      </c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</row>
    <row r="945" customFormat="false" ht="15" hidden="false" customHeight="false" outlineLevel="0" collapsed="false">
      <c r="A945" s="7" t="s">
        <v>7173</v>
      </c>
      <c r="B945" s="7" t="s">
        <v>7174</v>
      </c>
      <c r="C945" s="7" t="s">
        <v>7175</v>
      </c>
      <c r="D945" s="7" t="s">
        <v>7176</v>
      </c>
      <c r="E945" s="7" t="s">
        <v>101</v>
      </c>
      <c r="F945" s="7" t="s">
        <v>101</v>
      </c>
      <c r="G945" s="7"/>
      <c r="H945" s="7" t="s">
        <v>102</v>
      </c>
      <c r="I945" s="7" t="s">
        <v>208</v>
      </c>
      <c r="J945" s="7" t="s">
        <v>104</v>
      </c>
      <c r="K945" s="7" t="s">
        <v>105</v>
      </c>
      <c r="L945" s="7" t="s">
        <v>106</v>
      </c>
      <c r="M945" s="7" t="s">
        <v>7177</v>
      </c>
      <c r="N945" s="7" t="s">
        <v>7178</v>
      </c>
      <c r="O945" s="7"/>
      <c r="P945" s="7" t="s">
        <v>135</v>
      </c>
      <c r="Q945" s="7"/>
      <c r="R945" s="7" t="s">
        <v>135</v>
      </c>
      <c r="S945" s="7" t="s">
        <v>136</v>
      </c>
      <c r="T945" s="7" t="n">
        <v>0.348</v>
      </c>
      <c r="U945" s="7" t="n">
        <v>1</v>
      </c>
      <c r="V945" s="7" t="s">
        <v>90</v>
      </c>
      <c r="W945" s="7"/>
      <c r="X945" s="7"/>
      <c r="Y945" s="7" t="s">
        <v>7178</v>
      </c>
      <c r="Z945" s="7"/>
      <c r="AA945" s="7"/>
      <c r="AB945" s="7"/>
      <c r="AC945" s="7" t="n">
        <v>0</v>
      </c>
      <c r="AD945" s="7" t="s">
        <v>388</v>
      </c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 t="s">
        <v>219</v>
      </c>
      <c r="BD945" s="7"/>
      <c r="BE945" s="7" t="s">
        <v>127</v>
      </c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</row>
    <row r="946" customFormat="false" ht="15" hidden="false" customHeight="false" outlineLevel="0" collapsed="false">
      <c r="A946" s="7" t="s">
        <v>7179</v>
      </c>
      <c r="B946" s="7" t="s">
        <v>7180</v>
      </c>
      <c r="C946" s="7" t="s">
        <v>7181</v>
      </c>
      <c r="D946" s="7"/>
      <c r="E946" s="7" t="s">
        <v>101</v>
      </c>
      <c r="F946" s="7" t="s">
        <v>101</v>
      </c>
      <c r="G946" s="7"/>
      <c r="H946" s="7" t="s">
        <v>102</v>
      </c>
      <c r="I946" s="7" t="s">
        <v>132</v>
      </c>
      <c r="J946" s="7" t="s">
        <v>104</v>
      </c>
      <c r="K946" s="7" t="s">
        <v>105</v>
      </c>
      <c r="L946" s="7" t="s">
        <v>106</v>
      </c>
      <c r="M946" s="7" t="s">
        <v>7182</v>
      </c>
      <c r="N946" s="7" t="s">
        <v>7183</v>
      </c>
      <c r="O946" s="7"/>
      <c r="P946" s="7" t="s">
        <v>135</v>
      </c>
      <c r="Q946" s="7"/>
      <c r="R946" s="7" t="s">
        <v>135</v>
      </c>
      <c r="S946" s="7" t="s">
        <v>136</v>
      </c>
      <c r="T946" s="7" t="n">
        <v>0.177</v>
      </c>
      <c r="U946" s="7" t="n">
        <v>1</v>
      </c>
      <c r="V946" s="7" t="s">
        <v>90</v>
      </c>
      <c r="W946" s="7"/>
      <c r="X946" s="7"/>
      <c r="Y946" s="7" t="s">
        <v>7183</v>
      </c>
      <c r="Z946" s="7"/>
      <c r="AA946" s="7"/>
      <c r="AB946" s="7"/>
      <c r="AC946" s="7" t="n">
        <v>0</v>
      </c>
      <c r="AD946" s="7" t="s">
        <v>388</v>
      </c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 t="s">
        <v>219</v>
      </c>
      <c r="BD946" s="7"/>
      <c r="BE946" s="7" t="s">
        <v>127</v>
      </c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</row>
    <row r="947" customFormat="false" ht="15" hidden="false" customHeight="false" outlineLevel="0" collapsed="false">
      <c r="A947" s="7" t="s">
        <v>7184</v>
      </c>
      <c r="B947" s="7" t="s">
        <v>7185</v>
      </c>
      <c r="C947" s="7" t="s">
        <v>7186</v>
      </c>
      <c r="D947" s="7" t="s">
        <v>7187</v>
      </c>
      <c r="E947" s="7" t="s">
        <v>101</v>
      </c>
      <c r="F947" s="7" t="s">
        <v>101</v>
      </c>
      <c r="G947" s="7"/>
      <c r="H947" s="7" t="s">
        <v>102</v>
      </c>
      <c r="I947" s="7" t="s">
        <v>1726</v>
      </c>
      <c r="J947" s="7" t="s">
        <v>104</v>
      </c>
      <c r="K947" s="7" t="s">
        <v>105</v>
      </c>
      <c r="L947" s="7" t="s">
        <v>1447</v>
      </c>
      <c r="M947" s="7" t="s">
        <v>7188</v>
      </c>
      <c r="N947" s="7" t="s">
        <v>7189</v>
      </c>
      <c r="O947" s="7" t="s">
        <v>7189</v>
      </c>
      <c r="P947" s="7" t="s">
        <v>135</v>
      </c>
      <c r="Q947" s="7"/>
      <c r="R947" s="7" t="s">
        <v>109</v>
      </c>
      <c r="S947" s="7" t="s">
        <v>110</v>
      </c>
      <c r="T947" s="7" t="n">
        <v>0.132</v>
      </c>
      <c r="U947" s="7" t="n">
        <v>1</v>
      </c>
      <c r="V947" s="7" t="s">
        <v>90</v>
      </c>
      <c r="W947" s="7"/>
      <c r="X947" s="7"/>
      <c r="Y947" s="7" t="s">
        <v>7189</v>
      </c>
      <c r="Z947" s="7"/>
      <c r="AA947" s="7"/>
      <c r="AB947" s="7"/>
      <c r="AC947" s="7" t="n">
        <v>0</v>
      </c>
      <c r="AD947" s="7" t="s">
        <v>388</v>
      </c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 t="s">
        <v>219</v>
      </c>
      <c r="BD947" s="7"/>
      <c r="BE947" s="7" t="s">
        <v>127</v>
      </c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</row>
    <row r="948" customFormat="false" ht="15" hidden="false" customHeight="false" outlineLevel="0" collapsed="false">
      <c r="A948" s="7" t="s">
        <v>7190</v>
      </c>
      <c r="B948" s="7" t="s">
        <v>7191</v>
      </c>
      <c r="C948" s="7" t="s">
        <v>7192</v>
      </c>
      <c r="D948" s="7" t="s">
        <v>7193</v>
      </c>
      <c r="E948" s="7" t="s">
        <v>101</v>
      </c>
      <c r="F948" s="7" t="s">
        <v>101</v>
      </c>
      <c r="G948" s="7"/>
      <c r="H948" s="7" t="s">
        <v>102</v>
      </c>
      <c r="I948" s="7" t="s">
        <v>132</v>
      </c>
      <c r="J948" s="7" t="s">
        <v>104</v>
      </c>
      <c r="K948" s="7" t="s">
        <v>105</v>
      </c>
      <c r="L948" s="7" t="s">
        <v>106</v>
      </c>
      <c r="M948" s="7"/>
      <c r="N948" s="7" t="s">
        <v>7194</v>
      </c>
      <c r="O948" s="7"/>
      <c r="P948" s="7" t="s">
        <v>135</v>
      </c>
      <c r="Q948" s="7"/>
      <c r="R948" s="7"/>
      <c r="S948" s="7"/>
      <c r="T948" s="7" t="n">
        <v>0.321</v>
      </c>
      <c r="U948" s="7" t="n">
        <v>1</v>
      </c>
      <c r="V948" s="7" t="s">
        <v>90</v>
      </c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 t="s">
        <v>127</v>
      </c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</row>
    <row r="949" customFormat="false" ht="15" hidden="false" customHeight="false" outlineLevel="0" collapsed="false">
      <c r="A949" s="7" t="s">
        <v>7195</v>
      </c>
      <c r="B949" s="7" t="s">
        <v>7196</v>
      </c>
      <c r="C949" s="7" t="s">
        <v>7197</v>
      </c>
      <c r="D949" s="7" t="s">
        <v>7198</v>
      </c>
      <c r="E949" s="7" t="s">
        <v>101</v>
      </c>
      <c r="F949" s="7" t="s">
        <v>101</v>
      </c>
      <c r="G949" s="7"/>
      <c r="H949" s="7" t="s">
        <v>102</v>
      </c>
      <c r="I949" s="7" t="s">
        <v>208</v>
      </c>
      <c r="J949" s="7" t="s">
        <v>104</v>
      </c>
      <c r="K949" s="7" t="s">
        <v>105</v>
      </c>
      <c r="L949" s="7" t="s">
        <v>106</v>
      </c>
      <c r="M949" s="7"/>
      <c r="N949" s="7" t="s">
        <v>7199</v>
      </c>
      <c r="O949" s="7"/>
      <c r="P949" s="7" t="s">
        <v>135</v>
      </c>
      <c r="Q949" s="7"/>
      <c r="R949" s="7" t="s">
        <v>135</v>
      </c>
      <c r="S949" s="7" t="s">
        <v>136</v>
      </c>
      <c r="T949" s="7" t="n">
        <v>0.236</v>
      </c>
      <c r="U949" s="7" t="n">
        <v>1</v>
      </c>
      <c r="V949" s="7" t="s">
        <v>90</v>
      </c>
      <c r="W949" s="7"/>
      <c r="X949" s="7"/>
      <c r="Y949" s="7" t="s">
        <v>7199</v>
      </c>
      <c r="Z949" s="7"/>
      <c r="AA949" s="7"/>
      <c r="AB949" s="7"/>
      <c r="AC949" s="7" t="n">
        <v>0</v>
      </c>
      <c r="AD949" s="7" t="s">
        <v>388</v>
      </c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 t="s">
        <v>127</v>
      </c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</row>
    <row r="950" customFormat="false" ht="15" hidden="false" customHeight="false" outlineLevel="0" collapsed="false">
      <c r="A950" s="7" t="s">
        <v>7200</v>
      </c>
      <c r="B950" s="7" t="s">
        <v>7201</v>
      </c>
      <c r="C950" s="7" t="s">
        <v>7202</v>
      </c>
      <c r="D950" s="7" t="s">
        <v>7044</v>
      </c>
      <c r="E950" s="7" t="s">
        <v>101</v>
      </c>
      <c r="F950" s="7" t="s">
        <v>101</v>
      </c>
      <c r="G950" s="7"/>
      <c r="H950" s="7" t="s">
        <v>102</v>
      </c>
      <c r="I950" s="7" t="s">
        <v>132</v>
      </c>
      <c r="J950" s="7" t="s">
        <v>104</v>
      </c>
      <c r="K950" s="7" t="s">
        <v>105</v>
      </c>
      <c r="L950" s="7" t="s">
        <v>106</v>
      </c>
      <c r="M950" s="7" t="s">
        <v>7203</v>
      </c>
      <c r="N950" s="7" t="s">
        <v>7204</v>
      </c>
      <c r="O950" s="7"/>
      <c r="P950" s="7" t="s">
        <v>135</v>
      </c>
      <c r="Q950" s="7"/>
      <c r="R950" s="7" t="s">
        <v>135</v>
      </c>
      <c r="S950" s="7" t="s">
        <v>136</v>
      </c>
      <c r="T950" s="7" t="n">
        <v>0.764</v>
      </c>
      <c r="U950" s="7" t="n">
        <v>1</v>
      </c>
      <c r="V950" s="7" t="s">
        <v>90</v>
      </c>
      <c r="W950" s="7" t="s">
        <v>186</v>
      </c>
      <c r="X950" s="7" t="s">
        <v>7205</v>
      </c>
      <c r="Y950" s="7" t="s">
        <v>7204</v>
      </c>
      <c r="Z950" s="7" t="s">
        <v>7206</v>
      </c>
      <c r="AA950" s="7"/>
      <c r="AB950" s="7"/>
      <c r="AC950" s="7" t="n">
        <v>0</v>
      </c>
      <c r="AD950" s="7" t="s">
        <v>388</v>
      </c>
      <c r="AE950" s="7" t="s">
        <v>777</v>
      </c>
      <c r="AF950" s="7" t="s">
        <v>7207</v>
      </c>
      <c r="AG950" s="7" t="s">
        <v>777</v>
      </c>
      <c r="AH950" s="7" t="s">
        <v>7208</v>
      </c>
      <c r="AI950" s="7" t="s">
        <v>777</v>
      </c>
      <c r="AJ950" s="7" t="s">
        <v>7209</v>
      </c>
      <c r="AK950" s="7" t="s">
        <v>777</v>
      </c>
      <c r="AL950" s="7" t="s">
        <v>7210</v>
      </c>
      <c r="AM950" s="7" t="s">
        <v>777</v>
      </c>
      <c r="AN950" s="7" t="s">
        <v>7211</v>
      </c>
      <c r="AO950" s="7" t="s">
        <v>777</v>
      </c>
      <c r="AP950" s="7" t="s">
        <v>7212</v>
      </c>
      <c r="AQ950" s="7" t="s">
        <v>777</v>
      </c>
      <c r="AR950" s="7" t="s">
        <v>7213</v>
      </c>
      <c r="AS950" s="7" t="s">
        <v>777</v>
      </c>
      <c r="AT950" s="7" t="s">
        <v>4219</v>
      </c>
      <c r="AU950" s="7" t="s">
        <v>777</v>
      </c>
      <c r="AV950" s="7" t="s">
        <v>7214</v>
      </c>
      <c r="AW950" s="7" t="s">
        <v>777</v>
      </c>
      <c r="AX950" s="7" t="s">
        <v>145</v>
      </c>
      <c r="AY950" s="7" t="s">
        <v>777</v>
      </c>
      <c r="AZ950" s="7" t="s">
        <v>145</v>
      </c>
      <c r="BA950" s="7" t="s">
        <v>777</v>
      </c>
      <c r="BB950" s="7" t="s">
        <v>7215</v>
      </c>
      <c r="BC950" s="7" t="s">
        <v>413</v>
      </c>
      <c r="BD950" s="7" t="s">
        <v>7046</v>
      </c>
      <c r="BE950" s="7" t="s">
        <v>127</v>
      </c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</row>
    <row r="951" customFormat="false" ht="15" hidden="false" customHeight="false" outlineLevel="0" collapsed="false">
      <c r="A951" s="7" t="s">
        <v>7216</v>
      </c>
      <c r="B951" s="7" t="s">
        <v>7217</v>
      </c>
      <c r="C951" s="7" t="s">
        <v>7218</v>
      </c>
      <c r="D951" s="7" t="s">
        <v>7219</v>
      </c>
      <c r="E951" s="7" t="s">
        <v>101</v>
      </c>
      <c r="F951" s="7" t="s">
        <v>101</v>
      </c>
      <c r="G951" s="7"/>
      <c r="H951" s="7" t="s">
        <v>102</v>
      </c>
      <c r="I951" s="7" t="s">
        <v>158</v>
      </c>
      <c r="J951" s="7" t="s">
        <v>104</v>
      </c>
      <c r="K951" s="7" t="s">
        <v>105</v>
      </c>
      <c r="L951" s="7" t="s">
        <v>106</v>
      </c>
      <c r="M951" s="7"/>
      <c r="N951" s="7" t="s">
        <v>7220</v>
      </c>
      <c r="O951" s="7" t="s">
        <v>7220</v>
      </c>
      <c r="P951" s="7" t="s">
        <v>135</v>
      </c>
      <c r="Q951" s="7"/>
      <c r="R951" s="7" t="s">
        <v>109</v>
      </c>
      <c r="S951" s="7" t="s">
        <v>110</v>
      </c>
      <c r="T951" s="7" t="n">
        <v>0.704</v>
      </c>
      <c r="U951" s="7" t="n">
        <v>1</v>
      </c>
      <c r="V951" s="7" t="s">
        <v>90</v>
      </c>
      <c r="W951" s="7"/>
      <c r="X951" s="7"/>
      <c r="Y951" s="7"/>
      <c r="Z951" s="7"/>
      <c r="AA951" s="7"/>
      <c r="AB951" s="7"/>
      <c r="AC951" s="7" t="n">
        <v>0</v>
      </c>
      <c r="AD951" s="7" t="s">
        <v>388</v>
      </c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 t="s">
        <v>440</v>
      </c>
      <c r="BE951" s="7" t="s">
        <v>127</v>
      </c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</row>
    <row r="952" customFormat="false" ht="15" hidden="false" customHeight="false" outlineLevel="0" collapsed="false">
      <c r="A952" s="7" t="s">
        <v>7221</v>
      </c>
      <c r="B952" s="7" t="s">
        <v>7222</v>
      </c>
      <c r="C952" s="7" t="s">
        <v>7223</v>
      </c>
      <c r="D952" s="7" t="s">
        <v>7224</v>
      </c>
      <c r="E952" s="7" t="s">
        <v>101</v>
      </c>
      <c r="F952" s="7" t="s">
        <v>82</v>
      </c>
      <c r="G952" s="7" t="s">
        <v>7225</v>
      </c>
      <c r="H952" s="7" t="s">
        <v>102</v>
      </c>
      <c r="I952" s="7" t="s">
        <v>208</v>
      </c>
      <c r="J952" s="7" t="s">
        <v>104</v>
      </c>
      <c r="K952" s="7" t="s">
        <v>105</v>
      </c>
      <c r="L952" s="7" t="s">
        <v>106</v>
      </c>
      <c r="M952" s="7"/>
      <c r="N952" s="7" t="s">
        <v>7226</v>
      </c>
      <c r="O952" s="7" t="s">
        <v>7226</v>
      </c>
      <c r="P952" s="7" t="s">
        <v>135</v>
      </c>
      <c r="Q952" s="7"/>
      <c r="R952" s="7" t="s">
        <v>109</v>
      </c>
      <c r="S952" s="7" t="s">
        <v>110</v>
      </c>
      <c r="T952" s="7" t="n">
        <v>0.196</v>
      </c>
      <c r="U952" s="7" t="n">
        <v>1</v>
      </c>
      <c r="V952" s="7" t="s">
        <v>90</v>
      </c>
      <c r="W952" s="7"/>
      <c r="X952" s="7"/>
      <c r="Y952" s="7" t="s">
        <v>7226</v>
      </c>
      <c r="Z952" s="7"/>
      <c r="AA952" s="7"/>
      <c r="AB952" s="7"/>
      <c r="AC952" s="7" t="n">
        <v>0</v>
      </c>
      <c r="AD952" s="7" t="s">
        <v>388</v>
      </c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 t="s">
        <v>220</v>
      </c>
      <c r="BE952" s="7" t="s">
        <v>127</v>
      </c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</row>
    <row r="953" customFormat="false" ht="15" hidden="false" customHeight="false" outlineLevel="0" collapsed="false">
      <c r="A953" s="7" t="s">
        <v>7227</v>
      </c>
      <c r="B953" s="7" t="s">
        <v>7228</v>
      </c>
      <c r="C953" s="7" t="s">
        <v>7229</v>
      </c>
      <c r="D953" s="7"/>
      <c r="E953" s="7" t="s">
        <v>101</v>
      </c>
      <c r="F953" s="7" t="s">
        <v>82</v>
      </c>
      <c r="G953" s="7"/>
      <c r="H953" s="7" t="s">
        <v>102</v>
      </c>
      <c r="I953" s="7" t="s">
        <v>132</v>
      </c>
      <c r="J953" s="7" t="s">
        <v>104</v>
      </c>
      <c r="K953" s="7" t="s">
        <v>105</v>
      </c>
      <c r="L953" s="7" t="s">
        <v>106</v>
      </c>
      <c r="M953" s="7"/>
      <c r="N953" s="7" t="s">
        <v>7230</v>
      </c>
      <c r="O953" s="7" t="s">
        <v>7230</v>
      </c>
      <c r="P953" s="7" t="s">
        <v>135</v>
      </c>
      <c r="Q953" s="7"/>
      <c r="R953" s="7" t="s">
        <v>109</v>
      </c>
      <c r="S953" s="7" t="s">
        <v>110</v>
      </c>
      <c r="T953" s="7" t="n">
        <v>0.146</v>
      </c>
      <c r="U953" s="7" t="n">
        <v>1</v>
      </c>
      <c r="V953" s="7" t="s">
        <v>90</v>
      </c>
      <c r="W953" s="7"/>
      <c r="X953" s="7"/>
      <c r="Y953" s="7" t="s">
        <v>7230</v>
      </c>
      <c r="Z953" s="7"/>
      <c r="AA953" s="7"/>
      <c r="AB953" s="7"/>
      <c r="AC953" s="7" t="n">
        <v>0</v>
      </c>
      <c r="AD953" s="7" t="s">
        <v>388</v>
      </c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 t="s">
        <v>220</v>
      </c>
      <c r="BE953" s="7" t="s">
        <v>127</v>
      </c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</row>
    <row r="954" customFormat="false" ht="15" hidden="false" customHeight="false" outlineLevel="0" collapsed="false">
      <c r="A954" s="7" t="s">
        <v>7231</v>
      </c>
      <c r="B954" s="7" t="s">
        <v>7232</v>
      </c>
      <c r="C954" s="7" t="s">
        <v>7233</v>
      </c>
      <c r="D954" s="7"/>
      <c r="E954" s="7" t="s">
        <v>101</v>
      </c>
      <c r="F954" s="7" t="s">
        <v>82</v>
      </c>
      <c r="G954" s="7"/>
      <c r="H954" s="7" t="s">
        <v>102</v>
      </c>
      <c r="I954" s="7" t="s">
        <v>132</v>
      </c>
      <c r="J954" s="7" t="s">
        <v>104</v>
      </c>
      <c r="K954" s="7" t="s">
        <v>105</v>
      </c>
      <c r="L954" s="7" t="s">
        <v>106</v>
      </c>
      <c r="M954" s="7"/>
      <c r="N954" s="7" t="s">
        <v>7234</v>
      </c>
      <c r="O954" s="7" t="s">
        <v>7234</v>
      </c>
      <c r="P954" s="7" t="s">
        <v>135</v>
      </c>
      <c r="Q954" s="7"/>
      <c r="R954" s="7" t="s">
        <v>109</v>
      </c>
      <c r="S954" s="7" t="s">
        <v>110</v>
      </c>
      <c r="T954" s="7" t="n">
        <v>0.734</v>
      </c>
      <c r="U954" s="7" t="n">
        <v>1</v>
      </c>
      <c r="V954" s="7" t="s">
        <v>90</v>
      </c>
      <c r="W954" s="7"/>
      <c r="X954" s="7"/>
      <c r="Y954" s="7" t="s">
        <v>7234</v>
      </c>
      <c r="Z954" s="7"/>
      <c r="AA954" s="7"/>
      <c r="AB954" s="7"/>
      <c r="AC954" s="7" t="n">
        <v>4</v>
      </c>
      <c r="AD954" s="7" t="s">
        <v>1376</v>
      </c>
      <c r="AE954" s="7" t="s">
        <v>744</v>
      </c>
      <c r="AF954" s="7" t="s">
        <v>7235</v>
      </c>
      <c r="AG954" s="7"/>
      <c r="AH954" s="7"/>
      <c r="AI954" s="7"/>
      <c r="AJ954" s="7"/>
      <c r="AK954" s="7"/>
      <c r="AL954" s="7"/>
      <c r="AM954" s="7"/>
      <c r="AN954" s="7"/>
      <c r="AO954" s="7" t="s">
        <v>744</v>
      </c>
      <c r="AP954" s="7" t="s">
        <v>7236</v>
      </c>
      <c r="AQ954" s="7" t="s">
        <v>744</v>
      </c>
      <c r="AR954" s="7" t="s">
        <v>82</v>
      </c>
      <c r="AS954" s="7"/>
      <c r="AT954" s="7"/>
      <c r="AU954" s="7"/>
      <c r="AV954" s="7"/>
      <c r="AW954" s="7" t="s">
        <v>744</v>
      </c>
      <c r="AX954" s="7" t="s">
        <v>7234</v>
      </c>
      <c r="AY954" s="7"/>
      <c r="AZ954" s="7"/>
      <c r="BA954" s="7"/>
      <c r="BB954" s="7"/>
      <c r="BC954" s="7"/>
      <c r="BD954" s="7" t="s">
        <v>220</v>
      </c>
      <c r="BE954" s="7" t="s">
        <v>127</v>
      </c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</row>
    <row r="955" customFormat="false" ht="15" hidden="false" customHeight="false" outlineLevel="0" collapsed="false">
      <c r="A955" s="7" t="s">
        <v>7237</v>
      </c>
      <c r="B955" s="7" t="s">
        <v>7238</v>
      </c>
      <c r="C955" s="7" t="s">
        <v>7239</v>
      </c>
      <c r="D955" s="7" t="s">
        <v>7240</v>
      </c>
      <c r="E955" s="7" t="s">
        <v>101</v>
      </c>
      <c r="F955" s="7" t="s">
        <v>82</v>
      </c>
      <c r="G955" s="7" t="s">
        <v>7241</v>
      </c>
      <c r="H955" s="7" t="s">
        <v>102</v>
      </c>
      <c r="I955" s="7" t="s">
        <v>158</v>
      </c>
      <c r="J955" s="7" t="s">
        <v>104</v>
      </c>
      <c r="K955" s="7" t="s">
        <v>105</v>
      </c>
      <c r="L955" s="7" t="s">
        <v>106</v>
      </c>
      <c r="M955" s="7"/>
      <c r="N955" s="7" t="s">
        <v>7242</v>
      </c>
      <c r="O955" s="7" t="s">
        <v>7242</v>
      </c>
      <c r="P955" s="7" t="s">
        <v>135</v>
      </c>
      <c r="Q955" s="7"/>
      <c r="R955" s="7" t="s">
        <v>109</v>
      </c>
      <c r="S955" s="7" t="s">
        <v>110</v>
      </c>
      <c r="T955" s="7" t="n">
        <v>0.346</v>
      </c>
      <c r="U955" s="7" t="n">
        <v>1</v>
      </c>
      <c r="V955" s="7" t="s">
        <v>90</v>
      </c>
      <c r="W955" s="7"/>
      <c r="X955" s="7"/>
      <c r="Y955" s="7" t="s">
        <v>7242</v>
      </c>
      <c r="Z955" s="7"/>
      <c r="AA955" s="7"/>
      <c r="AB955" s="7"/>
      <c r="AC955" s="7" t="n">
        <v>0</v>
      </c>
      <c r="AD955" s="7" t="s">
        <v>388</v>
      </c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 t="s">
        <v>220</v>
      </c>
      <c r="BE955" s="7" t="s">
        <v>127</v>
      </c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</row>
    <row r="956" customFormat="false" ht="15" hidden="false" customHeight="false" outlineLevel="0" collapsed="false">
      <c r="A956" s="7" t="s">
        <v>7243</v>
      </c>
      <c r="B956" s="7" t="s">
        <v>7244</v>
      </c>
      <c r="C956" s="7" t="s">
        <v>7245</v>
      </c>
      <c r="D956" s="7" t="s">
        <v>7246</v>
      </c>
      <c r="E956" s="7" t="s">
        <v>101</v>
      </c>
      <c r="F956" s="7" t="s">
        <v>101</v>
      </c>
      <c r="G956" s="7"/>
      <c r="H956" s="7" t="s">
        <v>102</v>
      </c>
      <c r="I956" s="7" t="s">
        <v>158</v>
      </c>
      <c r="J956" s="7" t="s">
        <v>104</v>
      </c>
      <c r="K956" s="7" t="s">
        <v>105</v>
      </c>
      <c r="L956" s="7" t="s">
        <v>353</v>
      </c>
      <c r="M956" s="7" t="s">
        <v>7247</v>
      </c>
      <c r="N956" s="7" t="s">
        <v>7248</v>
      </c>
      <c r="O956" s="7"/>
      <c r="P956" s="7" t="s">
        <v>135</v>
      </c>
      <c r="Q956" s="7"/>
      <c r="R956" s="7"/>
      <c r="S956" s="7"/>
      <c r="T956" s="7" t="n">
        <v>0.355</v>
      </c>
      <c r="U956" s="7" t="n">
        <v>1</v>
      </c>
      <c r="V956" s="7" t="s">
        <v>90</v>
      </c>
      <c r="W956" s="7" t="s">
        <v>7249</v>
      </c>
      <c r="X956" s="7" t="s">
        <v>2825</v>
      </c>
      <c r="Y956" s="7" t="s">
        <v>7248</v>
      </c>
      <c r="Z956" s="7" t="s">
        <v>7250</v>
      </c>
      <c r="AA956" s="7"/>
      <c r="AB956" s="7"/>
      <c r="AC956" s="7"/>
      <c r="AD956" s="7"/>
      <c r="AE956" s="7" t="s">
        <v>1848</v>
      </c>
      <c r="AF956" s="7" t="s">
        <v>7251</v>
      </c>
      <c r="AG956" s="7" t="s">
        <v>1848</v>
      </c>
      <c r="AH956" s="7" t="s">
        <v>7252</v>
      </c>
      <c r="AI956" s="7"/>
      <c r="AJ956" s="7"/>
      <c r="AK956" s="7"/>
      <c r="AL956" s="7"/>
      <c r="AM956" s="7" t="s">
        <v>1848</v>
      </c>
      <c r="AN956" s="7" t="s">
        <v>7253</v>
      </c>
      <c r="AO956" s="7" t="s">
        <v>1848</v>
      </c>
      <c r="AP956" s="7" t="s">
        <v>7254</v>
      </c>
      <c r="AQ956" s="7" t="s">
        <v>1848</v>
      </c>
      <c r="AR956" s="7" t="s">
        <v>7255</v>
      </c>
      <c r="AS956" s="7" t="s">
        <v>1848</v>
      </c>
      <c r="AT956" s="7" t="s">
        <v>216</v>
      </c>
      <c r="AU956" s="7"/>
      <c r="AV956" s="7"/>
      <c r="AW956" s="7"/>
      <c r="AX956" s="7"/>
      <c r="AY956" s="7"/>
      <c r="AZ956" s="7"/>
      <c r="BA956" s="7" t="s">
        <v>1848</v>
      </c>
      <c r="BB956" s="7" t="s">
        <v>6633</v>
      </c>
      <c r="BC956" s="7" t="s">
        <v>413</v>
      </c>
      <c r="BD956" s="7" t="s">
        <v>440</v>
      </c>
      <c r="BE956" s="7" t="s">
        <v>127</v>
      </c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</row>
    <row r="957" customFormat="false" ht="15" hidden="false" customHeight="false" outlineLevel="0" collapsed="false">
      <c r="A957" s="7" t="s">
        <v>7256</v>
      </c>
      <c r="B957" s="7" t="s">
        <v>7257</v>
      </c>
      <c r="C957" s="7" t="s">
        <v>7258</v>
      </c>
      <c r="D957" s="7" t="s">
        <v>7259</v>
      </c>
      <c r="E957" s="7" t="s">
        <v>101</v>
      </c>
      <c r="F957" s="7" t="s">
        <v>101</v>
      </c>
      <c r="G957" s="7"/>
      <c r="H957" s="7" t="s">
        <v>102</v>
      </c>
      <c r="I957" s="7" t="s">
        <v>132</v>
      </c>
      <c r="J957" s="7" t="s">
        <v>104</v>
      </c>
      <c r="K957" s="7" t="s">
        <v>105</v>
      </c>
      <c r="L957" s="7" t="s">
        <v>106</v>
      </c>
      <c r="M957" s="7" t="s">
        <v>209</v>
      </c>
      <c r="N957" s="7" t="s">
        <v>7260</v>
      </c>
      <c r="O957" s="7"/>
      <c r="P957" s="7" t="s">
        <v>135</v>
      </c>
      <c r="Q957" s="7"/>
      <c r="R957" s="7" t="s">
        <v>135</v>
      </c>
      <c r="S957" s="7" t="s">
        <v>136</v>
      </c>
      <c r="T957" s="7" t="n">
        <v>0.369</v>
      </c>
      <c r="U957" s="7" t="n">
        <v>1</v>
      </c>
      <c r="V957" s="7" t="s">
        <v>90</v>
      </c>
      <c r="W957" s="7"/>
      <c r="X957" s="7"/>
      <c r="Y957" s="7" t="s">
        <v>7260</v>
      </c>
      <c r="Z957" s="7"/>
      <c r="AA957" s="7"/>
      <c r="AB957" s="7"/>
      <c r="AC957" s="7" t="n">
        <v>0</v>
      </c>
      <c r="AD957" s="7" t="s">
        <v>388</v>
      </c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 t="s">
        <v>219</v>
      </c>
      <c r="BD957" s="7"/>
      <c r="BE957" s="7" t="s">
        <v>127</v>
      </c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</row>
    <row r="958" customFormat="false" ht="15" hidden="false" customHeight="false" outlineLevel="0" collapsed="false">
      <c r="A958" s="7" t="s">
        <v>7261</v>
      </c>
      <c r="B958" s="7" t="s">
        <v>7262</v>
      </c>
      <c r="C958" s="7" t="s">
        <v>7263</v>
      </c>
      <c r="D958" s="7"/>
      <c r="E958" s="7" t="s">
        <v>101</v>
      </c>
      <c r="F958" s="7" t="s">
        <v>101</v>
      </c>
      <c r="G958" s="7"/>
      <c r="H958" s="7" t="s">
        <v>102</v>
      </c>
      <c r="I958" s="7" t="s">
        <v>132</v>
      </c>
      <c r="J958" s="7" t="s">
        <v>104</v>
      </c>
      <c r="K958" s="7" t="s">
        <v>105</v>
      </c>
      <c r="L958" s="7" t="s">
        <v>106</v>
      </c>
      <c r="M958" s="7" t="s">
        <v>7264</v>
      </c>
      <c r="N958" s="7" t="s">
        <v>7265</v>
      </c>
      <c r="O958" s="7" t="s">
        <v>7265</v>
      </c>
      <c r="P958" s="7" t="s">
        <v>135</v>
      </c>
      <c r="Q958" s="7"/>
      <c r="R958" s="7" t="s">
        <v>109</v>
      </c>
      <c r="S958" s="7" t="s">
        <v>110</v>
      </c>
      <c r="T958" s="7" t="n">
        <v>0.226</v>
      </c>
      <c r="U958" s="7" t="n">
        <v>1</v>
      </c>
      <c r="V958" s="7" t="s">
        <v>90</v>
      </c>
      <c r="W958" s="7"/>
      <c r="X958" s="7"/>
      <c r="Y958" s="7" t="s">
        <v>7265</v>
      </c>
      <c r="Z958" s="7"/>
      <c r="AA958" s="7"/>
      <c r="AB958" s="7"/>
      <c r="AC958" s="7" t="n">
        <v>5</v>
      </c>
      <c r="AD958" s="7" t="s">
        <v>7266</v>
      </c>
      <c r="AE958" s="7"/>
      <c r="AF958" s="7"/>
      <c r="AG958" s="7"/>
      <c r="AH958" s="7"/>
      <c r="AI958" s="7" t="s">
        <v>7267</v>
      </c>
      <c r="AJ958" s="7" t="s">
        <v>7268</v>
      </c>
      <c r="AK958" s="7" t="s">
        <v>7267</v>
      </c>
      <c r="AL958" s="7" t="s">
        <v>7269</v>
      </c>
      <c r="AM958" s="7" t="s">
        <v>7267</v>
      </c>
      <c r="AN958" s="7" t="s">
        <v>7270</v>
      </c>
      <c r="AO958" s="7"/>
      <c r="AP958" s="7"/>
      <c r="AQ958" s="7"/>
      <c r="AR958" s="7"/>
      <c r="AS958" s="7"/>
      <c r="AT958" s="7"/>
      <c r="AU958" s="7"/>
      <c r="AV958" s="7"/>
      <c r="AW958" s="7" t="s">
        <v>7267</v>
      </c>
      <c r="AX958" s="7" t="s">
        <v>7271</v>
      </c>
      <c r="AY958" s="7" t="s">
        <v>7267</v>
      </c>
      <c r="AZ958" s="7" t="s">
        <v>7272</v>
      </c>
      <c r="BA958" s="7"/>
      <c r="BB958" s="7"/>
      <c r="BC958" s="7" t="s">
        <v>219</v>
      </c>
      <c r="BD958" s="7"/>
      <c r="BE958" s="7" t="s">
        <v>127</v>
      </c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</row>
    <row r="959" customFormat="false" ht="15" hidden="false" customHeight="false" outlineLevel="0" collapsed="false">
      <c r="A959" s="7" t="s">
        <v>7273</v>
      </c>
      <c r="B959" s="7" t="s">
        <v>7274</v>
      </c>
      <c r="C959" s="7" t="s">
        <v>4148</v>
      </c>
      <c r="D959" s="7"/>
      <c r="E959" s="7" t="s">
        <v>101</v>
      </c>
      <c r="F959" s="7" t="s">
        <v>101</v>
      </c>
      <c r="G959" s="7"/>
      <c r="H959" s="7" t="s">
        <v>102</v>
      </c>
      <c r="I959" s="7" t="s">
        <v>132</v>
      </c>
      <c r="J959" s="7" t="s">
        <v>104</v>
      </c>
      <c r="K959" s="7" t="s">
        <v>105</v>
      </c>
      <c r="L959" s="7" t="s">
        <v>106</v>
      </c>
      <c r="M959" s="7" t="s">
        <v>4149</v>
      </c>
      <c r="N959" s="7" t="s">
        <v>7275</v>
      </c>
      <c r="O959" s="7"/>
      <c r="P959" s="7" t="s">
        <v>135</v>
      </c>
      <c r="Q959" s="7"/>
      <c r="R959" s="7" t="s">
        <v>135</v>
      </c>
      <c r="S959" s="7" t="s">
        <v>136</v>
      </c>
      <c r="T959" s="7" t="n">
        <v>0.584</v>
      </c>
      <c r="U959" s="7" t="n">
        <v>1</v>
      </c>
      <c r="V959" s="7" t="s">
        <v>90</v>
      </c>
      <c r="W959" s="7"/>
      <c r="X959" s="7"/>
      <c r="Y959" s="7"/>
      <c r="Z959" s="7"/>
      <c r="AA959" s="7"/>
      <c r="AB959" s="7"/>
      <c r="AC959" s="7" t="n">
        <v>0</v>
      </c>
      <c r="AD959" s="7" t="s">
        <v>388</v>
      </c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 t="s">
        <v>151</v>
      </c>
      <c r="BD959" s="7"/>
      <c r="BE959" s="7" t="s">
        <v>127</v>
      </c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</row>
    <row r="960" customFormat="false" ht="15" hidden="false" customHeight="false" outlineLevel="0" collapsed="false">
      <c r="A960" s="7" t="s">
        <v>7276</v>
      </c>
      <c r="B960" s="7" t="s">
        <v>7277</v>
      </c>
      <c r="C960" s="7" t="s">
        <v>7278</v>
      </c>
      <c r="D960" s="7"/>
      <c r="E960" s="7" t="s">
        <v>101</v>
      </c>
      <c r="F960" s="7" t="s">
        <v>101</v>
      </c>
      <c r="G960" s="7"/>
      <c r="H960" s="7" t="s">
        <v>102</v>
      </c>
      <c r="I960" s="7" t="s">
        <v>132</v>
      </c>
      <c r="J960" s="7" t="s">
        <v>104</v>
      </c>
      <c r="K960" s="7" t="s">
        <v>105</v>
      </c>
      <c r="L960" s="7" t="s">
        <v>106</v>
      </c>
      <c r="M960" s="7" t="s">
        <v>7279</v>
      </c>
      <c r="N960" s="7" t="s">
        <v>7280</v>
      </c>
      <c r="O960" s="7" t="s">
        <v>7280</v>
      </c>
      <c r="P960" s="7" t="s">
        <v>135</v>
      </c>
      <c r="Q960" s="7"/>
      <c r="R960" s="7" t="s">
        <v>109</v>
      </c>
      <c r="S960" s="7" t="s">
        <v>110</v>
      </c>
      <c r="T960" s="7" t="n">
        <v>0.428</v>
      </c>
      <c r="U960" s="7" t="n">
        <v>1</v>
      </c>
      <c r="V960" s="7" t="s">
        <v>90</v>
      </c>
      <c r="W960" s="7"/>
      <c r="X960" s="7"/>
      <c r="Y960" s="7" t="s">
        <v>7280</v>
      </c>
      <c r="Z960" s="7"/>
      <c r="AA960" s="7"/>
      <c r="AB960" s="7"/>
      <c r="AC960" s="7" t="n">
        <v>0</v>
      </c>
      <c r="AD960" s="7" t="s">
        <v>388</v>
      </c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 t="s">
        <v>125</v>
      </c>
      <c r="BD960" s="7"/>
      <c r="BE960" s="7" t="s">
        <v>127</v>
      </c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</row>
    <row r="961" customFormat="false" ht="15" hidden="false" customHeight="false" outlineLevel="0" collapsed="false">
      <c r="A961" s="7" t="s">
        <v>7281</v>
      </c>
      <c r="B961" s="7" t="s">
        <v>7282</v>
      </c>
      <c r="C961" s="7" t="s">
        <v>7283</v>
      </c>
      <c r="D961" s="7" t="s">
        <v>7284</v>
      </c>
      <c r="E961" s="7" t="s">
        <v>82</v>
      </c>
      <c r="F961" s="7" t="s">
        <v>82</v>
      </c>
      <c r="G961" s="7"/>
      <c r="H961" s="7"/>
      <c r="I961" s="7" t="s">
        <v>132</v>
      </c>
      <c r="J961" s="7" t="s">
        <v>104</v>
      </c>
      <c r="K961" s="7" t="s">
        <v>105</v>
      </c>
      <c r="L961" s="7" t="s">
        <v>106</v>
      </c>
      <c r="M961" s="7"/>
      <c r="N961" s="7" t="s">
        <v>7285</v>
      </c>
      <c r="O961" s="7" t="s">
        <v>7285</v>
      </c>
      <c r="P961" s="7" t="s">
        <v>135</v>
      </c>
      <c r="Q961" s="7"/>
      <c r="R961" s="7" t="s">
        <v>109</v>
      </c>
      <c r="S961" s="7" t="s">
        <v>110</v>
      </c>
      <c r="T961" s="7" t="n">
        <v>0.395</v>
      </c>
      <c r="U961" s="7" t="n">
        <v>1</v>
      </c>
      <c r="V961" s="7"/>
      <c r="W961" s="7"/>
      <c r="X961" s="7"/>
      <c r="Y961" s="7" t="s">
        <v>7285</v>
      </c>
      <c r="Z961" s="7"/>
      <c r="AA961" s="7"/>
      <c r="AB961" s="7"/>
      <c r="AC961" s="7" t="n">
        <v>4</v>
      </c>
      <c r="AD961" s="7" t="s">
        <v>1376</v>
      </c>
      <c r="AE961" s="7" t="s">
        <v>3225</v>
      </c>
      <c r="AF961" s="7" t="s">
        <v>7286</v>
      </c>
      <c r="AG961" s="7"/>
      <c r="AH961" s="7"/>
      <c r="AI961" s="7"/>
      <c r="AJ961" s="7"/>
      <c r="AK961" s="7"/>
      <c r="AL961" s="7"/>
      <c r="AM961" s="7"/>
      <c r="AN961" s="7"/>
      <c r="AO961" s="7" t="s">
        <v>3225</v>
      </c>
      <c r="AP961" s="7" t="s">
        <v>7287</v>
      </c>
      <c r="AQ961" s="7" t="s">
        <v>3225</v>
      </c>
      <c r="AR961" s="7" t="s">
        <v>82</v>
      </c>
      <c r="AS961" s="7"/>
      <c r="AT961" s="7"/>
      <c r="AU961" s="7"/>
      <c r="AV961" s="7"/>
      <c r="AW961" s="7" t="s">
        <v>3225</v>
      </c>
      <c r="AX961" s="7" t="s">
        <v>7285</v>
      </c>
      <c r="AY961" s="7"/>
      <c r="AZ961" s="7"/>
      <c r="BA961" s="7"/>
      <c r="BB961" s="7"/>
      <c r="BC961" s="7"/>
      <c r="BD961" s="7" t="s">
        <v>608</v>
      </c>
      <c r="BE961" s="7" t="s">
        <v>127</v>
      </c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</row>
    <row r="962" customFormat="false" ht="15" hidden="false" customHeight="false" outlineLevel="0" collapsed="false">
      <c r="A962" s="7" t="s">
        <v>7288</v>
      </c>
      <c r="B962" s="7" t="s">
        <v>7289</v>
      </c>
      <c r="C962" s="7" t="s">
        <v>7290</v>
      </c>
      <c r="D962" s="7" t="s">
        <v>3232</v>
      </c>
      <c r="E962" s="7" t="s">
        <v>82</v>
      </c>
      <c r="F962" s="7" t="s">
        <v>82</v>
      </c>
      <c r="G962" s="7" t="s">
        <v>83</v>
      </c>
      <c r="H962" s="7"/>
      <c r="I962" s="7" t="s">
        <v>132</v>
      </c>
      <c r="J962" s="7" t="s">
        <v>104</v>
      </c>
      <c r="K962" s="7" t="s">
        <v>105</v>
      </c>
      <c r="L962" s="7" t="s">
        <v>106</v>
      </c>
      <c r="M962" s="7"/>
      <c r="N962" s="7" t="s">
        <v>7291</v>
      </c>
      <c r="O962" s="7" t="s">
        <v>7291</v>
      </c>
      <c r="P962" s="7" t="s">
        <v>135</v>
      </c>
      <c r="Q962" s="7"/>
      <c r="R962" s="7" t="s">
        <v>109</v>
      </c>
      <c r="S962" s="7" t="s">
        <v>110</v>
      </c>
      <c r="T962" s="7" t="n">
        <v>0.739</v>
      </c>
      <c r="U962" s="7" t="n">
        <v>1</v>
      </c>
      <c r="V962" s="7"/>
      <c r="W962" s="7"/>
      <c r="X962" s="7"/>
      <c r="Y962" s="7" t="s">
        <v>7291</v>
      </c>
      <c r="Z962" s="7"/>
      <c r="AA962" s="7"/>
      <c r="AB962" s="7"/>
      <c r="AC962" s="7" t="n">
        <v>4</v>
      </c>
      <c r="AD962" s="7" t="s">
        <v>1376</v>
      </c>
      <c r="AE962" s="7" t="s">
        <v>3225</v>
      </c>
      <c r="AF962" s="7" t="s">
        <v>7292</v>
      </c>
      <c r="AG962" s="7"/>
      <c r="AH962" s="7"/>
      <c r="AI962" s="7"/>
      <c r="AJ962" s="7"/>
      <c r="AK962" s="7"/>
      <c r="AL962" s="7"/>
      <c r="AM962" s="7"/>
      <c r="AN962" s="7"/>
      <c r="AO962" s="7" t="s">
        <v>3225</v>
      </c>
      <c r="AP962" s="7" t="s">
        <v>3232</v>
      </c>
      <c r="AQ962" s="7" t="s">
        <v>3225</v>
      </c>
      <c r="AR962" s="7" t="s">
        <v>82</v>
      </c>
      <c r="AS962" s="7"/>
      <c r="AT962" s="7"/>
      <c r="AU962" s="7"/>
      <c r="AV962" s="7"/>
      <c r="AW962" s="7" t="s">
        <v>3225</v>
      </c>
      <c r="AX962" s="7" t="s">
        <v>7291</v>
      </c>
      <c r="AY962" s="7"/>
      <c r="AZ962" s="7"/>
      <c r="BA962" s="7"/>
      <c r="BB962" s="7"/>
      <c r="BC962" s="7"/>
      <c r="BD962" s="7" t="s">
        <v>608</v>
      </c>
      <c r="BE962" s="7" t="s">
        <v>127</v>
      </c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</row>
    <row r="963" customFormat="false" ht="15" hidden="false" customHeight="false" outlineLevel="0" collapsed="false">
      <c r="A963" s="7" t="s">
        <v>7293</v>
      </c>
      <c r="B963" s="7" t="s">
        <v>7294</v>
      </c>
      <c r="C963" s="7" t="s">
        <v>7295</v>
      </c>
      <c r="D963" s="7" t="s">
        <v>3232</v>
      </c>
      <c r="E963" s="7" t="s">
        <v>82</v>
      </c>
      <c r="F963" s="7" t="s">
        <v>82</v>
      </c>
      <c r="G963" s="7" t="s">
        <v>83</v>
      </c>
      <c r="H963" s="7"/>
      <c r="I963" s="7" t="s">
        <v>132</v>
      </c>
      <c r="J963" s="7" t="s">
        <v>104</v>
      </c>
      <c r="K963" s="7" t="s">
        <v>105</v>
      </c>
      <c r="L963" s="7" t="s">
        <v>106</v>
      </c>
      <c r="M963" s="7"/>
      <c r="N963" s="7" t="s">
        <v>7296</v>
      </c>
      <c r="O963" s="7" t="s">
        <v>7296</v>
      </c>
      <c r="P963" s="7" t="s">
        <v>135</v>
      </c>
      <c r="Q963" s="7"/>
      <c r="R963" s="7" t="s">
        <v>109</v>
      </c>
      <c r="S963" s="7" t="s">
        <v>110</v>
      </c>
      <c r="T963" s="7" t="n">
        <v>0.474</v>
      </c>
      <c r="U963" s="7" t="n">
        <v>1</v>
      </c>
      <c r="V963" s="7"/>
      <c r="W963" s="7"/>
      <c r="X963" s="7"/>
      <c r="Y963" s="7" t="s">
        <v>7296</v>
      </c>
      <c r="Z963" s="7"/>
      <c r="AA963" s="7"/>
      <c r="AB963" s="7"/>
      <c r="AC963" s="7" t="n">
        <v>4</v>
      </c>
      <c r="AD963" s="7" t="s">
        <v>1376</v>
      </c>
      <c r="AE963" s="7" t="s">
        <v>3225</v>
      </c>
      <c r="AF963" s="7" t="s">
        <v>7295</v>
      </c>
      <c r="AG963" s="7"/>
      <c r="AH963" s="7"/>
      <c r="AI963" s="7"/>
      <c r="AJ963" s="7"/>
      <c r="AK963" s="7"/>
      <c r="AL963" s="7"/>
      <c r="AM963" s="7"/>
      <c r="AN963" s="7"/>
      <c r="AO963" s="7" t="s">
        <v>3225</v>
      </c>
      <c r="AP963" s="7" t="s">
        <v>3232</v>
      </c>
      <c r="AQ963" s="7" t="s">
        <v>3225</v>
      </c>
      <c r="AR963" s="7" t="s">
        <v>82</v>
      </c>
      <c r="AS963" s="7"/>
      <c r="AT963" s="7"/>
      <c r="AU963" s="7"/>
      <c r="AV963" s="7"/>
      <c r="AW963" s="7" t="s">
        <v>3225</v>
      </c>
      <c r="AX963" s="7" t="s">
        <v>7296</v>
      </c>
      <c r="AY963" s="7"/>
      <c r="AZ963" s="7"/>
      <c r="BA963" s="7"/>
      <c r="BB963" s="7"/>
      <c r="BC963" s="7"/>
      <c r="BD963" s="7" t="s">
        <v>608</v>
      </c>
      <c r="BE963" s="7" t="s">
        <v>127</v>
      </c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</row>
    <row r="964" customFormat="false" ht="15" hidden="false" customHeight="false" outlineLevel="0" collapsed="false">
      <c r="A964" s="7" t="s">
        <v>7297</v>
      </c>
      <c r="B964" s="7" t="s">
        <v>7298</v>
      </c>
      <c r="C964" s="7" t="s">
        <v>7299</v>
      </c>
      <c r="D964" s="7" t="s">
        <v>3232</v>
      </c>
      <c r="E964" s="7" t="s">
        <v>82</v>
      </c>
      <c r="F964" s="7" t="s">
        <v>82</v>
      </c>
      <c r="G964" s="7" t="s">
        <v>83</v>
      </c>
      <c r="H964" s="7"/>
      <c r="I964" s="7" t="s">
        <v>132</v>
      </c>
      <c r="J964" s="7" t="s">
        <v>104</v>
      </c>
      <c r="K964" s="7" t="s">
        <v>105</v>
      </c>
      <c r="L964" s="7" t="s">
        <v>106</v>
      </c>
      <c r="M964" s="7"/>
      <c r="N964" s="7" t="s">
        <v>7300</v>
      </c>
      <c r="O964" s="7" t="s">
        <v>7300</v>
      </c>
      <c r="P964" s="7" t="s">
        <v>135</v>
      </c>
      <c r="Q964" s="7"/>
      <c r="R964" s="7" t="s">
        <v>109</v>
      </c>
      <c r="S964" s="7" t="s">
        <v>110</v>
      </c>
      <c r="T964" s="7" t="n">
        <v>0.531</v>
      </c>
      <c r="U964" s="7" t="n">
        <v>1</v>
      </c>
      <c r="V964" s="7"/>
      <c r="W964" s="7"/>
      <c r="X964" s="7"/>
      <c r="Y964" s="7" t="s">
        <v>7300</v>
      </c>
      <c r="Z964" s="7"/>
      <c r="AA964" s="7"/>
      <c r="AB964" s="7"/>
      <c r="AC964" s="7" t="n">
        <v>5</v>
      </c>
      <c r="AD964" s="7" t="s">
        <v>7301</v>
      </c>
      <c r="AE964" s="7" t="s">
        <v>3225</v>
      </c>
      <c r="AF964" s="7" t="s">
        <v>7299</v>
      </c>
      <c r="AG964" s="7"/>
      <c r="AH964" s="7"/>
      <c r="AI964" s="7"/>
      <c r="AJ964" s="7"/>
      <c r="AK964" s="7"/>
      <c r="AL964" s="7"/>
      <c r="AM964" s="7" t="s">
        <v>3225</v>
      </c>
      <c r="AN964" s="7" t="s">
        <v>7302</v>
      </c>
      <c r="AO964" s="7" t="s">
        <v>3225</v>
      </c>
      <c r="AP964" s="7" t="s">
        <v>3232</v>
      </c>
      <c r="AQ964" s="7" t="s">
        <v>3225</v>
      </c>
      <c r="AR964" s="7" t="s">
        <v>82</v>
      </c>
      <c r="AS964" s="7"/>
      <c r="AT964" s="7"/>
      <c r="AU964" s="7"/>
      <c r="AV964" s="7"/>
      <c r="AW964" s="7" t="s">
        <v>3225</v>
      </c>
      <c r="AX964" s="7" t="s">
        <v>7300</v>
      </c>
      <c r="AY964" s="7"/>
      <c r="AZ964" s="7"/>
      <c r="BA964" s="7"/>
      <c r="BB964" s="7"/>
      <c r="BC964" s="7"/>
      <c r="BD964" s="7" t="s">
        <v>608</v>
      </c>
      <c r="BE964" s="7" t="s">
        <v>127</v>
      </c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</row>
    <row r="965" customFormat="false" ht="15" hidden="false" customHeight="false" outlineLevel="0" collapsed="false">
      <c r="A965" s="7" t="s">
        <v>7303</v>
      </c>
      <c r="B965" s="7" t="s">
        <v>7304</v>
      </c>
      <c r="C965" s="7" t="s">
        <v>7305</v>
      </c>
      <c r="D965" s="7" t="s">
        <v>7306</v>
      </c>
      <c r="E965" s="7" t="s">
        <v>101</v>
      </c>
      <c r="F965" s="7" t="s">
        <v>101</v>
      </c>
      <c r="G965" s="7"/>
      <c r="H965" s="7" t="s">
        <v>102</v>
      </c>
      <c r="I965" s="7" t="s">
        <v>1104</v>
      </c>
      <c r="J965" s="7" t="s">
        <v>104</v>
      </c>
      <c r="K965" s="7" t="s">
        <v>105</v>
      </c>
      <c r="L965" s="7" t="s">
        <v>1106</v>
      </c>
      <c r="M965" s="7"/>
      <c r="N965" s="7" t="s">
        <v>7307</v>
      </c>
      <c r="O965" s="7" t="s">
        <v>7308</v>
      </c>
      <c r="P965" s="7" t="s">
        <v>135</v>
      </c>
      <c r="Q965" s="7"/>
      <c r="R965" s="7" t="s">
        <v>109</v>
      </c>
      <c r="S965" s="7" t="s">
        <v>110</v>
      </c>
      <c r="T965" s="7" t="n">
        <v>0.699</v>
      </c>
      <c r="U965" s="7" t="n">
        <v>1</v>
      </c>
      <c r="V965" s="7" t="s">
        <v>2781</v>
      </c>
      <c r="W965" s="7" t="s">
        <v>7309</v>
      </c>
      <c r="X965" s="7" t="s">
        <v>6806</v>
      </c>
      <c r="Y965" s="7" t="s">
        <v>7307</v>
      </c>
      <c r="Z965" s="7" t="s">
        <v>7310</v>
      </c>
      <c r="AA965" s="7"/>
      <c r="AB965" s="7"/>
      <c r="AC965" s="7" t="n">
        <v>7</v>
      </c>
      <c r="AD965" s="7" t="s">
        <v>2439</v>
      </c>
      <c r="AE965" s="7" t="s">
        <v>1065</v>
      </c>
      <c r="AF965" s="7" t="s">
        <v>7311</v>
      </c>
      <c r="AG965" s="7" t="s">
        <v>1065</v>
      </c>
      <c r="AH965" s="7" t="s">
        <v>7312</v>
      </c>
      <c r="AI965" s="7"/>
      <c r="AJ965" s="7"/>
      <c r="AK965" s="7"/>
      <c r="AL965" s="7"/>
      <c r="AM965" s="7" t="s">
        <v>1065</v>
      </c>
      <c r="AN965" s="7" t="s">
        <v>7313</v>
      </c>
      <c r="AO965" s="7" t="s">
        <v>1065</v>
      </c>
      <c r="AP965" s="7" t="s">
        <v>7306</v>
      </c>
      <c r="AQ965" s="7" t="s">
        <v>1065</v>
      </c>
      <c r="AR965" s="7" t="s">
        <v>819</v>
      </c>
      <c r="AS965" s="7" t="s">
        <v>1065</v>
      </c>
      <c r="AT965" s="7" t="s">
        <v>1856</v>
      </c>
      <c r="AU965" s="7"/>
      <c r="AV965" s="7"/>
      <c r="AW965" s="7"/>
      <c r="AX965" s="7"/>
      <c r="AY965" s="7"/>
      <c r="AZ965" s="7"/>
      <c r="BA965" s="7" t="s">
        <v>1065</v>
      </c>
      <c r="BB965" s="7" t="s">
        <v>3980</v>
      </c>
      <c r="BC965" s="7"/>
      <c r="BD965" s="7" t="s">
        <v>440</v>
      </c>
      <c r="BE965" s="7" t="s">
        <v>127</v>
      </c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</row>
    <row r="966" customFormat="false" ht="15" hidden="false" customHeight="false" outlineLevel="0" collapsed="false">
      <c r="A966" s="7" t="s">
        <v>7314</v>
      </c>
      <c r="B966" s="7" t="s">
        <v>7315</v>
      </c>
      <c r="C966" s="7" t="s">
        <v>7316</v>
      </c>
      <c r="D966" s="7" t="s">
        <v>7317</v>
      </c>
      <c r="E966" s="7" t="s">
        <v>101</v>
      </c>
      <c r="F966" s="7" t="s">
        <v>101</v>
      </c>
      <c r="G966" s="7"/>
      <c r="H966" s="7" t="s">
        <v>102</v>
      </c>
      <c r="I966" s="7" t="s">
        <v>103</v>
      </c>
      <c r="J966" s="7" t="s">
        <v>104</v>
      </c>
      <c r="K966" s="7" t="s">
        <v>105</v>
      </c>
      <c r="L966" s="7" t="s">
        <v>106</v>
      </c>
      <c r="M966" s="7"/>
      <c r="N966" s="7" t="s">
        <v>7318</v>
      </c>
      <c r="O966" s="7" t="s">
        <v>7318</v>
      </c>
      <c r="P966" s="7" t="s">
        <v>135</v>
      </c>
      <c r="Q966" s="7"/>
      <c r="R966" s="7" t="s">
        <v>109</v>
      </c>
      <c r="S966" s="7" t="s">
        <v>110</v>
      </c>
      <c r="T966" s="7" t="n">
        <v>0.476</v>
      </c>
      <c r="U966" s="7" t="n">
        <v>1</v>
      </c>
      <c r="V966" s="7" t="s">
        <v>2781</v>
      </c>
      <c r="W966" s="7" t="s">
        <v>1283</v>
      </c>
      <c r="X966" s="7" t="s">
        <v>4895</v>
      </c>
      <c r="Y966" s="7" t="s">
        <v>7318</v>
      </c>
      <c r="Z966" s="7" t="s">
        <v>7319</v>
      </c>
      <c r="AA966" s="7"/>
      <c r="AB966" s="7"/>
      <c r="AC966" s="7" t="n">
        <v>7</v>
      </c>
      <c r="AD966" s="7" t="s">
        <v>2439</v>
      </c>
      <c r="AE966" s="7" t="s">
        <v>1065</v>
      </c>
      <c r="AF966" s="7" t="s">
        <v>7320</v>
      </c>
      <c r="AG966" s="7" t="s">
        <v>1065</v>
      </c>
      <c r="AH966" s="7" t="s">
        <v>7321</v>
      </c>
      <c r="AI966" s="7"/>
      <c r="AJ966" s="7"/>
      <c r="AK966" s="7"/>
      <c r="AL966" s="7"/>
      <c r="AM966" s="7" t="s">
        <v>1065</v>
      </c>
      <c r="AN966" s="7" t="s">
        <v>7322</v>
      </c>
      <c r="AO966" s="7" t="s">
        <v>1065</v>
      </c>
      <c r="AP966" s="7" t="s">
        <v>7317</v>
      </c>
      <c r="AQ966" s="7" t="s">
        <v>1065</v>
      </c>
      <c r="AR966" s="7" t="s">
        <v>7323</v>
      </c>
      <c r="AS966" s="7" t="s">
        <v>1065</v>
      </c>
      <c r="AT966" s="7" t="s">
        <v>216</v>
      </c>
      <c r="AU966" s="7"/>
      <c r="AV966" s="7"/>
      <c r="AW966" s="7"/>
      <c r="AX966" s="7"/>
      <c r="AY966" s="7"/>
      <c r="AZ966" s="7"/>
      <c r="BA966" s="7" t="s">
        <v>1065</v>
      </c>
      <c r="BB966" s="7" t="s">
        <v>7324</v>
      </c>
      <c r="BC966" s="7"/>
      <c r="BD966" s="7" t="s">
        <v>440</v>
      </c>
      <c r="BE966" s="7" t="s">
        <v>127</v>
      </c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</row>
    <row r="967" customFormat="false" ht="15" hidden="false" customHeight="false" outlineLevel="0" collapsed="false">
      <c r="A967" s="7" t="s">
        <v>7325</v>
      </c>
      <c r="B967" s="7" t="s">
        <v>7326</v>
      </c>
      <c r="C967" s="7" t="s">
        <v>7327</v>
      </c>
      <c r="D967" s="7" t="s">
        <v>7328</v>
      </c>
      <c r="E967" s="7" t="s">
        <v>101</v>
      </c>
      <c r="F967" s="7" t="s">
        <v>101</v>
      </c>
      <c r="G967" s="7"/>
      <c r="H967" s="7" t="s">
        <v>102</v>
      </c>
      <c r="I967" s="7" t="s">
        <v>1104</v>
      </c>
      <c r="J967" s="7" t="s">
        <v>104</v>
      </c>
      <c r="K967" s="7" t="s">
        <v>105</v>
      </c>
      <c r="L967" s="7" t="s">
        <v>1106</v>
      </c>
      <c r="M967" s="7"/>
      <c r="N967" s="7" t="s">
        <v>7329</v>
      </c>
      <c r="O967" s="7" t="s">
        <v>7329</v>
      </c>
      <c r="P967" s="7" t="s">
        <v>135</v>
      </c>
      <c r="Q967" s="7"/>
      <c r="R967" s="7" t="s">
        <v>109</v>
      </c>
      <c r="S967" s="7" t="s">
        <v>110</v>
      </c>
      <c r="T967" s="7" t="n">
        <v>0.607</v>
      </c>
      <c r="U967" s="7" t="n">
        <v>1</v>
      </c>
      <c r="V967" s="7" t="s">
        <v>2781</v>
      </c>
      <c r="W967" s="7" t="s">
        <v>7330</v>
      </c>
      <c r="X967" s="7" t="s">
        <v>4777</v>
      </c>
      <c r="Y967" s="7" t="s">
        <v>7329</v>
      </c>
      <c r="Z967" s="7" t="s">
        <v>7331</v>
      </c>
      <c r="AA967" s="7"/>
      <c r="AB967" s="7"/>
      <c r="AC967" s="7" t="n">
        <v>7</v>
      </c>
      <c r="AD967" s="7" t="s">
        <v>2439</v>
      </c>
      <c r="AE967" s="7" t="s">
        <v>1065</v>
      </c>
      <c r="AF967" s="7" t="s">
        <v>7332</v>
      </c>
      <c r="AG967" s="7" t="s">
        <v>1065</v>
      </c>
      <c r="AH967" s="7" t="s">
        <v>7333</v>
      </c>
      <c r="AI967" s="7"/>
      <c r="AJ967" s="7"/>
      <c r="AK967" s="7"/>
      <c r="AL967" s="7"/>
      <c r="AM967" s="7" t="s">
        <v>1065</v>
      </c>
      <c r="AN967" s="7" t="s">
        <v>7334</v>
      </c>
      <c r="AO967" s="7" t="s">
        <v>1065</v>
      </c>
      <c r="AP967" s="7" t="s">
        <v>7328</v>
      </c>
      <c r="AQ967" s="7" t="s">
        <v>1065</v>
      </c>
      <c r="AR967" s="7" t="s">
        <v>7335</v>
      </c>
      <c r="AS967" s="7" t="s">
        <v>1065</v>
      </c>
      <c r="AT967" s="7" t="s">
        <v>1856</v>
      </c>
      <c r="AU967" s="7"/>
      <c r="AV967" s="7"/>
      <c r="AW967" s="7"/>
      <c r="AX967" s="7"/>
      <c r="AY967" s="7"/>
      <c r="AZ967" s="7"/>
      <c r="BA967" s="7" t="s">
        <v>1065</v>
      </c>
      <c r="BB967" s="7" t="s">
        <v>7336</v>
      </c>
      <c r="BC967" s="7"/>
      <c r="BD967" s="7" t="s">
        <v>440</v>
      </c>
      <c r="BE967" s="7" t="s">
        <v>127</v>
      </c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</row>
    <row r="968" customFormat="false" ht="15" hidden="false" customHeight="false" outlineLevel="0" collapsed="false">
      <c r="A968" s="7" t="s">
        <v>7337</v>
      </c>
      <c r="B968" s="7" t="s">
        <v>7338</v>
      </c>
      <c r="C968" s="7" t="s">
        <v>7339</v>
      </c>
      <c r="D968" s="7" t="s">
        <v>7340</v>
      </c>
      <c r="E968" s="7" t="s">
        <v>101</v>
      </c>
      <c r="F968" s="7" t="s">
        <v>101</v>
      </c>
      <c r="G968" s="7"/>
      <c r="H968" s="7" t="s">
        <v>102</v>
      </c>
      <c r="I968" s="7" t="s">
        <v>103</v>
      </c>
      <c r="J968" s="7" t="s">
        <v>104</v>
      </c>
      <c r="K968" s="7" t="s">
        <v>105</v>
      </c>
      <c r="L968" s="7" t="s">
        <v>1106</v>
      </c>
      <c r="M968" s="7"/>
      <c r="N968" s="7" t="s">
        <v>7341</v>
      </c>
      <c r="O968" s="7" t="s">
        <v>7341</v>
      </c>
      <c r="P968" s="7" t="s">
        <v>135</v>
      </c>
      <c r="Q968" s="7"/>
      <c r="R968" s="7" t="s">
        <v>109</v>
      </c>
      <c r="S968" s="7" t="s">
        <v>110</v>
      </c>
      <c r="T968" s="7" t="n">
        <v>0.544</v>
      </c>
      <c r="U968" s="7" t="n">
        <v>1</v>
      </c>
      <c r="V968" s="7" t="s">
        <v>2842</v>
      </c>
      <c r="W968" s="7" t="s">
        <v>7342</v>
      </c>
      <c r="X968" s="7" t="s">
        <v>7343</v>
      </c>
      <c r="Y968" s="7" t="s">
        <v>7341</v>
      </c>
      <c r="Z968" s="7" t="s">
        <v>7344</v>
      </c>
      <c r="AA968" s="7"/>
      <c r="AB968" s="7"/>
      <c r="AC968" s="7" t="n">
        <v>7</v>
      </c>
      <c r="AD968" s="7" t="s">
        <v>2439</v>
      </c>
      <c r="AE968" s="7" t="s">
        <v>1065</v>
      </c>
      <c r="AF968" s="7" t="s">
        <v>7345</v>
      </c>
      <c r="AG968" s="7" t="s">
        <v>1065</v>
      </c>
      <c r="AH968" s="7" t="s">
        <v>7346</v>
      </c>
      <c r="AI968" s="7"/>
      <c r="AJ968" s="7"/>
      <c r="AK968" s="7"/>
      <c r="AL968" s="7"/>
      <c r="AM968" s="7" t="s">
        <v>1065</v>
      </c>
      <c r="AN968" s="7" t="s">
        <v>7347</v>
      </c>
      <c r="AO968" s="7" t="s">
        <v>1065</v>
      </c>
      <c r="AP968" s="7" t="s">
        <v>7340</v>
      </c>
      <c r="AQ968" s="7" t="s">
        <v>1065</v>
      </c>
      <c r="AR968" s="7" t="s">
        <v>7348</v>
      </c>
      <c r="AS968" s="7" t="s">
        <v>1065</v>
      </c>
      <c r="AT968" s="7" t="s">
        <v>1856</v>
      </c>
      <c r="AU968" s="7"/>
      <c r="AV968" s="7"/>
      <c r="AW968" s="7"/>
      <c r="AX968" s="7"/>
      <c r="AY968" s="7"/>
      <c r="AZ968" s="7"/>
      <c r="BA968" s="7" t="s">
        <v>1065</v>
      </c>
      <c r="BB968" s="7" t="s">
        <v>3980</v>
      </c>
      <c r="BC968" s="7"/>
      <c r="BD968" s="7" t="s">
        <v>440</v>
      </c>
      <c r="BE968" s="7" t="s">
        <v>127</v>
      </c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</row>
    <row r="969" customFormat="false" ht="15" hidden="false" customHeight="false" outlineLevel="0" collapsed="false">
      <c r="A969" s="7" t="s">
        <v>7349</v>
      </c>
      <c r="B969" s="7" t="s">
        <v>7350</v>
      </c>
      <c r="C969" s="7" t="s">
        <v>7351</v>
      </c>
      <c r="D969" s="7" t="s">
        <v>7352</v>
      </c>
      <c r="E969" s="7" t="s">
        <v>101</v>
      </c>
      <c r="F969" s="7" t="s">
        <v>101</v>
      </c>
      <c r="G969" s="7"/>
      <c r="H969" s="7" t="s">
        <v>102</v>
      </c>
      <c r="I969" s="7" t="s">
        <v>208</v>
      </c>
      <c r="J969" s="7" t="s">
        <v>104</v>
      </c>
      <c r="K969" s="7" t="s">
        <v>105</v>
      </c>
      <c r="L969" s="7" t="s">
        <v>106</v>
      </c>
      <c r="M969" s="7"/>
      <c r="N969" s="7" t="s">
        <v>7353</v>
      </c>
      <c r="O969" s="7" t="s">
        <v>7353</v>
      </c>
      <c r="P969" s="7" t="s">
        <v>135</v>
      </c>
      <c r="Q969" s="7"/>
      <c r="R969" s="7" t="s">
        <v>109</v>
      </c>
      <c r="S969" s="7" t="s">
        <v>110</v>
      </c>
      <c r="T969" s="7" t="n">
        <v>0.281</v>
      </c>
      <c r="U969" s="7" t="n">
        <v>1</v>
      </c>
      <c r="V969" s="7" t="s">
        <v>90</v>
      </c>
      <c r="W969" s="7"/>
      <c r="X969" s="7" t="s">
        <v>2825</v>
      </c>
      <c r="Y969" s="7"/>
      <c r="Z969" s="7" t="s">
        <v>2826</v>
      </c>
      <c r="AA969" s="7"/>
      <c r="AB969" s="7"/>
      <c r="AC969" s="7" t="n">
        <v>0</v>
      </c>
      <c r="AD969" s="7" t="s">
        <v>388</v>
      </c>
      <c r="AE969" s="7"/>
      <c r="AF969" s="7"/>
      <c r="AG969" s="7" t="s">
        <v>1955</v>
      </c>
      <c r="AH969" s="7" t="s">
        <v>1956</v>
      </c>
      <c r="AI969" s="7"/>
      <c r="AJ969" s="7"/>
      <c r="AK969" s="7"/>
      <c r="AL969" s="7"/>
      <c r="AM969" s="7" t="s">
        <v>1955</v>
      </c>
      <c r="AN969" s="7" t="s">
        <v>1957</v>
      </c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 t="s">
        <v>2797</v>
      </c>
      <c r="BE969" s="7" t="s">
        <v>127</v>
      </c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</row>
    <row r="970" customFormat="false" ht="15" hidden="false" customHeight="false" outlineLevel="0" collapsed="false">
      <c r="A970" s="7" t="s">
        <v>7354</v>
      </c>
      <c r="B970" s="7" t="s">
        <v>7355</v>
      </c>
      <c r="C970" s="7" t="s">
        <v>7356</v>
      </c>
      <c r="D970" s="7" t="s">
        <v>7044</v>
      </c>
      <c r="E970" s="7" t="s">
        <v>101</v>
      </c>
      <c r="F970" s="7" t="s">
        <v>101</v>
      </c>
      <c r="G970" s="7"/>
      <c r="H970" s="7" t="s">
        <v>102</v>
      </c>
      <c r="I970" s="7" t="s">
        <v>132</v>
      </c>
      <c r="J970" s="7" t="s">
        <v>104</v>
      </c>
      <c r="K970" s="7" t="s">
        <v>105</v>
      </c>
      <c r="L970" s="7" t="s">
        <v>106</v>
      </c>
      <c r="M970" s="7"/>
      <c r="N970" s="7" t="s">
        <v>7357</v>
      </c>
      <c r="O970" s="7"/>
      <c r="P970" s="7" t="s">
        <v>135</v>
      </c>
      <c r="Q970" s="7"/>
      <c r="R970" s="7" t="s">
        <v>135</v>
      </c>
      <c r="S970" s="7" t="s">
        <v>136</v>
      </c>
      <c r="T970" s="7" t="n">
        <v>0.79</v>
      </c>
      <c r="U970" s="7" t="n">
        <v>1</v>
      </c>
      <c r="V970" s="7" t="s">
        <v>90</v>
      </c>
      <c r="W970" s="7" t="s">
        <v>3881</v>
      </c>
      <c r="X970" s="7" t="s">
        <v>1810</v>
      </c>
      <c r="Y970" s="7" t="s">
        <v>7357</v>
      </c>
      <c r="Z970" s="7" t="s">
        <v>7358</v>
      </c>
      <c r="AA970" s="7"/>
      <c r="AB970" s="7"/>
      <c r="AC970" s="7" t="n">
        <v>10</v>
      </c>
      <c r="AD970" s="7" t="s">
        <v>7359</v>
      </c>
      <c r="AE970" s="7" t="s">
        <v>777</v>
      </c>
      <c r="AF970" s="7" t="s">
        <v>7360</v>
      </c>
      <c r="AG970" s="7" t="s">
        <v>777</v>
      </c>
      <c r="AH970" s="7" t="s">
        <v>7361</v>
      </c>
      <c r="AI970" s="7" t="s">
        <v>777</v>
      </c>
      <c r="AJ970" s="7" t="s">
        <v>7362</v>
      </c>
      <c r="AK970" s="7" t="s">
        <v>777</v>
      </c>
      <c r="AL970" s="7" t="s">
        <v>338</v>
      </c>
      <c r="AM970" s="7" t="s">
        <v>777</v>
      </c>
      <c r="AN970" s="7" t="s">
        <v>7363</v>
      </c>
      <c r="AO970" s="7" t="s">
        <v>777</v>
      </c>
      <c r="AP970" s="7" t="s">
        <v>7364</v>
      </c>
      <c r="AQ970" s="7" t="s">
        <v>777</v>
      </c>
      <c r="AR970" s="7" t="s">
        <v>7365</v>
      </c>
      <c r="AS970" s="7" t="s">
        <v>777</v>
      </c>
      <c r="AT970" s="7" t="s">
        <v>7366</v>
      </c>
      <c r="AU970" s="7"/>
      <c r="AV970" s="7"/>
      <c r="AW970" s="7"/>
      <c r="AX970" s="7"/>
      <c r="AY970" s="7" t="s">
        <v>777</v>
      </c>
      <c r="AZ970" s="7" t="s">
        <v>7367</v>
      </c>
      <c r="BA970" s="7" t="s">
        <v>777</v>
      </c>
      <c r="BB970" s="7" t="s">
        <v>7368</v>
      </c>
      <c r="BC970" s="7"/>
      <c r="BD970" s="7" t="s">
        <v>7046</v>
      </c>
      <c r="BE970" s="7" t="s">
        <v>127</v>
      </c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</row>
    <row r="971" customFormat="false" ht="15" hidden="false" customHeight="false" outlineLevel="0" collapsed="false">
      <c r="A971" s="7" t="s">
        <v>7369</v>
      </c>
      <c r="B971" s="7" t="s">
        <v>7370</v>
      </c>
      <c r="C971" s="7" t="s">
        <v>7371</v>
      </c>
      <c r="D971" s="7" t="s">
        <v>7044</v>
      </c>
      <c r="E971" s="7" t="s">
        <v>101</v>
      </c>
      <c r="F971" s="7" t="s">
        <v>101</v>
      </c>
      <c r="G971" s="7"/>
      <c r="H971" s="7" t="s">
        <v>102</v>
      </c>
      <c r="I971" s="7" t="s">
        <v>132</v>
      </c>
      <c r="J971" s="7" t="s">
        <v>104</v>
      </c>
      <c r="K971" s="7" t="s">
        <v>105</v>
      </c>
      <c r="L971" s="7" t="s">
        <v>106</v>
      </c>
      <c r="M971" s="7"/>
      <c r="N971" s="7" t="s">
        <v>7372</v>
      </c>
      <c r="O971" s="7"/>
      <c r="P971" s="7" t="s">
        <v>135</v>
      </c>
      <c r="Q971" s="7"/>
      <c r="R971" s="7" t="s">
        <v>135</v>
      </c>
      <c r="S971" s="7" t="s">
        <v>136</v>
      </c>
      <c r="T971" s="7" t="n">
        <v>0.885</v>
      </c>
      <c r="U971" s="7" t="n">
        <v>1</v>
      </c>
      <c r="V971" s="7" t="s">
        <v>90</v>
      </c>
      <c r="W971" s="7" t="s">
        <v>7373</v>
      </c>
      <c r="X971" s="7" t="s">
        <v>239</v>
      </c>
      <c r="Y971" s="7" t="s">
        <v>7372</v>
      </c>
      <c r="Z971" s="7" t="s">
        <v>7374</v>
      </c>
      <c r="AA971" s="7"/>
      <c r="AB971" s="7"/>
      <c r="AC971" s="7" t="n">
        <v>9</v>
      </c>
      <c r="AD971" s="7" t="s">
        <v>7375</v>
      </c>
      <c r="AE971" s="7" t="s">
        <v>777</v>
      </c>
      <c r="AF971" s="7" t="s">
        <v>7376</v>
      </c>
      <c r="AG971" s="7" t="s">
        <v>777</v>
      </c>
      <c r="AH971" s="7" t="s">
        <v>7377</v>
      </c>
      <c r="AI971" s="7" t="s">
        <v>777</v>
      </c>
      <c r="AJ971" s="7" t="s">
        <v>7378</v>
      </c>
      <c r="AK971" s="7" t="s">
        <v>777</v>
      </c>
      <c r="AL971" s="7" t="s">
        <v>338</v>
      </c>
      <c r="AM971" s="7"/>
      <c r="AN971" s="7"/>
      <c r="AO971" s="7" t="s">
        <v>777</v>
      </c>
      <c r="AP971" s="7" t="s">
        <v>7379</v>
      </c>
      <c r="AQ971" s="7" t="s">
        <v>777</v>
      </c>
      <c r="AR971" s="7" t="s">
        <v>7380</v>
      </c>
      <c r="AS971" s="7" t="s">
        <v>777</v>
      </c>
      <c r="AT971" s="7" t="s">
        <v>7366</v>
      </c>
      <c r="AU971" s="7"/>
      <c r="AV971" s="7"/>
      <c r="AW971" s="7"/>
      <c r="AX971" s="7"/>
      <c r="AY971" s="7" t="s">
        <v>777</v>
      </c>
      <c r="AZ971" s="7" t="s">
        <v>7381</v>
      </c>
      <c r="BA971" s="7" t="s">
        <v>777</v>
      </c>
      <c r="BB971" s="7" t="s">
        <v>7382</v>
      </c>
      <c r="BC971" s="7"/>
      <c r="BD971" s="7" t="s">
        <v>7046</v>
      </c>
      <c r="BE971" s="7" t="s">
        <v>127</v>
      </c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</row>
    <row r="972" customFormat="false" ht="15" hidden="false" customHeight="false" outlineLevel="0" collapsed="false">
      <c r="A972" s="7" t="s">
        <v>7383</v>
      </c>
      <c r="B972" s="7" t="s">
        <v>7384</v>
      </c>
      <c r="C972" s="7" t="s">
        <v>4242</v>
      </c>
      <c r="D972" s="7"/>
      <c r="E972" s="7" t="s">
        <v>101</v>
      </c>
      <c r="F972" s="7" t="s">
        <v>101</v>
      </c>
      <c r="G972" s="7"/>
      <c r="H972" s="7" t="s">
        <v>102</v>
      </c>
      <c r="I972" s="7" t="s">
        <v>132</v>
      </c>
      <c r="J972" s="7" t="s">
        <v>104</v>
      </c>
      <c r="K972" s="7" t="s">
        <v>105</v>
      </c>
      <c r="L972" s="7" t="s">
        <v>106</v>
      </c>
      <c r="M972" s="7"/>
      <c r="N972" s="7" t="s">
        <v>7385</v>
      </c>
      <c r="O972" s="7"/>
      <c r="P972" s="7" t="s">
        <v>135</v>
      </c>
      <c r="Q972" s="7"/>
      <c r="R972" s="7" t="s">
        <v>135</v>
      </c>
      <c r="S972" s="7" t="s">
        <v>136</v>
      </c>
      <c r="T972" s="7" t="n">
        <v>0.415</v>
      </c>
      <c r="U972" s="7" t="n">
        <v>1</v>
      </c>
      <c r="V972" s="7" t="s">
        <v>90</v>
      </c>
      <c r="W972" s="7"/>
      <c r="X972" s="7"/>
      <c r="Y972" s="7" t="s">
        <v>7385</v>
      </c>
      <c r="Z972" s="7"/>
      <c r="AA972" s="7"/>
      <c r="AB972" s="7"/>
      <c r="AC972" s="7" t="n">
        <v>1</v>
      </c>
      <c r="AD972" s="7" t="s">
        <v>3333</v>
      </c>
      <c r="AE972" s="7"/>
      <c r="AF972" s="7"/>
      <c r="AG972" s="7"/>
      <c r="AH972" s="7"/>
      <c r="AI972" s="7"/>
      <c r="AJ972" s="7"/>
      <c r="AK972" s="7" t="s">
        <v>7386</v>
      </c>
      <c r="AL972" s="7" t="s">
        <v>338</v>
      </c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 t="s">
        <v>1400</v>
      </c>
      <c r="BE972" s="7" t="s">
        <v>127</v>
      </c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</row>
    <row r="973" customFormat="false" ht="15" hidden="false" customHeight="false" outlineLevel="0" collapsed="false">
      <c r="A973" s="7" t="s">
        <v>7387</v>
      </c>
      <c r="B973" s="7" t="s">
        <v>7388</v>
      </c>
      <c r="C973" s="7" t="s">
        <v>7389</v>
      </c>
      <c r="D973" s="7" t="s">
        <v>7390</v>
      </c>
      <c r="E973" s="7" t="s">
        <v>101</v>
      </c>
      <c r="F973" s="7" t="s">
        <v>101</v>
      </c>
      <c r="G973" s="7"/>
      <c r="H973" s="7" t="s">
        <v>102</v>
      </c>
      <c r="I973" s="7" t="s">
        <v>208</v>
      </c>
      <c r="J973" s="7" t="s">
        <v>104</v>
      </c>
      <c r="K973" s="7" t="s">
        <v>105</v>
      </c>
      <c r="L973" s="7" t="s">
        <v>106</v>
      </c>
      <c r="M973" s="7"/>
      <c r="N973" s="7" t="s">
        <v>7391</v>
      </c>
      <c r="O973" s="7"/>
      <c r="P973" s="7" t="s">
        <v>135</v>
      </c>
      <c r="Q973" s="7"/>
      <c r="R973" s="7" t="s">
        <v>135</v>
      </c>
      <c r="S973" s="7" t="s">
        <v>136</v>
      </c>
      <c r="T973" s="7" t="n">
        <v>0.186</v>
      </c>
      <c r="U973" s="7" t="n">
        <v>1</v>
      </c>
      <c r="V973" s="7" t="s">
        <v>90</v>
      </c>
      <c r="W973" s="7"/>
      <c r="X973" s="7"/>
      <c r="Y973" s="7" t="s">
        <v>7391</v>
      </c>
      <c r="Z973" s="7"/>
      <c r="AA973" s="7"/>
      <c r="AB973" s="7"/>
      <c r="AC973" s="7" t="n">
        <v>0</v>
      </c>
      <c r="AD973" s="7" t="s">
        <v>388</v>
      </c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 t="s">
        <v>127</v>
      </c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</row>
    <row r="974" customFormat="false" ht="15" hidden="false" customHeight="false" outlineLevel="0" collapsed="false">
      <c r="A974" s="7" t="s">
        <v>7392</v>
      </c>
      <c r="B974" s="7" t="s">
        <v>7393</v>
      </c>
      <c r="C974" s="7" t="s">
        <v>7394</v>
      </c>
      <c r="D974" s="7" t="s">
        <v>7395</v>
      </c>
      <c r="E974" s="7" t="s">
        <v>101</v>
      </c>
      <c r="F974" s="7" t="s">
        <v>101</v>
      </c>
      <c r="G974" s="7"/>
      <c r="H974" s="7" t="s">
        <v>102</v>
      </c>
      <c r="I974" s="7" t="s">
        <v>132</v>
      </c>
      <c r="J974" s="7" t="s">
        <v>104</v>
      </c>
      <c r="K974" s="7" t="s">
        <v>105</v>
      </c>
      <c r="L974" s="7" t="s">
        <v>106</v>
      </c>
      <c r="M974" s="7"/>
      <c r="N974" s="7" t="s">
        <v>7396</v>
      </c>
      <c r="O974" s="7" t="s">
        <v>7396</v>
      </c>
      <c r="P974" s="7" t="s">
        <v>135</v>
      </c>
      <c r="Q974" s="7"/>
      <c r="R974" s="7" t="s">
        <v>84</v>
      </c>
      <c r="S974" s="7" t="s">
        <v>238</v>
      </c>
      <c r="T974" s="7" t="n">
        <v>0.903</v>
      </c>
      <c r="U974" s="7" t="n">
        <v>1</v>
      </c>
      <c r="V974" s="7" t="s">
        <v>90</v>
      </c>
      <c r="W974" s="7" t="s">
        <v>7397</v>
      </c>
      <c r="X974" s="7" t="s">
        <v>2773</v>
      </c>
      <c r="Y974" s="7" t="s">
        <v>7396</v>
      </c>
      <c r="Z974" s="7" t="s">
        <v>7398</v>
      </c>
      <c r="AA974" s="7"/>
      <c r="AB974" s="7"/>
      <c r="AC974" s="7" t="n">
        <v>12</v>
      </c>
      <c r="AD974" s="7"/>
      <c r="AE974" s="7" t="s">
        <v>777</v>
      </c>
      <c r="AF974" s="7" t="s">
        <v>7399</v>
      </c>
      <c r="AG974" s="7" t="s">
        <v>777</v>
      </c>
      <c r="AH974" s="7" t="s">
        <v>7400</v>
      </c>
      <c r="AI974" s="7" t="s">
        <v>777</v>
      </c>
      <c r="AJ974" s="7" t="s">
        <v>7401</v>
      </c>
      <c r="AK974" s="7" t="s">
        <v>777</v>
      </c>
      <c r="AL974" s="7" t="s">
        <v>7402</v>
      </c>
      <c r="AM974" s="7" t="s">
        <v>777</v>
      </c>
      <c r="AN974" s="7" t="s">
        <v>7403</v>
      </c>
      <c r="AO974" s="7" t="s">
        <v>777</v>
      </c>
      <c r="AP974" s="7" t="s">
        <v>7404</v>
      </c>
      <c r="AQ974" s="7" t="s">
        <v>777</v>
      </c>
      <c r="AR974" s="7" t="s">
        <v>145</v>
      </c>
      <c r="AS974" s="7" t="s">
        <v>777</v>
      </c>
      <c r="AT974" s="7" t="s">
        <v>2047</v>
      </c>
      <c r="AU974" s="7" t="s">
        <v>777</v>
      </c>
      <c r="AV974" s="7" t="s">
        <v>7405</v>
      </c>
      <c r="AW974" s="7" t="s">
        <v>777</v>
      </c>
      <c r="AX974" s="7" t="s">
        <v>7406</v>
      </c>
      <c r="AY974" s="7" t="s">
        <v>777</v>
      </c>
      <c r="AZ974" s="7" t="s">
        <v>7407</v>
      </c>
      <c r="BA974" s="7" t="s">
        <v>777</v>
      </c>
      <c r="BB974" s="7" t="s">
        <v>7408</v>
      </c>
      <c r="BC974" s="7"/>
      <c r="BD974" s="7"/>
      <c r="BE974" s="7" t="s">
        <v>127</v>
      </c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</row>
    <row r="975" customFormat="false" ht="15" hidden="false" customHeight="false" outlineLevel="0" collapsed="false">
      <c r="A975" s="7" t="s">
        <v>7409</v>
      </c>
      <c r="B975" s="7" t="s">
        <v>7410</v>
      </c>
      <c r="C975" s="7" t="s">
        <v>7411</v>
      </c>
      <c r="D975" s="7" t="s">
        <v>7412</v>
      </c>
      <c r="E975" s="7" t="s">
        <v>101</v>
      </c>
      <c r="F975" s="7" t="s">
        <v>101</v>
      </c>
      <c r="G975" s="7"/>
      <c r="H975" s="7" t="s">
        <v>102</v>
      </c>
      <c r="I975" s="7" t="s">
        <v>132</v>
      </c>
      <c r="J975" s="7" t="s">
        <v>104</v>
      </c>
      <c r="K975" s="7" t="s">
        <v>105</v>
      </c>
      <c r="L975" s="7" t="s">
        <v>106</v>
      </c>
      <c r="M975" s="7"/>
      <c r="N975" s="7" t="s">
        <v>7413</v>
      </c>
      <c r="O975" s="7" t="s">
        <v>7413</v>
      </c>
      <c r="P975" s="7" t="s">
        <v>135</v>
      </c>
      <c r="Q975" s="7"/>
      <c r="R975" s="7" t="s">
        <v>109</v>
      </c>
      <c r="S975" s="7" t="s">
        <v>110</v>
      </c>
      <c r="T975" s="7" t="n">
        <v>0.196</v>
      </c>
      <c r="U975" s="7" t="n">
        <v>1</v>
      </c>
      <c r="V975" s="7" t="s">
        <v>90</v>
      </c>
      <c r="W975" s="7"/>
      <c r="X975" s="7"/>
      <c r="Y975" s="7" t="s">
        <v>7413</v>
      </c>
      <c r="Z975" s="7"/>
      <c r="AA975" s="7"/>
      <c r="AB975" s="7"/>
      <c r="AC975" s="7" t="n">
        <v>0</v>
      </c>
      <c r="AD975" s="7" t="s">
        <v>388</v>
      </c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 t="s">
        <v>127</v>
      </c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</row>
    <row r="976" customFormat="false" ht="15" hidden="false" customHeight="false" outlineLevel="0" collapsed="false">
      <c r="A976" s="7" t="s">
        <v>7414</v>
      </c>
      <c r="B976" s="7" t="s">
        <v>7415</v>
      </c>
      <c r="C976" s="7" t="s">
        <v>7416</v>
      </c>
      <c r="D976" s="7" t="s">
        <v>7044</v>
      </c>
      <c r="E976" s="7" t="s">
        <v>101</v>
      </c>
      <c r="F976" s="7" t="s">
        <v>101</v>
      </c>
      <c r="G976" s="7"/>
      <c r="H976" s="7" t="s">
        <v>102</v>
      </c>
      <c r="I976" s="7" t="s">
        <v>132</v>
      </c>
      <c r="J976" s="7" t="s">
        <v>104</v>
      </c>
      <c r="K976" s="7" t="s">
        <v>105</v>
      </c>
      <c r="L976" s="7" t="s">
        <v>106</v>
      </c>
      <c r="M976" s="7"/>
      <c r="N976" s="7" t="s">
        <v>7417</v>
      </c>
      <c r="O976" s="7"/>
      <c r="P976" s="7" t="s">
        <v>135</v>
      </c>
      <c r="Q976" s="7"/>
      <c r="R976" s="7" t="s">
        <v>135</v>
      </c>
      <c r="S976" s="7" t="s">
        <v>136</v>
      </c>
      <c r="T976" s="7" t="n">
        <v>0.731</v>
      </c>
      <c r="U976" s="7" t="n">
        <v>1</v>
      </c>
      <c r="V976" s="7" t="s">
        <v>90</v>
      </c>
      <c r="W976" s="7" t="s">
        <v>7418</v>
      </c>
      <c r="X976" s="7" t="s">
        <v>2929</v>
      </c>
      <c r="Y976" s="7" t="s">
        <v>7417</v>
      </c>
      <c r="Z976" s="7" t="s">
        <v>7419</v>
      </c>
      <c r="AA976" s="7"/>
      <c r="AB976" s="7"/>
      <c r="AC976" s="7" t="n">
        <v>12</v>
      </c>
      <c r="AD976" s="7"/>
      <c r="AE976" s="7" t="s">
        <v>777</v>
      </c>
      <c r="AF976" s="7" t="s">
        <v>7420</v>
      </c>
      <c r="AG976" s="7" t="s">
        <v>777</v>
      </c>
      <c r="AH976" s="7" t="s">
        <v>7421</v>
      </c>
      <c r="AI976" s="7" t="s">
        <v>777</v>
      </c>
      <c r="AJ976" s="7" t="s">
        <v>7422</v>
      </c>
      <c r="AK976" s="7" t="s">
        <v>777</v>
      </c>
      <c r="AL976" s="7" t="s">
        <v>145</v>
      </c>
      <c r="AM976" s="7" t="s">
        <v>777</v>
      </c>
      <c r="AN976" s="7" t="s">
        <v>145</v>
      </c>
      <c r="AO976" s="7" t="s">
        <v>777</v>
      </c>
      <c r="AP976" s="7" t="s">
        <v>7423</v>
      </c>
      <c r="AQ976" s="7" t="s">
        <v>777</v>
      </c>
      <c r="AR976" s="7" t="s">
        <v>7424</v>
      </c>
      <c r="AS976" s="7" t="s">
        <v>777</v>
      </c>
      <c r="AT976" s="7" t="s">
        <v>7425</v>
      </c>
      <c r="AU976" s="7" t="s">
        <v>777</v>
      </c>
      <c r="AV976" s="7" t="s">
        <v>7426</v>
      </c>
      <c r="AW976" s="7" t="s">
        <v>777</v>
      </c>
      <c r="AX976" s="7" t="s">
        <v>145</v>
      </c>
      <c r="AY976" s="7" t="s">
        <v>777</v>
      </c>
      <c r="AZ976" s="7" t="s">
        <v>7427</v>
      </c>
      <c r="BA976" s="7" t="s">
        <v>777</v>
      </c>
      <c r="BB976" s="7" t="s">
        <v>7428</v>
      </c>
      <c r="BC976" s="7"/>
      <c r="BD976" s="7" t="s">
        <v>7046</v>
      </c>
      <c r="BE976" s="7" t="s">
        <v>127</v>
      </c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</row>
    <row r="977" customFormat="false" ht="15" hidden="false" customHeight="false" outlineLevel="0" collapsed="false">
      <c r="A977" s="7" t="s">
        <v>7429</v>
      </c>
      <c r="B977" s="7" t="s">
        <v>7430</v>
      </c>
      <c r="C977" s="7" t="s">
        <v>7431</v>
      </c>
      <c r="D977" s="7" t="s">
        <v>7432</v>
      </c>
      <c r="E977" s="7" t="s">
        <v>101</v>
      </c>
      <c r="F977" s="7" t="s">
        <v>101</v>
      </c>
      <c r="G977" s="7"/>
      <c r="H977" s="7" t="s">
        <v>102</v>
      </c>
      <c r="I977" s="7" t="s">
        <v>132</v>
      </c>
      <c r="J977" s="7" t="s">
        <v>104</v>
      </c>
      <c r="K977" s="7" t="s">
        <v>105</v>
      </c>
      <c r="L977" s="7" t="s">
        <v>106</v>
      </c>
      <c r="M977" s="7"/>
      <c r="N977" s="7" t="s">
        <v>7433</v>
      </c>
      <c r="O977" s="7"/>
      <c r="P977" s="7" t="s">
        <v>135</v>
      </c>
      <c r="Q977" s="7"/>
      <c r="R977" s="7" t="s">
        <v>135</v>
      </c>
      <c r="S977" s="7" t="s">
        <v>136</v>
      </c>
      <c r="T977" s="7" t="n">
        <v>0.326</v>
      </c>
      <c r="U977" s="7" t="n">
        <v>1</v>
      </c>
      <c r="V977" s="7" t="s">
        <v>90</v>
      </c>
      <c r="W977" s="7"/>
      <c r="X977" s="7"/>
      <c r="Y977" s="7" t="s">
        <v>7433</v>
      </c>
      <c r="Z977" s="7"/>
      <c r="AA977" s="7"/>
      <c r="AB977" s="7"/>
      <c r="AC977" s="7" t="n">
        <v>0</v>
      </c>
      <c r="AD977" s="7" t="s">
        <v>388</v>
      </c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 t="s">
        <v>127</v>
      </c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</row>
    <row r="978" customFormat="false" ht="15" hidden="false" customHeight="false" outlineLevel="0" collapsed="false">
      <c r="A978" s="7" t="s">
        <v>7434</v>
      </c>
      <c r="B978" s="7" t="s">
        <v>7435</v>
      </c>
      <c r="C978" s="7" t="s">
        <v>7436</v>
      </c>
      <c r="D978" s="7" t="s">
        <v>7437</v>
      </c>
      <c r="E978" s="7" t="s">
        <v>101</v>
      </c>
      <c r="F978" s="7" t="s">
        <v>101</v>
      </c>
      <c r="G978" s="7"/>
      <c r="H978" s="7" t="s">
        <v>102</v>
      </c>
      <c r="I978" s="7" t="s">
        <v>132</v>
      </c>
      <c r="J978" s="7" t="s">
        <v>104</v>
      </c>
      <c r="K978" s="7" t="s">
        <v>105</v>
      </c>
      <c r="L978" s="7" t="s">
        <v>106</v>
      </c>
      <c r="M978" s="7"/>
      <c r="N978" s="7" t="s">
        <v>7438</v>
      </c>
      <c r="O978" s="7"/>
      <c r="P978" s="7" t="s">
        <v>135</v>
      </c>
      <c r="Q978" s="7"/>
      <c r="R978" s="7" t="s">
        <v>135</v>
      </c>
      <c r="S978" s="7" t="s">
        <v>136</v>
      </c>
      <c r="T978" s="7" t="n">
        <v>0.38</v>
      </c>
      <c r="U978" s="7" t="n">
        <v>1</v>
      </c>
      <c r="V978" s="7" t="s">
        <v>90</v>
      </c>
      <c r="W978" s="7" t="s">
        <v>6939</v>
      </c>
      <c r="X978" s="7" t="s">
        <v>263</v>
      </c>
      <c r="Y978" s="7" t="s">
        <v>7438</v>
      </c>
      <c r="Z978" s="7" t="s">
        <v>7439</v>
      </c>
      <c r="AA978" s="7"/>
      <c r="AB978" s="7"/>
      <c r="AC978" s="7" t="n">
        <v>11</v>
      </c>
      <c r="AD978" s="7" t="s">
        <v>7440</v>
      </c>
      <c r="AE978" s="7" t="s">
        <v>777</v>
      </c>
      <c r="AF978" s="7" t="s">
        <v>7441</v>
      </c>
      <c r="AG978" s="7" t="s">
        <v>777</v>
      </c>
      <c r="AH978" s="7" t="s">
        <v>7442</v>
      </c>
      <c r="AI978" s="7" t="s">
        <v>777</v>
      </c>
      <c r="AJ978" s="7" t="s">
        <v>7443</v>
      </c>
      <c r="AK978" s="7" t="s">
        <v>777</v>
      </c>
      <c r="AL978" s="7" t="s">
        <v>7444</v>
      </c>
      <c r="AM978" s="7" t="s">
        <v>777</v>
      </c>
      <c r="AN978" s="7" t="s">
        <v>7445</v>
      </c>
      <c r="AO978" s="7" t="s">
        <v>777</v>
      </c>
      <c r="AP978" s="7" t="s">
        <v>7446</v>
      </c>
      <c r="AQ978" s="7" t="s">
        <v>777</v>
      </c>
      <c r="AR978" s="7" t="s">
        <v>7447</v>
      </c>
      <c r="AS978" s="7" t="s">
        <v>777</v>
      </c>
      <c r="AT978" s="7" t="s">
        <v>7448</v>
      </c>
      <c r="AU978" s="7" t="s">
        <v>777</v>
      </c>
      <c r="AV978" s="7" t="s">
        <v>7449</v>
      </c>
      <c r="AW978" s="7"/>
      <c r="AX978" s="7"/>
      <c r="AY978" s="7" t="s">
        <v>777</v>
      </c>
      <c r="AZ978" s="7" t="s">
        <v>7450</v>
      </c>
      <c r="BA978" s="7" t="s">
        <v>777</v>
      </c>
      <c r="BB978" s="7" t="s">
        <v>7451</v>
      </c>
      <c r="BC978" s="7"/>
      <c r="BD978" s="7" t="s">
        <v>7046</v>
      </c>
      <c r="BE978" s="7" t="s">
        <v>127</v>
      </c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</row>
    <row r="979" customFormat="false" ht="15" hidden="false" customHeight="false" outlineLevel="0" collapsed="false">
      <c r="A979" s="7" t="s">
        <v>7452</v>
      </c>
      <c r="B979" s="7" t="s">
        <v>7453</v>
      </c>
      <c r="C979" s="7" t="s">
        <v>7454</v>
      </c>
      <c r="D979" s="7"/>
      <c r="E979" s="7" t="s">
        <v>101</v>
      </c>
      <c r="F979" s="7" t="s">
        <v>101</v>
      </c>
      <c r="G979" s="7"/>
      <c r="H979" s="7" t="s">
        <v>102</v>
      </c>
      <c r="I979" s="7" t="s">
        <v>300</v>
      </c>
      <c r="J979" s="7" t="s">
        <v>104</v>
      </c>
      <c r="K979" s="7" t="s">
        <v>105</v>
      </c>
      <c r="L979" s="7" t="s">
        <v>106</v>
      </c>
      <c r="M979" s="7"/>
      <c r="N979" s="7" t="s">
        <v>7455</v>
      </c>
      <c r="O979" s="7"/>
      <c r="P979" s="7" t="s">
        <v>135</v>
      </c>
      <c r="Q979" s="7"/>
      <c r="R979" s="7" t="s">
        <v>135</v>
      </c>
      <c r="S979" s="7" t="s">
        <v>136</v>
      </c>
      <c r="T979" s="7" t="n">
        <v>0.628</v>
      </c>
      <c r="U979" s="7" t="n">
        <v>1</v>
      </c>
      <c r="V979" s="7" t="s">
        <v>90</v>
      </c>
      <c r="W979" s="7"/>
      <c r="X979" s="7"/>
      <c r="Y979" s="7" t="s">
        <v>7455</v>
      </c>
      <c r="Z979" s="7"/>
      <c r="AA979" s="7"/>
      <c r="AB979" s="7"/>
      <c r="AC979" s="7" t="n">
        <v>6</v>
      </c>
      <c r="AD979" s="7" t="s">
        <v>7456</v>
      </c>
      <c r="AE979" s="7" t="s">
        <v>744</v>
      </c>
      <c r="AF979" s="7" t="s">
        <v>7457</v>
      </c>
      <c r="AG979" s="7" t="s">
        <v>744</v>
      </c>
      <c r="AH979" s="7" t="s">
        <v>1511</v>
      </c>
      <c r="AI979" s="7"/>
      <c r="AJ979" s="7"/>
      <c r="AK979" s="7" t="s">
        <v>7458</v>
      </c>
      <c r="AL979" s="7" t="s">
        <v>338</v>
      </c>
      <c r="AM979" s="7" t="s">
        <v>744</v>
      </c>
      <c r="AN979" s="7" t="s">
        <v>7459</v>
      </c>
      <c r="AO979" s="7" t="s">
        <v>744</v>
      </c>
      <c r="AP979" s="7" t="s">
        <v>4514</v>
      </c>
      <c r="AQ979" s="7"/>
      <c r="AR979" s="7"/>
      <c r="AS979" s="7"/>
      <c r="AT979" s="7"/>
      <c r="AU979" s="7"/>
      <c r="AV979" s="7"/>
      <c r="AW979" s="7" t="s">
        <v>744</v>
      </c>
      <c r="AX979" s="7" t="s">
        <v>7460</v>
      </c>
      <c r="AY979" s="7"/>
      <c r="AZ979" s="7"/>
      <c r="BA979" s="7"/>
      <c r="BB979" s="7"/>
      <c r="BC979" s="7"/>
      <c r="BD979" s="7" t="s">
        <v>4516</v>
      </c>
      <c r="BE979" s="7" t="s">
        <v>127</v>
      </c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</row>
    <row r="980" customFormat="false" ht="15" hidden="false" customHeight="false" outlineLevel="0" collapsed="false">
      <c r="A980" s="7" t="s">
        <v>7461</v>
      </c>
      <c r="B980" s="7" t="s">
        <v>7462</v>
      </c>
      <c r="C980" s="7" t="s">
        <v>7463</v>
      </c>
      <c r="D980" s="7" t="s">
        <v>7464</v>
      </c>
      <c r="E980" s="7" t="s">
        <v>101</v>
      </c>
      <c r="F980" s="7" t="s">
        <v>101</v>
      </c>
      <c r="G980" s="7"/>
      <c r="H980" s="7" t="s">
        <v>102</v>
      </c>
      <c r="I980" s="7" t="s">
        <v>1639</v>
      </c>
      <c r="J980" s="7" t="s">
        <v>104</v>
      </c>
      <c r="K980" s="7" t="s">
        <v>105</v>
      </c>
      <c r="L980" s="7" t="s">
        <v>106</v>
      </c>
      <c r="M980" s="7"/>
      <c r="N980" s="7" t="s">
        <v>7465</v>
      </c>
      <c r="O980" s="7" t="s">
        <v>7465</v>
      </c>
      <c r="P980" s="7" t="s">
        <v>135</v>
      </c>
      <c r="Q980" s="7"/>
      <c r="R980" s="7" t="s">
        <v>109</v>
      </c>
      <c r="S980" s="7" t="s">
        <v>110</v>
      </c>
      <c r="T980" s="7" t="n">
        <v>0.532</v>
      </c>
      <c r="U980" s="7" t="n">
        <v>1</v>
      </c>
      <c r="V980" s="7" t="s">
        <v>90</v>
      </c>
      <c r="W980" s="7"/>
      <c r="X980" s="7"/>
      <c r="Y980" s="7" t="s">
        <v>7465</v>
      </c>
      <c r="Z980" s="7"/>
      <c r="AA980" s="7"/>
      <c r="AB980" s="7"/>
      <c r="AC980" s="7" t="n">
        <v>0</v>
      </c>
      <c r="AD980" s="7" t="s">
        <v>388</v>
      </c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 t="s">
        <v>7466</v>
      </c>
      <c r="BE980" s="7" t="s">
        <v>127</v>
      </c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</row>
    <row r="981" customFormat="false" ht="15" hidden="false" customHeight="false" outlineLevel="0" collapsed="false">
      <c r="A981" s="7" t="s">
        <v>7467</v>
      </c>
      <c r="B981" s="7" t="s">
        <v>7468</v>
      </c>
      <c r="C981" s="7" t="s">
        <v>7469</v>
      </c>
      <c r="D981" s="7" t="s">
        <v>7470</v>
      </c>
      <c r="E981" s="7" t="s">
        <v>101</v>
      </c>
      <c r="F981" s="7" t="s">
        <v>101</v>
      </c>
      <c r="G981" s="7"/>
      <c r="H981" s="7" t="s">
        <v>102</v>
      </c>
      <c r="I981" s="7" t="s">
        <v>132</v>
      </c>
      <c r="J981" s="7" t="s">
        <v>104</v>
      </c>
      <c r="K981" s="7" t="s">
        <v>105</v>
      </c>
      <c r="L981" s="7" t="s">
        <v>106</v>
      </c>
      <c r="M981" s="7"/>
      <c r="N981" s="7" t="s">
        <v>7471</v>
      </c>
      <c r="O981" s="7"/>
      <c r="P981" s="7" t="s">
        <v>135</v>
      </c>
      <c r="Q981" s="7"/>
      <c r="R981" s="7"/>
      <c r="S981" s="7"/>
      <c r="T981" s="7" t="n">
        <v>0.618</v>
      </c>
      <c r="U981" s="7" t="n">
        <v>1</v>
      </c>
      <c r="V981" s="7" t="s">
        <v>90</v>
      </c>
      <c r="W981" s="7" t="s">
        <v>1232</v>
      </c>
      <c r="X981" s="7" t="s">
        <v>283</v>
      </c>
      <c r="Y981" s="7" t="s">
        <v>7471</v>
      </c>
      <c r="Z981" s="7" t="s">
        <v>7472</v>
      </c>
      <c r="AA981" s="7"/>
      <c r="AB981" s="7"/>
      <c r="AC981" s="7"/>
      <c r="AD981" s="7"/>
      <c r="AE981" s="7" t="s">
        <v>779</v>
      </c>
      <c r="AF981" s="7" t="s">
        <v>7473</v>
      </c>
      <c r="AG981" s="7" t="s">
        <v>779</v>
      </c>
      <c r="AH981" s="7" t="s">
        <v>7474</v>
      </c>
      <c r="AI981" s="7" t="s">
        <v>779</v>
      </c>
      <c r="AJ981" s="7" t="s">
        <v>283</v>
      </c>
      <c r="AK981" s="7" t="s">
        <v>779</v>
      </c>
      <c r="AL981" s="7" t="s">
        <v>338</v>
      </c>
      <c r="AM981" s="7"/>
      <c r="AN981" s="7"/>
      <c r="AO981" s="7" t="s">
        <v>779</v>
      </c>
      <c r="AP981" s="7" t="s">
        <v>7475</v>
      </c>
      <c r="AQ981" s="7" t="s">
        <v>779</v>
      </c>
      <c r="AR981" s="7" t="s">
        <v>559</v>
      </c>
      <c r="AS981" s="7" t="s">
        <v>779</v>
      </c>
      <c r="AT981" s="7" t="s">
        <v>559</v>
      </c>
      <c r="AU981" s="7" t="s">
        <v>779</v>
      </c>
      <c r="AV981" s="7" t="s">
        <v>7476</v>
      </c>
      <c r="AW981" s="7" t="s">
        <v>779</v>
      </c>
      <c r="AX981" s="7" t="s">
        <v>326</v>
      </c>
      <c r="AY981" s="7" t="s">
        <v>779</v>
      </c>
      <c r="AZ981" s="7" t="s">
        <v>295</v>
      </c>
      <c r="BA981" s="7"/>
      <c r="BB981" s="7"/>
      <c r="BC981" s="7"/>
      <c r="BD981" s="7"/>
      <c r="BE981" s="7" t="s">
        <v>127</v>
      </c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</row>
    <row r="982" customFormat="false" ht="15" hidden="false" customHeight="false" outlineLevel="0" collapsed="false">
      <c r="A982" s="7" t="s">
        <v>7477</v>
      </c>
      <c r="B982" s="7" t="s">
        <v>7478</v>
      </c>
      <c r="C982" s="7" t="s">
        <v>7479</v>
      </c>
      <c r="D982" s="7" t="s">
        <v>7044</v>
      </c>
      <c r="E982" s="7" t="s">
        <v>101</v>
      </c>
      <c r="F982" s="7" t="s">
        <v>101</v>
      </c>
      <c r="G982" s="7"/>
      <c r="H982" s="7" t="s">
        <v>102</v>
      </c>
      <c r="I982" s="7" t="s">
        <v>132</v>
      </c>
      <c r="J982" s="7" t="s">
        <v>104</v>
      </c>
      <c r="K982" s="7" t="s">
        <v>105</v>
      </c>
      <c r="L982" s="7" t="s">
        <v>106</v>
      </c>
      <c r="M982" s="7"/>
      <c r="N982" s="7" t="s">
        <v>7480</v>
      </c>
      <c r="O982" s="7"/>
      <c r="P982" s="7" t="s">
        <v>135</v>
      </c>
      <c r="Q982" s="7"/>
      <c r="R982" s="7" t="s">
        <v>135</v>
      </c>
      <c r="S982" s="7" t="s">
        <v>136</v>
      </c>
      <c r="T982" s="7" t="n">
        <v>0.721</v>
      </c>
      <c r="U982" s="7" t="n">
        <v>1</v>
      </c>
      <c r="V982" s="7" t="s">
        <v>90</v>
      </c>
      <c r="W982" s="7"/>
      <c r="X982" s="7"/>
      <c r="Y982" s="7" t="s">
        <v>7480</v>
      </c>
      <c r="Z982" s="7"/>
      <c r="AA982" s="7"/>
      <c r="AB982" s="7"/>
      <c r="AC982" s="7" t="n">
        <v>0</v>
      </c>
      <c r="AD982" s="7" t="s">
        <v>388</v>
      </c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 t="s">
        <v>7046</v>
      </c>
      <c r="BE982" s="7" t="s">
        <v>127</v>
      </c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</row>
    <row r="983" customFormat="false" ht="15" hidden="false" customHeight="false" outlineLevel="0" collapsed="false">
      <c r="A983" s="7" t="s">
        <v>7481</v>
      </c>
      <c r="B983" s="7" t="s">
        <v>7482</v>
      </c>
      <c r="C983" s="7" t="s">
        <v>7483</v>
      </c>
      <c r="D983" s="7" t="s">
        <v>3232</v>
      </c>
      <c r="E983" s="7" t="s">
        <v>82</v>
      </c>
      <c r="F983" s="7" t="s">
        <v>82</v>
      </c>
      <c r="G983" s="7" t="s">
        <v>83</v>
      </c>
      <c r="H983" s="7"/>
      <c r="I983" s="7" t="s">
        <v>208</v>
      </c>
      <c r="J983" s="7" t="s">
        <v>104</v>
      </c>
      <c r="K983" s="7" t="s">
        <v>105</v>
      </c>
      <c r="L983" s="7" t="s">
        <v>106</v>
      </c>
      <c r="M983" s="7"/>
      <c r="N983" s="7" t="s">
        <v>7484</v>
      </c>
      <c r="O983" s="7" t="s">
        <v>7484</v>
      </c>
      <c r="P983" s="7" t="s">
        <v>135</v>
      </c>
      <c r="Q983" s="7"/>
      <c r="R983" s="7" t="s">
        <v>109</v>
      </c>
      <c r="S983" s="7" t="s">
        <v>110</v>
      </c>
      <c r="T983" s="7" t="n">
        <v>0.465</v>
      </c>
      <c r="U983" s="7" t="n">
        <v>1</v>
      </c>
      <c r="V983" s="7"/>
      <c r="W983" s="7"/>
      <c r="X983" s="7"/>
      <c r="Y983" s="7" t="s">
        <v>7484</v>
      </c>
      <c r="Z983" s="7"/>
      <c r="AA983" s="7"/>
      <c r="AB983" s="7"/>
      <c r="AC983" s="7" t="n">
        <v>5</v>
      </c>
      <c r="AD983" s="7" t="s">
        <v>7301</v>
      </c>
      <c r="AE983" s="7" t="s">
        <v>3225</v>
      </c>
      <c r="AF983" s="7" t="s">
        <v>7483</v>
      </c>
      <c r="AG983" s="7"/>
      <c r="AH983" s="7"/>
      <c r="AI983" s="7"/>
      <c r="AJ983" s="7"/>
      <c r="AK983" s="7"/>
      <c r="AL983" s="7"/>
      <c r="AM983" s="7" t="s">
        <v>3225</v>
      </c>
      <c r="AN983" s="7" t="s">
        <v>7485</v>
      </c>
      <c r="AO983" s="7" t="s">
        <v>3225</v>
      </c>
      <c r="AP983" s="7" t="s">
        <v>3232</v>
      </c>
      <c r="AQ983" s="7" t="s">
        <v>3225</v>
      </c>
      <c r="AR983" s="7" t="s">
        <v>82</v>
      </c>
      <c r="AS983" s="7"/>
      <c r="AT983" s="7"/>
      <c r="AU983" s="7"/>
      <c r="AV983" s="7"/>
      <c r="AW983" s="7" t="s">
        <v>3225</v>
      </c>
      <c r="AX983" s="7" t="s">
        <v>7484</v>
      </c>
      <c r="AY983" s="7"/>
      <c r="AZ983" s="7"/>
      <c r="BA983" s="7"/>
      <c r="BB983" s="7"/>
      <c r="BC983" s="7"/>
      <c r="BD983" s="7" t="s">
        <v>608</v>
      </c>
      <c r="BE983" s="7" t="s">
        <v>127</v>
      </c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</row>
    <row r="984" customFormat="false" ht="15" hidden="false" customHeight="false" outlineLevel="0" collapsed="false">
      <c r="A984" s="7" t="s">
        <v>7486</v>
      </c>
      <c r="B984" s="7" t="s">
        <v>7487</v>
      </c>
      <c r="C984" s="7" t="s">
        <v>7488</v>
      </c>
      <c r="D984" s="7"/>
      <c r="E984" s="7" t="s">
        <v>101</v>
      </c>
      <c r="F984" s="7" t="s">
        <v>101</v>
      </c>
      <c r="G984" s="7"/>
      <c r="H984" s="7" t="s">
        <v>102</v>
      </c>
      <c r="I984" s="7" t="s">
        <v>132</v>
      </c>
      <c r="J984" s="7" t="s">
        <v>104</v>
      </c>
      <c r="K984" s="7" t="s">
        <v>105</v>
      </c>
      <c r="L984" s="7" t="s">
        <v>106</v>
      </c>
      <c r="M984" s="7"/>
      <c r="N984" s="7" t="s">
        <v>7489</v>
      </c>
      <c r="O984" s="7"/>
      <c r="P984" s="7" t="s">
        <v>135</v>
      </c>
      <c r="Q984" s="7"/>
      <c r="R984" s="7" t="s">
        <v>135</v>
      </c>
      <c r="S984" s="7" t="s">
        <v>136</v>
      </c>
      <c r="T984" s="7" t="n">
        <v>0.317</v>
      </c>
      <c r="U984" s="7" t="n">
        <v>1</v>
      </c>
      <c r="V984" s="7" t="s">
        <v>90</v>
      </c>
      <c r="W984" s="7"/>
      <c r="X984" s="7"/>
      <c r="Y984" s="7" t="s">
        <v>7489</v>
      </c>
      <c r="Z984" s="7"/>
      <c r="AA984" s="7"/>
      <c r="AB984" s="7"/>
      <c r="AC984" s="7" t="n">
        <v>1</v>
      </c>
      <c r="AD984" s="7" t="s">
        <v>3333</v>
      </c>
      <c r="AE984" s="7"/>
      <c r="AF984" s="7"/>
      <c r="AG984" s="7"/>
      <c r="AH984" s="7"/>
      <c r="AI984" s="7"/>
      <c r="AJ984" s="7"/>
      <c r="AK984" s="7" t="s">
        <v>7490</v>
      </c>
      <c r="AL984" s="7" t="s">
        <v>338</v>
      </c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 t="s">
        <v>127</v>
      </c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</row>
    <row r="985" customFormat="false" ht="15" hidden="false" customHeight="false" outlineLevel="0" collapsed="false">
      <c r="A985" s="7" t="s">
        <v>7491</v>
      </c>
      <c r="B985" s="7" t="s">
        <v>7492</v>
      </c>
      <c r="C985" s="7" t="s">
        <v>415</v>
      </c>
      <c r="D985" s="7" t="s">
        <v>426</v>
      </c>
      <c r="E985" s="7" t="s">
        <v>101</v>
      </c>
      <c r="F985" s="7" t="s">
        <v>82</v>
      </c>
      <c r="G985" s="7" t="s">
        <v>7493</v>
      </c>
      <c r="H985" s="7" t="s">
        <v>102</v>
      </c>
      <c r="I985" s="7" t="s">
        <v>132</v>
      </c>
      <c r="J985" s="7" t="s">
        <v>104</v>
      </c>
      <c r="K985" s="7" t="s">
        <v>105</v>
      </c>
      <c r="L985" s="7" t="s">
        <v>106</v>
      </c>
      <c r="M985" s="7" t="s">
        <v>7494</v>
      </c>
      <c r="N985" s="7" t="s">
        <v>420</v>
      </c>
      <c r="O985" s="7" t="s">
        <v>420</v>
      </c>
      <c r="P985" s="7" t="s">
        <v>135</v>
      </c>
      <c r="Q985" s="7"/>
      <c r="R985" s="7" t="s">
        <v>109</v>
      </c>
      <c r="S985" s="7" t="s">
        <v>110</v>
      </c>
      <c r="T985" s="7" t="n">
        <v>0.365</v>
      </c>
      <c r="U985" s="7" t="n">
        <v>1</v>
      </c>
      <c r="V985" s="7" t="s">
        <v>90</v>
      </c>
      <c r="W985" s="7"/>
      <c r="X985" s="7"/>
      <c r="Y985" s="7" t="s">
        <v>420</v>
      </c>
      <c r="Z985" s="7"/>
      <c r="AA985" s="7"/>
      <c r="AB985" s="7"/>
      <c r="AC985" s="7" t="n">
        <v>5</v>
      </c>
      <c r="AD985" s="7" t="s">
        <v>7495</v>
      </c>
      <c r="AE985" s="7" t="s">
        <v>248</v>
      </c>
      <c r="AF985" s="7" t="s">
        <v>7496</v>
      </c>
      <c r="AG985" s="7"/>
      <c r="AH985" s="7"/>
      <c r="AI985" s="7"/>
      <c r="AJ985" s="7"/>
      <c r="AK985" s="7"/>
      <c r="AL985" s="7"/>
      <c r="AM985" s="7" t="s">
        <v>248</v>
      </c>
      <c r="AN985" s="7" t="s">
        <v>425</v>
      </c>
      <c r="AO985" s="7"/>
      <c r="AP985" s="7"/>
      <c r="AQ985" s="7"/>
      <c r="AR985" s="7"/>
      <c r="AS985" s="7"/>
      <c r="AT985" s="7"/>
      <c r="AU985" s="7"/>
      <c r="AV985" s="7"/>
      <c r="AW985" s="7" t="s">
        <v>248</v>
      </c>
      <c r="AX985" s="7" t="s">
        <v>273</v>
      </c>
      <c r="AY985" s="7" t="s">
        <v>248</v>
      </c>
      <c r="AZ985" s="7" t="s">
        <v>124</v>
      </c>
      <c r="BA985" s="7" t="s">
        <v>248</v>
      </c>
      <c r="BB985" s="7" t="s">
        <v>369</v>
      </c>
      <c r="BC985" s="7" t="s">
        <v>125</v>
      </c>
      <c r="BD985" s="7" t="s">
        <v>220</v>
      </c>
      <c r="BE985" s="7" t="s">
        <v>127</v>
      </c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</row>
    <row r="986" customFormat="false" ht="15" hidden="false" customHeight="false" outlineLevel="0" collapsed="false">
      <c r="A986" s="7" t="s">
        <v>7497</v>
      </c>
      <c r="B986" s="7" t="s">
        <v>7498</v>
      </c>
      <c r="C986" s="7" t="s">
        <v>7499</v>
      </c>
      <c r="D986" s="7" t="s">
        <v>7500</v>
      </c>
      <c r="E986" s="7" t="s">
        <v>431</v>
      </c>
      <c r="F986" s="7" t="s">
        <v>431</v>
      </c>
      <c r="G986" s="7"/>
      <c r="H986" s="7" t="s">
        <v>207</v>
      </c>
      <c r="I986" s="7" t="s">
        <v>132</v>
      </c>
      <c r="J986" s="7" t="s">
        <v>104</v>
      </c>
      <c r="K986" s="7" t="s">
        <v>105</v>
      </c>
      <c r="L986" s="7" t="s">
        <v>106</v>
      </c>
      <c r="M986" s="7"/>
      <c r="N986" s="7" t="s">
        <v>3216</v>
      </c>
      <c r="O986" s="7" t="s">
        <v>3216</v>
      </c>
      <c r="P986" s="7" t="s">
        <v>135</v>
      </c>
      <c r="Q986" s="7"/>
      <c r="R986" s="7" t="s">
        <v>109</v>
      </c>
      <c r="S986" s="7" t="s">
        <v>110</v>
      </c>
      <c r="T986" s="7" t="n">
        <v>0.706</v>
      </c>
      <c r="U986" s="7" t="n">
        <v>1</v>
      </c>
      <c r="V986" s="7" t="s">
        <v>90</v>
      </c>
      <c r="W986" s="7"/>
      <c r="X986" s="7"/>
      <c r="Y986" s="7" t="s">
        <v>3216</v>
      </c>
      <c r="Z986" s="7"/>
      <c r="AA986" s="7"/>
      <c r="AB986" s="7"/>
      <c r="AC986" s="7" t="n">
        <v>0</v>
      </c>
      <c r="AD986" s="7" t="s">
        <v>388</v>
      </c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 t="s">
        <v>440</v>
      </c>
      <c r="BE986" s="7" t="s">
        <v>127</v>
      </c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</row>
    <row r="987" customFormat="false" ht="15" hidden="false" customHeight="false" outlineLevel="0" collapsed="false">
      <c r="A987" s="7" t="s">
        <v>7501</v>
      </c>
      <c r="B987" s="7" t="s">
        <v>7502</v>
      </c>
      <c r="C987" s="7" t="s">
        <v>7503</v>
      </c>
      <c r="D987" s="7" t="s">
        <v>7504</v>
      </c>
      <c r="E987" s="7" t="s">
        <v>737</v>
      </c>
      <c r="F987" s="7" t="s">
        <v>737</v>
      </c>
      <c r="G987" s="7"/>
      <c r="H987" s="7" t="s">
        <v>207</v>
      </c>
      <c r="I987" s="7" t="s">
        <v>158</v>
      </c>
      <c r="J987" s="7" t="s">
        <v>104</v>
      </c>
      <c r="K987" s="7" t="s">
        <v>105</v>
      </c>
      <c r="L987" s="7" t="s">
        <v>106</v>
      </c>
      <c r="M987" s="7"/>
      <c r="N987" s="7" t="s">
        <v>5268</v>
      </c>
      <c r="O987" s="7" t="s">
        <v>5268</v>
      </c>
      <c r="P987" s="7" t="s">
        <v>135</v>
      </c>
      <c r="Q987" s="7"/>
      <c r="R987" s="7" t="s">
        <v>109</v>
      </c>
      <c r="S987" s="7" t="s">
        <v>110</v>
      </c>
      <c r="T987" s="7" t="n">
        <v>0.819</v>
      </c>
      <c r="U987" s="7" t="n">
        <v>1</v>
      </c>
      <c r="V987" s="7" t="s">
        <v>90</v>
      </c>
      <c r="W987" s="7"/>
      <c r="X987" s="7"/>
      <c r="Y987" s="7" t="s">
        <v>5268</v>
      </c>
      <c r="Z987" s="7"/>
      <c r="AA987" s="7"/>
      <c r="AB987" s="7"/>
      <c r="AC987" s="7" t="n">
        <v>0</v>
      </c>
      <c r="AD987" s="7" t="s">
        <v>388</v>
      </c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 t="s">
        <v>440</v>
      </c>
      <c r="BE987" s="7" t="s">
        <v>127</v>
      </c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</row>
    <row r="988" customFormat="false" ht="15" hidden="false" customHeight="false" outlineLevel="0" collapsed="false">
      <c r="A988" s="7" t="s">
        <v>7505</v>
      </c>
      <c r="B988" s="7" t="s">
        <v>7506</v>
      </c>
      <c r="C988" s="7" t="s">
        <v>7507</v>
      </c>
      <c r="D988" s="7" t="s">
        <v>7508</v>
      </c>
      <c r="E988" s="7" t="s">
        <v>101</v>
      </c>
      <c r="F988" s="7" t="s">
        <v>101</v>
      </c>
      <c r="G988" s="7"/>
      <c r="H988" s="7" t="s">
        <v>102</v>
      </c>
      <c r="I988" s="7" t="s">
        <v>158</v>
      </c>
      <c r="J988" s="7" t="s">
        <v>104</v>
      </c>
      <c r="K988" s="7" t="s">
        <v>105</v>
      </c>
      <c r="L988" s="7" t="s">
        <v>106</v>
      </c>
      <c r="M988" s="7" t="s">
        <v>384</v>
      </c>
      <c r="N988" s="7" t="s">
        <v>7509</v>
      </c>
      <c r="O988" s="7"/>
      <c r="P988" s="7" t="s">
        <v>109</v>
      </c>
      <c r="Q988" s="7"/>
      <c r="R988" s="7" t="s">
        <v>135</v>
      </c>
      <c r="S988" s="7" t="s">
        <v>136</v>
      </c>
      <c r="T988" s="7" t="n">
        <v>0.62</v>
      </c>
      <c r="U988" s="7" t="n">
        <v>1</v>
      </c>
      <c r="V988" s="7" t="s">
        <v>90</v>
      </c>
      <c r="W988" s="7" t="s">
        <v>386</v>
      </c>
      <c r="X988" s="7" t="s">
        <v>924</v>
      </c>
      <c r="Y988" s="7" t="s">
        <v>7509</v>
      </c>
      <c r="Z988" s="7" t="s">
        <v>7510</v>
      </c>
      <c r="AA988" s="7"/>
      <c r="AB988" s="7"/>
      <c r="AC988" s="7" t="n">
        <v>11</v>
      </c>
      <c r="AD988" s="7" t="s">
        <v>335</v>
      </c>
      <c r="AE988" s="7" t="s">
        <v>248</v>
      </c>
      <c r="AF988" s="7" t="s">
        <v>7511</v>
      </c>
      <c r="AG988" s="7" t="s">
        <v>248</v>
      </c>
      <c r="AH988" s="7" t="s">
        <v>7512</v>
      </c>
      <c r="AI988" s="7"/>
      <c r="AJ988" s="7"/>
      <c r="AK988" s="7" t="s">
        <v>115</v>
      </c>
      <c r="AL988" s="7" t="s">
        <v>291</v>
      </c>
      <c r="AM988" s="7" t="s">
        <v>248</v>
      </c>
      <c r="AN988" s="7" t="s">
        <v>7513</v>
      </c>
      <c r="AO988" s="7" t="s">
        <v>248</v>
      </c>
      <c r="AP988" s="7" t="s">
        <v>7514</v>
      </c>
      <c r="AQ988" s="7" t="s">
        <v>248</v>
      </c>
      <c r="AR988" s="7" t="s">
        <v>7515</v>
      </c>
      <c r="AS988" s="7" t="s">
        <v>248</v>
      </c>
      <c r="AT988" s="7" t="s">
        <v>7516</v>
      </c>
      <c r="AU988" s="7" t="s">
        <v>248</v>
      </c>
      <c r="AV988" s="7" t="s">
        <v>7517</v>
      </c>
      <c r="AW988" s="7" t="s">
        <v>248</v>
      </c>
      <c r="AX988" s="7" t="s">
        <v>7518</v>
      </c>
      <c r="AY988" s="7" t="s">
        <v>248</v>
      </c>
      <c r="AZ988" s="7" t="s">
        <v>7519</v>
      </c>
      <c r="BA988" s="7" t="s">
        <v>248</v>
      </c>
      <c r="BB988" s="7" t="s">
        <v>7520</v>
      </c>
      <c r="BC988" s="7" t="s">
        <v>151</v>
      </c>
      <c r="BD988" s="7"/>
      <c r="BE988" s="7" t="s">
        <v>127</v>
      </c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</row>
    <row r="989" customFormat="false" ht="15" hidden="false" customHeight="false" outlineLevel="0" collapsed="false">
      <c r="A989" s="7" t="s">
        <v>7521</v>
      </c>
      <c r="B989" s="7" t="s">
        <v>7522</v>
      </c>
      <c r="C989" s="7" t="s">
        <v>7523</v>
      </c>
      <c r="D989" s="7" t="s">
        <v>7524</v>
      </c>
      <c r="E989" s="7" t="s">
        <v>737</v>
      </c>
      <c r="F989" s="7" t="s">
        <v>737</v>
      </c>
      <c r="G989" s="7" t="s">
        <v>7525</v>
      </c>
      <c r="H989" s="7"/>
      <c r="I989" s="7" t="s">
        <v>132</v>
      </c>
      <c r="J989" s="7" t="s">
        <v>104</v>
      </c>
      <c r="K989" s="7" t="s">
        <v>105</v>
      </c>
      <c r="L989" s="7" t="s">
        <v>106</v>
      </c>
      <c r="M989" s="7"/>
      <c r="N989" s="7" t="s">
        <v>7526</v>
      </c>
      <c r="O989" s="7" t="s">
        <v>7526</v>
      </c>
      <c r="P989" s="7" t="s">
        <v>135</v>
      </c>
      <c r="Q989" s="7"/>
      <c r="R989" s="7" t="s">
        <v>109</v>
      </c>
      <c r="S989" s="7" t="s">
        <v>110</v>
      </c>
      <c r="T989" s="7" t="n">
        <v>0.611</v>
      </c>
      <c r="U989" s="7" t="n">
        <v>1</v>
      </c>
      <c r="V989" s="7"/>
      <c r="W989" s="7"/>
      <c r="X989" s="7"/>
      <c r="Y989" s="7" t="s">
        <v>7526</v>
      </c>
      <c r="Z989" s="7"/>
      <c r="AA989" s="7"/>
      <c r="AB989" s="7"/>
      <c r="AC989" s="7" t="n">
        <v>4</v>
      </c>
      <c r="AD989" s="7" t="s">
        <v>1376</v>
      </c>
      <c r="AE989" s="7" t="s">
        <v>435</v>
      </c>
      <c r="AF989" s="7" t="s">
        <v>7527</v>
      </c>
      <c r="AG989" s="7"/>
      <c r="AH989" s="7"/>
      <c r="AI989" s="7"/>
      <c r="AJ989" s="7"/>
      <c r="AK989" s="7"/>
      <c r="AL989" s="7"/>
      <c r="AM989" s="7"/>
      <c r="AN989" s="7"/>
      <c r="AO989" s="7" t="s">
        <v>435</v>
      </c>
      <c r="AP989" s="7" t="s">
        <v>7524</v>
      </c>
      <c r="AQ989" s="7" t="s">
        <v>435</v>
      </c>
      <c r="AR989" s="7" t="s">
        <v>737</v>
      </c>
      <c r="AS989" s="7"/>
      <c r="AT989" s="7"/>
      <c r="AU989" s="7"/>
      <c r="AV989" s="7"/>
      <c r="AW989" s="7" t="s">
        <v>435</v>
      </c>
      <c r="AX989" s="7" t="s">
        <v>7526</v>
      </c>
      <c r="AY989" s="7"/>
      <c r="AZ989" s="7"/>
      <c r="BA989" s="7"/>
      <c r="BB989" s="7"/>
      <c r="BC989" s="7"/>
      <c r="BD989" s="7"/>
      <c r="BE989" s="7" t="s">
        <v>127</v>
      </c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</row>
    <row r="990" customFormat="false" ht="15" hidden="false" customHeight="false" outlineLevel="0" collapsed="false">
      <c r="A990" s="7" t="s">
        <v>7528</v>
      </c>
      <c r="B990" s="7" t="s">
        <v>7529</v>
      </c>
      <c r="C990" s="7" t="s">
        <v>7530</v>
      </c>
      <c r="D990" s="7" t="s">
        <v>7531</v>
      </c>
      <c r="E990" s="7" t="s">
        <v>737</v>
      </c>
      <c r="F990" s="7" t="s">
        <v>737</v>
      </c>
      <c r="G990" s="7" t="s">
        <v>7532</v>
      </c>
      <c r="H990" s="7"/>
      <c r="I990" s="7" t="s">
        <v>132</v>
      </c>
      <c r="J990" s="7" t="s">
        <v>104</v>
      </c>
      <c r="K990" s="7" t="s">
        <v>105</v>
      </c>
      <c r="L990" s="7" t="s">
        <v>106</v>
      </c>
      <c r="M990" s="7"/>
      <c r="N990" s="7" t="s">
        <v>7533</v>
      </c>
      <c r="O990" s="7"/>
      <c r="P990" s="7" t="s">
        <v>135</v>
      </c>
      <c r="Q990" s="7"/>
      <c r="R990" s="7" t="s">
        <v>135</v>
      </c>
      <c r="S990" s="7" t="s">
        <v>136</v>
      </c>
      <c r="T990" s="7" t="n">
        <v>0.591</v>
      </c>
      <c r="U990" s="7" t="n">
        <v>1</v>
      </c>
      <c r="V990" s="7"/>
      <c r="W990" s="7"/>
      <c r="X990" s="7"/>
      <c r="Y990" s="7" t="s">
        <v>7533</v>
      </c>
      <c r="Z990" s="7"/>
      <c r="AA990" s="7"/>
      <c r="AB990" s="7"/>
      <c r="AC990" s="7" t="n">
        <v>4</v>
      </c>
      <c r="AD990" s="7" t="s">
        <v>1376</v>
      </c>
      <c r="AE990" s="7" t="s">
        <v>435</v>
      </c>
      <c r="AF990" s="7" t="s">
        <v>7534</v>
      </c>
      <c r="AG990" s="7"/>
      <c r="AH990" s="7"/>
      <c r="AI990" s="7"/>
      <c r="AJ990" s="7"/>
      <c r="AK990" s="7"/>
      <c r="AL990" s="7"/>
      <c r="AM990" s="7"/>
      <c r="AN990" s="7"/>
      <c r="AO990" s="7" t="s">
        <v>435</v>
      </c>
      <c r="AP990" s="7" t="s">
        <v>7531</v>
      </c>
      <c r="AQ990" s="7" t="s">
        <v>435</v>
      </c>
      <c r="AR990" s="7" t="s">
        <v>737</v>
      </c>
      <c r="AS990" s="7"/>
      <c r="AT990" s="7"/>
      <c r="AU990" s="7"/>
      <c r="AV990" s="7"/>
      <c r="AW990" s="7" t="s">
        <v>435</v>
      </c>
      <c r="AX990" s="7" t="s">
        <v>7533</v>
      </c>
      <c r="AY990" s="7"/>
      <c r="AZ990" s="7"/>
      <c r="BA990" s="7"/>
      <c r="BB990" s="7"/>
      <c r="BC990" s="7"/>
      <c r="BD990" s="7"/>
      <c r="BE990" s="7" t="s">
        <v>127</v>
      </c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</row>
    <row r="991" customFormat="false" ht="15" hidden="false" customHeight="false" outlineLevel="0" collapsed="false">
      <c r="A991" s="7" t="s">
        <v>7535</v>
      </c>
      <c r="B991" s="7" t="s">
        <v>7536</v>
      </c>
      <c r="C991" s="7" t="s">
        <v>7537</v>
      </c>
      <c r="D991" s="7" t="s">
        <v>7538</v>
      </c>
      <c r="E991" s="7" t="s">
        <v>737</v>
      </c>
      <c r="F991" s="7" t="s">
        <v>737</v>
      </c>
      <c r="G991" s="7" t="s">
        <v>7539</v>
      </c>
      <c r="H991" s="7"/>
      <c r="I991" s="7" t="s">
        <v>132</v>
      </c>
      <c r="J991" s="7" t="s">
        <v>104</v>
      </c>
      <c r="K991" s="7" t="s">
        <v>105</v>
      </c>
      <c r="L991" s="7" t="s">
        <v>106</v>
      </c>
      <c r="M991" s="7"/>
      <c r="N991" s="7" t="s">
        <v>7540</v>
      </c>
      <c r="O991" s="7"/>
      <c r="P991" s="7" t="s">
        <v>135</v>
      </c>
      <c r="Q991" s="7"/>
      <c r="R991" s="7" t="s">
        <v>135</v>
      </c>
      <c r="S991" s="7" t="s">
        <v>136</v>
      </c>
      <c r="T991" s="7" t="n">
        <v>0.313</v>
      </c>
      <c r="U991" s="7" t="n">
        <v>1</v>
      </c>
      <c r="V991" s="7"/>
      <c r="W991" s="7"/>
      <c r="X991" s="7"/>
      <c r="Y991" s="7" t="s">
        <v>7540</v>
      </c>
      <c r="Z991" s="7"/>
      <c r="AA991" s="7"/>
      <c r="AB991" s="7"/>
      <c r="AC991" s="7" t="n">
        <v>4</v>
      </c>
      <c r="AD991" s="7" t="s">
        <v>1376</v>
      </c>
      <c r="AE991" s="7" t="s">
        <v>435</v>
      </c>
      <c r="AF991" s="7" t="s">
        <v>7541</v>
      </c>
      <c r="AG991" s="7"/>
      <c r="AH991" s="7"/>
      <c r="AI991" s="7"/>
      <c r="AJ991" s="7"/>
      <c r="AK991" s="7"/>
      <c r="AL991" s="7"/>
      <c r="AM991" s="7"/>
      <c r="AN991" s="7"/>
      <c r="AO991" s="7" t="s">
        <v>435</v>
      </c>
      <c r="AP991" s="7" t="s">
        <v>7538</v>
      </c>
      <c r="AQ991" s="7" t="s">
        <v>435</v>
      </c>
      <c r="AR991" s="7" t="s">
        <v>737</v>
      </c>
      <c r="AS991" s="7"/>
      <c r="AT991" s="7"/>
      <c r="AU991" s="7"/>
      <c r="AV991" s="7"/>
      <c r="AW991" s="7" t="s">
        <v>435</v>
      </c>
      <c r="AX991" s="7" t="s">
        <v>7540</v>
      </c>
      <c r="AY991" s="7"/>
      <c r="AZ991" s="7"/>
      <c r="BA991" s="7"/>
      <c r="BB991" s="7"/>
      <c r="BC991" s="7"/>
      <c r="BD991" s="7"/>
      <c r="BE991" s="7" t="s">
        <v>127</v>
      </c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</row>
    <row r="992" customFormat="false" ht="15" hidden="false" customHeight="false" outlineLevel="0" collapsed="false">
      <c r="A992" s="7" t="s">
        <v>7542</v>
      </c>
      <c r="B992" s="7" t="s">
        <v>7543</v>
      </c>
      <c r="C992" s="7" t="s">
        <v>7544</v>
      </c>
      <c r="D992" s="7"/>
      <c r="E992" s="7"/>
      <c r="F992" s="7" t="s">
        <v>444</v>
      </c>
      <c r="G992" s="7"/>
      <c r="H992" s="7"/>
      <c r="I992" s="7" t="s">
        <v>132</v>
      </c>
      <c r="J992" s="7" t="s">
        <v>104</v>
      </c>
      <c r="K992" s="7" t="s">
        <v>105</v>
      </c>
      <c r="L992" s="7" t="s">
        <v>106</v>
      </c>
      <c r="M992" s="7"/>
      <c r="N992" s="7" t="s">
        <v>7545</v>
      </c>
      <c r="O992" s="7"/>
      <c r="P992" s="7" t="s">
        <v>135</v>
      </c>
      <c r="Q992" s="7"/>
      <c r="R992" s="7" t="s">
        <v>135</v>
      </c>
      <c r="S992" s="7" t="s">
        <v>136</v>
      </c>
      <c r="T992" s="7" t="n">
        <v>0.734</v>
      </c>
      <c r="U992" s="7" t="n">
        <v>1</v>
      </c>
      <c r="V992" s="7"/>
      <c r="W992" s="7"/>
      <c r="X992" s="7"/>
      <c r="Y992" s="7" t="s">
        <v>7545</v>
      </c>
      <c r="Z992" s="7"/>
      <c r="AA992" s="7"/>
      <c r="AB992" s="7"/>
      <c r="AC992" s="7" t="n">
        <v>2</v>
      </c>
      <c r="AD992" s="7" t="s">
        <v>7546</v>
      </c>
      <c r="AE992" s="7" t="s">
        <v>435</v>
      </c>
      <c r="AF992" s="7" t="s">
        <v>7547</v>
      </c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 t="s">
        <v>435</v>
      </c>
      <c r="AX992" s="7" t="s">
        <v>7545</v>
      </c>
      <c r="AY992" s="7"/>
      <c r="AZ992" s="7"/>
      <c r="BA992" s="7"/>
      <c r="BB992" s="7"/>
      <c r="BC992" s="7"/>
      <c r="BD992" s="7"/>
      <c r="BE992" s="7" t="s">
        <v>127</v>
      </c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</row>
    <row r="993" customFormat="false" ht="15" hidden="false" customHeight="false" outlineLevel="0" collapsed="false">
      <c r="A993" s="7" t="s">
        <v>7548</v>
      </c>
      <c r="B993" s="7" t="s">
        <v>7549</v>
      </c>
      <c r="C993" s="7" t="s">
        <v>7550</v>
      </c>
      <c r="D993" s="7"/>
      <c r="E993" s="7" t="s">
        <v>101</v>
      </c>
      <c r="F993" s="7" t="s">
        <v>101</v>
      </c>
      <c r="G993" s="7"/>
      <c r="H993" s="7" t="s">
        <v>102</v>
      </c>
      <c r="I993" s="7" t="s">
        <v>132</v>
      </c>
      <c r="J993" s="7" t="s">
        <v>104</v>
      </c>
      <c r="K993" s="7" t="s">
        <v>105</v>
      </c>
      <c r="L993" s="7" t="s">
        <v>106</v>
      </c>
      <c r="M993" s="7"/>
      <c r="N993" s="7" t="s">
        <v>7551</v>
      </c>
      <c r="O993" s="7"/>
      <c r="P993" s="7" t="s">
        <v>135</v>
      </c>
      <c r="Q993" s="7"/>
      <c r="R993" s="7" t="s">
        <v>135</v>
      </c>
      <c r="S993" s="7" t="s">
        <v>136</v>
      </c>
      <c r="T993" s="7" t="n">
        <v>0.199</v>
      </c>
      <c r="U993" s="7" t="n">
        <v>1</v>
      </c>
      <c r="V993" s="7" t="s">
        <v>90</v>
      </c>
      <c r="W993" s="7"/>
      <c r="X993" s="7"/>
      <c r="Y993" s="7" t="s">
        <v>7551</v>
      </c>
      <c r="Z993" s="7"/>
      <c r="AA993" s="7"/>
      <c r="AB993" s="7"/>
      <c r="AC993" s="7" t="n">
        <v>1</v>
      </c>
      <c r="AD993" s="7" t="s">
        <v>3333</v>
      </c>
      <c r="AE993" s="7"/>
      <c r="AF993" s="7"/>
      <c r="AG993" s="7"/>
      <c r="AH993" s="7"/>
      <c r="AI993" s="7"/>
      <c r="AJ993" s="7"/>
      <c r="AK993" s="7" t="s">
        <v>637</v>
      </c>
      <c r="AL993" s="7" t="s">
        <v>338</v>
      </c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 t="s">
        <v>127</v>
      </c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</row>
    <row r="994" customFormat="false" ht="15" hidden="false" customHeight="false" outlineLevel="0" collapsed="false">
      <c r="A994" s="7" t="s">
        <v>7552</v>
      </c>
      <c r="B994" s="7" t="s">
        <v>7553</v>
      </c>
      <c r="C994" s="7" t="s">
        <v>7554</v>
      </c>
      <c r="D994" s="7"/>
      <c r="E994" s="7" t="s">
        <v>101</v>
      </c>
      <c r="F994" s="7" t="s">
        <v>101</v>
      </c>
      <c r="G994" s="7"/>
      <c r="H994" s="7" t="s">
        <v>102</v>
      </c>
      <c r="I994" s="7" t="s">
        <v>132</v>
      </c>
      <c r="J994" s="7" t="s">
        <v>104</v>
      </c>
      <c r="K994" s="7" t="s">
        <v>105</v>
      </c>
      <c r="L994" s="7" t="s">
        <v>106</v>
      </c>
      <c r="M994" s="7"/>
      <c r="N994" s="7" t="s">
        <v>7555</v>
      </c>
      <c r="O994" s="7"/>
      <c r="P994" s="7" t="s">
        <v>135</v>
      </c>
      <c r="Q994" s="7"/>
      <c r="R994" s="7" t="s">
        <v>135</v>
      </c>
      <c r="S994" s="7" t="s">
        <v>136</v>
      </c>
      <c r="T994" s="7" t="n">
        <v>0.217</v>
      </c>
      <c r="U994" s="7" t="n">
        <v>1</v>
      </c>
      <c r="V994" s="7" t="s">
        <v>90</v>
      </c>
      <c r="W994" s="7"/>
      <c r="X994" s="7"/>
      <c r="Y994" s="7" t="s">
        <v>7555</v>
      </c>
      <c r="Z994" s="7"/>
      <c r="AA994" s="7"/>
      <c r="AB994" s="7"/>
      <c r="AC994" s="7" t="n">
        <v>1</v>
      </c>
      <c r="AD994" s="7" t="s">
        <v>3333</v>
      </c>
      <c r="AE994" s="7"/>
      <c r="AF994" s="7"/>
      <c r="AG994" s="7"/>
      <c r="AH994" s="7"/>
      <c r="AI994" s="7"/>
      <c r="AJ994" s="7"/>
      <c r="AK994" s="7" t="s">
        <v>7490</v>
      </c>
      <c r="AL994" s="7" t="s">
        <v>338</v>
      </c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 t="s">
        <v>127</v>
      </c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</row>
    <row r="995" customFormat="false" ht="15" hidden="false" customHeight="false" outlineLevel="0" collapsed="false">
      <c r="A995" s="7" t="s">
        <v>7556</v>
      </c>
      <c r="B995" s="7" t="s">
        <v>4330</v>
      </c>
      <c r="C995" s="7" t="s">
        <v>4331</v>
      </c>
      <c r="D995" s="7" t="s">
        <v>7557</v>
      </c>
      <c r="E995" s="7" t="s">
        <v>101</v>
      </c>
      <c r="F995" s="7" t="s">
        <v>82</v>
      </c>
      <c r="G995" s="7"/>
      <c r="H995" s="7" t="s">
        <v>102</v>
      </c>
      <c r="I995" s="7" t="s">
        <v>132</v>
      </c>
      <c r="J995" s="7" t="s">
        <v>104</v>
      </c>
      <c r="K995" s="7" t="s">
        <v>105</v>
      </c>
      <c r="L995" s="7" t="s">
        <v>106</v>
      </c>
      <c r="M995" s="7" t="s">
        <v>4333</v>
      </c>
      <c r="N995" s="7" t="s">
        <v>7558</v>
      </c>
      <c r="O995" s="7" t="s">
        <v>7558</v>
      </c>
      <c r="P995" s="7" t="s">
        <v>135</v>
      </c>
      <c r="Q995" s="7"/>
      <c r="R995" s="7" t="s">
        <v>84</v>
      </c>
      <c r="S995" s="7" t="s">
        <v>238</v>
      </c>
      <c r="T995" s="7" t="n">
        <v>0.619</v>
      </c>
      <c r="U995" s="7" t="n">
        <v>1</v>
      </c>
      <c r="V995" s="7" t="s">
        <v>90</v>
      </c>
      <c r="W995" s="7" t="s">
        <v>7559</v>
      </c>
      <c r="X995" s="7" t="s">
        <v>658</v>
      </c>
      <c r="Y995" s="7" t="s">
        <v>7558</v>
      </c>
      <c r="Z995" s="7" t="s">
        <v>7560</v>
      </c>
      <c r="AA995" s="7"/>
      <c r="AB995" s="7"/>
      <c r="AC995" s="7" t="n">
        <v>12</v>
      </c>
      <c r="AD995" s="7"/>
      <c r="AE995" s="7" t="s">
        <v>4323</v>
      </c>
      <c r="AF995" s="7" t="s">
        <v>7561</v>
      </c>
      <c r="AG995" s="7" t="s">
        <v>4323</v>
      </c>
      <c r="AH995" s="7" t="s">
        <v>7562</v>
      </c>
      <c r="AI995" s="7" t="s">
        <v>4323</v>
      </c>
      <c r="AJ995" s="7" t="s">
        <v>7563</v>
      </c>
      <c r="AK995" s="7" t="s">
        <v>4323</v>
      </c>
      <c r="AL995" s="7" t="s">
        <v>7564</v>
      </c>
      <c r="AM995" s="7" t="s">
        <v>4323</v>
      </c>
      <c r="AN995" s="7" t="s">
        <v>7565</v>
      </c>
      <c r="AO995" s="7" t="s">
        <v>4323</v>
      </c>
      <c r="AP995" s="7" t="s">
        <v>7557</v>
      </c>
      <c r="AQ995" s="7" t="s">
        <v>4326</v>
      </c>
      <c r="AR995" s="7" t="s">
        <v>910</v>
      </c>
      <c r="AS995" s="7" t="s">
        <v>4326</v>
      </c>
      <c r="AT995" s="7" t="s">
        <v>122</v>
      </c>
      <c r="AU995" s="7" t="s">
        <v>4323</v>
      </c>
      <c r="AV995" s="7" t="s">
        <v>7566</v>
      </c>
      <c r="AW995" s="7" t="s">
        <v>4323</v>
      </c>
      <c r="AX995" s="7" t="s">
        <v>7567</v>
      </c>
      <c r="AY995" s="7" t="s">
        <v>4323</v>
      </c>
      <c r="AZ995" s="7" t="s">
        <v>7568</v>
      </c>
      <c r="BA995" s="7" t="s">
        <v>4323</v>
      </c>
      <c r="BB995" s="7" t="s">
        <v>7569</v>
      </c>
      <c r="BC995" s="7" t="s">
        <v>151</v>
      </c>
      <c r="BD995" s="7" t="s">
        <v>220</v>
      </c>
      <c r="BE995" s="7" t="s">
        <v>127</v>
      </c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</row>
    <row r="996" customFormat="false" ht="15" hidden="false" customHeight="false" outlineLevel="0" collapsed="false">
      <c r="A996" s="7" t="s">
        <v>7570</v>
      </c>
      <c r="B996" s="7" t="s">
        <v>7571</v>
      </c>
      <c r="C996" s="7" t="s">
        <v>7572</v>
      </c>
      <c r="D996" s="7"/>
      <c r="E996" s="7" t="s">
        <v>101</v>
      </c>
      <c r="F996" s="7" t="s">
        <v>101</v>
      </c>
      <c r="G996" s="7"/>
      <c r="H996" s="7" t="s">
        <v>102</v>
      </c>
      <c r="I996" s="7" t="s">
        <v>132</v>
      </c>
      <c r="J996" s="7" t="s">
        <v>104</v>
      </c>
      <c r="K996" s="7" t="s">
        <v>105</v>
      </c>
      <c r="L996" s="7" t="s">
        <v>106</v>
      </c>
      <c r="M996" s="7"/>
      <c r="N996" s="7" t="s">
        <v>7573</v>
      </c>
      <c r="O996" s="7" t="s">
        <v>7573</v>
      </c>
      <c r="P996" s="7" t="s">
        <v>135</v>
      </c>
      <c r="Q996" s="7"/>
      <c r="R996" s="7" t="s">
        <v>109</v>
      </c>
      <c r="S996" s="7" t="s">
        <v>110</v>
      </c>
      <c r="T996" s="7" t="n">
        <v>0.395</v>
      </c>
      <c r="U996" s="7" t="n">
        <v>1</v>
      </c>
      <c r="V996" s="7" t="s">
        <v>90</v>
      </c>
      <c r="W996" s="7"/>
      <c r="X996" s="7"/>
      <c r="Y996" s="7" t="s">
        <v>7573</v>
      </c>
      <c r="Z996" s="7"/>
      <c r="AA996" s="7"/>
      <c r="AB996" s="7"/>
      <c r="AC996" s="7" t="n">
        <v>0</v>
      </c>
      <c r="AD996" s="7" t="s">
        <v>388</v>
      </c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 t="s">
        <v>127</v>
      </c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</row>
    <row r="997" customFormat="false" ht="15" hidden="false" customHeight="false" outlineLevel="0" collapsed="false">
      <c r="A997" s="7" t="s">
        <v>7574</v>
      </c>
      <c r="B997" s="7" t="s">
        <v>7575</v>
      </c>
      <c r="C997" s="7" t="s">
        <v>7576</v>
      </c>
      <c r="D997" s="7"/>
      <c r="E997" s="7" t="s">
        <v>101</v>
      </c>
      <c r="F997" s="7" t="s">
        <v>101</v>
      </c>
      <c r="G997" s="7"/>
      <c r="H997" s="7" t="s">
        <v>102</v>
      </c>
      <c r="I997" s="7" t="s">
        <v>132</v>
      </c>
      <c r="J997" s="7" t="s">
        <v>104</v>
      </c>
      <c r="K997" s="7" t="s">
        <v>105</v>
      </c>
      <c r="L997" s="7" t="s">
        <v>106</v>
      </c>
      <c r="M997" s="7"/>
      <c r="N997" s="7" t="s">
        <v>7577</v>
      </c>
      <c r="O997" s="7" t="s">
        <v>7577</v>
      </c>
      <c r="P997" s="7" t="s">
        <v>135</v>
      </c>
      <c r="Q997" s="7"/>
      <c r="R997" s="7" t="s">
        <v>109</v>
      </c>
      <c r="S997" s="7" t="s">
        <v>110</v>
      </c>
      <c r="T997" s="7" t="n">
        <v>0.294</v>
      </c>
      <c r="U997" s="7" t="n">
        <v>1</v>
      </c>
      <c r="V997" s="7" t="s">
        <v>90</v>
      </c>
      <c r="W997" s="7"/>
      <c r="X997" s="7" t="s">
        <v>497</v>
      </c>
      <c r="Y997" s="7" t="s">
        <v>7577</v>
      </c>
      <c r="Z997" s="7" t="s">
        <v>3775</v>
      </c>
      <c r="AA997" s="7"/>
      <c r="AB997" s="7"/>
      <c r="AC997" s="7" t="n">
        <v>7</v>
      </c>
      <c r="AD997" s="7" t="s">
        <v>7578</v>
      </c>
      <c r="AE997" s="7" t="s">
        <v>7579</v>
      </c>
      <c r="AF997" s="7" t="s">
        <v>7580</v>
      </c>
      <c r="AG997" s="7" t="s">
        <v>7579</v>
      </c>
      <c r="AH997" s="7" t="s">
        <v>7581</v>
      </c>
      <c r="AI997" s="7"/>
      <c r="AJ997" s="7"/>
      <c r="AK997" s="7"/>
      <c r="AL997" s="7"/>
      <c r="AM997" s="7"/>
      <c r="AN997" s="7"/>
      <c r="AO997" s="7" t="s">
        <v>7579</v>
      </c>
      <c r="AP997" s="7" t="s">
        <v>493</v>
      </c>
      <c r="AQ997" s="7" t="s">
        <v>7579</v>
      </c>
      <c r="AR997" s="7" t="s">
        <v>121</v>
      </c>
      <c r="AS997" s="7" t="s">
        <v>7579</v>
      </c>
      <c r="AT997" s="7" t="s">
        <v>250</v>
      </c>
      <c r="AU997" s="7" t="s">
        <v>7579</v>
      </c>
      <c r="AV997" s="7" t="s">
        <v>7582</v>
      </c>
      <c r="AW997" s="7"/>
      <c r="AX997" s="7"/>
      <c r="AY997" s="7" t="s">
        <v>7579</v>
      </c>
      <c r="AZ997" s="7" t="s">
        <v>124</v>
      </c>
      <c r="BA997" s="7"/>
      <c r="BB997" s="7"/>
      <c r="BC997" s="7"/>
      <c r="BD997" s="7"/>
      <c r="BE997" s="7" t="s">
        <v>127</v>
      </c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</row>
    <row r="998" customFormat="false" ht="15" hidden="false" customHeight="false" outlineLevel="0" collapsed="false">
      <c r="A998" s="7" t="s">
        <v>7583</v>
      </c>
      <c r="B998" s="7" t="s">
        <v>7584</v>
      </c>
      <c r="C998" s="7" t="s">
        <v>7585</v>
      </c>
      <c r="D998" s="7" t="s">
        <v>7586</v>
      </c>
      <c r="E998" s="7" t="s">
        <v>410</v>
      </c>
      <c r="F998" s="7" t="s">
        <v>410</v>
      </c>
      <c r="G998" s="7"/>
      <c r="H998" s="7" t="s">
        <v>207</v>
      </c>
      <c r="I998" s="7" t="s">
        <v>158</v>
      </c>
      <c r="J998" s="7" t="s">
        <v>475</v>
      </c>
      <c r="K998" s="7" t="s">
        <v>476</v>
      </c>
      <c r="L998" s="7" t="s">
        <v>106</v>
      </c>
      <c r="M998" s="7"/>
      <c r="N998" s="7" t="s">
        <v>7587</v>
      </c>
      <c r="O998" s="7" t="s">
        <v>7587</v>
      </c>
      <c r="P998" s="7" t="s">
        <v>135</v>
      </c>
      <c r="Q998" s="7"/>
      <c r="R998" s="7" t="s">
        <v>109</v>
      </c>
      <c r="S998" s="7" t="s">
        <v>110</v>
      </c>
      <c r="T998" s="7" t="n">
        <v>0.539</v>
      </c>
      <c r="U998" s="7" t="n">
        <v>1</v>
      </c>
      <c r="V998" s="7" t="s">
        <v>90</v>
      </c>
      <c r="W998" s="7"/>
      <c r="X998" s="7" t="s">
        <v>4254</v>
      </c>
      <c r="Y998" s="7" t="s">
        <v>7587</v>
      </c>
      <c r="Z998" s="7" t="s">
        <v>7588</v>
      </c>
      <c r="AA998" s="7"/>
      <c r="AB998" s="7"/>
      <c r="AC998" s="7" t="n">
        <v>5</v>
      </c>
      <c r="AD998" s="7" t="s">
        <v>743</v>
      </c>
      <c r="AE998" s="7" t="s">
        <v>119</v>
      </c>
      <c r="AF998" s="7" t="s">
        <v>7589</v>
      </c>
      <c r="AG998" s="7" t="s">
        <v>119</v>
      </c>
      <c r="AH998" s="7" t="s">
        <v>4254</v>
      </c>
      <c r="AI998" s="7"/>
      <c r="AJ998" s="7"/>
      <c r="AK998" s="7"/>
      <c r="AL998" s="7"/>
      <c r="AM998" s="7"/>
      <c r="AN998" s="7"/>
      <c r="AO998" s="7" t="s">
        <v>119</v>
      </c>
      <c r="AP998" s="7" t="s">
        <v>7590</v>
      </c>
      <c r="AQ998" s="7" t="s">
        <v>119</v>
      </c>
      <c r="AR998" s="7" t="s">
        <v>410</v>
      </c>
      <c r="AS998" s="7"/>
      <c r="AT998" s="7"/>
      <c r="AU998" s="7"/>
      <c r="AV998" s="7"/>
      <c r="AW998" s="7" t="s">
        <v>119</v>
      </c>
      <c r="AX998" s="7" t="s">
        <v>7587</v>
      </c>
      <c r="AY998" s="7"/>
      <c r="AZ998" s="7"/>
      <c r="BA998" s="7"/>
      <c r="BB998" s="7"/>
      <c r="BC998" s="7"/>
      <c r="BD998" s="7" t="s">
        <v>440</v>
      </c>
      <c r="BE998" s="7" t="s">
        <v>609</v>
      </c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</row>
    <row r="999" customFormat="false" ht="15" hidden="false" customHeight="false" outlineLevel="0" collapsed="false">
      <c r="A999" s="7" t="s">
        <v>7591</v>
      </c>
      <c r="B999" s="7" t="s">
        <v>7592</v>
      </c>
      <c r="C999" s="7" t="s">
        <v>7593</v>
      </c>
      <c r="D999" s="7" t="s">
        <v>7594</v>
      </c>
      <c r="E999" s="7" t="s">
        <v>444</v>
      </c>
      <c r="F999" s="7" t="s">
        <v>444</v>
      </c>
      <c r="G999" s="7"/>
      <c r="H999" s="7"/>
      <c r="I999" s="7" t="s">
        <v>132</v>
      </c>
      <c r="J999" s="7" t="s">
        <v>104</v>
      </c>
      <c r="K999" s="7" t="s">
        <v>105</v>
      </c>
      <c r="L999" s="7" t="s">
        <v>106</v>
      </c>
      <c r="M999" s="7"/>
      <c r="N999" s="7" t="s">
        <v>7595</v>
      </c>
      <c r="O999" s="7"/>
      <c r="P999" s="7" t="s">
        <v>135</v>
      </c>
      <c r="Q999" s="7"/>
      <c r="R999" s="7" t="s">
        <v>135</v>
      </c>
      <c r="S999" s="7" t="s">
        <v>136</v>
      </c>
      <c r="T999" s="7" t="n">
        <v>0.757</v>
      </c>
      <c r="U999" s="7" t="n">
        <v>1</v>
      </c>
      <c r="V999" s="7" t="s">
        <v>90</v>
      </c>
      <c r="W999" s="7"/>
      <c r="X999" s="7" t="s">
        <v>2929</v>
      </c>
      <c r="Y999" s="7" t="s">
        <v>7595</v>
      </c>
      <c r="Z999" s="7"/>
      <c r="AA999" s="7"/>
      <c r="AB999" s="7"/>
      <c r="AC999" s="7" t="n">
        <v>6</v>
      </c>
      <c r="AD999" s="7" t="s">
        <v>1235</v>
      </c>
      <c r="AE999" s="7" t="s">
        <v>744</v>
      </c>
      <c r="AF999" s="7" t="s">
        <v>7593</v>
      </c>
      <c r="AG999" s="7" t="s">
        <v>744</v>
      </c>
      <c r="AH999" s="7" t="s">
        <v>2929</v>
      </c>
      <c r="AI999" s="7"/>
      <c r="AJ999" s="7"/>
      <c r="AK999" s="7"/>
      <c r="AL999" s="7"/>
      <c r="AM999" s="7" t="s">
        <v>744</v>
      </c>
      <c r="AN999" s="7" t="s">
        <v>7596</v>
      </c>
      <c r="AO999" s="7" t="s">
        <v>744</v>
      </c>
      <c r="AP999" s="7" t="s">
        <v>7594</v>
      </c>
      <c r="AQ999" s="7" t="s">
        <v>744</v>
      </c>
      <c r="AR999" s="7" t="s">
        <v>444</v>
      </c>
      <c r="AS999" s="7"/>
      <c r="AT999" s="7"/>
      <c r="AU999" s="7"/>
      <c r="AV999" s="7"/>
      <c r="AW999" s="7" t="s">
        <v>744</v>
      </c>
      <c r="AX999" s="7" t="s">
        <v>7595</v>
      </c>
      <c r="AY999" s="7"/>
      <c r="AZ999" s="7"/>
      <c r="BA999" s="7"/>
      <c r="BB999" s="7"/>
      <c r="BC999" s="7"/>
      <c r="BD999" s="7"/>
      <c r="BE999" s="7" t="s">
        <v>127</v>
      </c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</row>
    <row r="1000" customFormat="false" ht="15" hidden="false" customHeight="false" outlineLevel="0" collapsed="false">
      <c r="A1000" s="7" t="s">
        <v>7597</v>
      </c>
      <c r="B1000" s="7" t="s">
        <v>7598</v>
      </c>
      <c r="C1000" s="7" t="s">
        <v>7599</v>
      </c>
      <c r="D1000" s="7" t="s">
        <v>1823</v>
      </c>
      <c r="E1000" s="7"/>
      <c r="F1000" s="7" t="s">
        <v>101</v>
      </c>
      <c r="G1000" s="7"/>
      <c r="H1000" s="7"/>
      <c r="I1000" s="7" t="s">
        <v>300</v>
      </c>
      <c r="J1000" s="7" t="s">
        <v>104</v>
      </c>
      <c r="K1000" s="7" t="s">
        <v>105</v>
      </c>
      <c r="L1000" s="7" t="s">
        <v>106</v>
      </c>
      <c r="M1000" s="7"/>
      <c r="N1000" s="7" t="s">
        <v>7600</v>
      </c>
      <c r="O1000" s="7"/>
      <c r="P1000" s="7" t="s">
        <v>109</v>
      </c>
      <c r="Q1000" s="7"/>
      <c r="R1000" s="7" t="s">
        <v>135</v>
      </c>
      <c r="S1000" s="7" t="s">
        <v>136</v>
      </c>
      <c r="T1000" s="7" t="n">
        <v>0.277</v>
      </c>
      <c r="U1000" s="7" t="n">
        <v>1</v>
      </c>
      <c r="V1000" s="7" t="s">
        <v>86</v>
      </c>
      <c r="W1000" s="7"/>
      <c r="X1000" s="7" t="s">
        <v>7601</v>
      </c>
      <c r="Y1000" s="7" t="s">
        <v>7600</v>
      </c>
      <c r="Z1000" s="7"/>
      <c r="AA1000" s="7"/>
      <c r="AB1000" s="7"/>
      <c r="AC1000" s="7" t="n">
        <v>5</v>
      </c>
      <c r="AD1000" s="7" t="s">
        <v>1897</v>
      </c>
      <c r="AE1000" s="7" t="s">
        <v>189</v>
      </c>
      <c r="AF1000" s="7" t="s">
        <v>7602</v>
      </c>
      <c r="AG1000" s="7" t="s">
        <v>189</v>
      </c>
      <c r="AH1000" s="7" t="s">
        <v>7603</v>
      </c>
      <c r="AI1000" s="7"/>
      <c r="AJ1000" s="7"/>
      <c r="AK1000" s="7"/>
      <c r="AL1000" s="7"/>
      <c r="AM1000" s="7" t="s">
        <v>189</v>
      </c>
      <c r="AN1000" s="7" t="s">
        <v>7604</v>
      </c>
      <c r="AO1000" s="7" t="s">
        <v>744</v>
      </c>
      <c r="AP1000" s="7" t="s">
        <v>1823</v>
      </c>
      <c r="AQ1000" s="7"/>
      <c r="AR1000" s="7"/>
      <c r="AS1000" s="7"/>
      <c r="AT1000" s="7"/>
      <c r="AU1000" s="7"/>
      <c r="AV1000" s="7"/>
      <c r="AW1000" s="7" t="s">
        <v>744</v>
      </c>
      <c r="AX1000" s="7" t="s">
        <v>7600</v>
      </c>
      <c r="AY1000" s="7"/>
      <c r="AZ1000" s="7"/>
      <c r="BA1000" s="7"/>
      <c r="BB1000" s="7"/>
      <c r="BC1000" s="7"/>
      <c r="BD1000" s="7" t="s">
        <v>1826</v>
      </c>
      <c r="BE1000" s="7" t="s">
        <v>127</v>
      </c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</row>
    <row r="1001" customFormat="false" ht="15" hidden="false" customHeight="false" outlineLevel="0" collapsed="false">
      <c r="A1001" s="7" t="s">
        <v>7605</v>
      </c>
      <c r="B1001" s="7" t="s">
        <v>7606</v>
      </c>
      <c r="C1001" s="7" t="s">
        <v>7607</v>
      </c>
      <c r="D1001" s="7" t="s">
        <v>7608</v>
      </c>
      <c r="E1001" s="7"/>
      <c r="F1001" s="7" t="s">
        <v>101</v>
      </c>
      <c r="G1001" s="7"/>
      <c r="H1001" s="7"/>
      <c r="I1001" s="7" t="s">
        <v>158</v>
      </c>
      <c r="J1001" s="7" t="s">
        <v>104</v>
      </c>
      <c r="K1001" s="7" t="s">
        <v>105</v>
      </c>
      <c r="L1001" s="7" t="s">
        <v>106</v>
      </c>
      <c r="M1001" s="7"/>
      <c r="N1001" s="7" t="s">
        <v>7609</v>
      </c>
      <c r="O1001" s="7" t="s">
        <v>7609</v>
      </c>
      <c r="P1001" s="7" t="s">
        <v>135</v>
      </c>
      <c r="Q1001" s="7"/>
      <c r="R1001" s="7" t="s">
        <v>109</v>
      </c>
      <c r="S1001" s="7" t="s">
        <v>110</v>
      </c>
      <c r="T1001" s="7" t="n">
        <v>0.29</v>
      </c>
      <c r="U1001" s="7" t="n">
        <v>1</v>
      </c>
      <c r="V1001" s="7" t="s">
        <v>1717</v>
      </c>
      <c r="W1001" s="7"/>
      <c r="X1001" s="7" t="s">
        <v>7610</v>
      </c>
      <c r="Y1001" s="7" t="s">
        <v>7609</v>
      </c>
      <c r="Z1001" s="7"/>
      <c r="AA1001" s="7"/>
      <c r="AB1001" s="7"/>
      <c r="AC1001" s="7" t="n">
        <v>4</v>
      </c>
      <c r="AD1001" s="7" t="s">
        <v>7611</v>
      </c>
      <c r="AE1001" s="7" t="s">
        <v>744</v>
      </c>
      <c r="AF1001" s="7" t="s">
        <v>7607</v>
      </c>
      <c r="AG1001" s="7" t="s">
        <v>744</v>
      </c>
      <c r="AH1001" s="7" t="s">
        <v>7612</v>
      </c>
      <c r="AI1001" s="7"/>
      <c r="AJ1001" s="7"/>
      <c r="AK1001" s="7"/>
      <c r="AL1001" s="7"/>
      <c r="AM1001" s="7"/>
      <c r="AN1001" s="7"/>
      <c r="AO1001" s="7" t="s">
        <v>744</v>
      </c>
      <c r="AP1001" s="7" t="s">
        <v>7608</v>
      </c>
      <c r="AQ1001" s="7"/>
      <c r="AR1001" s="7"/>
      <c r="AS1001" s="7"/>
      <c r="AT1001" s="7"/>
      <c r="AU1001" s="7"/>
      <c r="AV1001" s="7"/>
      <c r="AW1001" s="7" t="s">
        <v>744</v>
      </c>
      <c r="AX1001" s="7" t="s">
        <v>7609</v>
      </c>
      <c r="AY1001" s="7"/>
      <c r="AZ1001" s="7"/>
      <c r="BA1001" s="7"/>
      <c r="BB1001" s="7"/>
      <c r="BC1001" s="7"/>
      <c r="BD1001" s="7"/>
      <c r="BE1001" s="7" t="s">
        <v>127</v>
      </c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</row>
    <row r="1002" customFormat="false" ht="15" hidden="false" customHeight="false" outlineLevel="0" collapsed="false">
      <c r="A1002" s="7" t="s">
        <v>7613</v>
      </c>
      <c r="B1002" s="7" t="s">
        <v>7614</v>
      </c>
      <c r="C1002" s="7" t="s">
        <v>7615</v>
      </c>
      <c r="D1002" s="7" t="s">
        <v>7616</v>
      </c>
      <c r="E1002" s="7"/>
      <c r="F1002" s="7" t="s">
        <v>101</v>
      </c>
      <c r="G1002" s="7"/>
      <c r="H1002" s="7"/>
      <c r="I1002" s="7" t="s">
        <v>132</v>
      </c>
      <c r="J1002" s="7" t="s">
        <v>104</v>
      </c>
      <c r="K1002" s="7" t="s">
        <v>105</v>
      </c>
      <c r="L1002" s="7" t="s">
        <v>106</v>
      </c>
      <c r="M1002" s="7"/>
      <c r="N1002" s="7" t="s">
        <v>7617</v>
      </c>
      <c r="O1002" s="7"/>
      <c r="P1002" s="7" t="s">
        <v>109</v>
      </c>
      <c r="Q1002" s="7"/>
      <c r="R1002" s="7" t="s">
        <v>135</v>
      </c>
      <c r="S1002" s="7" t="s">
        <v>136</v>
      </c>
      <c r="T1002" s="7" t="n">
        <v>0.312</v>
      </c>
      <c r="U1002" s="7" t="n">
        <v>1</v>
      </c>
      <c r="V1002" s="7" t="s">
        <v>1717</v>
      </c>
      <c r="W1002" s="7"/>
      <c r="X1002" s="7" t="s">
        <v>7618</v>
      </c>
      <c r="Y1002" s="7" t="s">
        <v>7617</v>
      </c>
      <c r="Z1002" s="7"/>
      <c r="AA1002" s="7"/>
      <c r="AB1002" s="7"/>
      <c r="AC1002" s="7" t="n">
        <v>5</v>
      </c>
      <c r="AD1002" s="7" t="s">
        <v>1897</v>
      </c>
      <c r="AE1002" s="7" t="s">
        <v>744</v>
      </c>
      <c r="AF1002" s="7" t="s">
        <v>7615</v>
      </c>
      <c r="AG1002" s="7" t="s">
        <v>744</v>
      </c>
      <c r="AH1002" s="7" t="s">
        <v>7618</v>
      </c>
      <c r="AI1002" s="7"/>
      <c r="AJ1002" s="7"/>
      <c r="AK1002" s="7"/>
      <c r="AL1002" s="7"/>
      <c r="AM1002" s="7" t="s">
        <v>744</v>
      </c>
      <c r="AN1002" s="7" t="s">
        <v>7619</v>
      </c>
      <c r="AO1002" s="7" t="s">
        <v>744</v>
      </c>
      <c r="AP1002" s="7" t="s">
        <v>7616</v>
      </c>
      <c r="AQ1002" s="7"/>
      <c r="AR1002" s="7"/>
      <c r="AS1002" s="7"/>
      <c r="AT1002" s="7"/>
      <c r="AU1002" s="7"/>
      <c r="AV1002" s="7"/>
      <c r="AW1002" s="7" t="s">
        <v>744</v>
      </c>
      <c r="AX1002" s="7" t="s">
        <v>7617</v>
      </c>
      <c r="AY1002" s="7"/>
      <c r="AZ1002" s="7"/>
      <c r="BA1002" s="7"/>
      <c r="BB1002" s="7"/>
      <c r="BC1002" s="7"/>
      <c r="BD1002" s="7"/>
      <c r="BE1002" s="7" t="s">
        <v>127</v>
      </c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</row>
    <row r="1003" customFormat="false" ht="15" hidden="false" customHeight="false" outlineLevel="0" collapsed="false">
      <c r="A1003" s="7" t="s">
        <v>7620</v>
      </c>
      <c r="B1003" s="7" t="s">
        <v>7621</v>
      </c>
      <c r="C1003" s="7" t="s">
        <v>7622</v>
      </c>
      <c r="D1003" s="7" t="s">
        <v>7623</v>
      </c>
      <c r="E1003" s="7"/>
      <c r="F1003" s="7" t="s">
        <v>101</v>
      </c>
      <c r="G1003" s="7"/>
      <c r="H1003" s="7"/>
      <c r="I1003" s="7" t="s">
        <v>1726</v>
      </c>
      <c r="J1003" s="7" t="s">
        <v>104</v>
      </c>
      <c r="K1003" s="7" t="s">
        <v>105</v>
      </c>
      <c r="L1003" s="7" t="s">
        <v>106</v>
      </c>
      <c r="M1003" s="7"/>
      <c r="N1003" s="7" t="s">
        <v>7624</v>
      </c>
      <c r="O1003" s="7"/>
      <c r="P1003" s="7" t="s">
        <v>109</v>
      </c>
      <c r="Q1003" s="7"/>
      <c r="R1003" s="7" t="s">
        <v>135</v>
      </c>
      <c r="S1003" s="7" t="s">
        <v>136</v>
      </c>
      <c r="T1003" s="7" t="n">
        <v>0.372</v>
      </c>
      <c r="U1003" s="7" t="n">
        <v>1</v>
      </c>
      <c r="V1003" s="7" t="s">
        <v>86</v>
      </c>
      <c r="W1003" s="7"/>
      <c r="X1003" s="7" t="s">
        <v>7625</v>
      </c>
      <c r="Y1003" s="7" t="s">
        <v>7624</v>
      </c>
      <c r="Z1003" s="7"/>
      <c r="AA1003" s="7"/>
      <c r="AB1003" s="7"/>
      <c r="AC1003" s="7" t="n">
        <v>4</v>
      </c>
      <c r="AD1003" s="7" t="s">
        <v>7611</v>
      </c>
      <c r="AE1003" s="7" t="s">
        <v>744</v>
      </c>
      <c r="AF1003" s="7" t="s">
        <v>7622</v>
      </c>
      <c r="AG1003" s="7" t="s">
        <v>744</v>
      </c>
      <c r="AH1003" s="7" t="s">
        <v>7625</v>
      </c>
      <c r="AI1003" s="7"/>
      <c r="AJ1003" s="7"/>
      <c r="AK1003" s="7"/>
      <c r="AL1003" s="7"/>
      <c r="AM1003" s="7"/>
      <c r="AN1003" s="7"/>
      <c r="AO1003" s="7" t="s">
        <v>744</v>
      </c>
      <c r="AP1003" s="7" t="s">
        <v>7623</v>
      </c>
      <c r="AQ1003" s="7"/>
      <c r="AR1003" s="7"/>
      <c r="AS1003" s="7"/>
      <c r="AT1003" s="7"/>
      <c r="AU1003" s="7"/>
      <c r="AV1003" s="7"/>
      <c r="AW1003" s="7" t="s">
        <v>744</v>
      </c>
      <c r="AX1003" s="7" t="s">
        <v>7624</v>
      </c>
      <c r="AY1003" s="7"/>
      <c r="AZ1003" s="7"/>
      <c r="BA1003" s="7"/>
      <c r="BB1003" s="7"/>
      <c r="BC1003" s="7"/>
      <c r="BD1003" s="7"/>
      <c r="BE1003" s="7" t="s">
        <v>127</v>
      </c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</row>
    <row r="1004" customFormat="false" ht="15" hidden="false" customHeight="false" outlineLevel="0" collapsed="false">
      <c r="A1004" s="7" t="s">
        <v>7626</v>
      </c>
      <c r="B1004" s="7" t="s">
        <v>7627</v>
      </c>
      <c r="C1004" s="7" t="s">
        <v>7628</v>
      </c>
      <c r="D1004" s="7" t="s">
        <v>7629</v>
      </c>
      <c r="E1004" s="7" t="s">
        <v>431</v>
      </c>
      <c r="F1004" s="7" t="s">
        <v>431</v>
      </c>
      <c r="G1004" s="7" t="s">
        <v>7630</v>
      </c>
      <c r="H1004" s="7"/>
      <c r="I1004" s="7" t="s">
        <v>132</v>
      </c>
      <c r="J1004" s="7" t="s">
        <v>104</v>
      </c>
      <c r="K1004" s="7" t="s">
        <v>105</v>
      </c>
      <c r="L1004" s="7" t="s">
        <v>106</v>
      </c>
      <c r="M1004" s="7"/>
      <c r="N1004" s="7" t="s">
        <v>7631</v>
      </c>
      <c r="O1004" s="7"/>
      <c r="P1004" s="7" t="s">
        <v>109</v>
      </c>
      <c r="Q1004" s="7"/>
      <c r="R1004" s="7" t="s">
        <v>135</v>
      </c>
      <c r="S1004" s="7" t="s">
        <v>136</v>
      </c>
      <c r="T1004" s="7" t="n">
        <v>0.545</v>
      </c>
      <c r="U1004" s="7" t="n">
        <v>1</v>
      </c>
      <c r="V1004" s="7" t="s">
        <v>86</v>
      </c>
      <c r="W1004" s="7"/>
      <c r="X1004" s="7" t="s">
        <v>7632</v>
      </c>
      <c r="Y1004" s="7" t="s">
        <v>7631</v>
      </c>
      <c r="Z1004" s="7"/>
      <c r="AA1004" s="7"/>
      <c r="AB1004" s="7"/>
      <c r="AC1004" s="7" t="n">
        <v>5</v>
      </c>
      <c r="AD1004" s="7" t="s">
        <v>743</v>
      </c>
      <c r="AE1004" s="7" t="s">
        <v>744</v>
      </c>
      <c r="AF1004" s="7" t="s">
        <v>7628</v>
      </c>
      <c r="AG1004" s="7" t="s">
        <v>744</v>
      </c>
      <c r="AH1004" s="7" t="s">
        <v>7632</v>
      </c>
      <c r="AI1004" s="7"/>
      <c r="AJ1004" s="7"/>
      <c r="AK1004" s="7"/>
      <c r="AL1004" s="7"/>
      <c r="AM1004" s="7"/>
      <c r="AN1004" s="7"/>
      <c r="AO1004" s="7" t="s">
        <v>744</v>
      </c>
      <c r="AP1004" s="7" t="s">
        <v>7629</v>
      </c>
      <c r="AQ1004" s="7" t="s">
        <v>744</v>
      </c>
      <c r="AR1004" s="7" t="s">
        <v>431</v>
      </c>
      <c r="AS1004" s="7"/>
      <c r="AT1004" s="7"/>
      <c r="AU1004" s="7"/>
      <c r="AV1004" s="7"/>
      <c r="AW1004" s="7" t="s">
        <v>744</v>
      </c>
      <c r="AX1004" s="7" t="s">
        <v>7631</v>
      </c>
      <c r="AY1004" s="7"/>
      <c r="AZ1004" s="7"/>
      <c r="BA1004" s="7"/>
      <c r="BB1004" s="7"/>
      <c r="BC1004" s="7"/>
      <c r="BD1004" s="7"/>
      <c r="BE1004" s="7" t="s">
        <v>127</v>
      </c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</row>
    <row r="1005" customFormat="false" ht="15" hidden="false" customHeight="false" outlineLevel="0" collapsed="false">
      <c r="A1005" s="7" t="s">
        <v>7633</v>
      </c>
      <c r="B1005" s="7" t="s">
        <v>7634</v>
      </c>
      <c r="C1005" s="7" t="s">
        <v>7635</v>
      </c>
      <c r="D1005" s="7" t="s">
        <v>7636</v>
      </c>
      <c r="E1005" s="7" t="s">
        <v>7637</v>
      </c>
      <c r="F1005" s="7" t="s">
        <v>101</v>
      </c>
      <c r="G1005" s="7"/>
      <c r="H1005" s="7"/>
      <c r="I1005" s="7" t="s">
        <v>132</v>
      </c>
      <c r="J1005" s="7" t="s">
        <v>104</v>
      </c>
      <c r="K1005" s="7" t="s">
        <v>105</v>
      </c>
      <c r="L1005" s="7" t="s">
        <v>106</v>
      </c>
      <c r="M1005" s="7"/>
      <c r="N1005" s="7" t="s">
        <v>7638</v>
      </c>
      <c r="O1005" s="7"/>
      <c r="P1005" s="7" t="s">
        <v>109</v>
      </c>
      <c r="Q1005" s="7"/>
      <c r="R1005" s="7" t="s">
        <v>135</v>
      </c>
      <c r="S1005" s="7" t="s">
        <v>136</v>
      </c>
      <c r="T1005" s="7" t="n">
        <v>0.295</v>
      </c>
      <c r="U1005" s="7" t="n">
        <v>1</v>
      </c>
      <c r="V1005" s="7" t="s">
        <v>86</v>
      </c>
      <c r="W1005" s="7"/>
      <c r="X1005" s="7" t="s">
        <v>7639</v>
      </c>
      <c r="Y1005" s="7" t="s">
        <v>7638</v>
      </c>
      <c r="Z1005" s="7"/>
      <c r="AA1005" s="7"/>
      <c r="AB1005" s="7"/>
      <c r="AC1005" s="7" t="n">
        <v>6</v>
      </c>
      <c r="AD1005" s="7" t="s">
        <v>1235</v>
      </c>
      <c r="AE1005" s="7" t="s">
        <v>744</v>
      </c>
      <c r="AF1005" s="7" t="s">
        <v>7635</v>
      </c>
      <c r="AG1005" s="7" t="s">
        <v>744</v>
      </c>
      <c r="AH1005" s="7" t="s">
        <v>7639</v>
      </c>
      <c r="AI1005" s="7"/>
      <c r="AJ1005" s="7"/>
      <c r="AK1005" s="7"/>
      <c r="AL1005" s="7"/>
      <c r="AM1005" s="7" t="s">
        <v>744</v>
      </c>
      <c r="AN1005" s="7" t="s">
        <v>7640</v>
      </c>
      <c r="AO1005" s="7" t="s">
        <v>744</v>
      </c>
      <c r="AP1005" s="7" t="s">
        <v>7636</v>
      </c>
      <c r="AQ1005" s="7" t="s">
        <v>744</v>
      </c>
      <c r="AR1005" s="7" t="s">
        <v>7637</v>
      </c>
      <c r="AS1005" s="7"/>
      <c r="AT1005" s="7"/>
      <c r="AU1005" s="7"/>
      <c r="AV1005" s="7"/>
      <c r="AW1005" s="7" t="s">
        <v>744</v>
      </c>
      <c r="AX1005" s="7" t="s">
        <v>7638</v>
      </c>
      <c r="AY1005" s="7"/>
      <c r="AZ1005" s="7"/>
      <c r="BA1005" s="7"/>
      <c r="BB1005" s="7"/>
      <c r="BC1005" s="7"/>
      <c r="BD1005" s="7"/>
      <c r="BE1005" s="7" t="s">
        <v>127</v>
      </c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</row>
    <row r="1006" customFormat="false" ht="15" hidden="false" customHeight="false" outlineLevel="0" collapsed="false">
      <c r="A1006" s="7" t="s">
        <v>7641</v>
      </c>
      <c r="B1006" s="7" t="s">
        <v>7642</v>
      </c>
      <c r="C1006" s="7" t="s">
        <v>7643</v>
      </c>
      <c r="D1006" s="7" t="s">
        <v>7644</v>
      </c>
      <c r="E1006" s="7"/>
      <c r="F1006" s="7" t="s">
        <v>101</v>
      </c>
      <c r="G1006" s="7"/>
      <c r="H1006" s="7"/>
      <c r="I1006" s="7" t="s">
        <v>374</v>
      </c>
      <c r="J1006" s="7" t="s">
        <v>104</v>
      </c>
      <c r="K1006" s="7" t="s">
        <v>105</v>
      </c>
      <c r="L1006" s="7" t="s">
        <v>106</v>
      </c>
      <c r="M1006" s="7"/>
      <c r="N1006" s="7" t="s">
        <v>7645</v>
      </c>
      <c r="O1006" s="7"/>
      <c r="P1006" s="7" t="s">
        <v>109</v>
      </c>
      <c r="Q1006" s="7"/>
      <c r="R1006" s="7" t="s">
        <v>135</v>
      </c>
      <c r="S1006" s="7" t="s">
        <v>136</v>
      </c>
      <c r="T1006" s="7" t="n">
        <v>0.142</v>
      </c>
      <c r="U1006" s="7" t="n">
        <v>1</v>
      </c>
      <c r="V1006" s="7" t="s">
        <v>86</v>
      </c>
      <c r="W1006" s="7"/>
      <c r="X1006" s="7" t="s">
        <v>7646</v>
      </c>
      <c r="Y1006" s="7" t="s">
        <v>7645</v>
      </c>
      <c r="Z1006" s="7"/>
      <c r="AA1006" s="7"/>
      <c r="AB1006" s="7"/>
      <c r="AC1006" s="7" t="n">
        <v>5</v>
      </c>
      <c r="AD1006" s="7" t="s">
        <v>1897</v>
      </c>
      <c r="AE1006" s="7" t="s">
        <v>189</v>
      </c>
      <c r="AF1006" s="7" t="s">
        <v>7647</v>
      </c>
      <c r="AG1006" s="7" t="s">
        <v>189</v>
      </c>
      <c r="AH1006" s="7" t="s">
        <v>7648</v>
      </c>
      <c r="AI1006" s="7"/>
      <c r="AJ1006" s="7"/>
      <c r="AK1006" s="7"/>
      <c r="AL1006" s="7"/>
      <c r="AM1006" s="7" t="s">
        <v>189</v>
      </c>
      <c r="AN1006" s="7" t="s">
        <v>7649</v>
      </c>
      <c r="AO1006" s="7" t="s">
        <v>189</v>
      </c>
      <c r="AP1006" s="7" t="s">
        <v>7650</v>
      </c>
      <c r="AQ1006" s="7"/>
      <c r="AR1006" s="7"/>
      <c r="AS1006" s="7"/>
      <c r="AT1006" s="7"/>
      <c r="AU1006" s="7"/>
      <c r="AV1006" s="7"/>
      <c r="AW1006" s="7" t="s">
        <v>189</v>
      </c>
      <c r="AX1006" s="7" t="s">
        <v>7651</v>
      </c>
      <c r="AY1006" s="7"/>
      <c r="AZ1006" s="7"/>
      <c r="BA1006" s="7"/>
      <c r="BB1006" s="7"/>
      <c r="BC1006" s="7"/>
      <c r="BD1006" s="7"/>
      <c r="BE1006" s="7" t="s">
        <v>127</v>
      </c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</row>
    <row r="1007" customFormat="false" ht="15" hidden="false" customHeight="false" outlineLevel="0" collapsed="false">
      <c r="A1007" s="7" t="s">
        <v>7652</v>
      </c>
      <c r="B1007" s="7" t="s">
        <v>7653</v>
      </c>
      <c r="C1007" s="7" t="s">
        <v>7654</v>
      </c>
      <c r="D1007" s="7" t="s">
        <v>7655</v>
      </c>
      <c r="E1007" s="7" t="s">
        <v>7656</v>
      </c>
      <c r="F1007" s="7" t="s">
        <v>101</v>
      </c>
      <c r="G1007" s="7"/>
      <c r="H1007" s="7"/>
      <c r="I1007" s="7" t="s">
        <v>300</v>
      </c>
      <c r="J1007" s="7" t="s">
        <v>104</v>
      </c>
      <c r="K1007" s="7" t="s">
        <v>105</v>
      </c>
      <c r="L1007" s="7" t="s">
        <v>106</v>
      </c>
      <c r="M1007" s="7"/>
      <c r="N1007" s="7" t="s">
        <v>7657</v>
      </c>
      <c r="O1007" s="7"/>
      <c r="P1007" s="7" t="s">
        <v>109</v>
      </c>
      <c r="Q1007" s="7"/>
      <c r="R1007" s="7" t="s">
        <v>135</v>
      </c>
      <c r="S1007" s="7" t="s">
        <v>136</v>
      </c>
      <c r="T1007" s="7" t="n">
        <v>0.43</v>
      </c>
      <c r="U1007" s="7" t="n">
        <v>1</v>
      </c>
      <c r="V1007" s="7" t="s">
        <v>86</v>
      </c>
      <c r="W1007" s="7"/>
      <c r="X1007" s="7" t="s">
        <v>7658</v>
      </c>
      <c r="Y1007" s="7" t="s">
        <v>7657</v>
      </c>
      <c r="Z1007" s="7"/>
      <c r="AA1007" s="7"/>
      <c r="AB1007" s="7"/>
      <c r="AC1007" s="7" t="n">
        <v>6</v>
      </c>
      <c r="AD1007" s="7" t="s">
        <v>1235</v>
      </c>
      <c r="AE1007" s="7" t="s">
        <v>744</v>
      </c>
      <c r="AF1007" s="7" t="s">
        <v>7654</v>
      </c>
      <c r="AG1007" s="7" t="s">
        <v>744</v>
      </c>
      <c r="AH1007" s="7" t="s">
        <v>7658</v>
      </c>
      <c r="AI1007" s="7"/>
      <c r="AJ1007" s="7"/>
      <c r="AK1007" s="7"/>
      <c r="AL1007" s="7"/>
      <c r="AM1007" s="7" t="s">
        <v>744</v>
      </c>
      <c r="AN1007" s="7" t="s">
        <v>7659</v>
      </c>
      <c r="AO1007" s="7" t="s">
        <v>744</v>
      </c>
      <c r="AP1007" s="7" t="s">
        <v>7655</v>
      </c>
      <c r="AQ1007" s="7" t="s">
        <v>744</v>
      </c>
      <c r="AR1007" s="7" t="s">
        <v>7656</v>
      </c>
      <c r="AS1007" s="7"/>
      <c r="AT1007" s="7"/>
      <c r="AU1007" s="7"/>
      <c r="AV1007" s="7"/>
      <c r="AW1007" s="7" t="s">
        <v>744</v>
      </c>
      <c r="AX1007" s="7" t="s">
        <v>7657</v>
      </c>
      <c r="AY1007" s="7"/>
      <c r="AZ1007" s="7"/>
      <c r="BA1007" s="7"/>
      <c r="BB1007" s="7"/>
      <c r="BC1007" s="7"/>
      <c r="BD1007" s="7"/>
      <c r="BE1007" s="7" t="s">
        <v>127</v>
      </c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</row>
    <row r="1008" customFormat="false" ht="15" hidden="false" customHeight="false" outlineLevel="0" collapsed="false">
      <c r="A1008" s="7" t="s">
        <v>7660</v>
      </c>
      <c r="B1008" s="7" t="s">
        <v>7661</v>
      </c>
      <c r="C1008" s="7" t="s">
        <v>7662</v>
      </c>
      <c r="D1008" s="7" t="s">
        <v>1230</v>
      </c>
      <c r="E1008" s="7"/>
      <c r="F1008" s="7" t="s">
        <v>101</v>
      </c>
      <c r="G1008" s="7"/>
      <c r="H1008" s="7"/>
      <c r="I1008" s="7" t="s">
        <v>132</v>
      </c>
      <c r="J1008" s="7" t="s">
        <v>104</v>
      </c>
      <c r="K1008" s="7" t="s">
        <v>105</v>
      </c>
      <c r="L1008" s="7" t="s">
        <v>106</v>
      </c>
      <c r="M1008" s="7"/>
      <c r="N1008" s="7" t="s">
        <v>7663</v>
      </c>
      <c r="O1008" s="7"/>
      <c r="P1008" s="7" t="s">
        <v>109</v>
      </c>
      <c r="Q1008" s="7"/>
      <c r="R1008" s="7" t="s">
        <v>135</v>
      </c>
      <c r="S1008" s="7" t="s">
        <v>136</v>
      </c>
      <c r="T1008" s="7" t="n">
        <v>0.752</v>
      </c>
      <c r="U1008" s="7" t="n">
        <v>1</v>
      </c>
      <c r="V1008" s="7" t="s">
        <v>86</v>
      </c>
      <c r="W1008" s="7"/>
      <c r="X1008" s="7" t="s">
        <v>7664</v>
      </c>
      <c r="Y1008" s="7" t="s">
        <v>7663</v>
      </c>
      <c r="Z1008" s="7"/>
      <c r="AA1008" s="7"/>
      <c r="AB1008" s="7"/>
      <c r="AC1008" s="7" t="n">
        <v>5</v>
      </c>
      <c r="AD1008" s="7" t="s">
        <v>1897</v>
      </c>
      <c r="AE1008" s="7" t="s">
        <v>744</v>
      </c>
      <c r="AF1008" s="7" t="s">
        <v>7662</v>
      </c>
      <c r="AG1008" s="7" t="s">
        <v>744</v>
      </c>
      <c r="AH1008" s="7" t="s">
        <v>7664</v>
      </c>
      <c r="AI1008" s="7"/>
      <c r="AJ1008" s="7"/>
      <c r="AK1008" s="7"/>
      <c r="AL1008" s="7"/>
      <c r="AM1008" s="7" t="s">
        <v>744</v>
      </c>
      <c r="AN1008" s="7" t="s">
        <v>7665</v>
      </c>
      <c r="AO1008" s="7" t="s">
        <v>744</v>
      </c>
      <c r="AP1008" s="7" t="s">
        <v>1230</v>
      </c>
      <c r="AQ1008" s="7"/>
      <c r="AR1008" s="7"/>
      <c r="AS1008" s="7"/>
      <c r="AT1008" s="7"/>
      <c r="AU1008" s="7"/>
      <c r="AV1008" s="7"/>
      <c r="AW1008" s="7" t="s">
        <v>744</v>
      </c>
      <c r="AX1008" s="7" t="s">
        <v>7663</v>
      </c>
      <c r="AY1008" s="7"/>
      <c r="AZ1008" s="7"/>
      <c r="BA1008" s="7"/>
      <c r="BB1008" s="7"/>
      <c r="BC1008" s="7"/>
      <c r="BD1008" s="7"/>
      <c r="BE1008" s="7" t="s">
        <v>127</v>
      </c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</row>
    <row r="1009" customFormat="false" ht="15" hidden="false" customHeight="false" outlineLevel="0" collapsed="false">
      <c r="A1009" s="7" t="s">
        <v>7666</v>
      </c>
      <c r="B1009" s="7" t="s">
        <v>7667</v>
      </c>
      <c r="C1009" s="7" t="s">
        <v>7668</v>
      </c>
      <c r="D1009" s="7" t="s">
        <v>7669</v>
      </c>
      <c r="E1009" s="7" t="s">
        <v>1966</v>
      </c>
      <c r="F1009" s="7" t="s">
        <v>1966</v>
      </c>
      <c r="G1009" s="7"/>
      <c r="H1009" s="7"/>
      <c r="I1009" s="7" t="s">
        <v>300</v>
      </c>
      <c r="J1009" s="7" t="s">
        <v>104</v>
      </c>
      <c r="K1009" s="7" t="s">
        <v>105</v>
      </c>
      <c r="L1009" s="7" t="s">
        <v>106</v>
      </c>
      <c r="M1009" s="7"/>
      <c r="N1009" s="7" t="s">
        <v>7670</v>
      </c>
      <c r="O1009" s="7"/>
      <c r="P1009" s="7" t="s">
        <v>109</v>
      </c>
      <c r="Q1009" s="7"/>
      <c r="R1009" s="7" t="s">
        <v>135</v>
      </c>
      <c r="S1009" s="7" t="s">
        <v>136</v>
      </c>
      <c r="T1009" s="7" t="n">
        <v>0.323</v>
      </c>
      <c r="U1009" s="7" t="n">
        <v>1</v>
      </c>
      <c r="V1009" s="7" t="s">
        <v>86</v>
      </c>
      <c r="W1009" s="7"/>
      <c r="X1009" s="7" t="s">
        <v>7671</v>
      </c>
      <c r="Y1009" s="7" t="s">
        <v>7670</v>
      </c>
      <c r="Z1009" s="7"/>
      <c r="AA1009" s="7"/>
      <c r="AB1009" s="7"/>
      <c r="AC1009" s="7" t="n">
        <v>6</v>
      </c>
      <c r="AD1009" s="7" t="s">
        <v>1235</v>
      </c>
      <c r="AE1009" s="7" t="s">
        <v>744</v>
      </c>
      <c r="AF1009" s="7" t="s">
        <v>7668</v>
      </c>
      <c r="AG1009" s="7" t="s">
        <v>744</v>
      </c>
      <c r="AH1009" s="7" t="s">
        <v>7671</v>
      </c>
      <c r="AI1009" s="7"/>
      <c r="AJ1009" s="7"/>
      <c r="AK1009" s="7"/>
      <c r="AL1009" s="7"/>
      <c r="AM1009" s="7" t="s">
        <v>744</v>
      </c>
      <c r="AN1009" s="7" t="s">
        <v>7672</v>
      </c>
      <c r="AO1009" s="7" t="s">
        <v>744</v>
      </c>
      <c r="AP1009" s="7" t="s">
        <v>7669</v>
      </c>
      <c r="AQ1009" s="7" t="s">
        <v>744</v>
      </c>
      <c r="AR1009" s="7" t="s">
        <v>1966</v>
      </c>
      <c r="AS1009" s="7"/>
      <c r="AT1009" s="7"/>
      <c r="AU1009" s="7"/>
      <c r="AV1009" s="7"/>
      <c r="AW1009" s="7" t="s">
        <v>744</v>
      </c>
      <c r="AX1009" s="7" t="s">
        <v>7670</v>
      </c>
      <c r="AY1009" s="7"/>
      <c r="AZ1009" s="7"/>
      <c r="BA1009" s="7"/>
      <c r="BB1009" s="7"/>
      <c r="BC1009" s="7"/>
      <c r="BD1009" s="7"/>
      <c r="BE1009" s="7" t="s">
        <v>127</v>
      </c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</row>
    <row r="1010" customFormat="false" ht="15" hidden="false" customHeight="false" outlineLevel="0" collapsed="false">
      <c r="A1010" s="7" t="s">
        <v>7673</v>
      </c>
      <c r="B1010" s="7" t="s">
        <v>7674</v>
      </c>
      <c r="C1010" s="7" t="s">
        <v>7675</v>
      </c>
      <c r="D1010" s="7" t="s">
        <v>7676</v>
      </c>
      <c r="E1010" s="7"/>
      <c r="F1010" s="7" t="s">
        <v>101</v>
      </c>
      <c r="G1010" s="7"/>
      <c r="H1010" s="7"/>
      <c r="I1010" s="7" t="s">
        <v>208</v>
      </c>
      <c r="J1010" s="7" t="s">
        <v>104</v>
      </c>
      <c r="K1010" s="7" t="s">
        <v>105</v>
      </c>
      <c r="L1010" s="7" t="s">
        <v>106</v>
      </c>
      <c r="M1010" s="7"/>
      <c r="N1010" s="7" t="s">
        <v>7677</v>
      </c>
      <c r="O1010" s="7" t="s">
        <v>7677</v>
      </c>
      <c r="P1010" s="7" t="s">
        <v>135</v>
      </c>
      <c r="Q1010" s="7"/>
      <c r="R1010" s="7" t="s">
        <v>109</v>
      </c>
      <c r="S1010" s="7" t="s">
        <v>110</v>
      </c>
      <c r="T1010" s="7" t="n">
        <v>0.556</v>
      </c>
      <c r="U1010" s="7" t="n">
        <v>1</v>
      </c>
      <c r="V1010" s="7" t="s">
        <v>1156</v>
      </c>
      <c r="W1010" s="7"/>
      <c r="X1010" s="7" t="s">
        <v>7678</v>
      </c>
      <c r="Y1010" s="7" t="s">
        <v>7677</v>
      </c>
      <c r="Z1010" s="7"/>
      <c r="AA1010" s="7"/>
      <c r="AB1010" s="7"/>
      <c r="AC1010" s="7" t="n">
        <v>4</v>
      </c>
      <c r="AD1010" s="7" t="s">
        <v>7611</v>
      </c>
      <c r="AE1010" s="7" t="s">
        <v>189</v>
      </c>
      <c r="AF1010" s="7" t="s">
        <v>7679</v>
      </c>
      <c r="AG1010" s="7" t="s">
        <v>189</v>
      </c>
      <c r="AH1010" s="7" t="s">
        <v>7680</v>
      </c>
      <c r="AI1010" s="7"/>
      <c r="AJ1010" s="7"/>
      <c r="AK1010" s="7"/>
      <c r="AL1010" s="7"/>
      <c r="AM1010" s="7"/>
      <c r="AN1010" s="7"/>
      <c r="AO1010" s="7" t="s">
        <v>744</v>
      </c>
      <c r="AP1010" s="7" t="s">
        <v>7676</v>
      </c>
      <c r="AQ1010" s="7"/>
      <c r="AR1010" s="7"/>
      <c r="AS1010" s="7"/>
      <c r="AT1010" s="7"/>
      <c r="AU1010" s="7"/>
      <c r="AV1010" s="7"/>
      <c r="AW1010" s="7" t="s">
        <v>744</v>
      </c>
      <c r="AX1010" s="7" t="s">
        <v>7677</v>
      </c>
      <c r="AY1010" s="7"/>
      <c r="AZ1010" s="7"/>
      <c r="BA1010" s="7"/>
      <c r="BB1010" s="7"/>
      <c r="BC1010" s="7"/>
      <c r="BD1010" s="7"/>
      <c r="BE1010" s="7" t="s">
        <v>127</v>
      </c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</row>
    <row r="1011" customFormat="false" ht="15" hidden="false" customHeight="false" outlineLevel="0" collapsed="false">
      <c r="A1011" s="7" t="s">
        <v>7681</v>
      </c>
      <c r="B1011" s="7" t="s">
        <v>7682</v>
      </c>
      <c r="C1011" s="7" t="s">
        <v>7683</v>
      </c>
      <c r="D1011" s="7" t="s">
        <v>7676</v>
      </c>
      <c r="E1011" s="7"/>
      <c r="F1011" s="7" t="s">
        <v>101</v>
      </c>
      <c r="G1011" s="7"/>
      <c r="H1011" s="7"/>
      <c r="I1011" s="7" t="s">
        <v>208</v>
      </c>
      <c r="J1011" s="7" t="s">
        <v>104</v>
      </c>
      <c r="K1011" s="7" t="s">
        <v>105</v>
      </c>
      <c r="L1011" s="7" t="s">
        <v>1785</v>
      </c>
      <c r="M1011" s="7"/>
      <c r="N1011" s="7" t="s">
        <v>7684</v>
      </c>
      <c r="O1011" s="7" t="s">
        <v>7684</v>
      </c>
      <c r="P1011" s="7" t="s">
        <v>109</v>
      </c>
      <c r="Q1011" s="7"/>
      <c r="R1011" s="7" t="s">
        <v>109</v>
      </c>
      <c r="S1011" s="7" t="s">
        <v>110</v>
      </c>
      <c r="T1011" s="7" t="n">
        <v>0.407</v>
      </c>
      <c r="U1011" s="7" t="n">
        <v>1</v>
      </c>
      <c r="V1011" s="7" t="s">
        <v>86</v>
      </c>
      <c r="W1011" s="7"/>
      <c r="X1011" s="7" t="s">
        <v>2358</v>
      </c>
      <c r="Y1011" s="7" t="s">
        <v>7684</v>
      </c>
      <c r="Z1011" s="7"/>
      <c r="AA1011" s="7"/>
      <c r="AB1011" s="7"/>
      <c r="AC1011" s="7" t="n">
        <v>5</v>
      </c>
      <c r="AD1011" s="7" t="s">
        <v>1897</v>
      </c>
      <c r="AE1011" s="7" t="s">
        <v>744</v>
      </c>
      <c r="AF1011" s="7" t="s">
        <v>7683</v>
      </c>
      <c r="AG1011" s="7" t="s">
        <v>744</v>
      </c>
      <c r="AH1011" s="7" t="s">
        <v>7685</v>
      </c>
      <c r="AI1011" s="7"/>
      <c r="AJ1011" s="7"/>
      <c r="AK1011" s="7"/>
      <c r="AL1011" s="7"/>
      <c r="AM1011" s="7" t="s">
        <v>744</v>
      </c>
      <c r="AN1011" s="7" t="s">
        <v>7686</v>
      </c>
      <c r="AO1011" s="7" t="s">
        <v>744</v>
      </c>
      <c r="AP1011" s="7" t="s">
        <v>7676</v>
      </c>
      <c r="AQ1011" s="7"/>
      <c r="AR1011" s="7"/>
      <c r="AS1011" s="7"/>
      <c r="AT1011" s="7"/>
      <c r="AU1011" s="7"/>
      <c r="AV1011" s="7"/>
      <c r="AW1011" s="7" t="s">
        <v>744</v>
      </c>
      <c r="AX1011" s="7" t="s">
        <v>7684</v>
      </c>
      <c r="AY1011" s="7"/>
      <c r="AZ1011" s="7"/>
      <c r="BA1011" s="7"/>
      <c r="BB1011" s="7"/>
      <c r="BC1011" s="7"/>
      <c r="BD1011" s="7"/>
      <c r="BE1011" s="7" t="s">
        <v>127</v>
      </c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</row>
    <row r="1012" customFormat="false" ht="15" hidden="false" customHeight="false" outlineLevel="0" collapsed="false">
      <c r="A1012" s="7" t="s">
        <v>7687</v>
      </c>
      <c r="B1012" s="7" t="s">
        <v>7688</v>
      </c>
      <c r="C1012" s="7" t="s">
        <v>7689</v>
      </c>
      <c r="D1012" s="7" t="s">
        <v>7676</v>
      </c>
      <c r="E1012" s="7"/>
      <c r="F1012" s="7" t="s">
        <v>101</v>
      </c>
      <c r="G1012" s="7"/>
      <c r="H1012" s="7"/>
      <c r="I1012" s="7" t="s">
        <v>208</v>
      </c>
      <c r="J1012" s="7" t="s">
        <v>104</v>
      </c>
      <c r="K1012" s="7" t="s">
        <v>105</v>
      </c>
      <c r="L1012" s="7" t="s">
        <v>106</v>
      </c>
      <c r="M1012" s="7"/>
      <c r="N1012" s="7" t="s">
        <v>7690</v>
      </c>
      <c r="O1012" s="7" t="s">
        <v>7690</v>
      </c>
      <c r="P1012" s="7" t="s">
        <v>109</v>
      </c>
      <c r="Q1012" s="7"/>
      <c r="R1012" s="7" t="s">
        <v>109</v>
      </c>
      <c r="S1012" s="7" t="s">
        <v>110</v>
      </c>
      <c r="T1012" s="7" t="n">
        <v>0.455</v>
      </c>
      <c r="U1012" s="7" t="n">
        <v>1</v>
      </c>
      <c r="V1012" s="7" t="s">
        <v>86</v>
      </c>
      <c r="W1012" s="7"/>
      <c r="X1012" s="7" t="s">
        <v>7691</v>
      </c>
      <c r="Y1012" s="7" t="s">
        <v>7690</v>
      </c>
      <c r="Z1012" s="7"/>
      <c r="AA1012" s="7"/>
      <c r="AB1012" s="7"/>
      <c r="AC1012" s="7" t="n">
        <v>5</v>
      </c>
      <c r="AD1012" s="7" t="s">
        <v>1897</v>
      </c>
      <c r="AE1012" s="7" t="s">
        <v>744</v>
      </c>
      <c r="AF1012" s="7" t="s">
        <v>7689</v>
      </c>
      <c r="AG1012" s="7" t="s">
        <v>744</v>
      </c>
      <c r="AH1012" s="7" t="s">
        <v>7692</v>
      </c>
      <c r="AI1012" s="7"/>
      <c r="AJ1012" s="7"/>
      <c r="AK1012" s="7"/>
      <c r="AL1012" s="7"/>
      <c r="AM1012" s="7" t="s">
        <v>744</v>
      </c>
      <c r="AN1012" s="7" t="s">
        <v>7693</v>
      </c>
      <c r="AO1012" s="7" t="s">
        <v>744</v>
      </c>
      <c r="AP1012" s="7" t="s">
        <v>7676</v>
      </c>
      <c r="AQ1012" s="7"/>
      <c r="AR1012" s="7"/>
      <c r="AS1012" s="7"/>
      <c r="AT1012" s="7"/>
      <c r="AU1012" s="7"/>
      <c r="AV1012" s="7"/>
      <c r="AW1012" s="7" t="s">
        <v>744</v>
      </c>
      <c r="AX1012" s="7" t="s">
        <v>7690</v>
      </c>
      <c r="AY1012" s="7"/>
      <c r="AZ1012" s="7"/>
      <c r="BA1012" s="7"/>
      <c r="BB1012" s="7"/>
      <c r="BC1012" s="7"/>
      <c r="BD1012" s="7"/>
      <c r="BE1012" s="7" t="s">
        <v>127</v>
      </c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</row>
    <row r="1013" customFormat="false" ht="15" hidden="false" customHeight="false" outlineLevel="0" collapsed="false">
      <c r="A1013" s="7" t="s">
        <v>7694</v>
      </c>
      <c r="B1013" s="7" t="s">
        <v>7695</v>
      </c>
      <c r="C1013" s="7" t="s">
        <v>7696</v>
      </c>
      <c r="D1013" s="7" t="s">
        <v>7697</v>
      </c>
      <c r="E1013" s="7" t="s">
        <v>6664</v>
      </c>
      <c r="F1013" s="7" t="s">
        <v>6664</v>
      </c>
      <c r="G1013" s="7" t="s">
        <v>7698</v>
      </c>
      <c r="H1013" s="7"/>
      <c r="I1013" s="7" t="s">
        <v>300</v>
      </c>
      <c r="J1013" s="7" t="s">
        <v>104</v>
      </c>
      <c r="K1013" s="7" t="s">
        <v>105</v>
      </c>
      <c r="L1013" s="7" t="s">
        <v>106</v>
      </c>
      <c r="M1013" s="7"/>
      <c r="N1013" s="7" t="s">
        <v>7699</v>
      </c>
      <c r="O1013" s="7"/>
      <c r="P1013" s="7" t="s">
        <v>109</v>
      </c>
      <c r="Q1013" s="7"/>
      <c r="R1013" s="7" t="s">
        <v>135</v>
      </c>
      <c r="S1013" s="7" t="s">
        <v>136</v>
      </c>
      <c r="T1013" s="7" t="n">
        <v>0.336</v>
      </c>
      <c r="U1013" s="7" t="n">
        <v>1</v>
      </c>
      <c r="V1013" s="7" t="s">
        <v>86</v>
      </c>
      <c r="W1013" s="7"/>
      <c r="X1013" s="7" t="s">
        <v>7700</v>
      </c>
      <c r="Y1013" s="7" t="s">
        <v>7699</v>
      </c>
      <c r="Z1013" s="7"/>
      <c r="AA1013" s="7"/>
      <c r="AB1013" s="7"/>
      <c r="AC1013" s="7" t="n">
        <v>5</v>
      </c>
      <c r="AD1013" s="7" t="s">
        <v>743</v>
      </c>
      <c r="AE1013" s="7" t="s">
        <v>744</v>
      </c>
      <c r="AF1013" s="7" t="s">
        <v>7696</v>
      </c>
      <c r="AG1013" s="7" t="s">
        <v>744</v>
      </c>
      <c r="AH1013" s="7" t="s">
        <v>7700</v>
      </c>
      <c r="AI1013" s="7"/>
      <c r="AJ1013" s="7"/>
      <c r="AK1013" s="7"/>
      <c r="AL1013" s="7"/>
      <c r="AM1013" s="7"/>
      <c r="AN1013" s="7"/>
      <c r="AO1013" s="7" t="s">
        <v>744</v>
      </c>
      <c r="AP1013" s="7" t="s">
        <v>7697</v>
      </c>
      <c r="AQ1013" s="7" t="s">
        <v>744</v>
      </c>
      <c r="AR1013" s="7" t="s">
        <v>6664</v>
      </c>
      <c r="AS1013" s="7"/>
      <c r="AT1013" s="7"/>
      <c r="AU1013" s="7"/>
      <c r="AV1013" s="7"/>
      <c r="AW1013" s="7" t="s">
        <v>744</v>
      </c>
      <c r="AX1013" s="7" t="s">
        <v>7699</v>
      </c>
      <c r="AY1013" s="7"/>
      <c r="AZ1013" s="7"/>
      <c r="BA1013" s="7"/>
      <c r="BB1013" s="7"/>
      <c r="BC1013" s="7"/>
      <c r="BD1013" s="7"/>
      <c r="BE1013" s="7" t="s">
        <v>127</v>
      </c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</row>
    <row r="1014" customFormat="false" ht="15" hidden="false" customHeight="false" outlineLevel="0" collapsed="false">
      <c r="A1014" s="7" t="s">
        <v>7701</v>
      </c>
      <c r="B1014" s="7" t="s">
        <v>7702</v>
      </c>
      <c r="C1014" s="7" t="s">
        <v>7703</v>
      </c>
      <c r="D1014" s="7" t="s">
        <v>7704</v>
      </c>
      <c r="E1014" s="7" t="s">
        <v>737</v>
      </c>
      <c r="F1014" s="7" t="s">
        <v>737</v>
      </c>
      <c r="G1014" s="7"/>
      <c r="H1014" s="7"/>
      <c r="I1014" s="7" t="s">
        <v>158</v>
      </c>
      <c r="J1014" s="7" t="s">
        <v>104</v>
      </c>
      <c r="K1014" s="7" t="s">
        <v>105</v>
      </c>
      <c r="L1014" s="7" t="s">
        <v>106</v>
      </c>
      <c r="M1014" s="7"/>
      <c r="N1014" s="7" t="s">
        <v>7705</v>
      </c>
      <c r="O1014" s="7" t="s">
        <v>7705</v>
      </c>
      <c r="P1014" s="7" t="s">
        <v>135</v>
      </c>
      <c r="Q1014" s="7"/>
      <c r="R1014" s="7" t="s">
        <v>109</v>
      </c>
      <c r="S1014" s="7" t="s">
        <v>110</v>
      </c>
      <c r="T1014" s="7" t="n">
        <v>0.679</v>
      </c>
      <c r="U1014" s="7" t="n">
        <v>1</v>
      </c>
      <c r="V1014" s="7" t="s">
        <v>1156</v>
      </c>
      <c r="W1014" s="7"/>
      <c r="X1014" s="7" t="s">
        <v>7706</v>
      </c>
      <c r="Y1014" s="7" t="s">
        <v>7705</v>
      </c>
      <c r="Z1014" s="7"/>
      <c r="AA1014" s="7"/>
      <c r="AB1014" s="7"/>
      <c r="AC1014" s="7" t="n">
        <v>6</v>
      </c>
      <c r="AD1014" s="7" t="s">
        <v>1235</v>
      </c>
      <c r="AE1014" s="7" t="s">
        <v>744</v>
      </c>
      <c r="AF1014" s="7" t="s">
        <v>7703</v>
      </c>
      <c r="AG1014" s="7" t="s">
        <v>744</v>
      </c>
      <c r="AH1014" s="7" t="s">
        <v>7707</v>
      </c>
      <c r="AI1014" s="7"/>
      <c r="AJ1014" s="7"/>
      <c r="AK1014" s="7"/>
      <c r="AL1014" s="7"/>
      <c r="AM1014" s="7" t="s">
        <v>744</v>
      </c>
      <c r="AN1014" s="7" t="s">
        <v>7708</v>
      </c>
      <c r="AO1014" s="7" t="s">
        <v>744</v>
      </c>
      <c r="AP1014" s="7" t="s">
        <v>7704</v>
      </c>
      <c r="AQ1014" s="7" t="s">
        <v>744</v>
      </c>
      <c r="AR1014" s="7" t="s">
        <v>737</v>
      </c>
      <c r="AS1014" s="7"/>
      <c r="AT1014" s="7"/>
      <c r="AU1014" s="7"/>
      <c r="AV1014" s="7"/>
      <c r="AW1014" s="7" t="s">
        <v>744</v>
      </c>
      <c r="AX1014" s="7" t="s">
        <v>7705</v>
      </c>
      <c r="AY1014" s="7"/>
      <c r="AZ1014" s="7"/>
      <c r="BA1014" s="7"/>
      <c r="BB1014" s="7"/>
      <c r="BC1014" s="7"/>
      <c r="BD1014" s="7"/>
      <c r="BE1014" s="7" t="s">
        <v>127</v>
      </c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</row>
    <row r="1015" customFormat="false" ht="15" hidden="false" customHeight="false" outlineLevel="0" collapsed="false">
      <c r="A1015" s="7" t="s">
        <v>7709</v>
      </c>
      <c r="B1015" s="7" t="s">
        <v>7710</v>
      </c>
      <c r="C1015" s="7" t="s">
        <v>7711</v>
      </c>
      <c r="D1015" s="7" t="s">
        <v>7712</v>
      </c>
      <c r="E1015" s="7"/>
      <c r="F1015" s="7" t="s">
        <v>101</v>
      </c>
      <c r="G1015" s="7"/>
      <c r="H1015" s="7"/>
      <c r="I1015" s="7" t="s">
        <v>158</v>
      </c>
      <c r="J1015" s="7" t="s">
        <v>104</v>
      </c>
      <c r="K1015" s="7" t="s">
        <v>105</v>
      </c>
      <c r="L1015" s="7" t="s">
        <v>106</v>
      </c>
      <c r="M1015" s="7"/>
      <c r="N1015" s="7" t="s">
        <v>7713</v>
      </c>
      <c r="O1015" s="7"/>
      <c r="P1015" s="7" t="s">
        <v>109</v>
      </c>
      <c r="Q1015" s="7"/>
      <c r="R1015" s="7" t="s">
        <v>135</v>
      </c>
      <c r="S1015" s="7" t="s">
        <v>136</v>
      </c>
      <c r="T1015" s="7" t="n">
        <v>0.364</v>
      </c>
      <c r="U1015" s="7" t="n">
        <v>1</v>
      </c>
      <c r="V1015" s="7" t="s">
        <v>1156</v>
      </c>
      <c r="W1015" s="7"/>
      <c r="X1015" s="7" t="s">
        <v>7714</v>
      </c>
      <c r="Y1015" s="7" t="s">
        <v>7713</v>
      </c>
      <c r="Z1015" s="7"/>
      <c r="AA1015" s="7"/>
      <c r="AB1015" s="7"/>
      <c r="AC1015" s="7" t="n">
        <v>5</v>
      </c>
      <c r="AD1015" s="7" t="s">
        <v>1897</v>
      </c>
      <c r="AE1015" s="7" t="s">
        <v>744</v>
      </c>
      <c r="AF1015" s="7" t="s">
        <v>7711</v>
      </c>
      <c r="AG1015" s="7" t="s">
        <v>744</v>
      </c>
      <c r="AH1015" s="7" t="s">
        <v>7714</v>
      </c>
      <c r="AI1015" s="7"/>
      <c r="AJ1015" s="7"/>
      <c r="AK1015" s="7"/>
      <c r="AL1015" s="7"/>
      <c r="AM1015" s="7" t="s">
        <v>744</v>
      </c>
      <c r="AN1015" s="7" t="s">
        <v>7715</v>
      </c>
      <c r="AO1015" s="7" t="s">
        <v>744</v>
      </c>
      <c r="AP1015" s="7" t="s">
        <v>7712</v>
      </c>
      <c r="AQ1015" s="7"/>
      <c r="AR1015" s="7"/>
      <c r="AS1015" s="7"/>
      <c r="AT1015" s="7"/>
      <c r="AU1015" s="7"/>
      <c r="AV1015" s="7"/>
      <c r="AW1015" s="7" t="s">
        <v>744</v>
      </c>
      <c r="AX1015" s="7" t="s">
        <v>7713</v>
      </c>
      <c r="AY1015" s="7"/>
      <c r="AZ1015" s="7"/>
      <c r="BA1015" s="7"/>
      <c r="BB1015" s="7"/>
      <c r="BC1015" s="7"/>
      <c r="BD1015" s="7"/>
      <c r="BE1015" s="7" t="s">
        <v>127</v>
      </c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</row>
    <row r="1016" customFormat="false" ht="15" hidden="false" customHeight="false" outlineLevel="0" collapsed="false">
      <c r="A1016" s="7" t="s">
        <v>7716</v>
      </c>
      <c r="B1016" s="7" t="s">
        <v>7717</v>
      </c>
      <c r="C1016" s="7" t="s">
        <v>7718</v>
      </c>
      <c r="D1016" s="7" t="s">
        <v>3769</v>
      </c>
      <c r="E1016" s="7"/>
      <c r="F1016" s="7" t="s">
        <v>156</v>
      </c>
      <c r="G1016" s="7"/>
      <c r="H1016" s="7" t="s">
        <v>157</v>
      </c>
      <c r="I1016" s="7" t="s">
        <v>132</v>
      </c>
      <c r="J1016" s="7" t="s">
        <v>159</v>
      </c>
      <c r="K1016" s="7" t="s">
        <v>105</v>
      </c>
      <c r="L1016" s="7" t="s">
        <v>106</v>
      </c>
      <c r="M1016" s="7"/>
      <c r="N1016" s="7" t="s">
        <v>7719</v>
      </c>
      <c r="O1016" s="7"/>
      <c r="P1016" s="7" t="s">
        <v>109</v>
      </c>
      <c r="Q1016" s="7"/>
      <c r="R1016" s="7" t="s">
        <v>135</v>
      </c>
      <c r="S1016" s="7" t="s">
        <v>136</v>
      </c>
      <c r="T1016" s="7" t="n">
        <v>0.649</v>
      </c>
      <c r="U1016" s="7" t="n">
        <v>1</v>
      </c>
      <c r="V1016" s="7" t="s">
        <v>1717</v>
      </c>
      <c r="W1016" s="7"/>
      <c r="X1016" s="7" t="s">
        <v>7720</v>
      </c>
      <c r="Y1016" s="7" t="s">
        <v>7719</v>
      </c>
      <c r="Z1016" s="7"/>
      <c r="AA1016" s="7"/>
      <c r="AB1016" s="7"/>
      <c r="AC1016" s="7" t="n">
        <v>5</v>
      </c>
      <c r="AD1016" s="7" t="s">
        <v>1897</v>
      </c>
      <c r="AE1016" s="7" t="s">
        <v>744</v>
      </c>
      <c r="AF1016" s="7" t="s">
        <v>7718</v>
      </c>
      <c r="AG1016" s="7" t="s">
        <v>744</v>
      </c>
      <c r="AH1016" s="7" t="s">
        <v>7721</v>
      </c>
      <c r="AI1016" s="7"/>
      <c r="AJ1016" s="7"/>
      <c r="AK1016" s="7"/>
      <c r="AL1016" s="7"/>
      <c r="AM1016" s="7" t="s">
        <v>744</v>
      </c>
      <c r="AN1016" s="7" t="s">
        <v>7722</v>
      </c>
      <c r="AO1016" s="7" t="s">
        <v>744</v>
      </c>
      <c r="AP1016" s="7" t="s">
        <v>3769</v>
      </c>
      <c r="AQ1016" s="7"/>
      <c r="AR1016" s="7"/>
      <c r="AS1016" s="7"/>
      <c r="AT1016" s="7"/>
      <c r="AU1016" s="7"/>
      <c r="AV1016" s="7"/>
      <c r="AW1016" s="7" t="s">
        <v>744</v>
      </c>
      <c r="AX1016" s="7" t="s">
        <v>7719</v>
      </c>
      <c r="AY1016" s="7"/>
      <c r="AZ1016" s="7"/>
      <c r="BA1016" s="7"/>
      <c r="BB1016" s="7"/>
      <c r="BC1016" s="7"/>
      <c r="BD1016" s="7"/>
      <c r="BE1016" s="7" t="s">
        <v>127</v>
      </c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</row>
    <row r="1017" customFormat="false" ht="15" hidden="false" customHeight="false" outlineLevel="0" collapsed="false">
      <c r="A1017" s="7" t="s">
        <v>7723</v>
      </c>
      <c r="B1017" s="7" t="s">
        <v>7724</v>
      </c>
      <c r="C1017" s="7" t="s">
        <v>7725</v>
      </c>
      <c r="D1017" s="7" t="s">
        <v>7726</v>
      </c>
      <c r="E1017" s="7" t="s">
        <v>101</v>
      </c>
      <c r="F1017" s="7" t="s">
        <v>101</v>
      </c>
      <c r="G1017" s="7"/>
      <c r="H1017" s="7"/>
      <c r="I1017" s="7" t="s">
        <v>300</v>
      </c>
      <c r="J1017" s="7" t="s">
        <v>104</v>
      </c>
      <c r="K1017" s="7" t="s">
        <v>105</v>
      </c>
      <c r="L1017" s="7" t="s">
        <v>106</v>
      </c>
      <c r="M1017" s="7"/>
      <c r="N1017" s="7" t="s">
        <v>7727</v>
      </c>
      <c r="O1017" s="7"/>
      <c r="P1017" s="7" t="s">
        <v>109</v>
      </c>
      <c r="Q1017" s="7"/>
      <c r="R1017" s="7" t="s">
        <v>135</v>
      </c>
      <c r="S1017" s="7" t="s">
        <v>136</v>
      </c>
      <c r="T1017" s="7" t="n">
        <v>0.359</v>
      </c>
      <c r="U1017" s="7" t="n">
        <v>1</v>
      </c>
      <c r="V1017" s="7" t="s">
        <v>1156</v>
      </c>
      <c r="W1017" s="7"/>
      <c r="X1017" s="7" t="s">
        <v>7728</v>
      </c>
      <c r="Y1017" s="7" t="s">
        <v>7727</v>
      </c>
      <c r="Z1017" s="7"/>
      <c r="AA1017" s="7"/>
      <c r="AB1017" s="7"/>
      <c r="AC1017" s="7" t="n">
        <v>6</v>
      </c>
      <c r="AD1017" s="7" t="s">
        <v>1235</v>
      </c>
      <c r="AE1017" s="7" t="s">
        <v>744</v>
      </c>
      <c r="AF1017" s="7" t="s">
        <v>7725</v>
      </c>
      <c r="AG1017" s="7" t="s">
        <v>744</v>
      </c>
      <c r="AH1017" s="7" t="s">
        <v>7729</v>
      </c>
      <c r="AI1017" s="7"/>
      <c r="AJ1017" s="7"/>
      <c r="AK1017" s="7"/>
      <c r="AL1017" s="7"/>
      <c r="AM1017" s="7" t="s">
        <v>744</v>
      </c>
      <c r="AN1017" s="7" t="s">
        <v>7730</v>
      </c>
      <c r="AO1017" s="7" t="s">
        <v>744</v>
      </c>
      <c r="AP1017" s="7" t="s">
        <v>7726</v>
      </c>
      <c r="AQ1017" s="7" t="s">
        <v>744</v>
      </c>
      <c r="AR1017" s="7" t="s">
        <v>101</v>
      </c>
      <c r="AS1017" s="7"/>
      <c r="AT1017" s="7"/>
      <c r="AU1017" s="7"/>
      <c r="AV1017" s="7"/>
      <c r="AW1017" s="7" t="s">
        <v>744</v>
      </c>
      <c r="AX1017" s="7" t="s">
        <v>7727</v>
      </c>
      <c r="AY1017" s="7"/>
      <c r="AZ1017" s="7"/>
      <c r="BA1017" s="7"/>
      <c r="BB1017" s="7"/>
      <c r="BC1017" s="7"/>
      <c r="BD1017" s="7"/>
      <c r="BE1017" s="7" t="s">
        <v>127</v>
      </c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</row>
    <row r="1018" customFormat="false" ht="15" hidden="false" customHeight="false" outlineLevel="0" collapsed="false">
      <c r="A1018" s="7" t="s">
        <v>7731</v>
      </c>
      <c r="B1018" s="7" t="s">
        <v>7732</v>
      </c>
      <c r="C1018" s="7" t="s">
        <v>7733</v>
      </c>
      <c r="D1018" s="7"/>
      <c r="E1018" s="7" t="s">
        <v>101</v>
      </c>
      <c r="F1018" s="7" t="s">
        <v>101</v>
      </c>
      <c r="G1018" s="7"/>
      <c r="H1018" s="7" t="s">
        <v>102</v>
      </c>
      <c r="I1018" s="7" t="s">
        <v>300</v>
      </c>
      <c r="J1018" s="7" t="s">
        <v>104</v>
      </c>
      <c r="K1018" s="7" t="s">
        <v>105</v>
      </c>
      <c r="L1018" s="7" t="s">
        <v>106</v>
      </c>
      <c r="M1018" s="7"/>
      <c r="N1018" s="7" t="s">
        <v>7734</v>
      </c>
      <c r="O1018" s="7"/>
      <c r="P1018" s="7" t="s">
        <v>135</v>
      </c>
      <c r="Q1018" s="7"/>
      <c r="R1018" s="7" t="s">
        <v>135</v>
      </c>
      <c r="S1018" s="7" t="s">
        <v>136</v>
      </c>
      <c r="T1018" s="7" t="n">
        <v>0.377</v>
      </c>
      <c r="U1018" s="7" t="n">
        <v>1</v>
      </c>
      <c r="V1018" s="7" t="s">
        <v>90</v>
      </c>
      <c r="W1018" s="7"/>
      <c r="X1018" s="7"/>
      <c r="Y1018" s="7" t="s">
        <v>7734</v>
      </c>
      <c r="Z1018" s="7"/>
      <c r="AA1018" s="7"/>
      <c r="AB1018" s="7"/>
      <c r="AC1018" s="7" t="n">
        <v>0</v>
      </c>
      <c r="AD1018" s="7" t="s">
        <v>388</v>
      </c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 t="s">
        <v>4311</v>
      </c>
      <c r="BE1018" s="7" t="s">
        <v>127</v>
      </c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</row>
    <row r="1019" customFormat="false" ht="15" hidden="false" customHeight="false" outlineLevel="0" collapsed="false">
      <c r="A1019" s="7" t="s">
        <v>7735</v>
      </c>
      <c r="B1019" s="7" t="s">
        <v>7736</v>
      </c>
      <c r="C1019" s="7" t="s">
        <v>7737</v>
      </c>
      <c r="D1019" s="7"/>
      <c r="E1019" s="7" t="s">
        <v>101</v>
      </c>
      <c r="F1019" s="7" t="s">
        <v>101</v>
      </c>
      <c r="G1019" s="7"/>
      <c r="H1019" s="7" t="s">
        <v>102</v>
      </c>
      <c r="I1019" s="7" t="s">
        <v>158</v>
      </c>
      <c r="J1019" s="7" t="s">
        <v>104</v>
      </c>
      <c r="K1019" s="7" t="s">
        <v>105</v>
      </c>
      <c r="L1019" s="7" t="s">
        <v>106</v>
      </c>
      <c r="M1019" s="7"/>
      <c r="N1019" s="7" t="s">
        <v>7738</v>
      </c>
      <c r="O1019" s="7" t="s">
        <v>7738</v>
      </c>
      <c r="P1019" s="7" t="s">
        <v>135</v>
      </c>
      <c r="Q1019" s="7"/>
      <c r="R1019" s="7" t="s">
        <v>109</v>
      </c>
      <c r="S1019" s="7" t="s">
        <v>110</v>
      </c>
      <c r="T1019" s="7" t="n">
        <v>0.389</v>
      </c>
      <c r="U1019" s="7" t="n">
        <v>1</v>
      </c>
      <c r="V1019" s="7" t="s">
        <v>90</v>
      </c>
      <c r="W1019" s="7"/>
      <c r="X1019" s="7"/>
      <c r="Y1019" s="7" t="s">
        <v>7738</v>
      </c>
      <c r="Z1019" s="7"/>
      <c r="AA1019" s="7"/>
      <c r="AB1019" s="7"/>
      <c r="AC1019" s="7" t="n">
        <v>0</v>
      </c>
      <c r="AD1019" s="7" t="s">
        <v>388</v>
      </c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 t="s">
        <v>747</v>
      </c>
      <c r="BE1019" s="7" t="s">
        <v>127</v>
      </c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</row>
    <row r="1020" customFormat="false" ht="15" hidden="false" customHeight="false" outlineLevel="0" collapsed="false">
      <c r="A1020" s="7" t="s">
        <v>7739</v>
      </c>
      <c r="B1020" s="7" t="s">
        <v>7740</v>
      </c>
      <c r="C1020" s="7" t="s">
        <v>7741</v>
      </c>
      <c r="D1020" s="7"/>
      <c r="E1020" s="7" t="s">
        <v>101</v>
      </c>
      <c r="F1020" s="7" t="s">
        <v>101</v>
      </c>
      <c r="G1020" s="7"/>
      <c r="H1020" s="7" t="s">
        <v>102</v>
      </c>
      <c r="I1020" s="7" t="s">
        <v>132</v>
      </c>
      <c r="J1020" s="7" t="s">
        <v>104</v>
      </c>
      <c r="K1020" s="7" t="s">
        <v>105</v>
      </c>
      <c r="L1020" s="7" t="s">
        <v>106</v>
      </c>
      <c r="M1020" s="7"/>
      <c r="N1020" s="7" t="s">
        <v>7742</v>
      </c>
      <c r="O1020" s="7"/>
      <c r="P1020" s="7" t="s">
        <v>135</v>
      </c>
      <c r="Q1020" s="7"/>
      <c r="R1020" s="7" t="s">
        <v>135</v>
      </c>
      <c r="S1020" s="7" t="s">
        <v>136</v>
      </c>
      <c r="T1020" s="7" t="n">
        <v>0.265</v>
      </c>
      <c r="U1020" s="7" t="n">
        <v>1</v>
      </c>
      <c r="V1020" s="7" t="s">
        <v>90</v>
      </c>
      <c r="W1020" s="7"/>
      <c r="X1020" s="7"/>
      <c r="Y1020" s="7" t="s">
        <v>7742</v>
      </c>
      <c r="Z1020" s="7"/>
      <c r="AA1020" s="7"/>
      <c r="AB1020" s="7"/>
      <c r="AC1020" s="7" t="n">
        <v>0</v>
      </c>
      <c r="AD1020" s="7" t="s">
        <v>388</v>
      </c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 t="s">
        <v>4311</v>
      </c>
      <c r="BE1020" s="7" t="s">
        <v>127</v>
      </c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</row>
    <row r="1021" customFormat="false" ht="15" hidden="false" customHeight="false" outlineLevel="0" collapsed="false">
      <c r="A1021" s="7" t="s">
        <v>7743</v>
      </c>
      <c r="B1021" s="7" t="s">
        <v>7744</v>
      </c>
      <c r="C1021" s="7" t="s">
        <v>7745</v>
      </c>
      <c r="D1021" s="7" t="s">
        <v>7746</v>
      </c>
      <c r="E1021" s="7" t="s">
        <v>101</v>
      </c>
      <c r="F1021" s="7" t="s">
        <v>101</v>
      </c>
      <c r="G1021" s="7"/>
      <c r="H1021" s="7" t="s">
        <v>102</v>
      </c>
      <c r="I1021" s="7" t="s">
        <v>132</v>
      </c>
      <c r="J1021" s="7" t="s">
        <v>104</v>
      </c>
      <c r="K1021" s="7" t="s">
        <v>105</v>
      </c>
      <c r="L1021" s="7" t="s">
        <v>106</v>
      </c>
      <c r="M1021" s="7"/>
      <c r="N1021" s="7" t="s">
        <v>7747</v>
      </c>
      <c r="O1021" s="7"/>
      <c r="P1021" s="7" t="s">
        <v>135</v>
      </c>
      <c r="Q1021" s="7"/>
      <c r="R1021" s="7" t="s">
        <v>135</v>
      </c>
      <c r="S1021" s="7" t="s">
        <v>136</v>
      </c>
      <c r="T1021" s="7" t="n">
        <v>0.251</v>
      </c>
      <c r="U1021" s="7" t="n">
        <v>1</v>
      </c>
      <c r="V1021" s="7" t="s">
        <v>90</v>
      </c>
      <c r="W1021" s="7"/>
      <c r="X1021" s="7"/>
      <c r="Y1021" s="7" t="s">
        <v>7747</v>
      </c>
      <c r="Z1021" s="7"/>
      <c r="AA1021" s="7"/>
      <c r="AB1021" s="7"/>
      <c r="AC1021" s="7" t="n">
        <v>0</v>
      </c>
      <c r="AD1021" s="7" t="s">
        <v>388</v>
      </c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 t="s">
        <v>127</v>
      </c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</row>
    <row r="1022" customFormat="false" ht="15" hidden="false" customHeight="false" outlineLevel="0" collapsed="false">
      <c r="A1022" s="7" t="s">
        <v>7748</v>
      </c>
      <c r="B1022" s="7" t="s">
        <v>7749</v>
      </c>
      <c r="C1022" s="7" t="s">
        <v>7750</v>
      </c>
      <c r="D1022" s="7"/>
      <c r="E1022" s="7" t="s">
        <v>101</v>
      </c>
      <c r="F1022" s="7" t="s">
        <v>101</v>
      </c>
      <c r="G1022" s="7"/>
      <c r="H1022" s="7" t="s">
        <v>102</v>
      </c>
      <c r="I1022" s="7" t="s">
        <v>132</v>
      </c>
      <c r="J1022" s="7" t="s">
        <v>104</v>
      </c>
      <c r="K1022" s="7" t="s">
        <v>105</v>
      </c>
      <c r="L1022" s="7" t="s">
        <v>106</v>
      </c>
      <c r="M1022" s="7"/>
      <c r="N1022" s="7" t="s">
        <v>7751</v>
      </c>
      <c r="O1022" s="7"/>
      <c r="P1022" s="7" t="s">
        <v>135</v>
      </c>
      <c r="Q1022" s="7"/>
      <c r="R1022" s="7" t="s">
        <v>135</v>
      </c>
      <c r="S1022" s="7" t="s">
        <v>136</v>
      </c>
      <c r="T1022" s="7" t="n">
        <v>0.555</v>
      </c>
      <c r="U1022" s="7" t="n">
        <v>1</v>
      </c>
      <c r="V1022" s="7" t="s">
        <v>90</v>
      </c>
      <c r="W1022" s="7"/>
      <c r="X1022" s="7"/>
      <c r="Y1022" s="7" t="s">
        <v>7751</v>
      </c>
      <c r="Z1022" s="7"/>
      <c r="AA1022" s="7"/>
      <c r="AB1022" s="7"/>
      <c r="AC1022" s="7" t="n">
        <v>0</v>
      </c>
      <c r="AD1022" s="7" t="s">
        <v>388</v>
      </c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 t="s">
        <v>7046</v>
      </c>
      <c r="BE1022" s="7" t="s">
        <v>127</v>
      </c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</row>
    <row r="1023" customFormat="false" ht="15" hidden="false" customHeight="false" outlineLevel="0" collapsed="false">
      <c r="A1023" s="7" t="s">
        <v>7752</v>
      </c>
      <c r="B1023" s="7" t="s">
        <v>7753</v>
      </c>
      <c r="C1023" s="7" t="s">
        <v>7754</v>
      </c>
      <c r="D1023" s="7"/>
      <c r="E1023" s="7" t="s">
        <v>101</v>
      </c>
      <c r="F1023" s="7" t="s">
        <v>101</v>
      </c>
      <c r="G1023" s="7"/>
      <c r="H1023" s="7" t="s">
        <v>102</v>
      </c>
      <c r="I1023" s="7" t="s">
        <v>208</v>
      </c>
      <c r="J1023" s="7" t="s">
        <v>104</v>
      </c>
      <c r="K1023" s="7" t="s">
        <v>105</v>
      </c>
      <c r="L1023" s="7" t="s">
        <v>106</v>
      </c>
      <c r="M1023" s="7"/>
      <c r="N1023" s="7" t="s">
        <v>7755</v>
      </c>
      <c r="O1023" s="7" t="s">
        <v>7755</v>
      </c>
      <c r="P1023" s="7" t="s">
        <v>135</v>
      </c>
      <c r="Q1023" s="7"/>
      <c r="R1023" s="7" t="s">
        <v>109</v>
      </c>
      <c r="S1023" s="7" t="s">
        <v>110</v>
      </c>
      <c r="T1023" s="7" t="n">
        <v>0.499</v>
      </c>
      <c r="U1023" s="7" t="n">
        <v>1</v>
      </c>
      <c r="V1023" s="7" t="s">
        <v>90</v>
      </c>
      <c r="W1023" s="7"/>
      <c r="X1023" s="7"/>
      <c r="Y1023" s="7" t="s">
        <v>7755</v>
      </c>
      <c r="Z1023" s="7"/>
      <c r="AA1023" s="7"/>
      <c r="AB1023" s="7"/>
      <c r="AC1023" s="7" t="n">
        <v>0</v>
      </c>
      <c r="AD1023" s="7" t="s">
        <v>388</v>
      </c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 t="s">
        <v>127</v>
      </c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</row>
    <row r="1024" customFormat="false" ht="15" hidden="false" customHeight="false" outlineLevel="0" collapsed="false">
      <c r="A1024" s="7" t="s">
        <v>7756</v>
      </c>
      <c r="B1024" s="7" t="s">
        <v>7757</v>
      </c>
      <c r="C1024" s="7" t="s">
        <v>7758</v>
      </c>
      <c r="D1024" s="7"/>
      <c r="E1024" s="7" t="s">
        <v>101</v>
      </c>
      <c r="F1024" s="7" t="s">
        <v>101</v>
      </c>
      <c r="G1024" s="7"/>
      <c r="H1024" s="7" t="s">
        <v>102</v>
      </c>
      <c r="I1024" s="7" t="s">
        <v>132</v>
      </c>
      <c r="J1024" s="7" t="s">
        <v>104</v>
      </c>
      <c r="K1024" s="7" t="s">
        <v>105</v>
      </c>
      <c r="L1024" s="7" t="s">
        <v>106</v>
      </c>
      <c r="M1024" s="7"/>
      <c r="N1024" s="7" t="s">
        <v>7759</v>
      </c>
      <c r="O1024" s="7" t="s">
        <v>7759</v>
      </c>
      <c r="P1024" s="7" t="s">
        <v>135</v>
      </c>
      <c r="Q1024" s="7"/>
      <c r="R1024" s="7" t="s">
        <v>109</v>
      </c>
      <c r="S1024" s="7" t="s">
        <v>110</v>
      </c>
      <c r="T1024" s="7" t="n">
        <v>0.359</v>
      </c>
      <c r="U1024" s="7" t="n">
        <v>1</v>
      </c>
      <c r="V1024" s="7" t="s">
        <v>90</v>
      </c>
      <c r="W1024" s="7"/>
      <c r="X1024" s="7"/>
      <c r="Y1024" s="7" t="s">
        <v>7759</v>
      </c>
      <c r="Z1024" s="7"/>
      <c r="AA1024" s="7"/>
      <c r="AB1024" s="7"/>
      <c r="AC1024" s="7" t="n">
        <v>0</v>
      </c>
      <c r="AD1024" s="7" t="s">
        <v>388</v>
      </c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 t="s">
        <v>127</v>
      </c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</row>
    <row r="1025" customFormat="false" ht="15" hidden="false" customHeight="false" outlineLevel="0" collapsed="false">
      <c r="A1025" s="7" t="s">
        <v>7760</v>
      </c>
      <c r="B1025" s="7" t="s">
        <v>7761</v>
      </c>
      <c r="C1025" s="7" t="s">
        <v>7762</v>
      </c>
      <c r="D1025" s="7"/>
      <c r="E1025" s="7" t="s">
        <v>101</v>
      </c>
      <c r="F1025" s="7" t="s">
        <v>101</v>
      </c>
      <c r="G1025" s="7"/>
      <c r="H1025" s="7" t="s">
        <v>102</v>
      </c>
      <c r="I1025" s="7" t="s">
        <v>208</v>
      </c>
      <c r="J1025" s="7" t="s">
        <v>104</v>
      </c>
      <c r="K1025" s="7" t="s">
        <v>105</v>
      </c>
      <c r="L1025" s="7" t="s">
        <v>2470</v>
      </c>
      <c r="M1025" s="7"/>
      <c r="N1025" s="7" t="s">
        <v>7763</v>
      </c>
      <c r="O1025" s="7" t="s">
        <v>7763</v>
      </c>
      <c r="P1025" s="7" t="s">
        <v>135</v>
      </c>
      <c r="Q1025" s="7"/>
      <c r="R1025" s="7" t="s">
        <v>109</v>
      </c>
      <c r="S1025" s="7" t="s">
        <v>110</v>
      </c>
      <c r="T1025" s="7" t="n">
        <v>0.412</v>
      </c>
      <c r="U1025" s="7" t="n">
        <v>1</v>
      </c>
      <c r="V1025" s="7" t="s">
        <v>90</v>
      </c>
      <c r="W1025" s="7"/>
      <c r="X1025" s="7"/>
      <c r="Y1025" s="7" t="s">
        <v>7763</v>
      </c>
      <c r="Z1025" s="7"/>
      <c r="AA1025" s="7"/>
      <c r="AB1025" s="7"/>
      <c r="AC1025" s="7" t="n">
        <v>0</v>
      </c>
      <c r="AD1025" s="7" t="s">
        <v>388</v>
      </c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 t="s">
        <v>127</v>
      </c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</row>
    <row r="1026" customFormat="false" ht="15" hidden="false" customHeight="false" outlineLevel="0" collapsed="false">
      <c r="A1026" s="7" t="s">
        <v>7764</v>
      </c>
      <c r="B1026" s="7" t="s">
        <v>7765</v>
      </c>
      <c r="C1026" s="7" t="s">
        <v>7766</v>
      </c>
      <c r="D1026" s="7"/>
      <c r="E1026" s="7" t="s">
        <v>101</v>
      </c>
      <c r="F1026" s="7" t="s">
        <v>101</v>
      </c>
      <c r="G1026" s="7"/>
      <c r="H1026" s="7" t="s">
        <v>102</v>
      </c>
      <c r="I1026" s="7" t="s">
        <v>208</v>
      </c>
      <c r="J1026" s="7" t="s">
        <v>104</v>
      </c>
      <c r="K1026" s="7" t="s">
        <v>105</v>
      </c>
      <c r="L1026" s="7" t="s">
        <v>106</v>
      </c>
      <c r="M1026" s="7"/>
      <c r="N1026" s="7" t="s">
        <v>7767</v>
      </c>
      <c r="O1026" s="7"/>
      <c r="P1026" s="7" t="s">
        <v>135</v>
      </c>
      <c r="Q1026" s="7"/>
      <c r="R1026" s="7" t="s">
        <v>135</v>
      </c>
      <c r="S1026" s="7" t="s">
        <v>136</v>
      </c>
      <c r="T1026" s="7" t="n">
        <v>0.278</v>
      </c>
      <c r="U1026" s="7" t="n">
        <v>1</v>
      </c>
      <c r="V1026" s="7" t="s">
        <v>90</v>
      </c>
      <c r="W1026" s="7"/>
      <c r="X1026" s="7"/>
      <c r="Y1026" s="7" t="s">
        <v>7767</v>
      </c>
      <c r="Z1026" s="7"/>
      <c r="AA1026" s="7"/>
      <c r="AB1026" s="7"/>
      <c r="AC1026" s="7" t="n">
        <v>0</v>
      </c>
      <c r="AD1026" s="7" t="s">
        <v>388</v>
      </c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 t="s">
        <v>127</v>
      </c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</row>
    <row r="1027" customFormat="false" ht="15" hidden="false" customHeight="false" outlineLevel="0" collapsed="false">
      <c r="A1027" s="7" t="s">
        <v>7768</v>
      </c>
      <c r="B1027" s="7" t="s">
        <v>7769</v>
      </c>
      <c r="C1027" s="7" t="s">
        <v>7770</v>
      </c>
      <c r="D1027" s="7" t="s">
        <v>7771</v>
      </c>
      <c r="E1027" s="7" t="s">
        <v>101</v>
      </c>
      <c r="F1027" s="7" t="s">
        <v>101</v>
      </c>
      <c r="G1027" s="7"/>
      <c r="H1027" s="7" t="s">
        <v>102</v>
      </c>
      <c r="I1027" s="7" t="s">
        <v>300</v>
      </c>
      <c r="J1027" s="7" t="s">
        <v>104</v>
      </c>
      <c r="K1027" s="7" t="s">
        <v>105</v>
      </c>
      <c r="L1027" s="7" t="s">
        <v>106</v>
      </c>
      <c r="M1027" s="7"/>
      <c r="N1027" s="7" t="s">
        <v>7772</v>
      </c>
      <c r="O1027" s="7" t="s">
        <v>7772</v>
      </c>
      <c r="P1027" s="7" t="s">
        <v>135</v>
      </c>
      <c r="Q1027" s="7"/>
      <c r="R1027" s="7" t="s">
        <v>109</v>
      </c>
      <c r="S1027" s="7" t="s">
        <v>110</v>
      </c>
      <c r="T1027" s="7" t="n">
        <v>0.339</v>
      </c>
      <c r="U1027" s="7" t="n">
        <v>1</v>
      </c>
      <c r="V1027" s="7" t="s">
        <v>90</v>
      </c>
      <c r="W1027" s="7"/>
      <c r="X1027" s="7"/>
      <c r="Y1027" s="7" t="s">
        <v>7772</v>
      </c>
      <c r="Z1027" s="7"/>
      <c r="AA1027" s="7"/>
      <c r="AB1027" s="7"/>
      <c r="AC1027" s="7" t="n">
        <v>2</v>
      </c>
      <c r="AD1027" s="7" t="s">
        <v>1954</v>
      </c>
      <c r="AE1027" s="7"/>
      <c r="AF1027" s="7"/>
      <c r="AG1027" s="7" t="s">
        <v>779</v>
      </c>
      <c r="AH1027" s="7" t="s">
        <v>1956</v>
      </c>
      <c r="AI1027" s="7"/>
      <c r="AJ1027" s="7"/>
      <c r="AK1027" s="7"/>
      <c r="AL1027" s="7"/>
      <c r="AM1027" s="7" t="s">
        <v>779</v>
      </c>
      <c r="AN1027" s="7" t="s">
        <v>1957</v>
      </c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 t="s">
        <v>127</v>
      </c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</row>
    <row r="1028" customFormat="false" ht="15" hidden="false" customHeight="false" outlineLevel="0" collapsed="false">
      <c r="A1028" s="7" t="s">
        <v>7773</v>
      </c>
      <c r="B1028" s="7" t="s">
        <v>7774</v>
      </c>
      <c r="C1028" s="7" t="s">
        <v>7775</v>
      </c>
      <c r="D1028" s="7"/>
      <c r="E1028" s="7" t="s">
        <v>101</v>
      </c>
      <c r="F1028" s="7" t="s">
        <v>101</v>
      </c>
      <c r="G1028" s="7"/>
      <c r="H1028" s="7" t="s">
        <v>102</v>
      </c>
      <c r="I1028" s="7" t="s">
        <v>300</v>
      </c>
      <c r="J1028" s="7" t="s">
        <v>104</v>
      </c>
      <c r="K1028" s="7" t="s">
        <v>105</v>
      </c>
      <c r="L1028" s="7" t="s">
        <v>106</v>
      </c>
      <c r="M1028" s="7"/>
      <c r="N1028" s="7" t="s">
        <v>7776</v>
      </c>
      <c r="O1028" s="7" t="s">
        <v>7776</v>
      </c>
      <c r="P1028" s="7" t="s">
        <v>135</v>
      </c>
      <c r="Q1028" s="7"/>
      <c r="R1028" s="7" t="s">
        <v>109</v>
      </c>
      <c r="S1028" s="7" t="s">
        <v>110</v>
      </c>
      <c r="T1028" s="7" t="n">
        <v>0.339</v>
      </c>
      <c r="U1028" s="7" t="n">
        <v>1</v>
      </c>
      <c r="V1028" s="7" t="s">
        <v>90</v>
      </c>
      <c r="W1028" s="7"/>
      <c r="X1028" s="7"/>
      <c r="Y1028" s="7" t="s">
        <v>7776</v>
      </c>
      <c r="Z1028" s="7"/>
      <c r="AA1028" s="7"/>
      <c r="AB1028" s="7"/>
      <c r="AC1028" s="7" t="n">
        <v>0</v>
      </c>
      <c r="AD1028" s="7" t="s">
        <v>388</v>
      </c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 t="s">
        <v>127</v>
      </c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</row>
    <row r="1029" customFormat="false" ht="15" hidden="false" customHeight="false" outlineLevel="0" collapsed="false">
      <c r="A1029" s="7" t="s">
        <v>7777</v>
      </c>
      <c r="B1029" s="7" t="s">
        <v>7778</v>
      </c>
      <c r="C1029" s="7" t="s">
        <v>7779</v>
      </c>
      <c r="D1029" s="7"/>
      <c r="E1029" s="7" t="s">
        <v>101</v>
      </c>
      <c r="F1029" s="7" t="s">
        <v>101</v>
      </c>
      <c r="G1029" s="7"/>
      <c r="H1029" s="7" t="s">
        <v>102</v>
      </c>
      <c r="I1029" s="7" t="s">
        <v>132</v>
      </c>
      <c r="J1029" s="7" t="s">
        <v>104</v>
      </c>
      <c r="K1029" s="7" t="s">
        <v>105</v>
      </c>
      <c r="L1029" s="7" t="s">
        <v>106</v>
      </c>
      <c r="M1029" s="7"/>
      <c r="N1029" s="7" t="s">
        <v>7780</v>
      </c>
      <c r="O1029" s="7"/>
      <c r="P1029" s="7" t="s">
        <v>135</v>
      </c>
      <c r="Q1029" s="7"/>
      <c r="R1029" s="7" t="s">
        <v>135</v>
      </c>
      <c r="S1029" s="7" t="s">
        <v>136</v>
      </c>
      <c r="T1029" s="7" t="n">
        <v>0.413</v>
      </c>
      <c r="U1029" s="7" t="n">
        <v>1</v>
      </c>
      <c r="V1029" s="7" t="s">
        <v>90</v>
      </c>
      <c r="W1029" s="7"/>
      <c r="X1029" s="7"/>
      <c r="Y1029" s="7" t="s">
        <v>7780</v>
      </c>
      <c r="Z1029" s="7"/>
      <c r="AA1029" s="7"/>
      <c r="AB1029" s="7"/>
      <c r="AC1029" s="7" t="n">
        <v>0</v>
      </c>
      <c r="AD1029" s="7" t="s">
        <v>388</v>
      </c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 t="s">
        <v>127</v>
      </c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</row>
    <row r="1030" customFormat="false" ht="15" hidden="false" customHeight="false" outlineLevel="0" collapsed="false">
      <c r="A1030" s="7" t="s">
        <v>7781</v>
      </c>
      <c r="B1030" s="7" t="s">
        <v>7782</v>
      </c>
      <c r="C1030" s="7" t="s">
        <v>7783</v>
      </c>
      <c r="D1030" s="7"/>
      <c r="E1030" s="7" t="s">
        <v>101</v>
      </c>
      <c r="F1030" s="7" t="s">
        <v>101</v>
      </c>
      <c r="G1030" s="7"/>
      <c r="H1030" s="7" t="s">
        <v>102</v>
      </c>
      <c r="I1030" s="7" t="s">
        <v>132</v>
      </c>
      <c r="J1030" s="7" t="s">
        <v>104</v>
      </c>
      <c r="K1030" s="7" t="s">
        <v>105</v>
      </c>
      <c r="L1030" s="7" t="s">
        <v>106</v>
      </c>
      <c r="M1030" s="7"/>
      <c r="N1030" s="7" t="s">
        <v>7784</v>
      </c>
      <c r="O1030" s="7"/>
      <c r="P1030" s="7" t="s">
        <v>135</v>
      </c>
      <c r="Q1030" s="7"/>
      <c r="R1030" s="7" t="s">
        <v>135</v>
      </c>
      <c r="S1030" s="7" t="s">
        <v>136</v>
      </c>
      <c r="T1030" s="7" t="n">
        <v>0.408</v>
      </c>
      <c r="U1030" s="7" t="n">
        <v>1</v>
      </c>
      <c r="V1030" s="7" t="s">
        <v>90</v>
      </c>
      <c r="W1030" s="7"/>
      <c r="X1030" s="7"/>
      <c r="Y1030" s="7" t="s">
        <v>7784</v>
      </c>
      <c r="Z1030" s="7"/>
      <c r="AA1030" s="7"/>
      <c r="AB1030" s="7"/>
      <c r="AC1030" s="7" t="n">
        <v>0</v>
      </c>
      <c r="AD1030" s="7" t="s">
        <v>388</v>
      </c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 t="s">
        <v>127</v>
      </c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</row>
    <row r="1031" customFormat="false" ht="15" hidden="false" customHeight="false" outlineLevel="0" collapsed="false">
      <c r="A1031" s="7" t="s">
        <v>7785</v>
      </c>
      <c r="B1031" s="7" t="s">
        <v>7786</v>
      </c>
      <c r="C1031" s="7" t="s">
        <v>7787</v>
      </c>
      <c r="D1031" s="7"/>
      <c r="E1031" s="7" t="s">
        <v>101</v>
      </c>
      <c r="F1031" s="7" t="s">
        <v>101</v>
      </c>
      <c r="G1031" s="7"/>
      <c r="H1031" s="7" t="s">
        <v>102</v>
      </c>
      <c r="I1031" s="7" t="s">
        <v>132</v>
      </c>
      <c r="J1031" s="7" t="s">
        <v>104</v>
      </c>
      <c r="K1031" s="7" t="s">
        <v>105</v>
      </c>
      <c r="L1031" s="7" t="s">
        <v>106</v>
      </c>
      <c r="M1031" s="7"/>
      <c r="N1031" s="7" t="s">
        <v>7788</v>
      </c>
      <c r="O1031" s="7"/>
      <c r="P1031" s="7" t="s">
        <v>135</v>
      </c>
      <c r="Q1031" s="7"/>
      <c r="R1031" s="7" t="s">
        <v>135</v>
      </c>
      <c r="S1031" s="7" t="s">
        <v>136</v>
      </c>
      <c r="T1031" s="7" t="n">
        <v>0.254</v>
      </c>
      <c r="U1031" s="7" t="n">
        <v>1</v>
      </c>
      <c r="V1031" s="7" t="s">
        <v>90</v>
      </c>
      <c r="W1031" s="7"/>
      <c r="X1031" s="7"/>
      <c r="Y1031" s="7" t="s">
        <v>7788</v>
      </c>
      <c r="Z1031" s="7"/>
      <c r="AA1031" s="7"/>
      <c r="AB1031" s="7"/>
      <c r="AC1031" s="7" t="n">
        <v>0</v>
      </c>
      <c r="AD1031" s="7" t="s">
        <v>388</v>
      </c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 t="s">
        <v>127</v>
      </c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</row>
    <row r="1032" customFormat="false" ht="15" hidden="false" customHeight="false" outlineLevel="0" collapsed="false">
      <c r="A1032" s="7" t="s">
        <v>7789</v>
      </c>
      <c r="B1032" s="7" t="s">
        <v>7790</v>
      </c>
      <c r="C1032" s="7" t="s">
        <v>7791</v>
      </c>
      <c r="D1032" s="7" t="s">
        <v>7792</v>
      </c>
      <c r="E1032" s="7" t="s">
        <v>101</v>
      </c>
      <c r="F1032" s="7" t="s">
        <v>101</v>
      </c>
      <c r="G1032" s="7"/>
      <c r="H1032" s="7" t="s">
        <v>102</v>
      </c>
      <c r="I1032" s="7" t="s">
        <v>158</v>
      </c>
      <c r="J1032" s="7" t="s">
        <v>104</v>
      </c>
      <c r="K1032" s="7" t="s">
        <v>105</v>
      </c>
      <c r="L1032" s="7" t="s">
        <v>353</v>
      </c>
      <c r="M1032" s="7"/>
      <c r="N1032" s="7" t="s">
        <v>7793</v>
      </c>
      <c r="O1032" s="7"/>
      <c r="P1032" s="7" t="s">
        <v>135</v>
      </c>
      <c r="Q1032" s="7"/>
      <c r="R1032" s="7"/>
      <c r="S1032" s="7"/>
      <c r="T1032" s="7" t="n">
        <v>0.243</v>
      </c>
      <c r="U1032" s="7" t="n">
        <v>1</v>
      </c>
      <c r="V1032" s="7" t="s">
        <v>90</v>
      </c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 t="s">
        <v>1848</v>
      </c>
      <c r="AH1032" s="7" t="s">
        <v>1956</v>
      </c>
      <c r="AI1032" s="7"/>
      <c r="AJ1032" s="7"/>
      <c r="AK1032" s="7"/>
      <c r="AL1032" s="7"/>
      <c r="AM1032" s="7" t="s">
        <v>1848</v>
      </c>
      <c r="AN1032" s="7" t="s">
        <v>1957</v>
      </c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 t="s">
        <v>440</v>
      </c>
      <c r="BE1032" s="7" t="s">
        <v>127</v>
      </c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</row>
    <row r="1033" customFormat="false" ht="15" hidden="false" customHeight="false" outlineLevel="0" collapsed="false">
      <c r="A1033" s="7" t="s">
        <v>7794</v>
      </c>
      <c r="B1033" s="7" t="s">
        <v>7795</v>
      </c>
      <c r="C1033" s="7" t="s">
        <v>7796</v>
      </c>
      <c r="D1033" s="7" t="s">
        <v>3228</v>
      </c>
      <c r="E1033" s="7" t="s">
        <v>101</v>
      </c>
      <c r="F1033" s="7" t="s">
        <v>101</v>
      </c>
      <c r="G1033" s="7"/>
      <c r="H1033" s="7" t="s">
        <v>102</v>
      </c>
      <c r="I1033" s="7" t="s">
        <v>132</v>
      </c>
      <c r="J1033" s="7" t="s">
        <v>104</v>
      </c>
      <c r="K1033" s="7" t="s">
        <v>105</v>
      </c>
      <c r="L1033" s="7" t="s">
        <v>106</v>
      </c>
      <c r="M1033" s="7"/>
      <c r="N1033" s="7" t="s">
        <v>3301</v>
      </c>
      <c r="O1033" s="7" t="s">
        <v>3301</v>
      </c>
      <c r="P1033" s="7" t="s">
        <v>135</v>
      </c>
      <c r="Q1033" s="7"/>
      <c r="R1033" s="7" t="s">
        <v>109</v>
      </c>
      <c r="S1033" s="7" t="s">
        <v>110</v>
      </c>
      <c r="T1033" s="7" t="n">
        <v>0.518</v>
      </c>
      <c r="U1033" s="7" t="n">
        <v>1</v>
      </c>
      <c r="V1033" s="7" t="s">
        <v>90</v>
      </c>
      <c r="W1033" s="7"/>
      <c r="X1033" s="7"/>
      <c r="Y1033" s="7" t="s">
        <v>3301</v>
      </c>
      <c r="Z1033" s="7"/>
      <c r="AA1033" s="7"/>
      <c r="AB1033" s="7"/>
      <c r="AC1033" s="7" t="n">
        <v>7</v>
      </c>
      <c r="AD1033" s="7" t="s">
        <v>7797</v>
      </c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 t="s">
        <v>248</v>
      </c>
      <c r="AP1033" s="7" t="s">
        <v>3203</v>
      </c>
      <c r="AQ1033" s="7" t="s">
        <v>248</v>
      </c>
      <c r="AR1033" s="7" t="s">
        <v>82</v>
      </c>
      <c r="AS1033" s="7" t="s">
        <v>248</v>
      </c>
      <c r="AT1033" s="7" t="s">
        <v>250</v>
      </c>
      <c r="AU1033" s="7" t="s">
        <v>248</v>
      </c>
      <c r="AV1033" s="7" t="s">
        <v>3305</v>
      </c>
      <c r="AW1033" s="7" t="s">
        <v>248</v>
      </c>
      <c r="AX1033" s="7" t="s">
        <v>326</v>
      </c>
      <c r="AY1033" s="7" t="s">
        <v>248</v>
      </c>
      <c r="AZ1033" s="7" t="s">
        <v>2701</v>
      </c>
      <c r="BA1033" s="7" t="s">
        <v>115</v>
      </c>
      <c r="BB1033" s="7" t="s">
        <v>116</v>
      </c>
      <c r="BC1033" s="7"/>
      <c r="BD1033" s="7"/>
      <c r="BE1033" s="7" t="s">
        <v>127</v>
      </c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</row>
    <row r="1034" customFormat="false" ht="15" hidden="false" customHeight="false" outlineLevel="0" collapsed="false">
      <c r="A1034" s="7" t="s">
        <v>7798</v>
      </c>
      <c r="B1034" s="7" t="s">
        <v>7799</v>
      </c>
      <c r="C1034" s="7" t="s">
        <v>7800</v>
      </c>
      <c r="D1034" s="7"/>
      <c r="E1034" s="7" t="s">
        <v>101</v>
      </c>
      <c r="F1034" s="7" t="s">
        <v>101</v>
      </c>
      <c r="G1034" s="7"/>
      <c r="H1034" s="7" t="s">
        <v>102</v>
      </c>
      <c r="I1034" s="7" t="s">
        <v>300</v>
      </c>
      <c r="J1034" s="7" t="s">
        <v>104</v>
      </c>
      <c r="K1034" s="7" t="s">
        <v>105</v>
      </c>
      <c r="L1034" s="7" t="s">
        <v>106</v>
      </c>
      <c r="M1034" s="7"/>
      <c r="N1034" s="7" t="s">
        <v>7801</v>
      </c>
      <c r="O1034" s="7"/>
      <c r="P1034" s="7" t="s">
        <v>135</v>
      </c>
      <c r="Q1034" s="7"/>
      <c r="R1034" s="7" t="s">
        <v>135</v>
      </c>
      <c r="S1034" s="7" t="s">
        <v>136</v>
      </c>
      <c r="T1034" s="7" t="n">
        <v>0.391</v>
      </c>
      <c r="U1034" s="7" t="n">
        <v>1</v>
      </c>
      <c r="V1034" s="7" t="s">
        <v>90</v>
      </c>
      <c r="W1034" s="7"/>
      <c r="X1034" s="7"/>
      <c r="Y1034" s="7" t="s">
        <v>7801</v>
      </c>
      <c r="Z1034" s="7"/>
      <c r="AA1034" s="7"/>
      <c r="AB1034" s="7"/>
      <c r="AC1034" s="7" t="n">
        <v>0</v>
      </c>
      <c r="AD1034" s="7" t="s">
        <v>388</v>
      </c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 t="s">
        <v>127</v>
      </c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</row>
    <row r="1035" customFormat="false" ht="15" hidden="false" customHeight="false" outlineLevel="0" collapsed="false">
      <c r="A1035" s="7" t="s">
        <v>7802</v>
      </c>
      <c r="B1035" s="7" t="s">
        <v>7803</v>
      </c>
      <c r="C1035" s="7" t="s">
        <v>7804</v>
      </c>
      <c r="D1035" s="7"/>
      <c r="E1035" s="7" t="s">
        <v>101</v>
      </c>
      <c r="F1035" s="7" t="s">
        <v>101</v>
      </c>
      <c r="G1035" s="7"/>
      <c r="H1035" s="7" t="s">
        <v>102</v>
      </c>
      <c r="I1035" s="7" t="s">
        <v>132</v>
      </c>
      <c r="J1035" s="7" t="s">
        <v>104</v>
      </c>
      <c r="K1035" s="7" t="s">
        <v>105</v>
      </c>
      <c r="L1035" s="7" t="s">
        <v>2656</v>
      </c>
      <c r="M1035" s="7"/>
      <c r="N1035" s="7" t="s">
        <v>7805</v>
      </c>
      <c r="O1035" s="7"/>
      <c r="P1035" s="7" t="s">
        <v>135</v>
      </c>
      <c r="Q1035" s="7"/>
      <c r="R1035" s="7" t="s">
        <v>135</v>
      </c>
      <c r="S1035" s="7" t="s">
        <v>136</v>
      </c>
      <c r="T1035" s="7" t="n">
        <v>0.347</v>
      </c>
      <c r="U1035" s="7" t="n">
        <v>1</v>
      </c>
      <c r="V1035" s="7" t="s">
        <v>90</v>
      </c>
      <c r="W1035" s="7"/>
      <c r="X1035" s="7"/>
      <c r="Y1035" s="7" t="s">
        <v>7805</v>
      </c>
      <c r="Z1035" s="7"/>
      <c r="AA1035" s="7"/>
      <c r="AB1035" s="7"/>
      <c r="AC1035" s="7" t="n">
        <v>0</v>
      </c>
      <c r="AD1035" s="7" t="s">
        <v>388</v>
      </c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 t="s">
        <v>127</v>
      </c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</row>
    <row r="1036" customFormat="false" ht="15" hidden="false" customHeight="false" outlineLevel="0" collapsed="false">
      <c r="A1036" s="7" t="s">
        <v>7806</v>
      </c>
      <c r="B1036" s="7" t="s">
        <v>7807</v>
      </c>
      <c r="C1036" s="7" t="s">
        <v>7808</v>
      </c>
      <c r="D1036" s="7"/>
      <c r="E1036" s="7" t="s">
        <v>101</v>
      </c>
      <c r="F1036" s="7" t="s">
        <v>101</v>
      </c>
      <c r="G1036" s="7"/>
      <c r="H1036" s="7" t="s">
        <v>102</v>
      </c>
      <c r="I1036" s="7" t="s">
        <v>132</v>
      </c>
      <c r="J1036" s="7" t="s">
        <v>104</v>
      </c>
      <c r="K1036" s="7" t="s">
        <v>105</v>
      </c>
      <c r="L1036" s="7" t="s">
        <v>2656</v>
      </c>
      <c r="M1036" s="7"/>
      <c r="N1036" s="7" t="s">
        <v>7809</v>
      </c>
      <c r="O1036" s="7"/>
      <c r="P1036" s="7" t="s">
        <v>135</v>
      </c>
      <c r="Q1036" s="7"/>
      <c r="R1036" s="7"/>
      <c r="S1036" s="7"/>
      <c r="T1036" s="7" t="n">
        <v>0.228</v>
      </c>
      <c r="U1036" s="7" t="n">
        <v>1</v>
      </c>
      <c r="V1036" s="7" t="s">
        <v>90</v>
      </c>
      <c r="W1036" s="7"/>
      <c r="X1036" s="7"/>
      <c r="Y1036" s="7" t="s">
        <v>7809</v>
      </c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 t="s">
        <v>127</v>
      </c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</row>
    <row r="1037" customFormat="false" ht="15" hidden="false" customHeight="false" outlineLevel="0" collapsed="false">
      <c r="A1037" s="7" t="s">
        <v>7810</v>
      </c>
      <c r="B1037" s="7" t="s">
        <v>7811</v>
      </c>
      <c r="C1037" s="7" t="s">
        <v>7812</v>
      </c>
      <c r="D1037" s="7" t="s">
        <v>7813</v>
      </c>
      <c r="E1037" s="7" t="s">
        <v>101</v>
      </c>
      <c r="F1037" s="7" t="s">
        <v>101</v>
      </c>
      <c r="G1037" s="7"/>
      <c r="H1037" s="7" t="s">
        <v>102</v>
      </c>
      <c r="I1037" s="7" t="s">
        <v>132</v>
      </c>
      <c r="J1037" s="7" t="s">
        <v>104</v>
      </c>
      <c r="K1037" s="7" t="s">
        <v>105</v>
      </c>
      <c r="L1037" s="7" t="s">
        <v>106</v>
      </c>
      <c r="M1037" s="7"/>
      <c r="N1037" s="7" t="s">
        <v>7814</v>
      </c>
      <c r="O1037" s="7"/>
      <c r="P1037" s="7" t="s">
        <v>135</v>
      </c>
      <c r="Q1037" s="7"/>
      <c r="R1037" s="7" t="s">
        <v>135</v>
      </c>
      <c r="S1037" s="7" t="s">
        <v>136</v>
      </c>
      <c r="T1037" s="7" t="n">
        <v>0.531</v>
      </c>
      <c r="U1037" s="7" t="n">
        <v>1</v>
      </c>
      <c r="V1037" s="7" t="s">
        <v>90</v>
      </c>
      <c r="W1037" s="7"/>
      <c r="X1037" s="7"/>
      <c r="Y1037" s="7" t="s">
        <v>7814</v>
      </c>
      <c r="Z1037" s="7"/>
      <c r="AA1037" s="7"/>
      <c r="AB1037" s="7"/>
      <c r="AC1037" s="7" t="n">
        <v>0</v>
      </c>
      <c r="AD1037" s="7" t="s">
        <v>388</v>
      </c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 t="s">
        <v>127</v>
      </c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</row>
    <row r="1038" customFormat="false" ht="15" hidden="false" customHeight="false" outlineLevel="0" collapsed="false">
      <c r="A1038" s="7" t="s">
        <v>7815</v>
      </c>
      <c r="B1038" s="7" t="s">
        <v>7816</v>
      </c>
      <c r="C1038" s="7" t="s">
        <v>4330</v>
      </c>
      <c r="D1038" s="7" t="s">
        <v>7557</v>
      </c>
      <c r="E1038" s="7" t="s">
        <v>101</v>
      </c>
      <c r="F1038" s="7" t="s">
        <v>82</v>
      </c>
      <c r="G1038" s="7"/>
      <c r="H1038" s="7" t="s">
        <v>102</v>
      </c>
      <c r="I1038" s="7" t="s">
        <v>132</v>
      </c>
      <c r="J1038" s="7" t="s">
        <v>104</v>
      </c>
      <c r="K1038" s="7" t="s">
        <v>105</v>
      </c>
      <c r="L1038" s="7" t="s">
        <v>106</v>
      </c>
      <c r="M1038" s="7"/>
      <c r="N1038" s="7" t="s">
        <v>4334</v>
      </c>
      <c r="O1038" s="7"/>
      <c r="P1038" s="7" t="s">
        <v>135</v>
      </c>
      <c r="Q1038" s="7"/>
      <c r="R1038" s="7" t="s">
        <v>135</v>
      </c>
      <c r="S1038" s="7" t="s">
        <v>136</v>
      </c>
      <c r="T1038" s="7" t="n">
        <v>0.375</v>
      </c>
      <c r="U1038" s="7" t="n">
        <v>1</v>
      </c>
      <c r="V1038" s="7" t="s">
        <v>90</v>
      </c>
      <c r="W1038" s="7"/>
      <c r="X1038" s="7"/>
      <c r="Y1038" s="7"/>
      <c r="Z1038" s="7"/>
      <c r="AA1038" s="7"/>
      <c r="AB1038" s="7"/>
      <c r="AC1038" s="7" t="n">
        <v>0</v>
      </c>
      <c r="AD1038" s="7" t="s">
        <v>388</v>
      </c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 t="s">
        <v>220</v>
      </c>
      <c r="BE1038" s="7" t="s">
        <v>127</v>
      </c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</row>
    <row r="1039" customFormat="false" ht="15" hidden="false" customHeight="false" outlineLevel="0" collapsed="false">
      <c r="A1039" s="7" t="s">
        <v>7817</v>
      </c>
      <c r="B1039" s="7" t="s">
        <v>7818</v>
      </c>
      <c r="C1039" s="7" t="s">
        <v>7819</v>
      </c>
      <c r="D1039" s="7"/>
      <c r="E1039" s="7" t="s">
        <v>101</v>
      </c>
      <c r="F1039" s="7" t="s">
        <v>101</v>
      </c>
      <c r="G1039" s="7"/>
      <c r="H1039" s="7" t="s">
        <v>102</v>
      </c>
      <c r="I1039" s="7" t="s">
        <v>208</v>
      </c>
      <c r="J1039" s="7" t="s">
        <v>104</v>
      </c>
      <c r="K1039" s="7" t="s">
        <v>105</v>
      </c>
      <c r="L1039" s="7" t="s">
        <v>2470</v>
      </c>
      <c r="M1039" s="7"/>
      <c r="N1039" s="7" t="s">
        <v>7820</v>
      </c>
      <c r="O1039" s="7" t="s">
        <v>7820</v>
      </c>
      <c r="P1039" s="7" t="s">
        <v>135</v>
      </c>
      <c r="Q1039" s="7"/>
      <c r="R1039" s="7" t="s">
        <v>109</v>
      </c>
      <c r="S1039" s="7" t="s">
        <v>110</v>
      </c>
      <c r="T1039" s="7" t="n">
        <v>0.369</v>
      </c>
      <c r="U1039" s="7" t="n">
        <v>1</v>
      </c>
      <c r="V1039" s="7" t="s">
        <v>90</v>
      </c>
      <c r="W1039" s="7"/>
      <c r="X1039" s="7"/>
      <c r="Y1039" s="7" t="s">
        <v>7820</v>
      </c>
      <c r="Z1039" s="7"/>
      <c r="AA1039" s="7"/>
      <c r="AB1039" s="7"/>
      <c r="AC1039" s="7" t="n">
        <v>0</v>
      </c>
      <c r="AD1039" s="7" t="s">
        <v>388</v>
      </c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 t="s">
        <v>127</v>
      </c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</row>
    <row r="1040" customFormat="false" ht="15" hidden="false" customHeight="false" outlineLevel="0" collapsed="false">
      <c r="A1040" s="7" t="s">
        <v>7821</v>
      </c>
      <c r="B1040" s="7" t="s">
        <v>7822</v>
      </c>
      <c r="C1040" s="7" t="s">
        <v>7823</v>
      </c>
      <c r="D1040" s="7"/>
      <c r="E1040" s="7" t="s">
        <v>101</v>
      </c>
      <c r="F1040" s="7" t="s">
        <v>101</v>
      </c>
      <c r="G1040" s="7"/>
      <c r="H1040" s="7" t="s">
        <v>102</v>
      </c>
      <c r="I1040" s="7" t="s">
        <v>132</v>
      </c>
      <c r="J1040" s="7" t="s">
        <v>104</v>
      </c>
      <c r="K1040" s="7" t="s">
        <v>105</v>
      </c>
      <c r="L1040" s="7" t="s">
        <v>2656</v>
      </c>
      <c r="M1040" s="7"/>
      <c r="N1040" s="7" t="s">
        <v>7824</v>
      </c>
      <c r="O1040" s="7"/>
      <c r="P1040" s="7" t="s">
        <v>135</v>
      </c>
      <c r="Q1040" s="7"/>
      <c r="R1040" s="7"/>
      <c r="S1040" s="7"/>
      <c r="T1040" s="7" t="n">
        <v>0.373</v>
      </c>
      <c r="U1040" s="7" t="n">
        <v>1</v>
      </c>
      <c r="V1040" s="7" t="s">
        <v>90</v>
      </c>
      <c r="W1040" s="7"/>
      <c r="X1040" s="7"/>
      <c r="Y1040" s="7" t="s">
        <v>7824</v>
      </c>
      <c r="Z1040" s="7"/>
      <c r="AA1040" s="7"/>
      <c r="AB1040" s="7"/>
      <c r="AC1040" s="7"/>
      <c r="AD1040" s="7"/>
      <c r="AE1040" s="7"/>
      <c r="AF1040" s="7"/>
      <c r="AG1040" s="7" t="s">
        <v>779</v>
      </c>
      <c r="AH1040" s="7" t="s">
        <v>1956</v>
      </c>
      <c r="AI1040" s="7"/>
      <c r="AJ1040" s="7"/>
      <c r="AK1040" s="7"/>
      <c r="AL1040" s="7"/>
      <c r="AM1040" s="7" t="s">
        <v>779</v>
      </c>
      <c r="AN1040" s="7" t="s">
        <v>1957</v>
      </c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 t="s">
        <v>127</v>
      </c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</row>
    <row r="1041" customFormat="false" ht="15" hidden="false" customHeight="false" outlineLevel="0" collapsed="false">
      <c r="A1041" s="7" t="s">
        <v>7825</v>
      </c>
      <c r="B1041" s="7" t="s">
        <v>7826</v>
      </c>
      <c r="C1041" s="7" t="s">
        <v>7827</v>
      </c>
      <c r="D1041" s="7" t="s">
        <v>7828</v>
      </c>
      <c r="E1041" s="7" t="s">
        <v>101</v>
      </c>
      <c r="F1041" s="7" t="s">
        <v>101</v>
      </c>
      <c r="G1041" s="7"/>
      <c r="H1041" s="7" t="s">
        <v>102</v>
      </c>
      <c r="I1041" s="7" t="s">
        <v>158</v>
      </c>
      <c r="J1041" s="7" t="s">
        <v>104</v>
      </c>
      <c r="K1041" s="7" t="s">
        <v>105</v>
      </c>
      <c r="L1041" s="7" t="s">
        <v>106</v>
      </c>
      <c r="M1041" s="7"/>
      <c r="N1041" s="7" t="s">
        <v>7829</v>
      </c>
      <c r="O1041" s="7" t="s">
        <v>7829</v>
      </c>
      <c r="P1041" s="7" t="s">
        <v>135</v>
      </c>
      <c r="Q1041" s="7"/>
      <c r="R1041" s="7" t="s">
        <v>109</v>
      </c>
      <c r="S1041" s="7" t="s">
        <v>110</v>
      </c>
      <c r="T1041" s="7" t="n">
        <v>0.225</v>
      </c>
      <c r="U1041" s="7" t="n">
        <v>1</v>
      </c>
      <c r="V1041" s="7" t="s">
        <v>90</v>
      </c>
      <c r="W1041" s="7"/>
      <c r="X1041" s="7"/>
      <c r="Y1041" s="7" t="s">
        <v>7829</v>
      </c>
      <c r="Z1041" s="7"/>
      <c r="AA1041" s="7"/>
      <c r="AB1041" s="7"/>
      <c r="AC1041" s="7" t="n">
        <v>2</v>
      </c>
      <c r="AD1041" s="7" t="s">
        <v>1954</v>
      </c>
      <c r="AE1041" s="7"/>
      <c r="AF1041" s="7"/>
      <c r="AG1041" s="7" t="s">
        <v>779</v>
      </c>
      <c r="AH1041" s="7" t="s">
        <v>1956</v>
      </c>
      <c r="AI1041" s="7"/>
      <c r="AJ1041" s="7"/>
      <c r="AK1041" s="7"/>
      <c r="AL1041" s="7"/>
      <c r="AM1041" s="7" t="s">
        <v>779</v>
      </c>
      <c r="AN1041" s="7" t="s">
        <v>1957</v>
      </c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 t="s">
        <v>747</v>
      </c>
      <c r="BE1041" s="7" t="s">
        <v>127</v>
      </c>
      <c r="BF1041" s="8"/>
      <c r="BG1041" s="8"/>
      <c r="BH1041" s="8"/>
      <c r="BI1041" s="8"/>
      <c r="BJ1041" s="8"/>
      <c r="BK1041" s="8"/>
      <c r="BL1041" s="8"/>
      <c r="BM1041" s="8"/>
      <c r="BN1041" s="8"/>
      <c r="BO1041" s="8"/>
      <c r="BP1041" s="8"/>
      <c r="BQ1041" s="8"/>
      <c r="BR1041" s="8"/>
      <c r="BS1041" s="8"/>
    </row>
    <row r="1042" customFormat="false" ht="15" hidden="false" customHeight="false" outlineLevel="0" collapsed="false">
      <c r="A1042" s="7" t="s">
        <v>7830</v>
      </c>
      <c r="B1042" s="7" t="s">
        <v>7831</v>
      </c>
      <c r="C1042" s="7" t="s">
        <v>7832</v>
      </c>
      <c r="D1042" s="7"/>
      <c r="E1042" s="7" t="s">
        <v>101</v>
      </c>
      <c r="F1042" s="7" t="s">
        <v>101</v>
      </c>
      <c r="G1042" s="7"/>
      <c r="H1042" s="7" t="s">
        <v>102</v>
      </c>
      <c r="I1042" s="7" t="s">
        <v>158</v>
      </c>
      <c r="J1042" s="7" t="s">
        <v>104</v>
      </c>
      <c r="K1042" s="7" t="s">
        <v>105</v>
      </c>
      <c r="L1042" s="7" t="s">
        <v>106</v>
      </c>
      <c r="M1042" s="7"/>
      <c r="N1042" s="7" t="s">
        <v>7833</v>
      </c>
      <c r="O1042" s="7" t="s">
        <v>7833</v>
      </c>
      <c r="P1042" s="7" t="s">
        <v>135</v>
      </c>
      <c r="Q1042" s="7"/>
      <c r="R1042" s="7" t="s">
        <v>109</v>
      </c>
      <c r="S1042" s="7" t="s">
        <v>110</v>
      </c>
      <c r="T1042" s="7" t="n">
        <v>0.25</v>
      </c>
      <c r="U1042" s="7" t="n">
        <v>1</v>
      </c>
      <c r="V1042" s="7" t="s">
        <v>90</v>
      </c>
      <c r="W1042" s="7"/>
      <c r="X1042" s="7"/>
      <c r="Y1042" s="7" t="s">
        <v>7833</v>
      </c>
      <c r="Z1042" s="7"/>
      <c r="AA1042" s="7"/>
      <c r="AB1042" s="7"/>
      <c r="AC1042" s="7" t="n">
        <v>0</v>
      </c>
      <c r="AD1042" s="7" t="s">
        <v>388</v>
      </c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 t="s">
        <v>127</v>
      </c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</row>
    <row r="1043" customFormat="false" ht="15" hidden="false" customHeight="false" outlineLevel="0" collapsed="false">
      <c r="A1043" s="7" t="s">
        <v>7834</v>
      </c>
      <c r="B1043" s="7" t="s">
        <v>7835</v>
      </c>
      <c r="C1043" s="7" t="s">
        <v>7816</v>
      </c>
      <c r="D1043" s="7" t="s">
        <v>7836</v>
      </c>
      <c r="E1043" s="7" t="s">
        <v>101</v>
      </c>
      <c r="F1043" s="7" t="s">
        <v>82</v>
      </c>
      <c r="G1043" s="7"/>
      <c r="H1043" s="7" t="s">
        <v>102</v>
      </c>
      <c r="I1043" s="7" t="s">
        <v>132</v>
      </c>
      <c r="J1043" s="7" t="s">
        <v>104</v>
      </c>
      <c r="K1043" s="7" t="s">
        <v>105</v>
      </c>
      <c r="L1043" s="7" t="s">
        <v>106</v>
      </c>
      <c r="M1043" s="7"/>
      <c r="N1043" s="7" t="s">
        <v>4334</v>
      </c>
      <c r="O1043" s="7"/>
      <c r="P1043" s="7" t="s">
        <v>135</v>
      </c>
      <c r="Q1043" s="7"/>
      <c r="R1043" s="7" t="s">
        <v>135</v>
      </c>
      <c r="S1043" s="7" t="s">
        <v>136</v>
      </c>
      <c r="T1043" s="7" t="n">
        <v>0.462</v>
      </c>
      <c r="U1043" s="7" t="n">
        <v>1</v>
      </c>
      <c r="V1043" s="7" t="s">
        <v>90</v>
      </c>
      <c r="W1043" s="7"/>
      <c r="X1043" s="7" t="s">
        <v>658</v>
      </c>
      <c r="Y1043" s="7"/>
      <c r="Z1043" s="7" t="s">
        <v>3074</v>
      </c>
      <c r="AA1043" s="7"/>
      <c r="AB1043" s="7"/>
      <c r="AC1043" s="7" t="n">
        <v>10</v>
      </c>
      <c r="AD1043" s="7" t="s">
        <v>7837</v>
      </c>
      <c r="AE1043" s="7" t="s">
        <v>248</v>
      </c>
      <c r="AF1043" s="7" t="s">
        <v>7838</v>
      </c>
      <c r="AG1043" s="7" t="s">
        <v>248</v>
      </c>
      <c r="AH1043" s="7" t="s">
        <v>7839</v>
      </c>
      <c r="AI1043" s="7" t="s">
        <v>248</v>
      </c>
      <c r="AJ1043" s="7" t="s">
        <v>4914</v>
      </c>
      <c r="AK1043" s="7"/>
      <c r="AL1043" s="7"/>
      <c r="AM1043" s="7" t="s">
        <v>248</v>
      </c>
      <c r="AN1043" s="7" t="s">
        <v>7840</v>
      </c>
      <c r="AO1043" s="7" t="s">
        <v>248</v>
      </c>
      <c r="AP1043" s="7" t="s">
        <v>7841</v>
      </c>
      <c r="AQ1043" s="7" t="s">
        <v>248</v>
      </c>
      <c r="AR1043" s="7" t="s">
        <v>82</v>
      </c>
      <c r="AS1043" s="7" t="s">
        <v>248</v>
      </c>
      <c r="AT1043" s="7" t="s">
        <v>122</v>
      </c>
      <c r="AU1043" s="7" t="s">
        <v>248</v>
      </c>
      <c r="AV1043" s="7" t="s">
        <v>7842</v>
      </c>
      <c r="AW1043" s="7" t="s">
        <v>248</v>
      </c>
      <c r="AX1043" s="7" t="s">
        <v>326</v>
      </c>
      <c r="AY1043" s="7" t="s">
        <v>248</v>
      </c>
      <c r="AZ1043" s="7" t="s">
        <v>124</v>
      </c>
      <c r="BA1043" s="7"/>
      <c r="BB1043" s="7"/>
      <c r="BC1043" s="7"/>
      <c r="BD1043" s="7" t="s">
        <v>220</v>
      </c>
      <c r="BE1043" s="7" t="s">
        <v>127</v>
      </c>
      <c r="BF1043" s="8"/>
      <c r="BG1043" s="8"/>
      <c r="BH1043" s="8"/>
      <c r="BI1043" s="8"/>
      <c r="BJ1043" s="8"/>
      <c r="BK1043" s="8"/>
      <c r="BL1043" s="8"/>
      <c r="BM1043" s="8"/>
      <c r="BN1043" s="8"/>
      <c r="BO1043" s="8"/>
      <c r="BP1043" s="8"/>
      <c r="BQ1043" s="8"/>
      <c r="BR1043" s="8"/>
      <c r="BS1043" s="8"/>
    </row>
    <row r="1044" customFormat="false" ht="15" hidden="false" customHeight="false" outlineLevel="0" collapsed="false">
      <c r="A1044" s="7" t="s">
        <v>7843</v>
      </c>
      <c r="B1044" s="7" t="s">
        <v>7844</v>
      </c>
      <c r="C1044" s="7" t="s">
        <v>7845</v>
      </c>
      <c r="D1044" s="7" t="s">
        <v>7846</v>
      </c>
      <c r="E1044" s="7" t="s">
        <v>82</v>
      </c>
      <c r="F1044" s="7" t="s">
        <v>82</v>
      </c>
      <c r="G1044" s="7"/>
      <c r="H1044" s="7"/>
      <c r="I1044" s="7" t="s">
        <v>132</v>
      </c>
      <c r="J1044" s="7" t="s">
        <v>104</v>
      </c>
      <c r="K1044" s="7" t="s">
        <v>105</v>
      </c>
      <c r="L1044" s="7" t="s">
        <v>106</v>
      </c>
      <c r="M1044" s="7"/>
      <c r="N1044" s="7" t="s">
        <v>7847</v>
      </c>
      <c r="O1044" s="7" t="s">
        <v>7847</v>
      </c>
      <c r="P1044" s="7" t="s">
        <v>135</v>
      </c>
      <c r="Q1044" s="7"/>
      <c r="R1044" s="7" t="s">
        <v>109</v>
      </c>
      <c r="S1044" s="7" t="s">
        <v>110</v>
      </c>
      <c r="T1044" s="7" t="n">
        <v>0.366</v>
      </c>
      <c r="U1044" s="7" t="n">
        <v>1</v>
      </c>
      <c r="V1044" s="7"/>
      <c r="W1044" s="7"/>
      <c r="X1044" s="7"/>
      <c r="Y1044" s="7" t="s">
        <v>7847</v>
      </c>
      <c r="Z1044" s="7"/>
      <c r="AA1044" s="7"/>
      <c r="AB1044" s="7"/>
      <c r="AC1044" s="7" t="n">
        <v>4</v>
      </c>
      <c r="AD1044" s="7" t="s">
        <v>1376</v>
      </c>
      <c r="AE1044" s="7" t="s">
        <v>744</v>
      </c>
      <c r="AF1044" s="7" t="s">
        <v>7845</v>
      </c>
      <c r="AG1044" s="7"/>
      <c r="AH1044" s="7"/>
      <c r="AI1044" s="7"/>
      <c r="AJ1044" s="7"/>
      <c r="AK1044" s="7"/>
      <c r="AL1044" s="7"/>
      <c r="AM1044" s="7"/>
      <c r="AN1044" s="7"/>
      <c r="AO1044" s="7" t="s">
        <v>744</v>
      </c>
      <c r="AP1044" s="7" t="s">
        <v>7846</v>
      </c>
      <c r="AQ1044" s="7" t="s">
        <v>744</v>
      </c>
      <c r="AR1044" s="7" t="s">
        <v>82</v>
      </c>
      <c r="AS1044" s="7"/>
      <c r="AT1044" s="7"/>
      <c r="AU1044" s="7"/>
      <c r="AV1044" s="7"/>
      <c r="AW1044" s="7" t="s">
        <v>744</v>
      </c>
      <c r="AX1044" s="7" t="s">
        <v>7847</v>
      </c>
      <c r="AY1044" s="7"/>
      <c r="AZ1044" s="7"/>
      <c r="BA1044" s="7"/>
      <c r="BB1044" s="7"/>
      <c r="BC1044" s="7"/>
      <c r="BD1044" s="7" t="s">
        <v>220</v>
      </c>
      <c r="BE1044" s="7" t="s">
        <v>127</v>
      </c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</row>
    <row r="1045" customFormat="false" ht="15" hidden="false" customHeight="false" outlineLevel="0" collapsed="false">
      <c r="A1045" s="7" t="s">
        <v>7848</v>
      </c>
      <c r="B1045" s="7" t="s">
        <v>7849</v>
      </c>
      <c r="C1045" s="7" t="s">
        <v>7850</v>
      </c>
      <c r="D1045" s="7" t="s">
        <v>7851</v>
      </c>
      <c r="E1045" s="7" t="s">
        <v>101</v>
      </c>
      <c r="F1045" s="7" t="s">
        <v>101</v>
      </c>
      <c r="G1045" s="7"/>
      <c r="H1045" s="7" t="s">
        <v>102</v>
      </c>
      <c r="I1045" s="7" t="s">
        <v>132</v>
      </c>
      <c r="J1045" s="7" t="s">
        <v>104</v>
      </c>
      <c r="K1045" s="7" t="s">
        <v>105</v>
      </c>
      <c r="L1045" s="7" t="s">
        <v>106</v>
      </c>
      <c r="M1045" s="7"/>
      <c r="N1045" s="7" t="s">
        <v>7852</v>
      </c>
      <c r="O1045" s="7" t="s">
        <v>7852</v>
      </c>
      <c r="P1045" s="7" t="s">
        <v>135</v>
      </c>
      <c r="Q1045" s="7"/>
      <c r="R1045" s="7" t="s">
        <v>109</v>
      </c>
      <c r="S1045" s="7" t="s">
        <v>110</v>
      </c>
      <c r="T1045" s="7" t="n">
        <v>0.258</v>
      </c>
      <c r="U1045" s="7" t="n">
        <v>1</v>
      </c>
      <c r="V1045" s="7" t="s">
        <v>90</v>
      </c>
      <c r="W1045" s="7"/>
      <c r="X1045" s="7"/>
      <c r="Y1045" s="7" t="s">
        <v>7852</v>
      </c>
      <c r="Z1045" s="7"/>
      <c r="AA1045" s="7"/>
      <c r="AB1045" s="7"/>
      <c r="AC1045" s="7" t="n">
        <v>4</v>
      </c>
      <c r="AD1045" s="7" t="s">
        <v>7853</v>
      </c>
      <c r="AE1045" s="7" t="s">
        <v>248</v>
      </c>
      <c r="AF1045" s="7" t="s">
        <v>7854</v>
      </c>
      <c r="AG1045" s="7"/>
      <c r="AH1045" s="7"/>
      <c r="AI1045" s="7"/>
      <c r="AJ1045" s="7"/>
      <c r="AK1045" s="7"/>
      <c r="AL1045" s="7"/>
      <c r="AM1045" s="7"/>
      <c r="AN1045" s="7"/>
      <c r="AO1045" s="7" t="s">
        <v>248</v>
      </c>
      <c r="AP1045" s="7" t="s">
        <v>7855</v>
      </c>
      <c r="AQ1045" s="7"/>
      <c r="AR1045" s="7"/>
      <c r="AS1045" s="7" t="s">
        <v>248</v>
      </c>
      <c r="AT1045" s="7" t="s">
        <v>250</v>
      </c>
      <c r="AU1045" s="7"/>
      <c r="AV1045" s="7"/>
      <c r="AW1045" s="7"/>
      <c r="AX1045" s="7"/>
      <c r="AY1045" s="7"/>
      <c r="AZ1045" s="7"/>
      <c r="BA1045" s="7" t="s">
        <v>248</v>
      </c>
      <c r="BB1045" s="7" t="s">
        <v>275</v>
      </c>
      <c r="BC1045" s="7"/>
      <c r="BD1045" s="7"/>
      <c r="BE1045" s="7" t="s">
        <v>127</v>
      </c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</row>
    <row r="1046" customFormat="false" ht="15" hidden="false" customHeight="false" outlineLevel="0" collapsed="false">
      <c r="A1046" s="7" t="s">
        <v>7856</v>
      </c>
      <c r="B1046" s="7" t="s">
        <v>7857</v>
      </c>
      <c r="C1046" s="7" t="s">
        <v>7858</v>
      </c>
      <c r="D1046" s="7" t="s">
        <v>7859</v>
      </c>
      <c r="E1046" s="7" t="s">
        <v>101</v>
      </c>
      <c r="F1046" s="7" t="s">
        <v>101</v>
      </c>
      <c r="G1046" s="7"/>
      <c r="H1046" s="7" t="s">
        <v>102</v>
      </c>
      <c r="I1046" s="7" t="s">
        <v>132</v>
      </c>
      <c r="J1046" s="7" t="s">
        <v>104</v>
      </c>
      <c r="K1046" s="7" t="s">
        <v>105</v>
      </c>
      <c r="L1046" s="7" t="s">
        <v>106</v>
      </c>
      <c r="M1046" s="7"/>
      <c r="N1046" s="7" t="s">
        <v>7860</v>
      </c>
      <c r="O1046" s="7"/>
      <c r="P1046" s="7" t="s">
        <v>135</v>
      </c>
      <c r="Q1046" s="7"/>
      <c r="R1046" s="7" t="s">
        <v>135</v>
      </c>
      <c r="S1046" s="7" t="s">
        <v>136</v>
      </c>
      <c r="T1046" s="7" t="n">
        <v>0.165</v>
      </c>
      <c r="U1046" s="7" t="n">
        <v>1</v>
      </c>
      <c r="V1046" s="7" t="s">
        <v>90</v>
      </c>
      <c r="W1046" s="7"/>
      <c r="X1046" s="7"/>
      <c r="Y1046" s="7"/>
      <c r="Z1046" s="7"/>
      <c r="AA1046" s="7"/>
      <c r="AB1046" s="7"/>
      <c r="AC1046" s="7" t="n">
        <v>7</v>
      </c>
      <c r="AD1046" s="7" t="s">
        <v>2173</v>
      </c>
      <c r="AE1046" s="7" t="s">
        <v>1812</v>
      </c>
      <c r="AF1046" s="7" t="s">
        <v>2174</v>
      </c>
      <c r="AG1046" s="7"/>
      <c r="AH1046" s="7"/>
      <c r="AI1046" s="7"/>
      <c r="AJ1046" s="7"/>
      <c r="AK1046" s="7"/>
      <c r="AL1046" s="7"/>
      <c r="AM1046" s="7"/>
      <c r="AN1046" s="7"/>
      <c r="AO1046" s="7" t="s">
        <v>1812</v>
      </c>
      <c r="AP1046" s="7" t="s">
        <v>2175</v>
      </c>
      <c r="AQ1046" s="7" t="s">
        <v>1812</v>
      </c>
      <c r="AR1046" s="7" t="s">
        <v>82</v>
      </c>
      <c r="AS1046" s="7" t="s">
        <v>1812</v>
      </c>
      <c r="AT1046" s="7" t="s">
        <v>216</v>
      </c>
      <c r="AU1046" s="7"/>
      <c r="AV1046" s="7"/>
      <c r="AW1046" s="7" t="s">
        <v>1812</v>
      </c>
      <c r="AX1046" s="7" t="s">
        <v>326</v>
      </c>
      <c r="AY1046" s="7" t="s">
        <v>1812</v>
      </c>
      <c r="AZ1046" s="7" t="s">
        <v>666</v>
      </c>
      <c r="BA1046" s="7" t="s">
        <v>115</v>
      </c>
      <c r="BB1046" s="7" t="s">
        <v>116</v>
      </c>
      <c r="BC1046" s="7"/>
      <c r="BD1046" s="7"/>
      <c r="BE1046" s="7" t="s">
        <v>127</v>
      </c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</row>
    <row r="1047" customFormat="false" ht="15" hidden="false" customHeight="false" outlineLevel="0" collapsed="false">
      <c r="A1047" s="7" t="s">
        <v>7861</v>
      </c>
      <c r="B1047" s="7" t="s">
        <v>7862</v>
      </c>
      <c r="C1047" s="7" t="s">
        <v>7863</v>
      </c>
      <c r="D1047" s="7" t="s">
        <v>7859</v>
      </c>
      <c r="E1047" s="7" t="s">
        <v>101</v>
      </c>
      <c r="F1047" s="7" t="s">
        <v>101</v>
      </c>
      <c r="G1047" s="7"/>
      <c r="H1047" s="7" t="s">
        <v>102</v>
      </c>
      <c r="I1047" s="7" t="s">
        <v>132</v>
      </c>
      <c r="J1047" s="7" t="s">
        <v>104</v>
      </c>
      <c r="K1047" s="7" t="s">
        <v>105</v>
      </c>
      <c r="L1047" s="7" t="s">
        <v>106</v>
      </c>
      <c r="M1047" s="7"/>
      <c r="N1047" s="7" t="s">
        <v>7864</v>
      </c>
      <c r="O1047" s="7"/>
      <c r="P1047" s="7" t="s">
        <v>135</v>
      </c>
      <c r="Q1047" s="7"/>
      <c r="R1047" s="7" t="s">
        <v>135</v>
      </c>
      <c r="S1047" s="7" t="s">
        <v>136</v>
      </c>
      <c r="T1047" s="7" t="n">
        <v>0.201</v>
      </c>
      <c r="U1047" s="7" t="n">
        <v>1</v>
      </c>
      <c r="V1047" s="7" t="s">
        <v>90</v>
      </c>
      <c r="W1047" s="7"/>
      <c r="X1047" s="7"/>
      <c r="Y1047" s="7" t="s">
        <v>7864</v>
      </c>
      <c r="Z1047" s="7"/>
      <c r="AA1047" s="7"/>
      <c r="AB1047" s="7"/>
      <c r="AC1047" s="7" t="n">
        <v>5</v>
      </c>
      <c r="AD1047" s="7" t="s">
        <v>2505</v>
      </c>
      <c r="AE1047" s="7" t="s">
        <v>1812</v>
      </c>
      <c r="AF1047" s="7" t="s">
        <v>7865</v>
      </c>
      <c r="AG1047" s="7"/>
      <c r="AH1047" s="7"/>
      <c r="AI1047" s="7"/>
      <c r="AJ1047" s="7"/>
      <c r="AK1047" s="7"/>
      <c r="AL1047" s="7"/>
      <c r="AM1047" s="7"/>
      <c r="AN1047" s="7"/>
      <c r="AO1047" s="7" t="s">
        <v>1812</v>
      </c>
      <c r="AP1047" s="7" t="s">
        <v>7866</v>
      </c>
      <c r="AQ1047" s="7" t="s">
        <v>1812</v>
      </c>
      <c r="AR1047" s="7" t="s">
        <v>82</v>
      </c>
      <c r="AS1047" s="7" t="s">
        <v>1812</v>
      </c>
      <c r="AT1047" s="7" t="s">
        <v>122</v>
      </c>
      <c r="AU1047" s="7"/>
      <c r="AV1047" s="7"/>
      <c r="AW1047" s="7" t="s">
        <v>1812</v>
      </c>
      <c r="AX1047" s="7" t="s">
        <v>326</v>
      </c>
      <c r="AY1047" s="7"/>
      <c r="AZ1047" s="7"/>
      <c r="BA1047" s="7"/>
      <c r="BB1047" s="7"/>
      <c r="BC1047" s="7"/>
      <c r="BD1047" s="7"/>
      <c r="BE1047" s="7" t="s">
        <v>127</v>
      </c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</row>
    <row r="1048" customFormat="false" ht="15" hidden="false" customHeight="false" outlineLevel="0" collapsed="false">
      <c r="A1048" s="7" t="s">
        <v>7867</v>
      </c>
      <c r="B1048" s="7" t="s">
        <v>3321</v>
      </c>
      <c r="C1048" s="7" t="s">
        <v>7868</v>
      </c>
      <c r="D1048" s="7" t="s">
        <v>7869</v>
      </c>
      <c r="E1048" s="7" t="s">
        <v>101</v>
      </c>
      <c r="F1048" s="7" t="s">
        <v>82</v>
      </c>
      <c r="G1048" s="7" t="s">
        <v>2237</v>
      </c>
      <c r="H1048" s="7" t="s">
        <v>102</v>
      </c>
      <c r="I1048" s="7" t="s">
        <v>132</v>
      </c>
      <c r="J1048" s="7" t="s">
        <v>104</v>
      </c>
      <c r="K1048" s="7" t="s">
        <v>105</v>
      </c>
      <c r="L1048" s="7" t="s">
        <v>106</v>
      </c>
      <c r="M1048" s="7"/>
      <c r="N1048" s="7" t="s">
        <v>7870</v>
      </c>
      <c r="O1048" s="7" t="s">
        <v>7870</v>
      </c>
      <c r="P1048" s="7" t="s">
        <v>135</v>
      </c>
      <c r="Q1048" s="7"/>
      <c r="R1048" s="7" t="s">
        <v>109</v>
      </c>
      <c r="S1048" s="7" t="s">
        <v>110</v>
      </c>
      <c r="T1048" s="7" t="n">
        <v>0.498</v>
      </c>
      <c r="U1048" s="7" t="n">
        <v>1</v>
      </c>
      <c r="V1048" s="7" t="s">
        <v>90</v>
      </c>
      <c r="W1048" s="7"/>
      <c r="X1048" s="7"/>
      <c r="Y1048" s="7" t="s">
        <v>7870</v>
      </c>
      <c r="Z1048" s="7"/>
      <c r="AA1048" s="7"/>
      <c r="AB1048" s="7"/>
      <c r="AC1048" s="7" t="n">
        <v>2</v>
      </c>
      <c r="AD1048" s="7" t="s">
        <v>7871</v>
      </c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 t="s">
        <v>248</v>
      </c>
      <c r="AR1048" s="7" t="s">
        <v>82</v>
      </c>
      <c r="AS1048" s="7" t="s">
        <v>248</v>
      </c>
      <c r="AT1048" s="7" t="s">
        <v>216</v>
      </c>
      <c r="AU1048" s="7"/>
      <c r="AV1048" s="7"/>
      <c r="AW1048" s="7"/>
      <c r="AX1048" s="7"/>
      <c r="AY1048" s="7"/>
      <c r="AZ1048" s="7"/>
      <c r="BA1048" s="7"/>
      <c r="BB1048" s="7"/>
      <c r="BC1048" s="7"/>
      <c r="BD1048" s="7" t="s">
        <v>220</v>
      </c>
      <c r="BE1048" s="7" t="s">
        <v>127</v>
      </c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</row>
    <row r="1049" customFormat="false" ht="15" hidden="false" customHeight="false" outlineLevel="0" collapsed="false">
      <c r="A1049" s="7" t="s">
        <v>7872</v>
      </c>
      <c r="B1049" s="7" t="s">
        <v>7873</v>
      </c>
      <c r="C1049" s="7" t="s">
        <v>7874</v>
      </c>
      <c r="D1049" s="7" t="s">
        <v>7875</v>
      </c>
      <c r="E1049" s="7" t="s">
        <v>101</v>
      </c>
      <c r="F1049" s="7" t="s">
        <v>101</v>
      </c>
      <c r="G1049" s="7"/>
      <c r="H1049" s="7" t="s">
        <v>102</v>
      </c>
      <c r="I1049" s="7" t="s">
        <v>158</v>
      </c>
      <c r="J1049" s="7" t="s">
        <v>104</v>
      </c>
      <c r="K1049" s="7" t="s">
        <v>105</v>
      </c>
      <c r="L1049" s="7" t="s">
        <v>106</v>
      </c>
      <c r="M1049" s="7"/>
      <c r="N1049" s="7" t="s">
        <v>7876</v>
      </c>
      <c r="O1049" s="7" t="s">
        <v>7876</v>
      </c>
      <c r="P1049" s="7" t="s">
        <v>135</v>
      </c>
      <c r="Q1049" s="7"/>
      <c r="R1049" s="7" t="s">
        <v>109</v>
      </c>
      <c r="S1049" s="7" t="s">
        <v>110</v>
      </c>
      <c r="T1049" s="7" t="n">
        <v>0.587</v>
      </c>
      <c r="U1049" s="7" t="n">
        <v>1</v>
      </c>
      <c r="V1049" s="7" t="s">
        <v>90</v>
      </c>
      <c r="W1049" s="7"/>
      <c r="X1049" s="7" t="s">
        <v>924</v>
      </c>
      <c r="Y1049" s="7" t="s">
        <v>7876</v>
      </c>
      <c r="Z1049" s="7" t="s">
        <v>7877</v>
      </c>
      <c r="AA1049" s="7"/>
      <c r="AB1049" s="7"/>
      <c r="AC1049" s="7" t="n">
        <v>1</v>
      </c>
      <c r="AD1049" s="7" t="s">
        <v>3333</v>
      </c>
      <c r="AE1049" s="7"/>
      <c r="AF1049" s="7"/>
      <c r="AG1049" s="7"/>
      <c r="AH1049" s="7"/>
      <c r="AI1049" s="7"/>
      <c r="AJ1049" s="7"/>
      <c r="AK1049" s="7" t="s">
        <v>7878</v>
      </c>
      <c r="AL1049" s="7" t="s">
        <v>1873</v>
      </c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 t="s">
        <v>1343</v>
      </c>
      <c r="BE1049" s="7" t="s">
        <v>127</v>
      </c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</row>
    <row r="1050" customFormat="false" ht="15" hidden="false" customHeight="false" outlineLevel="0" collapsed="false">
      <c r="A1050" s="7" t="s">
        <v>7879</v>
      </c>
      <c r="B1050" s="7" t="s">
        <v>7880</v>
      </c>
      <c r="C1050" s="7" t="s">
        <v>7881</v>
      </c>
      <c r="D1050" s="7"/>
      <c r="E1050" s="7" t="s">
        <v>101</v>
      </c>
      <c r="F1050" s="7" t="s">
        <v>101</v>
      </c>
      <c r="G1050" s="7"/>
      <c r="H1050" s="7" t="s">
        <v>102</v>
      </c>
      <c r="I1050" s="7" t="s">
        <v>132</v>
      </c>
      <c r="J1050" s="7" t="s">
        <v>104</v>
      </c>
      <c r="K1050" s="7" t="s">
        <v>105</v>
      </c>
      <c r="L1050" s="7" t="s">
        <v>106</v>
      </c>
      <c r="M1050" s="7"/>
      <c r="N1050" s="7" t="s">
        <v>7882</v>
      </c>
      <c r="O1050" s="7"/>
      <c r="P1050" s="7" t="s">
        <v>135</v>
      </c>
      <c r="Q1050" s="7"/>
      <c r="R1050" s="7" t="s">
        <v>135</v>
      </c>
      <c r="S1050" s="7" t="s">
        <v>136</v>
      </c>
      <c r="T1050" s="7" t="n">
        <v>0.232</v>
      </c>
      <c r="U1050" s="7" t="n">
        <v>1</v>
      </c>
      <c r="V1050" s="7" t="s">
        <v>90</v>
      </c>
      <c r="W1050" s="7"/>
      <c r="X1050" s="7"/>
      <c r="Y1050" s="7"/>
      <c r="Z1050" s="7"/>
      <c r="AA1050" s="7"/>
      <c r="AB1050" s="7"/>
      <c r="AC1050" s="7" t="n">
        <v>1</v>
      </c>
      <c r="AD1050" s="7" t="s">
        <v>3333</v>
      </c>
      <c r="AE1050" s="7"/>
      <c r="AF1050" s="7"/>
      <c r="AG1050" s="7"/>
      <c r="AH1050" s="7"/>
      <c r="AI1050" s="7"/>
      <c r="AJ1050" s="7"/>
      <c r="AK1050" s="7" t="s">
        <v>637</v>
      </c>
      <c r="AL1050" s="7" t="s">
        <v>338</v>
      </c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 t="s">
        <v>127</v>
      </c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</row>
    <row r="1051" customFormat="false" ht="15" hidden="false" customHeight="false" outlineLevel="0" collapsed="false">
      <c r="A1051" s="7" t="s">
        <v>7883</v>
      </c>
      <c r="B1051" s="7" t="s">
        <v>7884</v>
      </c>
      <c r="C1051" s="7" t="s">
        <v>7885</v>
      </c>
      <c r="D1051" s="7" t="s">
        <v>454</v>
      </c>
      <c r="E1051" s="7" t="s">
        <v>101</v>
      </c>
      <c r="F1051" s="7" t="s">
        <v>101</v>
      </c>
      <c r="G1051" s="7"/>
      <c r="H1051" s="7" t="s">
        <v>102</v>
      </c>
      <c r="I1051" s="7" t="s">
        <v>158</v>
      </c>
      <c r="J1051" s="7" t="s">
        <v>104</v>
      </c>
      <c r="K1051" s="7" t="s">
        <v>105</v>
      </c>
      <c r="L1051" s="7" t="s">
        <v>106</v>
      </c>
      <c r="M1051" s="7"/>
      <c r="N1051" s="7" t="s">
        <v>7886</v>
      </c>
      <c r="O1051" s="7" t="s">
        <v>7886</v>
      </c>
      <c r="P1051" s="7" t="s">
        <v>135</v>
      </c>
      <c r="Q1051" s="7"/>
      <c r="R1051" s="7" t="s">
        <v>109</v>
      </c>
      <c r="S1051" s="7" t="s">
        <v>110</v>
      </c>
      <c r="T1051" s="7" t="n">
        <v>0.321</v>
      </c>
      <c r="U1051" s="7" t="n">
        <v>1</v>
      </c>
      <c r="V1051" s="7" t="s">
        <v>90</v>
      </c>
      <c r="W1051" s="7"/>
      <c r="X1051" s="7"/>
      <c r="Y1051" s="7"/>
      <c r="Z1051" s="7"/>
      <c r="AA1051" s="7"/>
      <c r="AB1051" s="7"/>
      <c r="AC1051" s="7" t="n">
        <v>1</v>
      </c>
      <c r="AD1051" s="7" t="s">
        <v>7887</v>
      </c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 t="s">
        <v>248</v>
      </c>
      <c r="AP1051" s="7" t="s">
        <v>454</v>
      </c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 t="s">
        <v>440</v>
      </c>
      <c r="BE1051" s="7" t="s">
        <v>127</v>
      </c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</row>
    <row r="1052" customFormat="false" ht="15" hidden="false" customHeight="false" outlineLevel="0" collapsed="false">
      <c r="A1052" s="7" t="s">
        <v>7888</v>
      </c>
      <c r="B1052" s="7" t="s">
        <v>7889</v>
      </c>
      <c r="C1052" s="7" t="s">
        <v>7890</v>
      </c>
      <c r="D1052" s="7" t="s">
        <v>7891</v>
      </c>
      <c r="E1052" s="7" t="s">
        <v>431</v>
      </c>
      <c r="F1052" s="7" t="s">
        <v>431</v>
      </c>
      <c r="G1052" s="7"/>
      <c r="H1052" s="7" t="s">
        <v>207</v>
      </c>
      <c r="I1052" s="7" t="s">
        <v>1104</v>
      </c>
      <c r="J1052" s="7" t="s">
        <v>104</v>
      </c>
      <c r="K1052" s="7" t="s">
        <v>105</v>
      </c>
      <c r="L1052" s="7" t="s">
        <v>1106</v>
      </c>
      <c r="M1052" s="7"/>
      <c r="N1052" s="7" t="s">
        <v>7892</v>
      </c>
      <c r="O1052" s="7" t="s">
        <v>7892</v>
      </c>
      <c r="P1052" s="7" t="s">
        <v>135</v>
      </c>
      <c r="Q1052" s="7"/>
      <c r="R1052" s="7" t="s">
        <v>109</v>
      </c>
      <c r="S1052" s="7" t="s">
        <v>110</v>
      </c>
      <c r="T1052" s="7" t="n">
        <v>0.723</v>
      </c>
      <c r="U1052" s="7" t="n">
        <v>1</v>
      </c>
      <c r="V1052" s="7" t="s">
        <v>90</v>
      </c>
      <c r="W1052" s="7"/>
      <c r="X1052" s="7"/>
      <c r="Y1052" s="7" t="s">
        <v>7892</v>
      </c>
      <c r="Z1052" s="7"/>
      <c r="AA1052" s="7"/>
      <c r="AB1052" s="7"/>
      <c r="AC1052" s="7" t="n">
        <v>0</v>
      </c>
      <c r="AD1052" s="7" t="s">
        <v>388</v>
      </c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 t="s">
        <v>2797</v>
      </c>
      <c r="BE1052" s="7" t="s">
        <v>127</v>
      </c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8"/>
      <c r="BS1052" s="8"/>
    </row>
    <row r="1053" customFormat="false" ht="15" hidden="false" customHeight="false" outlineLevel="0" collapsed="false">
      <c r="A1053" s="7" t="s">
        <v>7893</v>
      </c>
      <c r="B1053" s="7" t="s">
        <v>7894</v>
      </c>
      <c r="C1053" s="7" t="s">
        <v>7895</v>
      </c>
      <c r="D1053" s="7" t="s">
        <v>7896</v>
      </c>
      <c r="E1053" s="7" t="s">
        <v>101</v>
      </c>
      <c r="F1053" s="7" t="s">
        <v>101</v>
      </c>
      <c r="G1053" s="7"/>
      <c r="H1053" s="7" t="s">
        <v>102</v>
      </c>
      <c r="I1053" s="7" t="s">
        <v>132</v>
      </c>
      <c r="J1053" s="7" t="s">
        <v>104</v>
      </c>
      <c r="K1053" s="7" t="s">
        <v>105</v>
      </c>
      <c r="L1053" s="7" t="s">
        <v>106</v>
      </c>
      <c r="M1053" s="7"/>
      <c r="N1053" s="7" t="s">
        <v>7897</v>
      </c>
      <c r="O1053" s="7" t="s">
        <v>7897</v>
      </c>
      <c r="P1053" s="7" t="s">
        <v>135</v>
      </c>
      <c r="Q1053" s="7"/>
      <c r="R1053" s="7" t="s">
        <v>109</v>
      </c>
      <c r="S1053" s="7" t="s">
        <v>110</v>
      </c>
      <c r="T1053" s="7" t="n">
        <v>0.513</v>
      </c>
      <c r="U1053" s="7" t="n">
        <v>1</v>
      </c>
      <c r="V1053" s="7" t="s">
        <v>90</v>
      </c>
      <c r="W1053" s="7"/>
      <c r="X1053" s="7"/>
      <c r="Y1053" s="7" t="s">
        <v>7897</v>
      </c>
      <c r="Z1053" s="7"/>
      <c r="AA1053" s="7"/>
      <c r="AB1053" s="7"/>
      <c r="AC1053" s="7" t="n">
        <v>0</v>
      </c>
      <c r="AD1053" s="7" t="s">
        <v>388</v>
      </c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 t="s">
        <v>127</v>
      </c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</row>
    <row r="1054" customFormat="false" ht="15" hidden="false" customHeight="false" outlineLevel="0" collapsed="false">
      <c r="A1054" s="7" t="s">
        <v>7898</v>
      </c>
      <c r="B1054" s="7" t="s">
        <v>7899</v>
      </c>
      <c r="C1054" s="7" t="s">
        <v>7900</v>
      </c>
      <c r="D1054" s="7" t="s">
        <v>7901</v>
      </c>
      <c r="E1054" s="7" t="s">
        <v>444</v>
      </c>
      <c r="F1054" s="7" t="s">
        <v>444</v>
      </c>
      <c r="G1054" s="7"/>
      <c r="H1054" s="7" t="s">
        <v>207</v>
      </c>
      <c r="I1054" s="7" t="s">
        <v>158</v>
      </c>
      <c r="J1054" s="7" t="s">
        <v>104</v>
      </c>
      <c r="K1054" s="7" t="s">
        <v>105</v>
      </c>
      <c r="L1054" s="7" t="s">
        <v>106</v>
      </c>
      <c r="M1054" s="7"/>
      <c r="N1054" s="7" t="s">
        <v>446</v>
      </c>
      <c r="O1054" s="7" t="s">
        <v>446</v>
      </c>
      <c r="P1054" s="7" t="s">
        <v>135</v>
      </c>
      <c r="Q1054" s="7"/>
      <c r="R1054" s="7" t="s">
        <v>109</v>
      </c>
      <c r="S1054" s="7" t="s">
        <v>110</v>
      </c>
      <c r="T1054" s="7" t="n">
        <v>0.603</v>
      </c>
      <c r="U1054" s="7" t="n">
        <v>1</v>
      </c>
      <c r="V1054" s="7" t="s">
        <v>90</v>
      </c>
      <c r="W1054" s="7"/>
      <c r="X1054" s="7"/>
      <c r="Y1054" s="7" t="s">
        <v>446</v>
      </c>
      <c r="Z1054" s="7"/>
      <c r="AA1054" s="7"/>
      <c r="AB1054" s="7"/>
      <c r="AC1054" s="7" t="n">
        <v>0</v>
      </c>
      <c r="AD1054" s="7" t="s">
        <v>388</v>
      </c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 t="s">
        <v>440</v>
      </c>
      <c r="BE1054" s="7" t="s">
        <v>127</v>
      </c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</row>
    <row r="1055" customFormat="false" ht="15" hidden="false" customHeight="false" outlineLevel="0" collapsed="false">
      <c r="A1055" s="7" t="s">
        <v>7902</v>
      </c>
      <c r="B1055" s="7" t="s">
        <v>7903</v>
      </c>
      <c r="C1055" s="7" t="s">
        <v>7904</v>
      </c>
      <c r="D1055" s="7" t="s">
        <v>7905</v>
      </c>
      <c r="E1055" s="7" t="s">
        <v>431</v>
      </c>
      <c r="F1055" s="7" t="s">
        <v>431</v>
      </c>
      <c r="G1055" s="7"/>
      <c r="H1055" s="7" t="s">
        <v>207</v>
      </c>
      <c r="I1055" s="7" t="s">
        <v>208</v>
      </c>
      <c r="J1055" s="7" t="s">
        <v>104</v>
      </c>
      <c r="K1055" s="7" t="s">
        <v>105</v>
      </c>
      <c r="L1055" s="7" t="s">
        <v>106</v>
      </c>
      <c r="M1055" s="7"/>
      <c r="N1055" s="7" t="s">
        <v>7906</v>
      </c>
      <c r="O1055" s="7" t="s">
        <v>7906</v>
      </c>
      <c r="P1055" s="7" t="s">
        <v>135</v>
      </c>
      <c r="Q1055" s="7"/>
      <c r="R1055" s="7" t="s">
        <v>109</v>
      </c>
      <c r="S1055" s="7" t="s">
        <v>110</v>
      </c>
      <c r="T1055" s="7" t="n">
        <v>0.677</v>
      </c>
      <c r="U1055" s="7" t="n">
        <v>1</v>
      </c>
      <c r="V1055" s="7" t="s">
        <v>90</v>
      </c>
      <c r="W1055" s="7"/>
      <c r="X1055" s="7"/>
      <c r="Y1055" s="7" t="s">
        <v>7906</v>
      </c>
      <c r="Z1055" s="7"/>
      <c r="AA1055" s="7"/>
      <c r="AB1055" s="7"/>
      <c r="AC1055" s="7" t="n">
        <v>0</v>
      </c>
      <c r="AD1055" s="7" t="s">
        <v>388</v>
      </c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 t="s">
        <v>2797</v>
      </c>
      <c r="BE1055" s="7" t="s">
        <v>127</v>
      </c>
      <c r="BF1055" s="8"/>
      <c r="BG1055" s="8"/>
      <c r="BH1055" s="8"/>
      <c r="BI1055" s="8"/>
      <c r="BJ1055" s="8"/>
      <c r="BK1055" s="8"/>
      <c r="BL1055" s="8"/>
      <c r="BM1055" s="8"/>
      <c r="BN1055" s="8"/>
      <c r="BO1055" s="8"/>
      <c r="BP1055" s="8"/>
      <c r="BQ1055" s="8"/>
      <c r="BR1055" s="8"/>
      <c r="BS1055" s="8"/>
    </row>
    <row r="1056" customFormat="false" ht="15" hidden="false" customHeight="false" outlineLevel="0" collapsed="false">
      <c r="A1056" s="7" t="s">
        <v>7907</v>
      </c>
      <c r="B1056" s="7" t="s">
        <v>7908</v>
      </c>
      <c r="C1056" s="7" t="s">
        <v>7909</v>
      </c>
      <c r="D1056" s="7" t="s">
        <v>7910</v>
      </c>
      <c r="E1056" s="7" t="s">
        <v>819</v>
      </c>
      <c r="F1056" s="7" t="s">
        <v>819</v>
      </c>
      <c r="G1056" s="7"/>
      <c r="H1056" s="7" t="s">
        <v>207</v>
      </c>
      <c r="I1056" s="7" t="s">
        <v>132</v>
      </c>
      <c r="J1056" s="7" t="s">
        <v>104</v>
      </c>
      <c r="K1056" s="7" t="s">
        <v>105</v>
      </c>
      <c r="L1056" s="7" t="s">
        <v>106</v>
      </c>
      <c r="M1056" s="7"/>
      <c r="N1056" s="7" t="s">
        <v>7911</v>
      </c>
      <c r="O1056" s="7" t="s">
        <v>7911</v>
      </c>
      <c r="P1056" s="7" t="s">
        <v>135</v>
      </c>
      <c r="Q1056" s="7"/>
      <c r="R1056" s="7" t="s">
        <v>109</v>
      </c>
      <c r="S1056" s="7" t="s">
        <v>110</v>
      </c>
      <c r="T1056" s="7" t="n">
        <v>0.134</v>
      </c>
      <c r="U1056" s="7" t="n">
        <v>1</v>
      </c>
      <c r="V1056" s="7" t="s">
        <v>90</v>
      </c>
      <c r="W1056" s="7"/>
      <c r="X1056" s="7"/>
      <c r="Y1056" s="7" t="s">
        <v>7911</v>
      </c>
      <c r="Z1056" s="7"/>
      <c r="AA1056" s="7"/>
      <c r="AB1056" s="7"/>
      <c r="AC1056" s="7" t="n">
        <v>0</v>
      </c>
      <c r="AD1056" s="7" t="s">
        <v>388</v>
      </c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 t="s">
        <v>2797</v>
      </c>
      <c r="BE1056" s="7" t="s">
        <v>127</v>
      </c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8"/>
      <c r="BS1056" s="8"/>
    </row>
    <row r="1057" customFormat="false" ht="15" hidden="false" customHeight="false" outlineLevel="0" collapsed="false">
      <c r="A1057" s="7" t="s">
        <v>7912</v>
      </c>
      <c r="B1057" s="7" t="s">
        <v>7913</v>
      </c>
      <c r="C1057" s="7" t="s">
        <v>7914</v>
      </c>
      <c r="D1057" s="7" t="s">
        <v>1983</v>
      </c>
      <c r="E1057" s="7" t="s">
        <v>819</v>
      </c>
      <c r="F1057" s="7" t="s">
        <v>819</v>
      </c>
      <c r="G1057" s="7"/>
      <c r="H1057" s="7" t="s">
        <v>207</v>
      </c>
      <c r="I1057" s="7" t="s">
        <v>208</v>
      </c>
      <c r="J1057" s="7" t="s">
        <v>104</v>
      </c>
      <c r="K1057" s="7" t="s">
        <v>105</v>
      </c>
      <c r="L1057" s="7" t="s">
        <v>106</v>
      </c>
      <c r="M1057" s="7"/>
      <c r="N1057" s="7" t="s">
        <v>7915</v>
      </c>
      <c r="O1057" s="7" t="s">
        <v>7915</v>
      </c>
      <c r="P1057" s="7" t="s">
        <v>135</v>
      </c>
      <c r="Q1057" s="7"/>
      <c r="R1057" s="7" t="s">
        <v>109</v>
      </c>
      <c r="S1057" s="7" t="s">
        <v>110</v>
      </c>
      <c r="T1057" s="7" t="n">
        <v>0.67</v>
      </c>
      <c r="U1057" s="7" t="n">
        <v>1</v>
      </c>
      <c r="V1057" s="7" t="s">
        <v>90</v>
      </c>
      <c r="W1057" s="7"/>
      <c r="X1057" s="7"/>
      <c r="Y1057" s="7" t="s">
        <v>7915</v>
      </c>
      <c r="Z1057" s="7"/>
      <c r="AA1057" s="7"/>
      <c r="AB1057" s="7"/>
      <c r="AC1057" s="7" t="n">
        <v>0</v>
      </c>
      <c r="AD1057" s="7" t="s">
        <v>388</v>
      </c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 t="s">
        <v>440</v>
      </c>
      <c r="BE1057" s="7" t="s">
        <v>127</v>
      </c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</row>
    <row r="1058" customFormat="false" ht="15" hidden="false" customHeight="false" outlineLevel="0" collapsed="false">
      <c r="A1058" s="7" t="s">
        <v>7916</v>
      </c>
      <c r="B1058" s="7" t="s">
        <v>7917</v>
      </c>
      <c r="C1058" s="7" t="s">
        <v>7918</v>
      </c>
      <c r="D1058" s="7" t="s">
        <v>7919</v>
      </c>
      <c r="E1058" s="7" t="s">
        <v>819</v>
      </c>
      <c r="F1058" s="7" t="s">
        <v>819</v>
      </c>
      <c r="G1058" s="7"/>
      <c r="H1058" s="7" t="s">
        <v>207</v>
      </c>
      <c r="I1058" s="7" t="s">
        <v>300</v>
      </c>
      <c r="J1058" s="7" t="s">
        <v>104</v>
      </c>
      <c r="K1058" s="7" t="s">
        <v>105</v>
      </c>
      <c r="L1058" s="7" t="s">
        <v>106</v>
      </c>
      <c r="M1058" s="7"/>
      <c r="N1058" s="7" t="s">
        <v>7920</v>
      </c>
      <c r="O1058" s="7" t="s">
        <v>7920</v>
      </c>
      <c r="P1058" s="7" t="s">
        <v>135</v>
      </c>
      <c r="Q1058" s="7"/>
      <c r="R1058" s="7" t="s">
        <v>109</v>
      </c>
      <c r="S1058" s="7" t="s">
        <v>110</v>
      </c>
      <c r="T1058" s="7" t="n">
        <v>0.893</v>
      </c>
      <c r="U1058" s="7" t="n">
        <v>1</v>
      </c>
      <c r="V1058" s="7" t="s">
        <v>90</v>
      </c>
      <c r="W1058" s="7"/>
      <c r="X1058" s="7"/>
      <c r="Y1058" s="7" t="s">
        <v>7920</v>
      </c>
      <c r="Z1058" s="7"/>
      <c r="AA1058" s="7"/>
      <c r="AB1058" s="7"/>
      <c r="AC1058" s="7" t="n">
        <v>0</v>
      </c>
      <c r="AD1058" s="7" t="s">
        <v>388</v>
      </c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 t="s">
        <v>2797</v>
      </c>
      <c r="BE1058" s="7" t="s">
        <v>127</v>
      </c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</row>
    <row r="1059" customFormat="false" ht="15" hidden="false" customHeight="false" outlineLevel="0" collapsed="false">
      <c r="A1059" s="7" t="s">
        <v>7921</v>
      </c>
      <c r="B1059" s="7" t="s">
        <v>7922</v>
      </c>
      <c r="C1059" s="7" t="s">
        <v>7923</v>
      </c>
      <c r="D1059" s="7" t="s">
        <v>7924</v>
      </c>
      <c r="E1059" s="7" t="s">
        <v>1966</v>
      </c>
      <c r="F1059" s="7" t="s">
        <v>1966</v>
      </c>
      <c r="G1059" s="7"/>
      <c r="H1059" s="7" t="s">
        <v>207</v>
      </c>
      <c r="I1059" s="7" t="s">
        <v>1104</v>
      </c>
      <c r="J1059" s="7" t="s">
        <v>104</v>
      </c>
      <c r="K1059" s="7" t="s">
        <v>105</v>
      </c>
      <c r="L1059" s="7" t="s">
        <v>2951</v>
      </c>
      <c r="M1059" s="7"/>
      <c r="N1059" s="7" t="s">
        <v>7925</v>
      </c>
      <c r="O1059" s="7" t="s">
        <v>7925</v>
      </c>
      <c r="P1059" s="7" t="s">
        <v>135</v>
      </c>
      <c r="Q1059" s="7"/>
      <c r="R1059" s="7" t="s">
        <v>109</v>
      </c>
      <c r="S1059" s="7" t="s">
        <v>110</v>
      </c>
      <c r="T1059" s="7" t="n">
        <v>0.93</v>
      </c>
      <c r="U1059" s="7" t="n">
        <v>1</v>
      </c>
      <c r="V1059" s="7" t="s">
        <v>90</v>
      </c>
      <c r="W1059" s="7"/>
      <c r="X1059" s="7"/>
      <c r="Y1059" s="7" t="s">
        <v>7925</v>
      </c>
      <c r="Z1059" s="7"/>
      <c r="AA1059" s="7"/>
      <c r="AB1059" s="7"/>
      <c r="AC1059" s="7" t="n">
        <v>0</v>
      </c>
      <c r="AD1059" s="7" t="s">
        <v>388</v>
      </c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 t="s">
        <v>440</v>
      </c>
      <c r="BE1059" s="7" t="s">
        <v>127</v>
      </c>
      <c r="BF1059" s="8"/>
      <c r="BG1059" s="8"/>
      <c r="BH1059" s="8"/>
      <c r="BI1059" s="8"/>
      <c r="BJ1059" s="8"/>
      <c r="BK1059" s="8"/>
      <c r="BL1059" s="8"/>
      <c r="BM1059" s="8"/>
      <c r="BN1059" s="8"/>
      <c r="BO1059" s="8"/>
      <c r="BP1059" s="8"/>
      <c r="BQ1059" s="8"/>
      <c r="BR1059" s="8"/>
      <c r="BS1059" s="8"/>
    </row>
    <row r="1060" customFormat="false" ht="15" hidden="false" customHeight="false" outlineLevel="0" collapsed="false">
      <c r="A1060" s="7" t="s">
        <v>7926</v>
      </c>
      <c r="B1060" s="7" t="s">
        <v>7927</v>
      </c>
      <c r="C1060" s="7" t="s">
        <v>7928</v>
      </c>
      <c r="D1060" s="7" t="s">
        <v>7929</v>
      </c>
      <c r="E1060" s="7" t="s">
        <v>431</v>
      </c>
      <c r="F1060" s="7" t="s">
        <v>431</v>
      </c>
      <c r="G1060" s="7"/>
      <c r="H1060" s="7" t="s">
        <v>207</v>
      </c>
      <c r="I1060" s="7" t="s">
        <v>1104</v>
      </c>
      <c r="J1060" s="7" t="s">
        <v>104</v>
      </c>
      <c r="K1060" s="7" t="s">
        <v>105</v>
      </c>
      <c r="L1060" s="7" t="s">
        <v>1106</v>
      </c>
      <c r="M1060" s="7"/>
      <c r="N1060" s="7" t="s">
        <v>7930</v>
      </c>
      <c r="O1060" s="7" t="s">
        <v>7930</v>
      </c>
      <c r="P1060" s="7" t="s">
        <v>135</v>
      </c>
      <c r="Q1060" s="7"/>
      <c r="R1060" s="7" t="s">
        <v>109</v>
      </c>
      <c r="S1060" s="7" t="s">
        <v>110</v>
      </c>
      <c r="T1060" s="7" t="n">
        <v>0.672</v>
      </c>
      <c r="U1060" s="7" t="n">
        <v>1</v>
      </c>
      <c r="V1060" s="7" t="s">
        <v>90</v>
      </c>
      <c r="W1060" s="7"/>
      <c r="X1060" s="7"/>
      <c r="Y1060" s="7" t="s">
        <v>7930</v>
      </c>
      <c r="Z1060" s="7"/>
      <c r="AA1060" s="7"/>
      <c r="AB1060" s="7"/>
      <c r="AC1060" s="7" t="n">
        <v>0</v>
      </c>
      <c r="AD1060" s="7" t="s">
        <v>388</v>
      </c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 t="s">
        <v>2797</v>
      </c>
      <c r="BE1060" s="7" t="s">
        <v>127</v>
      </c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8"/>
      <c r="BS1060" s="8"/>
    </row>
    <row r="1061" customFormat="false" ht="15" hidden="false" customHeight="false" outlineLevel="0" collapsed="false">
      <c r="A1061" s="7" t="s">
        <v>7931</v>
      </c>
      <c r="B1061" s="7" t="s">
        <v>7932</v>
      </c>
      <c r="C1061" s="7" t="s">
        <v>7933</v>
      </c>
      <c r="D1061" s="7" t="s">
        <v>7934</v>
      </c>
      <c r="E1061" s="7" t="s">
        <v>819</v>
      </c>
      <c r="F1061" s="7" t="s">
        <v>819</v>
      </c>
      <c r="G1061" s="7"/>
      <c r="H1061" s="7" t="s">
        <v>207</v>
      </c>
      <c r="I1061" s="7" t="s">
        <v>103</v>
      </c>
      <c r="J1061" s="7" t="s">
        <v>104</v>
      </c>
      <c r="K1061" s="7" t="s">
        <v>105</v>
      </c>
      <c r="L1061" s="7" t="s">
        <v>106</v>
      </c>
      <c r="M1061" s="7"/>
      <c r="N1061" s="7" t="s">
        <v>7935</v>
      </c>
      <c r="O1061" s="7" t="s">
        <v>7935</v>
      </c>
      <c r="P1061" s="7" t="s">
        <v>135</v>
      </c>
      <c r="Q1061" s="7"/>
      <c r="R1061" s="7" t="s">
        <v>109</v>
      </c>
      <c r="S1061" s="7" t="s">
        <v>110</v>
      </c>
      <c r="T1061" s="7" t="n">
        <v>0.523</v>
      </c>
      <c r="U1061" s="7" t="n">
        <v>1</v>
      </c>
      <c r="V1061" s="7" t="s">
        <v>90</v>
      </c>
      <c r="W1061" s="7"/>
      <c r="X1061" s="7"/>
      <c r="Y1061" s="7" t="s">
        <v>7935</v>
      </c>
      <c r="Z1061" s="7"/>
      <c r="AA1061" s="7"/>
      <c r="AB1061" s="7"/>
      <c r="AC1061" s="7" t="n">
        <v>0</v>
      </c>
      <c r="AD1061" s="7" t="s">
        <v>388</v>
      </c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 t="s">
        <v>440</v>
      </c>
      <c r="BE1061" s="7" t="s">
        <v>127</v>
      </c>
      <c r="BF1061" s="8"/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8"/>
      <c r="BR1061" s="8"/>
      <c r="BS1061" s="8"/>
    </row>
    <row r="1062" customFormat="false" ht="15" hidden="false" customHeight="false" outlineLevel="0" collapsed="false">
      <c r="A1062" s="7" t="s">
        <v>7936</v>
      </c>
      <c r="B1062" s="7" t="s">
        <v>7937</v>
      </c>
      <c r="C1062" s="7" t="s">
        <v>7938</v>
      </c>
      <c r="D1062" s="7" t="s">
        <v>7939</v>
      </c>
      <c r="E1062" s="7" t="s">
        <v>431</v>
      </c>
      <c r="F1062" s="7" t="s">
        <v>431</v>
      </c>
      <c r="G1062" s="7"/>
      <c r="H1062" s="7" t="s">
        <v>207</v>
      </c>
      <c r="I1062" s="7" t="s">
        <v>1104</v>
      </c>
      <c r="J1062" s="7" t="s">
        <v>104</v>
      </c>
      <c r="K1062" s="7" t="s">
        <v>105</v>
      </c>
      <c r="L1062" s="7" t="s">
        <v>1106</v>
      </c>
      <c r="M1062" s="7"/>
      <c r="N1062" s="7" t="s">
        <v>7940</v>
      </c>
      <c r="O1062" s="7" t="s">
        <v>7940</v>
      </c>
      <c r="P1062" s="7" t="s">
        <v>135</v>
      </c>
      <c r="Q1062" s="7"/>
      <c r="R1062" s="7" t="s">
        <v>109</v>
      </c>
      <c r="S1062" s="7" t="s">
        <v>110</v>
      </c>
      <c r="T1062" s="7" t="n">
        <v>0.514</v>
      </c>
      <c r="U1062" s="7" t="n">
        <v>1</v>
      </c>
      <c r="V1062" s="7" t="s">
        <v>90</v>
      </c>
      <c r="W1062" s="7"/>
      <c r="X1062" s="7"/>
      <c r="Y1062" s="7" t="s">
        <v>7940</v>
      </c>
      <c r="Z1062" s="7"/>
      <c r="AA1062" s="7"/>
      <c r="AB1062" s="7"/>
      <c r="AC1062" s="7" t="n">
        <v>0</v>
      </c>
      <c r="AD1062" s="7" t="s">
        <v>388</v>
      </c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 t="s">
        <v>2797</v>
      </c>
      <c r="BE1062" s="7" t="s">
        <v>127</v>
      </c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</row>
    <row r="1063" customFormat="false" ht="15" hidden="false" customHeight="false" outlineLevel="0" collapsed="false">
      <c r="A1063" s="7" t="s">
        <v>7941</v>
      </c>
      <c r="B1063" s="7" t="s">
        <v>7942</v>
      </c>
      <c r="C1063" s="7" t="s">
        <v>7943</v>
      </c>
      <c r="D1063" s="7" t="s">
        <v>7944</v>
      </c>
      <c r="E1063" s="7" t="s">
        <v>819</v>
      </c>
      <c r="F1063" s="7" t="s">
        <v>819</v>
      </c>
      <c r="G1063" s="7"/>
      <c r="H1063" s="7" t="s">
        <v>207</v>
      </c>
      <c r="I1063" s="7" t="s">
        <v>1104</v>
      </c>
      <c r="J1063" s="7" t="s">
        <v>104</v>
      </c>
      <c r="K1063" s="7" t="s">
        <v>105</v>
      </c>
      <c r="L1063" s="7" t="s">
        <v>1106</v>
      </c>
      <c r="M1063" s="7"/>
      <c r="N1063" s="7" t="s">
        <v>7945</v>
      </c>
      <c r="O1063" s="7" t="s">
        <v>7945</v>
      </c>
      <c r="P1063" s="7" t="s">
        <v>135</v>
      </c>
      <c r="Q1063" s="7"/>
      <c r="R1063" s="7" t="s">
        <v>109</v>
      </c>
      <c r="S1063" s="7" t="s">
        <v>110</v>
      </c>
      <c r="T1063" s="7" t="n">
        <v>0.638</v>
      </c>
      <c r="U1063" s="7" t="n">
        <v>1</v>
      </c>
      <c r="V1063" s="7" t="s">
        <v>90</v>
      </c>
      <c r="W1063" s="7"/>
      <c r="X1063" s="7"/>
      <c r="Y1063" s="7" t="s">
        <v>7945</v>
      </c>
      <c r="Z1063" s="7"/>
      <c r="AA1063" s="7"/>
      <c r="AB1063" s="7"/>
      <c r="AC1063" s="7" t="n">
        <v>0</v>
      </c>
      <c r="AD1063" s="7" t="s">
        <v>388</v>
      </c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 t="s">
        <v>440</v>
      </c>
      <c r="BE1063" s="7" t="s">
        <v>127</v>
      </c>
      <c r="BF1063" s="8"/>
      <c r="BG1063" s="8"/>
      <c r="BH1063" s="8"/>
      <c r="BI1063" s="8"/>
      <c r="BJ1063" s="8"/>
      <c r="BK1063" s="8"/>
      <c r="BL1063" s="8"/>
      <c r="BM1063" s="8"/>
      <c r="BN1063" s="8"/>
      <c r="BO1063" s="8"/>
      <c r="BP1063" s="8"/>
      <c r="BQ1063" s="8"/>
      <c r="BR1063" s="8"/>
      <c r="BS1063" s="8"/>
    </row>
    <row r="1064" customFormat="false" ht="15" hidden="false" customHeight="false" outlineLevel="0" collapsed="false">
      <c r="A1064" s="7" t="s">
        <v>7946</v>
      </c>
      <c r="B1064" s="7" t="s">
        <v>7947</v>
      </c>
      <c r="C1064" s="7" t="s">
        <v>7948</v>
      </c>
      <c r="D1064" s="7" t="s">
        <v>7949</v>
      </c>
      <c r="E1064" s="7" t="s">
        <v>431</v>
      </c>
      <c r="F1064" s="7" t="s">
        <v>431</v>
      </c>
      <c r="G1064" s="7"/>
      <c r="H1064" s="7" t="s">
        <v>207</v>
      </c>
      <c r="I1064" s="7" t="s">
        <v>103</v>
      </c>
      <c r="J1064" s="7" t="s">
        <v>104</v>
      </c>
      <c r="K1064" s="7" t="s">
        <v>105</v>
      </c>
      <c r="L1064" s="7" t="s">
        <v>106</v>
      </c>
      <c r="M1064" s="7"/>
      <c r="N1064" s="7" t="s">
        <v>7950</v>
      </c>
      <c r="O1064" s="7" t="s">
        <v>7950</v>
      </c>
      <c r="P1064" s="7" t="s">
        <v>135</v>
      </c>
      <c r="Q1064" s="7"/>
      <c r="R1064" s="7" t="s">
        <v>109</v>
      </c>
      <c r="S1064" s="7" t="s">
        <v>110</v>
      </c>
      <c r="T1064" s="7" t="n">
        <v>0.787</v>
      </c>
      <c r="U1064" s="7" t="n">
        <v>1</v>
      </c>
      <c r="V1064" s="7" t="s">
        <v>90</v>
      </c>
      <c r="W1064" s="7"/>
      <c r="X1064" s="7"/>
      <c r="Y1064" s="7" t="s">
        <v>7950</v>
      </c>
      <c r="Z1064" s="7"/>
      <c r="AA1064" s="7"/>
      <c r="AB1064" s="7"/>
      <c r="AC1064" s="7" t="n">
        <v>0</v>
      </c>
      <c r="AD1064" s="7" t="s">
        <v>388</v>
      </c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 t="s">
        <v>2797</v>
      </c>
      <c r="BE1064" s="7" t="s">
        <v>127</v>
      </c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8"/>
      <c r="BS1064" s="8"/>
    </row>
    <row r="1065" customFormat="false" ht="15" hidden="false" customHeight="false" outlineLevel="0" collapsed="false">
      <c r="A1065" s="7" t="s">
        <v>7951</v>
      </c>
      <c r="B1065" s="7" t="s">
        <v>7952</v>
      </c>
      <c r="C1065" s="7" t="s">
        <v>7953</v>
      </c>
      <c r="D1065" s="7" t="s">
        <v>7954</v>
      </c>
      <c r="E1065" s="7" t="s">
        <v>819</v>
      </c>
      <c r="F1065" s="7" t="s">
        <v>819</v>
      </c>
      <c r="G1065" s="7"/>
      <c r="H1065" s="7" t="s">
        <v>207</v>
      </c>
      <c r="I1065" s="7" t="s">
        <v>132</v>
      </c>
      <c r="J1065" s="7" t="s">
        <v>104</v>
      </c>
      <c r="K1065" s="7" t="s">
        <v>105</v>
      </c>
      <c r="L1065" s="7" t="s">
        <v>106</v>
      </c>
      <c r="M1065" s="7"/>
      <c r="N1065" s="7" t="s">
        <v>7955</v>
      </c>
      <c r="O1065" s="7" t="s">
        <v>7955</v>
      </c>
      <c r="P1065" s="7" t="s">
        <v>135</v>
      </c>
      <c r="Q1065" s="7"/>
      <c r="R1065" s="7" t="s">
        <v>109</v>
      </c>
      <c r="S1065" s="7" t="s">
        <v>110</v>
      </c>
      <c r="T1065" s="7" t="n">
        <v>0.796</v>
      </c>
      <c r="U1065" s="7" t="n">
        <v>1</v>
      </c>
      <c r="V1065" s="7" t="s">
        <v>90</v>
      </c>
      <c r="W1065" s="7"/>
      <c r="X1065" s="7"/>
      <c r="Y1065" s="7" t="s">
        <v>7955</v>
      </c>
      <c r="Z1065" s="7"/>
      <c r="AA1065" s="7"/>
      <c r="AB1065" s="7"/>
      <c r="AC1065" s="7" t="n">
        <v>0</v>
      </c>
      <c r="AD1065" s="7" t="s">
        <v>388</v>
      </c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 t="s">
        <v>2797</v>
      </c>
      <c r="BE1065" s="7" t="s">
        <v>127</v>
      </c>
      <c r="BF1065" s="8"/>
      <c r="BG1065" s="8"/>
      <c r="BH1065" s="8"/>
      <c r="BI1065" s="8"/>
      <c r="BJ1065" s="8"/>
      <c r="BK1065" s="8"/>
      <c r="BL1065" s="8"/>
      <c r="BM1065" s="8"/>
      <c r="BN1065" s="8"/>
      <c r="BO1065" s="8"/>
      <c r="BP1065" s="8"/>
      <c r="BQ1065" s="8"/>
      <c r="BR1065" s="8"/>
      <c r="BS1065" s="8"/>
    </row>
    <row r="1066" customFormat="false" ht="15" hidden="false" customHeight="false" outlineLevel="0" collapsed="false">
      <c r="A1066" s="7" t="s">
        <v>7956</v>
      </c>
      <c r="B1066" s="7" t="s">
        <v>7957</v>
      </c>
      <c r="C1066" s="7" t="s">
        <v>7958</v>
      </c>
      <c r="D1066" s="7" t="s">
        <v>7959</v>
      </c>
      <c r="E1066" s="7" t="s">
        <v>737</v>
      </c>
      <c r="F1066" s="7" t="s">
        <v>737</v>
      </c>
      <c r="G1066" s="7"/>
      <c r="H1066" s="7" t="s">
        <v>207</v>
      </c>
      <c r="I1066" s="7" t="s">
        <v>103</v>
      </c>
      <c r="J1066" s="7" t="s">
        <v>104</v>
      </c>
      <c r="K1066" s="7" t="s">
        <v>105</v>
      </c>
      <c r="L1066" s="7" t="s">
        <v>1106</v>
      </c>
      <c r="M1066" s="7"/>
      <c r="N1066" s="7" t="s">
        <v>7960</v>
      </c>
      <c r="O1066" s="7" t="s">
        <v>7960</v>
      </c>
      <c r="P1066" s="7" t="s">
        <v>135</v>
      </c>
      <c r="Q1066" s="7"/>
      <c r="R1066" s="7" t="s">
        <v>109</v>
      </c>
      <c r="S1066" s="7" t="s">
        <v>110</v>
      </c>
      <c r="T1066" s="7" t="n">
        <v>0.566</v>
      </c>
      <c r="U1066" s="7" t="n">
        <v>1</v>
      </c>
      <c r="V1066" s="7" t="s">
        <v>90</v>
      </c>
      <c r="W1066" s="7"/>
      <c r="X1066" s="7"/>
      <c r="Y1066" s="7" t="s">
        <v>7960</v>
      </c>
      <c r="Z1066" s="7"/>
      <c r="AA1066" s="7"/>
      <c r="AB1066" s="7"/>
      <c r="AC1066" s="7" t="n">
        <v>0</v>
      </c>
      <c r="AD1066" s="7" t="s">
        <v>388</v>
      </c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 t="s">
        <v>440</v>
      </c>
      <c r="BE1066" s="7" t="s">
        <v>127</v>
      </c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8"/>
      <c r="BS1066" s="8"/>
    </row>
    <row r="1067" customFormat="false" ht="15" hidden="false" customHeight="false" outlineLevel="0" collapsed="false">
      <c r="A1067" s="7" t="s">
        <v>7961</v>
      </c>
      <c r="B1067" s="7" t="s">
        <v>7962</v>
      </c>
      <c r="C1067" s="7" t="s">
        <v>7963</v>
      </c>
      <c r="D1067" s="7" t="s">
        <v>7964</v>
      </c>
      <c r="E1067" s="7" t="s">
        <v>819</v>
      </c>
      <c r="F1067" s="7" t="s">
        <v>819</v>
      </c>
      <c r="G1067" s="7"/>
      <c r="H1067" s="7" t="s">
        <v>207</v>
      </c>
      <c r="I1067" s="7" t="s">
        <v>103</v>
      </c>
      <c r="J1067" s="7" t="s">
        <v>104</v>
      </c>
      <c r="K1067" s="7" t="s">
        <v>105</v>
      </c>
      <c r="L1067" s="7" t="s">
        <v>106</v>
      </c>
      <c r="M1067" s="7"/>
      <c r="N1067" s="7" t="s">
        <v>7965</v>
      </c>
      <c r="O1067" s="7" t="s">
        <v>7965</v>
      </c>
      <c r="P1067" s="7" t="s">
        <v>135</v>
      </c>
      <c r="Q1067" s="7"/>
      <c r="R1067" s="7" t="s">
        <v>109</v>
      </c>
      <c r="S1067" s="7" t="s">
        <v>110</v>
      </c>
      <c r="T1067" s="7" t="n">
        <v>0.828</v>
      </c>
      <c r="U1067" s="7" t="n">
        <v>1</v>
      </c>
      <c r="V1067" s="7" t="s">
        <v>90</v>
      </c>
      <c r="W1067" s="7"/>
      <c r="X1067" s="7"/>
      <c r="Y1067" s="7" t="s">
        <v>7965</v>
      </c>
      <c r="Z1067" s="7"/>
      <c r="AA1067" s="7"/>
      <c r="AB1067" s="7"/>
      <c r="AC1067" s="7" t="n">
        <v>0</v>
      </c>
      <c r="AD1067" s="7" t="s">
        <v>388</v>
      </c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 t="s">
        <v>440</v>
      </c>
      <c r="BE1067" s="7" t="s">
        <v>127</v>
      </c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</row>
    <row r="1068" customFormat="false" ht="15" hidden="false" customHeight="false" outlineLevel="0" collapsed="false">
      <c r="A1068" s="7" t="s">
        <v>7966</v>
      </c>
      <c r="B1068" s="7" t="s">
        <v>7967</v>
      </c>
      <c r="C1068" s="7" t="s">
        <v>7968</v>
      </c>
      <c r="D1068" s="7" t="s">
        <v>7969</v>
      </c>
      <c r="E1068" s="7" t="s">
        <v>101</v>
      </c>
      <c r="F1068" s="7" t="s">
        <v>101</v>
      </c>
      <c r="G1068" s="7"/>
      <c r="H1068" s="7" t="s">
        <v>102</v>
      </c>
      <c r="I1068" s="7" t="s">
        <v>300</v>
      </c>
      <c r="J1068" s="7" t="s">
        <v>104</v>
      </c>
      <c r="K1068" s="7" t="s">
        <v>105</v>
      </c>
      <c r="L1068" s="7" t="s">
        <v>106</v>
      </c>
      <c r="M1068" s="7"/>
      <c r="N1068" s="7" t="s">
        <v>7970</v>
      </c>
      <c r="O1068" s="7" t="s">
        <v>7970</v>
      </c>
      <c r="P1068" s="7" t="s">
        <v>135</v>
      </c>
      <c r="Q1068" s="7"/>
      <c r="R1068" s="7" t="s">
        <v>109</v>
      </c>
      <c r="S1068" s="7" t="s">
        <v>110</v>
      </c>
      <c r="T1068" s="7" t="n">
        <v>0.359</v>
      </c>
      <c r="U1068" s="7" t="n">
        <v>1</v>
      </c>
      <c r="V1068" s="7" t="s">
        <v>90</v>
      </c>
      <c r="W1068" s="7"/>
      <c r="X1068" s="7"/>
      <c r="Y1068" s="7" t="s">
        <v>7970</v>
      </c>
      <c r="Z1068" s="7"/>
      <c r="AA1068" s="7"/>
      <c r="AB1068" s="7"/>
      <c r="AC1068" s="7" t="n">
        <v>0</v>
      </c>
      <c r="AD1068" s="7" t="s">
        <v>388</v>
      </c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 t="s">
        <v>7971</v>
      </c>
      <c r="BE1068" s="7" t="s">
        <v>127</v>
      </c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</row>
    <row r="1069" customFormat="false" ht="15" hidden="false" customHeight="false" outlineLevel="0" collapsed="false">
      <c r="A1069" s="7" t="s">
        <v>7972</v>
      </c>
      <c r="B1069" s="7" t="s">
        <v>7973</v>
      </c>
      <c r="C1069" s="7" t="s">
        <v>7974</v>
      </c>
      <c r="D1069" s="7" t="s">
        <v>7975</v>
      </c>
      <c r="E1069" s="7" t="s">
        <v>101</v>
      </c>
      <c r="F1069" s="7" t="s">
        <v>101</v>
      </c>
      <c r="G1069" s="7"/>
      <c r="H1069" s="7" t="s">
        <v>102</v>
      </c>
      <c r="I1069" s="7" t="s">
        <v>300</v>
      </c>
      <c r="J1069" s="7" t="s">
        <v>104</v>
      </c>
      <c r="K1069" s="7" t="s">
        <v>105</v>
      </c>
      <c r="L1069" s="7" t="s">
        <v>106</v>
      </c>
      <c r="M1069" s="7"/>
      <c r="N1069" s="7" t="s">
        <v>7976</v>
      </c>
      <c r="O1069" s="7" t="s">
        <v>7976</v>
      </c>
      <c r="P1069" s="7" t="s">
        <v>135</v>
      </c>
      <c r="Q1069" s="7"/>
      <c r="R1069" s="7" t="s">
        <v>109</v>
      </c>
      <c r="S1069" s="7" t="s">
        <v>110</v>
      </c>
      <c r="T1069" s="7" t="n">
        <v>0.488</v>
      </c>
      <c r="U1069" s="7" t="n">
        <v>1</v>
      </c>
      <c r="V1069" s="7" t="s">
        <v>90</v>
      </c>
      <c r="W1069" s="7"/>
      <c r="X1069" s="7"/>
      <c r="Y1069" s="7" t="s">
        <v>7976</v>
      </c>
      <c r="Z1069" s="7"/>
      <c r="AA1069" s="7"/>
      <c r="AB1069" s="7"/>
      <c r="AC1069" s="7" t="n">
        <v>0</v>
      </c>
      <c r="AD1069" s="7" t="s">
        <v>388</v>
      </c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 t="s">
        <v>127</v>
      </c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</row>
    <row r="1070" customFormat="false" ht="15" hidden="false" customHeight="false" outlineLevel="0" collapsed="false">
      <c r="A1070" s="7" t="s">
        <v>7977</v>
      </c>
      <c r="B1070" s="7" t="s">
        <v>7978</v>
      </c>
      <c r="C1070" s="7" t="s">
        <v>7979</v>
      </c>
      <c r="D1070" s="7" t="s">
        <v>7980</v>
      </c>
      <c r="E1070" s="7" t="s">
        <v>82</v>
      </c>
      <c r="F1070" s="7" t="s">
        <v>82</v>
      </c>
      <c r="G1070" s="7"/>
      <c r="H1070" s="7" t="s">
        <v>207</v>
      </c>
      <c r="I1070" s="7" t="s">
        <v>158</v>
      </c>
      <c r="J1070" s="7" t="s">
        <v>104</v>
      </c>
      <c r="K1070" s="7" t="s">
        <v>105</v>
      </c>
      <c r="L1070" s="7" t="s">
        <v>353</v>
      </c>
      <c r="M1070" s="7"/>
      <c r="N1070" s="7" t="s">
        <v>355</v>
      </c>
      <c r="O1070" s="7" t="s">
        <v>355</v>
      </c>
      <c r="P1070" s="7" t="s">
        <v>135</v>
      </c>
      <c r="Q1070" s="7"/>
      <c r="R1070" s="7" t="s">
        <v>109</v>
      </c>
      <c r="S1070" s="7" t="s">
        <v>110</v>
      </c>
      <c r="T1070" s="7" t="n">
        <v>0.57</v>
      </c>
      <c r="U1070" s="7" t="n">
        <v>1</v>
      </c>
      <c r="V1070" s="7" t="s">
        <v>90</v>
      </c>
      <c r="W1070" s="7"/>
      <c r="X1070" s="7"/>
      <c r="Y1070" s="7" t="s">
        <v>355</v>
      </c>
      <c r="Z1070" s="7"/>
      <c r="AA1070" s="7"/>
      <c r="AB1070" s="7"/>
      <c r="AC1070" s="7" t="n">
        <v>0</v>
      </c>
      <c r="AD1070" s="7" t="s">
        <v>388</v>
      </c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 t="s">
        <v>370</v>
      </c>
      <c r="BE1070" s="7" t="s">
        <v>127</v>
      </c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</row>
    <row r="1071" customFormat="false" ht="15" hidden="false" customHeight="false" outlineLevel="0" collapsed="false">
      <c r="A1071" s="7" t="s">
        <v>7981</v>
      </c>
      <c r="B1071" s="7" t="s">
        <v>7982</v>
      </c>
      <c r="C1071" s="7" t="s">
        <v>7983</v>
      </c>
      <c r="D1071" s="7" t="s">
        <v>7984</v>
      </c>
      <c r="E1071" s="7" t="s">
        <v>737</v>
      </c>
      <c r="F1071" s="7" t="s">
        <v>737</v>
      </c>
      <c r="G1071" s="7"/>
      <c r="H1071" s="7" t="s">
        <v>207</v>
      </c>
      <c r="I1071" s="7" t="s">
        <v>1104</v>
      </c>
      <c r="J1071" s="7" t="s">
        <v>104</v>
      </c>
      <c r="K1071" s="7" t="s">
        <v>105</v>
      </c>
      <c r="L1071" s="7" t="s">
        <v>2951</v>
      </c>
      <c r="M1071" s="7"/>
      <c r="N1071" s="7" t="s">
        <v>7985</v>
      </c>
      <c r="O1071" s="7" t="s">
        <v>7985</v>
      </c>
      <c r="P1071" s="7" t="s">
        <v>135</v>
      </c>
      <c r="Q1071" s="7"/>
      <c r="R1071" s="7" t="s">
        <v>109</v>
      </c>
      <c r="S1071" s="7" t="s">
        <v>110</v>
      </c>
      <c r="T1071" s="7" t="n">
        <v>0.966</v>
      </c>
      <c r="U1071" s="7" t="n">
        <v>1</v>
      </c>
      <c r="V1071" s="7" t="s">
        <v>90</v>
      </c>
      <c r="W1071" s="7"/>
      <c r="X1071" s="7"/>
      <c r="Y1071" s="7" t="s">
        <v>7985</v>
      </c>
      <c r="Z1071" s="7"/>
      <c r="AA1071" s="7"/>
      <c r="AB1071" s="7"/>
      <c r="AC1071" s="7" t="n">
        <v>0</v>
      </c>
      <c r="AD1071" s="7" t="s">
        <v>388</v>
      </c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 t="s">
        <v>440</v>
      </c>
      <c r="BE1071" s="7" t="s">
        <v>127</v>
      </c>
      <c r="BF1071" s="8"/>
      <c r="BG1071" s="8"/>
      <c r="BH1071" s="8"/>
      <c r="BI1071" s="8"/>
      <c r="BJ1071" s="8"/>
      <c r="BK1071" s="8"/>
      <c r="BL1071" s="8"/>
      <c r="BM1071" s="8"/>
      <c r="BN1071" s="8"/>
      <c r="BO1071" s="8"/>
      <c r="BP1071" s="8"/>
      <c r="BQ1071" s="8"/>
      <c r="BR1071" s="8"/>
      <c r="BS1071" s="8"/>
    </row>
    <row r="1072" customFormat="false" ht="15" hidden="false" customHeight="false" outlineLevel="0" collapsed="false">
      <c r="A1072" s="7" t="s">
        <v>7986</v>
      </c>
      <c r="B1072" s="7" t="s">
        <v>7987</v>
      </c>
      <c r="C1072" s="7" t="s">
        <v>7988</v>
      </c>
      <c r="D1072" s="7" t="s">
        <v>7989</v>
      </c>
      <c r="E1072" s="7" t="s">
        <v>101</v>
      </c>
      <c r="F1072" s="7" t="s">
        <v>101</v>
      </c>
      <c r="G1072" s="7"/>
      <c r="H1072" s="7" t="s">
        <v>102</v>
      </c>
      <c r="I1072" s="7" t="s">
        <v>132</v>
      </c>
      <c r="J1072" s="7" t="s">
        <v>104</v>
      </c>
      <c r="K1072" s="7" t="s">
        <v>105</v>
      </c>
      <c r="L1072" s="7" t="s">
        <v>106</v>
      </c>
      <c r="M1072" s="7"/>
      <c r="N1072" s="7" t="s">
        <v>7990</v>
      </c>
      <c r="O1072" s="7"/>
      <c r="P1072" s="7" t="s">
        <v>135</v>
      </c>
      <c r="Q1072" s="7"/>
      <c r="R1072" s="7" t="s">
        <v>135</v>
      </c>
      <c r="S1072" s="7" t="s">
        <v>136</v>
      </c>
      <c r="T1072" s="7" t="n">
        <v>0.405</v>
      </c>
      <c r="U1072" s="7" t="n">
        <v>1</v>
      </c>
      <c r="V1072" s="7" t="s">
        <v>90</v>
      </c>
      <c r="W1072" s="7"/>
      <c r="X1072" s="7"/>
      <c r="Y1072" s="7" t="s">
        <v>7990</v>
      </c>
      <c r="Z1072" s="7"/>
      <c r="AA1072" s="7"/>
      <c r="AB1072" s="7"/>
      <c r="AC1072" s="7" t="n">
        <v>0</v>
      </c>
      <c r="AD1072" s="7" t="s">
        <v>388</v>
      </c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 t="s">
        <v>152</v>
      </c>
      <c r="BE1072" s="7" t="s">
        <v>127</v>
      </c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</row>
    <row r="1073" customFormat="false" ht="15" hidden="false" customHeight="false" outlineLevel="0" collapsed="false">
      <c r="A1073" s="7" t="s">
        <v>7991</v>
      </c>
      <c r="B1073" s="7" t="s">
        <v>7992</v>
      </c>
      <c r="C1073" s="7" t="s">
        <v>7993</v>
      </c>
      <c r="D1073" s="7" t="s">
        <v>7896</v>
      </c>
      <c r="E1073" s="7" t="s">
        <v>101</v>
      </c>
      <c r="F1073" s="7" t="s">
        <v>101</v>
      </c>
      <c r="G1073" s="7"/>
      <c r="H1073" s="7" t="s">
        <v>102</v>
      </c>
      <c r="I1073" s="7" t="s">
        <v>208</v>
      </c>
      <c r="J1073" s="7" t="s">
        <v>104</v>
      </c>
      <c r="K1073" s="7" t="s">
        <v>105</v>
      </c>
      <c r="L1073" s="7" t="s">
        <v>1785</v>
      </c>
      <c r="M1073" s="7"/>
      <c r="N1073" s="7" t="s">
        <v>7994</v>
      </c>
      <c r="O1073" s="7" t="s">
        <v>7994</v>
      </c>
      <c r="P1073" s="7" t="s">
        <v>135</v>
      </c>
      <c r="Q1073" s="7"/>
      <c r="R1073" s="7" t="s">
        <v>109</v>
      </c>
      <c r="S1073" s="7" t="s">
        <v>110</v>
      </c>
      <c r="T1073" s="7" t="n">
        <v>0.587</v>
      </c>
      <c r="U1073" s="7" t="n">
        <v>1</v>
      </c>
      <c r="V1073" s="7" t="s">
        <v>90</v>
      </c>
      <c r="W1073" s="7"/>
      <c r="X1073" s="7"/>
      <c r="Y1073" s="7" t="s">
        <v>7994</v>
      </c>
      <c r="Z1073" s="7"/>
      <c r="AA1073" s="7"/>
      <c r="AB1073" s="7"/>
      <c r="AC1073" s="7" t="n">
        <v>0</v>
      </c>
      <c r="AD1073" s="7" t="s">
        <v>388</v>
      </c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 t="s">
        <v>127</v>
      </c>
      <c r="BF1073" s="8"/>
      <c r="BG1073" s="8"/>
      <c r="BH1073" s="8"/>
      <c r="BI1073" s="8"/>
      <c r="BJ1073" s="8"/>
      <c r="BK1073" s="8"/>
      <c r="BL1073" s="8"/>
      <c r="BM1073" s="8"/>
      <c r="BN1073" s="8"/>
      <c r="BO1073" s="8"/>
      <c r="BP1073" s="8"/>
      <c r="BQ1073" s="8"/>
      <c r="BR1073" s="8"/>
      <c r="BS1073" s="8"/>
    </row>
    <row r="1074" customFormat="false" ht="15" hidden="false" customHeight="false" outlineLevel="0" collapsed="false">
      <c r="A1074" s="7" t="s">
        <v>7995</v>
      </c>
      <c r="B1074" s="7" t="s">
        <v>7996</v>
      </c>
      <c r="C1074" s="7" t="s">
        <v>7997</v>
      </c>
      <c r="D1074" s="7" t="s">
        <v>4180</v>
      </c>
      <c r="E1074" s="7" t="s">
        <v>82</v>
      </c>
      <c r="F1074" s="7" t="s">
        <v>82</v>
      </c>
      <c r="G1074" s="7" t="s">
        <v>772</v>
      </c>
      <c r="H1074" s="7" t="s">
        <v>207</v>
      </c>
      <c r="I1074" s="7" t="s">
        <v>158</v>
      </c>
      <c r="J1074" s="7" t="s">
        <v>104</v>
      </c>
      <c r="K1074" s="7" t="s">
        <v>105</v>
      </c>
      <c r="L1074" s="7" t="s">
        <v>106</v>
      </c>
      <c r="M1074" s="7"/>
      <c r="N1074" s="7" t="s">
        <v>774</v>
      </c>
      <c r="O1074" s="7" t="s">
        <v>7998</v>
      </c>
      <c r="P1074" s="7" t="s">
        <v>135</v>
      </c>
      <c r="Q1074" s="7"/>
      <c r="R1074" s="7" t="s">
        <v>109</v>
      </c>
      <c r="S1074" s="7" t="s">
        <v>110</v>
      </c>
      <c r="T1074" s="7" t="n">
        <v>0.387</v>
      </c>
      <c r="U1074" s="7" t="n">
        <v>1</v>
      </c>
      <c r="V1074" s="7" t="s">
        <v>90</v>
      </c>
      <c r="W1074" s="7"/>
      <c r="X1074" s="7" t="s">
        <v>239</v>
      </c>
      <c r="Y1074" s="7" t="s">
        <v>774</v>
      </c>
      <c r="Z1074" s="7" t="s">
        <v>241</v>
      </c>
      <c r="AA1074" s="7"/>
      <c r="AB1074" s="7"/>
      <c r="AC1074" s="7" t="n">
        <v>5</v>
      </c>
      <c r="AD1074" s="7" t="s">
        <v>7999</v>
      </c>
      <c r="AE1074" s="7" t="s">
        <v>8000</v>
      </c>
      <c r="AF1074" s="7" t="s">
        <v>8001</v>
      </c>
      <c r="AG1074" s="7"/>
      <c r="AH1074" s="7"/>
      <c r="AI1074" s="7"/>
      <c r="AJ1074" s="7"/>
      <c r="AK1074" s="7"/>
      <c r="AL1074" s="7"/>
      <c r="AM1074" s="7"/>
      <c r="AN1074" s="7"/>
      <c r="AO1074" s="7" t="s">
        <v>8000</v>
      </c>
      <c r="AP1074" s="7" t="s">
        <v>783</v>
      </c>
      <c r="AQ1074" s="7" t="s">
        <v>8000</v>
      </c>
      <c r="AR1074" s="7" t="s">
        <v>82</v>
      </c>
      <c r="AS1074" s="7" t="s">
        <v>8000</v>
      </c>
      <c r="AT1074" s="7" t="s">
        <v>216</v>
      </c>
      <c r="AU1074" s="7"/>
      <c r="AV1074" s="7"/>
      <c r="AW1074" s="7"/>
      <c r="AX1074" s="7"/>
      <c r="AY1074" s="7"/>
      <c r="AZ1074" s="7"/>
      <c r="BA1074" s="7" t="s">
        <v>8000</v>
      </c>
      <c r="BB1074" s="7" t="s">
        <v>369</v>
      </c>
      <c r="BC1074" s="7"/>
      <c r="BD1074" s="7" t="s">
        <v>220</v>
      </c>
      <c r="BE1074" s="7" t="s">
        <v>127</v>
      </c>
      <c r="BF1074" s="8"/>
      <c r="BG1074" s="8"/>
      <c r="BH1074" s="8"/>
      <c r="BI1074" s="8"/>
      <c r="BJ1074" s="8"/>
      <c r="BK1074" s="8"/>
      <c r="BL1074" s="8"/>
      <c r="BM1074" s="8"/>
      <c r="BN1074" s="8"/>
      <c r="BO1074" s="8"/>
      <c r="BP1074" s="8"/>
      <c r="BQ1074" s="8"/>
      <c r="BR1074" s="8"/>
      <c r="BS1074" s="8"/>
    </row>
    <row r="1075" customFormat="false" ht="15" hidden="false" customHeight="false" outlineLevel="0" collapsed="false">
      <c r="A1075" s="7" t="s">
        <v>8002</v>
      </c>
      <c r="B1075" s="7" t="s">
        <v>8003</v>
      </c>
      <c r="C1075" s="7" t="s">
        <v>8004</v>
      </c>
      <c r="D1075" s="7" t="s">
        <v>8005</v>
      </c>
      <c r="E1075" s="7" t="s">
        <v>101</v>
      </c>
      <c r="F1075" s="7" t="s">
        <v>101</v>
      </c>
      <c r="G1075" s="7"/>
      <c r="H1075" s="7" t="s">
        <v>102</v>
      </c>
      <c r="I1075" s="7" t="s">
        <v>132</v>
      </c>
      <c r="J1075" s="7" t="s">
        <v>104</v>
      </c>
      <c r="K1075" s="7" t="s">
        <v>105</v>
      </c>
      <c r="L1075" s="7" t="s">
        <v>106</v>
      </c>
      <c r="M1075" s="7"/>
      <c r="N1075" s="7" t="s">
        <v>8006</v>
      </c>
      <c r="O1075" s="7" t="s">
        <v>8006</v>
      </c>
      <c r="P1075" s="7" t="s">
        <v>135</v>
      </c>
      <c r="Q1075" s="7"/>
      <c r="R1075" s="7" t="s">
        <v>109</v>
      </c>
      <c r="S1075" s="7" t="s">
        <v>110</v>
      </c>
      <c r="T1075" s="7" t="n">
        <v>0.85</v>
      </c>
      <c r="U1075" s="7" t="n">
        <v>1</v>
      </c>
      <c r="V1075" s="7" t="s">
        <v>90</v>
      </c>
      <c r="W1075" s="7"/>
      <c r="X1075" s="7"/>
      <c r="Y1075" s="7" t="s">
        <v>8006</v>
      </c>
      <c r="Z1075" s="7"/>
      <c r="AA1075" s="7"/>
      <c r="AB1075" s="7"/>
      <c r="AC1075" s="7" t="n">
        <v>0</v>
      </c>
      <c r="AD1075" s="7" t="s">
        <v>388</v>
      </c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 t="s">
        <v>440</v>
      </c>
      <c r="BE1075" s="7" t="s">
        <v>127</v>
      </c>
      <c r="BF1075" s="8"/>
      <c r="BG1075" s="8"/>
      <c r="BH1075" s="8"/>
      <c r="BI1075" s="8"/>
      <c r="BJ1075" s="8"/>
      <c r="BK1075" s="8"/>
      <c r="BL1075" s="8"/>
      <c r="BM1075" s="8"/>
      <c r="BN1075" s="8"/>
      <c r="BO1075" s="8"/>
      <c r="BP1075" s="8"/>
      <c r="BQ1075" s="8"/>
      <c r="BR1075" s="8"/>
      <c r="BS1075" s="8"/>
    </row>
    <row r="1076" customFormat="false" ht="15" hidden="false" customHeight="false" outlineLevel="0" collapsed="false">
      <c r="A1076" s="7" t="s">
        <v>8007</v>
      </c>
      <c r="B1076" s="7" t="s">
        <v>8008</v>
      </c>
      <c r="C1076" s="7" t="s">
        <v>8009</v>
      </c>
      <c r="D1076" s="7" t="s">
        <v>8010</v>
      </c>
      <c r="E1076" s="7" t="s">
        <v>677</v>
      </c>
      <c r="F1076" s="7" t="s">
        <v>677</v>
      </c>
      <c r="G1076" s="7"/>
      <c r="H1076" s="7" t="s">
        <v>207</v>
      </c>
      <c r="I1076" s="7" t="s">
        <v>132</v>
      </c>
      <c r="J1076" s="7" t="s">
        <v>104</v>
      </c>
      <c r="K1076" s="7" t="s">
        <v>105</v>
      </c>
      <c r="L1076" s="7" t="s">
        <v>106</v>
      </c>
      <c r="M1076" s="7"/>
      <c r="N1076" s="7" t="s">
        <v>8011</v>
      </c>
      <c r="O1076" s="7" t="s">
        <v>8011</v>
      </c>
      <c r="P1076" s="7" t="s">
        <v>135</v>
      </c>
      <c r="Q1076" s="7"/>
      <c r="R1076" s="7" t="s">
        <v>109</v>
      </c>
      <c r="S1076" s="7" t="s">
        <v>110</v>
      </c>
      <c r="T1076" s="7" t="n">
        <v>0.372</v>
      </c>
      <c r="U1076" s="7" t="n">
        <v>1</v>
      </c>
      <c r="V1076" s="7" t="s">
        <v>90</v>
      </c>
      <c r="W1076" s="7"/>
      <c r="X1076" s="7"/>
      <c r="Y1076" s="7" t="s">
        <v>8011</v>
      </c>
      <c r="Z1076" s="7"/>
      <c r="AA1076" s="7"/>
      <c r="AB1076" s="7"/>
      <c r="AC1076" s="7" t="n">
        <v>0</v>
      </c>
      <c r="AD1076" s="7" t="s">
        <v>388</v>
      </c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 t="s">
        <v>440</v>
      </c>
      <c r="BE1076" s="7" t="s">
        <v>127</v>
      </c>
      <c r="BF1076" s="8"/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8"/>
      <c r="BS1076" s="8"/>
    </row>
    <row r="1077" customFormat="false" ht="15" hidden="false" customHeight="false" outlineLevel="0" collapsed="false">
      <c r="A1077" s="7" t="s">
        <v>8012</v>
      </c>
      <c r="B1077" s="7" t="s">
        <v>8013</v>
      </c>
      <c r="C1077" s="7" t="s">
        <v>8014</v>
      </c>
      <c r="D1077" s="7" t="s">
        <v>4165</v>
      </c>
      <c r="E1077" s="7" t="s">
        <v>82</v>
      </c>
      <c r="F1077" s="7" t="s">
        <v>82</v>
      </c>
      <c r="G1077" s="7" t="s">
        <v>8015</v>
      </c>
      <c r="H1077" s="7" t="s">
        <v>207</v>
      </c>
      <c r="I1077" s="7" t="s">
        <v>132</v>
      </c>
      <c r="J1077" s="7" t="s">
        <v>104</v>
      </c>
      <c r="K1077" s="7" t="s">
        <v>105</v>
      </c>
      <c r="L1077" s="7" t="s">
        <v>106</v>
      </c>
      <c r="M1077" s="7"/>
      <c r="N1077" s="7" t="s">
        <v>8016</v>
      </c>
      <c r="O1077" s="7" t="s">
        <v>8016</v>
      </c>
      <c r="P1077" s="7" t="s">
        <v>135</v>
      </c>
      <c r="Q1077" s="7"/>
      <c r="R1077" s="7" t="s">
        <v>109</v>
      </c>
      <c r="S1077" s="7" t="s">
        <v>110</v>
      </c>
      <c r="T1077" s="7" t="n">
        <v>0.467</v>
      </c>
      <c r="U1077" s="7" t="n">
        <v>1</v>
      </c>
      <c r="V1077" s="7" t="s">
        <v>90</v>
      </c>
      <c r="W1077" s="7"/>
      <c r="X1077" s="7"/>
      <c r="Y1077" s="7" t="s">
        <v>8016</v>
      </c>
      <c r="Z1077" s="7"/>
      <c r="AA1077" s="7"/>
      <c r="AB1077" s="7"/>
      <c r="AC1077" s="7" t="n">
        <v>0</v>
      </c>
      <c r="AD1077" s="7" t="s">
        <v>388</v>
      </c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 t="s">
        <v>220</v>
      </c>
      <c r="BE1077" s="7" t="s">
        <v>127</v>
      </c>
      <c r="BF1077" s="8"/>
      <c r="BG1077" s="8"/>
      <c r="BH1077" s="8"/>
      <c r="BI1077" s="8"/>
      <c r="BJ1077" s="8"/>
      <c r="BK1077" s="8"/>
      <c r="BL1077" s="8"/>
      <c r="BM1077" s="8"/>
      <c r="BN1077" s="8"/>
      <c r="BO1077" s="8"/>
      <c r="BP1077" s="8"/>
      <c r="BQ1077" s="8"/>
      <c r="BR1077" s="8"/>
      <c r="BS1077" s="8"/>
    </row>
    <row r="1078" customFormat="false" ht="15" hidden="false" customHeight="false" outlineLevel="0" collapsed="false">
      <c r="A1078" s="7" t="s">
        <v>8017</v>
      </c>
      <c r="B1078" s="7" t="s">
        <v>8018</v>
      </c>
      <c r="C1078" s="7" t="s">
        <v>8019</v>
      </c>
      <c r="D1078" s="7" t="s">
        <v>8020</v>
      </c>
      <c r="E1078" s="7" t="s">
        <v>819</v>
      </c>
      <c r="F1078" s="7" t="s">
        <v>819</v>
      </c>
      <c r="G1078" s="7"/>
      <c r="H1078" s="7" t="s">
        <v>207</v>
      </c>
      <c r="I1078" s="7" t="s">
        <v>132</v>
      </c>
      <c r="J1078" s="7" t="s">
        <v>104</v>
      </c>
      <c r="K1078" s="7" t="s">
        <v>105</v>
      </c>
      <c r="L1078" s="7" t="s">
        <v>106</v>
      </c>
      <c r="M1078" s="7"/>
      <c r="N1078" s="7" t="s">
        <v>8021</v>
      </c>
      <c r="O1078" s="7" t="s">
        <v>8021</v>
      </c>
      <c r="P1078" s="7" t="s">
        <v>135</v>
      </c>
      <c r="Q1078" s="7"/>
      <c r="R1078" s="7" t="s">
        <v>109</v>
      </c>
      <c r="S1078" s="7" t="s">
        <v>110</v>
      </c>
      <c r="T1078" s="7" t="n">
        <v>0.169</v>
      </c>
      <c r="U1078" s="7" t="n">
        <v>1</v>
      </c>
      <c r="V1078" s="7" t="s">
        <v>90</v>
      </c>
      <c r="W1078" s="7"/>
      <c r="X1078" s="7"/>
      <c r="Y1078" s="7" t="s">
        <v>8021</v>
      </c>
      <c r="Z1078" s="7"/>
      <c r="AA1078" s="7"/>
      <c r="AB1078" s="7"/>
      <c r="AC1078" s="7" t="n">
        <v>0</v>
      </c>
      <c r="AD1078" s="7" t="s">
        <v>388</v>
      </c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 t="s">
        <v>2797</v>
      </c>
      <c r="BE1078" s="7" t="s">
        <v>127</v>
      </c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8"/>
      <c r="BS1078" s="8"/>
    </row>
    <row r="1079" customFormat="false" ht="15" hidden="false" customHeight="false" outlineLevel="0" collapsed="false">
      <c r="A1079" s="7" t="s">
        <v>8022</v>
      </c>
      <c r="B1079" s="7" t="s">
        <v>8023</v>
      </c>
      <c r="C1079" s="7" t="s">
        <v>8024</v>
      </c>
      <c r="D1079" s="7" t="s">
        <v>1983</v>
      </c>
      <c r="E1079" s="7" t="s">
        <v>819</v>
      </c>
      <c r="F1079" s="7" t="s">
        <v>819</v>
      </c>
      <c r="G1079" s="7"/>
      <c r="H1079" s="7" t="s">
        <v>207</v>
      </c>
      <c r="I1079" s="7" t="s">
        <v>208</v>
      </c>
      <c r="J1079" s="7" t="s">
        <v>104</v>
      </c>
      <c r="K1079" s="7" t="s">
        <v>105</v>
      </c>
      <c r="L1079" s="7" t="s">
        <v>106</v>
      </c>
      <c r="M1079" s="7"/>
      <c r="N1079" s="7" t="s">
        <v>8025</v>
      </c>
      <c r="O1079" s="7" t="s">
        <v>8025</v>
      </c>
      <c r="P1079" s="7" t="s">
        <v>135</v>
      </c>
      <c r="Q1079" s="7"/>
      <c r="R1079" s="7" t="s">
        <v>109</v>
      </c>
      <c r="S1079" s="7" t="s">
        <v>110</v>
      </c>
      <c r="T1079" s="7" t="n">
        <v>0.847</v>
      </c>
      <c r="U1079" s="7" t="n">
        <v>1</v>
      </c>
      <c r="V1079" s="7" t="s">
        <v>90</v>
      </c>
      <c r="W1079" s="7"/>
      <c r="X1079" s="7"/>
      <c r="Y1079" s="7" t="s">
        <v>8025</v>
      </c>
      <c r="Z1079" s="7"/>
      <c r="AA1079" s="7"/>
      <c r="AB1079" s="7"/>
      <c r="AC1079" s="7" t="n">
        <v>0</v>
      </c>
      <c r="AD1079" s="7" t="s">
        <v>388</v>
      </c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 t="s">
        <v>440</v>
      </c>
      <c r="BE1079" s="7" t="s">
        <v>127</v>
      </c>
      <c r="BF1079" s="8"/>
      <c r="BG1079" s="8"/>
      <c r="BH1079" s="8"/>
      <c r="BI1079" s="8"/>
      <c r="BJ1079" s="8"/>
      <c r="BK1079" s="8"/>
      <c r="BL1079" s="8"/>
      <c r="BM1079" s="8"/>
      <c r="BN1079" s="8"/>
      <c r="BO1079" s="8"/>
      <c r="BP1079" s="8"/>
      <c r="BQ1079" s="8"/>
      <c r="BR1079" s="8"/>
      <c r="BS1079" s="8"/>
    </row>
    <row r="1080" customFormat="false" ht="15" hidden="false" customHeight="false" outlineLevel="0" collapsed="false">
      <c r="A1080" s="7" t="s">
        <v>8026</v>
      </c>
      <c r="B1080" s="7" t="s">
        <v>8027</v>
      </c>
      <c r="C1080" s="7" t="s">
        <v>8028</v>
      </c>
      <c r="D1080" s="7" t="s">
        <v>8029</v>
      </c>
      <c r="E1080" s="7" t="s">
        <v>101</v>
      </c>
      <c r="F1080" s="7" t="s">
        <v>101</v>
      </c>
      <c r="G1080" s="7"/>
      <c r="H1080" s="7" t="s">
        <v>102</v>
      </c>
      <c r="I1080" s="7" t="s">
        <v>132</v>
      </c>
      <c r="J1080" s="7" t="s">
        <v>104</v>
      </c>
      <c r="K1080" s="7" t="s">
        <v>105</v>
      </c>
      <c r="L1080" s="7" t="s">
        <v>106</v>
      </c>
      <c r="M1080" s="7"/>
      <c r="N1080" s="7" t="s">
        <v>4195</v>
      </c>
      <c r="O1080" s="7"/>
      <c r="P1080" s="7" t="s">
        <v>135</v>
      </c>
      <c r="Q1080" s="7"/>
      <c r="R1080" s="7" t="s">
        <v>135</v>
      </c>
      <c r="S1080" s="7" t="s">
        <v>136</v>
      </c>
      <c r="T1080" s="7" t="n">
        <v>0.301</v>
      </c>
      <c r="U1080" s="7" t="n">
        <v>1</v>
      </c>
      <c r="V1080" s="7" t="s">
        <v>90</v>
      </c>
      <c r="W1080" s="7"/>
      <c r="X1080" s="7"/>
      <c r="Y1080" s="7" t="s">
        <v>4195</v>
      </c>
      <c r="Z1080" s="7"/>
      <c r="AA1080" s="7"/>
      <c r="AB1080" s="7"/>
      <c r="AC1080" s="7" t="n">
        <v>0</v>
      </c>
      <c r="AD1080" s="7" t="s">
        <v>388</v>
      </c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 t="s">
        <v>4207</v>
      </c>
      <c r="BE1080" s="7" t="s">
        <v>127</v>
      </c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8"/>
      <c r="BS1080" s="8"/>
    </row>
    <row r="1081" customFormat="false" ht="15" hidden="false" customHeight="false" outlineLevel="0" collapsed="false">
      <c r="A1081" s="7" t="s">
        <v>8030</v>
      </c>
      <c r="B1081" s="7" t="s">
        <v>8031</v>
      </c>
      <c r="C1081" s="7" t="s">
        <v>8032</v>
      </c>
      <c r="D1081" s="7" t="s">
        <v>8033</v>
      </c>
      <c r="E1081" s="7" t="s">
        <v>431</v>
      </c>
      <c r="F1081" s="7" t="s">
        <v>431</v>
      </c>
      <c r="G1081" s="7"/>
      <c r="H1081" s="7" t="s">
        <v>207</v>
      </c>
      <c r="I1081" s="7" t="s">
        <v>1104</v>
      </c>
      <c r="J1081" s="7" t="s">
        <v>104</v>
      </c>
      <c r="K1081" s="7" t="s">
        <v>105</v>
      </c>
      <c r="L1081" s="7" t="s">
        <v>8034</v>
      </c>
      <c r="M1081" s="7"/>
      <c r="N1081" s="7" t="s">
        <v>8035</v>
      </c>
      <c r="O1081" s="7" t="s">
        <v>8035</v>
      </c>
      <c r="P1081" s="7" t="s">
        <v>135</v>
      </c>
      <c r="Q1081" s="7"/>
      <c r="R1081" s="7" t="s">
        <v>109</v>
      </c>
      <c r="S1081" s="7" t="s">
        <v>110</v>
      </c>
      <c r="T1081" s="7" t="n">
        <v>0.745</v>
      </c>
      <c r="U1081" s="7" t="n">
        <v>1</v>
      </c>
      <c r="V1081" s="7" t="s">
        <v>90</v>
      </c>
      <c r="W1081" s="7"/>
      <c r="X1081" s="7"/>
      <c r="Y1081" s="7" t="s">
        <v>8035</v>
      </c>
      <c r="Z1081" s="7"/>
      <c r="AA1081" s="7"/>
      <c r="AB1081" s="7"/>
      <c r="AC1081" s="7" t="n">
        <v>0</v>
      </c>
      <c r="AD1081" s="7" t="s">
        <v>388</v>
      </c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 t="s">
        <v>440</v>
      </c>
      <c r="BE1081" s="7" t="s">
        <v>127</v>
      </c>
      <c r="BF1081" s="8"/>
      <c r="BG1081" s="8"/>
      <c r="BH1081" s="8"/>
      <c r="BI1081" s="8"/>
      <c r="BJ1081" s="8"/>
      <c r="BK1081" s="8"/>
      <c r="BL1081" s="8"/>
      <c r="BM1081" s="8"/>
      <c r="BN1081" s="8"/>
      <c r="BO1081" s="8"/>
      <c r="BP1081" s="8"/>
      <c r="BQ1081" s="8"/>
      <c r="BR1081" s="8"/>
      <c r="BS1081" s="8"/>
    </row>
    <row r="1082" customFormat="false" ht="15" hidden="false" customHeight="false" outlineLevel="0" collapsed="false">
      <c r="A1082" s="7" t="s">
        <v>8036</v>
      </c>
      <c r="B1082" s="7" t="s">
        <v>8037</v>
      </c>
      <c r="C1082" s="7" t="s">
        <v>8038</v>
      </c>
      <c r="D1082" s="7" t="s">
        <v>8033</v>
      </c>
      <c r="E1082" s="7" t="s">
        <v>431</v>
      </c>
      <c r="F1082" s="7" t="s">
        <v>431</v>
      </c>
      <c r="G1082" s="7"/>
      <c r="H1082" s="7" t="s">
        <v>207</v>
      </c>
      <c r="I1082" s="7" t="s">
        <v>1104</v>
      </c>
      <c r="J1082" s="7" t="s">
        <v>104</v>
      </c>
      <c r="K1082" s="7" t="s">
        <v>105</v>
      </c>
      <c r="L1082" s="7" t="s">
        <v>8034</v>
      </c>
      <c r="M1082" s="7"/>
      <c r="N1082" s="7" t="s">
        <v>8039</v>
      </c>
      <c r="O1082" s="7" t="s">
        <v>8039</v>
      </c>
      <c r="P1082" s="7" t="s">
        <v>135</v>
      </c>
      <c r="Q1082" s="7"/>
      <c r="R1082" s="7" t="s">
        <v>109</v>
      </c>
      <c r="S1082" s="7" t="s">
        <v>110</v>
      </c>
      <c r="T1082" s="7" t="n">
        <v>0.76</v>
      </c>
      <c r="U1082" s="7" t="n">
        <v>1</v>
      </c>
      <c r="V1082" s="7" t="s">
        <v>90</v>
      </c>
      <c r="W1082" s="7"/>
      <c r="X1082" s="7"/>
      <c r="Y1082" s="7" t="s">
        <v>8039</v>
      </c>
      <c r="Z1082" s="7"/>
      <c r="AA1082" s="7"/>
      <c r="AB1082" s="7"/>
      <c r="AC1082" s="7" t="n">
        <v>0</v>
      </c>
      <c r="AD1082" s="7" t="s">
        <v>388</v>
      </c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 t="s">
        <v>440</v>
      </c>
      <c r="BE1082" s="7" t="s">
        <v>127</v>
      </c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</row>
    <row r="1083" customFormat="false" ht="15" hidden="false" customHeight="false" outlineLevel="0" collapsed="false">
      <c r="A1083" s="7" t="s">
        <v>8040</v>
      </c>
      <c r="B1083" s="7" t="s">
        <v>8041</v>
      </c>
      <c r="C1083" s="7" t="s">
        <v>8042</v>
      </c>
      <c r="D1083" s="7" t="s">
        <v>7910</v>
      </c>
      <c r="E1083" s="7" t="s">
        <v>819</v>
      </c>
      <c r="F1083" s="7" t="s">
        <v>819</v>
      </c>
      <c r="G1083" s="7"/>
      <c r="H1083" s="7" t="s">
        <v>207</v>
      </c>
      <c r="I1083" s="7" t="s">
        <v>103</v>
      </c>
      <c r="J1083" s="7" t="s">
        <v>104</v>
      </c>
      <c r="K1083" s="7" t="s">
        <v>105</v>
      </c>
      <c r="L1083" s="7" t="s">
        <v>106</v>
      </c>
      <c r="M1083" s="7"/>
      <c r="N1083" s="7" t="s">
        <v>7911</v>
      </c>
      <c r="O1083" s="7" t="s">
        <v>7911</v>
      </c>
      <c r="P1083" s="7" t="s">
        <v>135</v>
      </c>
      <c r="Q1083" s="7"/>
      <c r="R1083" s="7" t="s">
        <v>109</v>
      </c>
      <c r="S1083" s="7" t="s">
        <v>110</v>
      </c>
      <c r="T1083" s="7" t="n">
        <v>0.224</v>
      </c>
      <c r="U1083" s="7" t="n">
        <v>1</v>
      </c>
      <c r="V1083" s="7" t="s">
        <v>90</v>
      </c>
      <c r="W1083" s="7"/>
      <c r="X1083" s="7"/>
      <c r="Y1083" s="7" t="s">
        <v>7911</v>
      </c>
      <c r="Z1083" s="7"/>
      <c r="AA1083" s="7"/>
      <c r="AB1083" s="7"/>
      <c r="AC1083" s="7" t="n">
        <v>0</v>
      </c>
      <c r="AD1083" s="7" t="s">
        <v>388</v>
      </c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 t="s">
        <v>2797</v>
      </c>
      <c r="BE1083" s="7" t="s">
        <v>127</v>
      </c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</row>
    <row r="1084" customFormat="false" ht="15" hidden="false" customHeight="false" outlineLevel="0" collapsed="false">
      <c r="A1084" s="7" t="s">
        <v>8043</v>
      </c>
      <c r="B1084" s="7" t="s">
        <v>8044</v>
      </c>
      <c r="C1084" s="7" t="s">
        <v>8045</v>
      </c>
      <c r="D1084" s="7"/>
      <c r="E1084" s="7" t="s">
        <v>101</v>
      </c>
      <c r="F1084" s="7" t="s">
        <v>101</v>
      </c>
      <c r="G1084" s="7"/>
      <c r="H1084" s="7" t="s">
        <v>102</v>
      </c>
      <c r="I1084" s="7" t="s">
        <v>1639</v>
      </c>
      <c r="J1084" s="7" t="s">
        <v>104</v>
      </c>
      <c r="K1084" s="7" t="s">
        <v>105</v>
      </c>
      <c r="L1084" s="7" t="s">
        <v>106</v>
      </c>
      <c r="M1084" s="7"/>
      <c r="N1084" s="7" t="s">
        <v>8046</v>
      </c>
      <c r="O1084" s="7"/>
      <c r="P1084" s="7" t="s">
        <v>135</v>
      </c>
      <c r="Q1084" s="7"/>
      <c r="R1084" s="7" t="s">
        <v>135</v>
      </c>
      <c r="S1084" s="7" t="s">
        <v>136</v>
      </c>
      <c r="T1084" s="7" t="n">
        <v>0.251</v>
      </c>
      <c r="U1084" s="7" t="n">
        <v>1</v>
      </c>
      <c r="V1084" s="7" t="s">
        <v>90</v>
      </c>
      <c r="W1084" s="7"/>
      <c r="X1084" s="7"/>
      <c r="Y1084" s="7" t="s">
        <v>8046</v>
      </c>
      <c r="Z1084" s="7"/>
      <c r="AA1084" s="7"/>
      <c r="AB1084" s="7"/>
      <c r="AC1084" s="7" t="n">
        <v>0</v>
      </c>
      <c r="AD1084" s="7" t="s">
        <v>388</v>
      </c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 t="s">
        <v>127</v>
      </c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</row>
    <row r="1085" customFormat="false" ht="15" hidden="false" customHeight="false" outlineLevel="0" collapsed="false">
      <c r="A1085" s="7" t="s">
        <v>8047</v>
      </c>
      <c r="B1085" s="7" t="s">
        <v>8048</v>
      </c>
      <c r="C1085" s="7" t="s">
        <v>8049</v>
      </c>
      <c r="D1085" s="7"/>
      <c r="E1085" s="7" t="s">
        <v>101</v>
      </c>
      <c r="F1085" s="7" t="s">
        <v>101</v>
      </c>
      <c r="G1085" s="7"/>
      <c r="H1085" s="7" t="s">
        <v>102</v>
      </c>
      <c r="I1085" s="7" t="s">
        <v>132</v>
      </c>
      <c r="J1085" s="7" t="s">
        <v>104</v>
      </c>
      <c r="K1085" s="7" t="s">
        <v>105</v>
      </c>
      <c r="L1085" s="7" t="s">
        <v>106</v>
      </c>
      <c r="M1085" s="7"/>
      <c r="N1085" s="7" t="s">
        <v>8050</v>
      </c>
      <c r="O1085" s="7" t="s">
        <v>8050</v>
      </c>
      <c r="P1085" s="7" t="s">
        <v>135</v>
      </c>
      <c r="Q1085" s="7"/>
      <c r="R1085" s="7" t="s">
        <v>109</v>
      </c>
      <c r="S1085" s="7" t="s">
        <v>110</v>
      </c>
      <c r="T1085" s="7" t="n">
        <v>0.461</v>
      </c>
      <c r="U1085" s="7" t="n">
        <v>1</v>
      </c>
      <c r="V1085" s="7" t="s">
        <v>90</v>
      </c>
      <c r="W1085" s="7"/>
      <c r="X1085" s="7"/>
      <c r="Y1085" s="7" t="s">
        <v>8050</v>
      </c>
      <c r="Z1085" s="7"/>
      <c r="AA1085" s="7"/>
      <c r="AB1085" s="7"/>
      <c r="AC1085" s="7" t="n">
        <v>0</v>
      </c>
      <c r="AD1085" s="7" t="s">
        <v>388</v>
      </c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 t="s">
        <v>127</v>
      </c>
      <c r="BF1085" s="8"/>
      <c r="BG1085" s="8"/>
      <c r="BH1085" s="8"/>
      <c r="BI1085" s="8"/>
      <c r="BJ1085" s="8"/>
      <c r="BK1085" s="8"/>
      <c r="BL1085" s="8"/>
      <c r="BM1085" s="8"/>
      <c r="BN1085" s="8"/>
      <c r="BO1085" s="8"/>
      <c r="BP1085" s="8"/>
      <c r="BQ1085" s="8"/>
      <c r="BR1085" s="8"/>
      <c r="BS1085" s="8"/>
    </row>
    <row r="1086" customFormat="false" ht="15" hidden="false" customHeight="false" outlineLevel="0" collapsed="false">
      <c r="A1086" s="7" t="s">
        <v>8051</v>
      </c>
      <c r="B1086" s="7" t="s">
        <v>8052</v>
      </c>
      <c r="C1086" s="7" t="s">
        <v>8053</v>
      </c>
      <c r="D1086" s="7" t="s">
        <v>8054</v>
      </c>
      <c r="E1086" s="7" t="s">
        <v>101</v>
      </c>
      <c r="F1086" s="7" t="s">
        <v>101</v>
      </c>
      <c r="G1086" s="7"/>
      <c r="H1086" s="7" t="s">
        <v>102</v>
      </c>
      <c r="I1086" s="7" t="s">
        <v>300</v>
      </c>
      <c r="J1086" s="7" t="s">
        <v>104</v>
      </c>
      <c r="K1086" s="7" t="s">
        <v>105</v>
      </c>
      <c r="L1086" s="7" t="s">
        <v>353</v>
      </c>
      <c r="M1086" s="7"/>
      <c r="N1086" s="7" t="s">
        <v>8055</v>
      </c>
      <c r="O1086" s="7" t="s">
        <v>8055</v>
      </c>
      <c r="P1086" s="7" t="s">
        <v>135</v>
      </c>
      <c r="Q1086" s="7"/>
      <c r="R1086" s="7" t="s">
        <v>109</v>
      </c>
      <c r="S1086" s="7" t="s">
        <v>110</v>
      </c>
      <c r="T1086" s="7" t="n">
        <v>0.311</v>
      </c>
      <c r="U1086" s="7" t="n">
        <v>1</v>
      </c>
      <c r="V1086" s="7" t="s">
        <v>90</v>
      </c>
      <c r="W1086" s="7"/>
      <c r="X1086" s="7"/>
      <c r="Y1086" s="7" t="s">
        <v>8055</v>
      </c>
      <c r="Z1086" s="7"/>
      <c r="AA1086" s="7"/>
      <c r="AB1086" s="7"/>
      <c r="AC1086" s="7" t="n">
        <v>0</v>
      </c>
      <c r="AD1086" s="7" t="s">
        <v>388</v>
      </c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 t="s">
        <v>127</v>
      </c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</row>
    <row r="1087" customFormat="false" ht="15" hidden="false" customHeight="false" outlineLevel="0" collapsed="false">
      <c r="A1087" s="7" t="s">
        <v>8056</v>
      </c>
      <c r="B1087" s="7" t="s">
        <v>8057</v>
      </c>
      <c r="C1087" s="7" t="s">
        <v>8058</v>
      </c>
      <c r="D1087" s="7"/>
      <c r="E1087" s="7" t="s">
        <v>101</v>
      </c>
      <c r="F1087" s="7" t="s">
        <v>101</v>
      </c>
      <c r="G1087" s="7"/>
      <c r="H1087" s="7" t="s">
        <v>102</v>
      </c>
      <c r="I1087" s="7" t="s">
        <v>300</v>
      </c>
      <c r="J1087" s="7" t="s">
        <v>104</v>
      </c>
      <c r="K1087" s="7" t="s">
        <v>105</v>
      </c>
      <c r="L1087" s="7" t="s">
        <v>1447</v>
      </c>
      <c r="M1087" s="7"/>
      <c r="N1087" s="7" t="s">
        <v>8059</v>
      </c>
      <c r="O1087" s="7"/>
      <c r="P1087" s="7" t="s">
        <v>135</v>
      </c>
      <c r="Q1087" s="7"/>
      <c r="R1087" s="7" t="s">
        <v>135</v>
      </c>
      <c r="S1087" s="7" t="s">
        <v>136</v>
      </c>
      <c r="T1087" s="7" t="n">
        <v>0.429</v>
      </c>
      <c r="U1087" s="7" t="n">
        <v>1</v>
      </c>
      <c r="V1087" s="7" t="s">
        <v>90</v>
      </c>
      <c r="W1087" s="7"/>
      <c r="X1087" s="7"/>
      <c r="Y1087" s="7" t="s">
        <v>8059</v>
      </c>
      <c r="Z1087" s="7"/>
      <c r="AA1087" s="7"/>
      <c r="AB1087" s="7"/>
      <c r="AC1087" s="7" t="n">
        <v>0</v>
      </c>
      <c r="AD1087" s="7" t="s">
        <v>388</v>
      </c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 t="s">
        <v>8060</v>
      </c>
      <c r="BE1087" s="7" t="s">
        <v>127</v>
      </c>
      <c r="BF1087" s="8"/>
      <c r="BG1087" s="8"/>
      <c r="BH1087" s="8"/>
      <c r="BI1087" s="8"/>
      <c r="BJ1087" s="8"/>
      <c r="BK1087" s="8"/>
      <c r="BL1087" s="8"/>
      <c r="BM1087" s="8"/>
      <c r="BN1087" s="8"/>
      <c r="BO1087" s="8"/>
      <c r="BP1087" s="8"/>
      <c r="BQ1087" s="8"/>
      <c r="BR1087" s="8"/>
      <c r="BS1087" s="8"/>
    </row>
    <row r="1088" customFormat="false" ht="15" hidden="false" customHeight="false" outlineLevel="0" collapsed="false">
      <c r="A1088" s="7" t="s">
        <v>8061</v>
      </c>
      <c r="B1088" s="7" t="s">
        <v>8062</v>
      </c>
      <c r="C1088" s="7" t="s">
        <v>8063</v>
      </c>
      <c r="D1088" s="7"/>
      <c r="E1088" s="7" t="s">
        <v>101</v>
      </c>
      <c r="F1088" s="7" t="s">
        <v>156</v>
      </c>
      <c r="G1088" s="7"/>
      <c r="H1088" s="7" t="s">
        <v>157</v>
      </c>
      <c r="I1088" s="7" t="s">
        <v>132</v>
      </c>
      <c r="J1088" s="7" t="s">
        <v>159</v>
      </c>
      <c r="K1088" s="7" t="s">
        <v>105</v>
      </c>
      <c r="L1088" s="7" t="s">
        <v>106</v>
      </c>
      <c r="M1088" s="7"/>
      <c r="N1088" s="7" t="s">
        <v>8064</v>
      </c>
      <c r="O1088" s="7"/>
      <c r="P1088" s="7" t="s">
        <v>135</v>
      </c>
      <c r="Q1088" s="7"/>
      <c r="R1088" s="7" t="s">
        <v>135</v>
      </c>
      <c r="S1088" s="7" t="s">
        <v>136</v>
      </c>
      <c r="T1088" s="7" t="n">
        <v>0.463</v>
      </c>
      <c r="U1088" s="7" t="n">
        <v>1</v>
      </c>
      <c r="V1088" s="7" t="s">
        <v>90</v>
      </c>
      <c r="W1088" s="7"/>
      <c r="X1088" s="7"/>
      <c r="Y1088" s="7" t="s">
        <v>8064</v>
      </c>
      <c r="Z1088" s="7"/>
      <c r="AA1088" s="7"/>
      <c r="AB1088" s="7"/>
      <c r="AC1088" s="7" t="n">
        <v>1</v>
      </c>
      <c r="AD1088" s="7" t="s">
        <v>3333</v>
      </c>
      <c r="AE1088" s="7"/>
      <c r="AF1088" s="7"/>
      <c r="AG1088" s="7"/>
      <c r="AH1088" s="7"/>
      <c r="AI1088" s="7"/>
      <c r="AJ1088" s="7"/>
      <c r="AK1088" s="7" t="s">
        <v>8065</v>
      </c>
      <c r="AL1088" s="7" t="s">
        <v>338</v>
      </c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 t="s">
        <v>127</v>
      </c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8"/>
      <c r="BS1088" s="8"/>
    </row>
    <row r="1089" customFormat="false" ht="15" hidden="false" customHeight="false" outlineLevel="0" collapsed="false">
      <c r="A1089" s="7" t="s">
        <v>8066</v>
      </c>
      <c r="B1089" s="7" t="s">
        <v>8067</v>
      </c>
      <c r="C1089" s="7" t="s">
        <v>8068</v>
      </c>
      <c r="D1089" s="7" t="s">
        <v>8069</v>
      </c>
      <c r="E1089" s="7" t="s">
        <v>101</v>
      </c>
      <c r="F1089" s="7" t="s">
        <v>101</v>
      </c>
      <c r="G1089" s="7"/>
      <c r="H1089" s="7" t="s">
        <v>102</v>
      </c>
      <c r="I1089" s="7" t="s">
        <v>208</v>
      </c>
      <c r="J1089" s="7" t="s">
        <v>104</v>
      </c>
      <c r="K1089" s="7" t="s">
        <v>105</v>
      </c>
      <c r="L1089" s="7" t="s">
        <v>106</v>
      </c>
      <c r="M1089" s="7"/>
      <c r="N1089" s="7" t="s">
        <v>8070</v>
      </c>
      <c r="O1089" s="7" t="s">
        <v>8070</v>
      </c>
      <c r="P1089" s="7" t="s">
        <v>135</v>
      </c>
      <c r="Q1089" s="7"/>
      <c r="R1089" s="7" t="s">
        <v>109</v>
      </c>
      <c r="S1089" s="7" t="s">
        <v>110</v>
      </c>
      <c r="T1089" s="7" t="n">
        <v>0.428</v>
      </c>
      <c r="U1089" s="7" t="n">
        <v>1</v>
      </c>
      <c r="V1089" s="7" t="s">
        <v>90</v>
      </c>
      <c r="W1089" s="7"/>
      <c r="X1089" s="7"/>
      <c r="Y1089" s="7" t="s">
        <v>8070</v>
      </c>
      <c r="Z1089" s="7"/>
      <c r="AA1089" s="7"/>
      <c r="AB1089" s="7"/>
      <c r="AC1089" s="7" t="n">
        <v>0</v>
      </c>
      <c r="AD1089" s="7" t="s">
        <v>388</v>
      </c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 t="s">
        <v>127</v>
      </c>
      <c r="BF1089" s="8"/>
      <c r="BG1089" s="8"/>
      <c r="BH1089" s="8"/>
      <c r="BI1089" s="8"/>
      <c r="BJ1089" s="8"/>
      <c r="BK1089" s="8"/>
      <c r="BL1089" s="8"/>
      <c r="BM1089" s="8"/>
      <c r="BN1089" s="8"/>
      <c r="BO1089" s="8"/>
      <c r="BP1089" s="8"/>
      <c r="BQ1089" s="8"/>
      <c r="BR1089" s="8"/>
      <c r="BS1089" s="8"/>
    </row>
    <row r="1090" customFormat="false" ht="15" hidden="false" customHeight="false" outlineLevel="0" collapsed="false">
      <c r="A1090" s="7" t="s">
        <v>8071</v>
      </c>
      <c r="B1090" s="7" t="s">
        <v>8072</v>
      </c>
      <c r="C1090" s="7" t="s">
        <v>8073</v>
      </c>
      <c r="D1090" s="7" t="s">
        <v>3345</v>
      </c>
      <c r="E1090" s="7" t="s">
        <v>101</v>
      </c>
      <c r="F1090" s="7" t="s">
        <v>101</v>
      </c>
      <c r="G1090" s="7"/>
      <c r="H1090" s="7" t="s">
        <v>102</v>
      </c>
      <c r="I1090" s="7" t="s">
        <v>158</v>
      </c>
      <c r="J1090" s="7" t="s">
        <v>104</v>
      </c>
      <c r="K1090" s="7" t="s">
        <v>105</v>
      </c>
      <c r="L1090" s="7" t="s">
        <v>106</v>
      </c>
      <c r="M1090" s="7"/>
      <c r="N1090" s="7" t="s">
        <v>8074</v>
      </c>
      <c r="O1090" s="7" t="s">
        <v>8074</v>
      </c>
      <c r="P1090" s="7" t="s">
        <v>135</v>
      </c>
      <c r="Q1090" s="7"/>
      <c r="R1090" s="7" t="s">
        <v>109</v>
      </c>
      <c r="S1090" s="7" t="s">
        <v>110</v>
      </c>
      <c r="T1090" s="7" t="n">
        <v>0.383</v>
      </c>
      <c r="U1090" s="7" t="n">
        <v>1</v>
      </c>
      <c r="V1090" s="7" t="s">
        <v>90</v>
      </c>
      <c r="W1090" s="7"/>
      <c r="X1090" s="7"/>
      <c r="Y1090" s="7" t="s">
        <v>8074</v>
      </c>
      <c r="Z1090" s="7"/>
      <c r="AA1090" s="7"/>
      <c r="AB1090" s="7"/>
      <c r="AC1090" s="7" t="n">
        <v>0</v>
      </c>
      <c r="AD1090" s="7" t="s">
        <v>388</v>
      </c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 t="s">
        <v>1343</v>
      </c>
      <c r="BE1090" s="7" t="s">
        <v>127</v>
      </c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</row>
    <row r="1091" customFormat="false" ht="15" hidden="false" customHeight="false" outlineLevel="0" collapsed="false">
      <c r="A1091" s="7" t="s">
        <v>8075</v>
      </c>
      <c r="B1091" s="7" t="s">
        <v>8076</v>
      </c>
      <c r="C1091" s="7" t="s">
        <v>8077</v>
      </c>
      <c r="D1091" s="7"/>
      <c r="E1091" s="7" t="s">
        <v>101</v>
      </c>
      <c r="F1091" s="7" t="s">
        <v>101</v>
      </c>
      <c r="G1091" s="7"/>
      <c r="H1091" s="7" t="s">
        <v>102</v>
      </c>
      <c r="I1091" s="7" t="s">
        <v>132</v>
      </c>
      <c r="J1091" s="7" t="s">
        <v>104</v>
      </c>
      <c r="K1091" s="7" t="s">
        <v>105</v>
      </c>
      <c r="L1091" s="7" t="s">
        <v>106</v>
      </c>
      <c r="M1091" s="7"/>
      <c r="N1091" s="7" t="s">
        <v>8078</v>
      </c>
      <c r="O1091" s="7" t="s">
        <v>8078</v>
      </c>
      <c r="P1091" s="7" t="s">
        <v>135</v>
      </c>
      <c r="Q1091" s="7"/>
      <c r="R1091" s="7" t="s">
        <v>109</v>
      </c>
      <c r="S1091" s="7" t="s">
        <v>110</v>
      </c>
      <c r="T1091" s="7" t="n">
        <v>0.281</v>
      </c>
      <c r="U1091" s="7" t="n">
        <v>1</v>
      </c>
      <c r="V1091" s="7" t="s">
        <v>90</v>
      </c>
      <c r="W1091" s="7"/>
      <c r="X1091" s="7"/>
      <c r="Y1091" s="7" t="s">
        <v>8078</v>
      </c>
      <c r="Z1091" s="7"/>
      <c r="AA1091" s="7"/>
      <c r="AB1091" s="7"/>
      <c r="AC1091" s="7" t="n">
        <v>0</v>
      </c>
      <c r="AD1091" s="7" t="s">
        <v>388</v>
      </c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 t="s">
        <v>7046</v>
      </c>
      <c r="BE1091" s="7" t="s">
        <v>127</v>
      </c>
      <c r="BF1091" s="8"/>
      <c r="BG1091" s="8"/>
      <c r="BH1091" s="8"/>
      <c r="BI1091" s="8"/>
      <c r="BJ1091" s="8"/>
      <c r="BK1091" s="8"/>
      <c r="BL1091" s="8"/>
      <c r="BM1091" s="8"/>
      <c r="BN1091" s="8"/>
      <c r="BO1091" s="8"/>
      <c r="BP1091" s="8"/>
      <c r="BQ1091" s="8"/>
      <c r="BR1091" s="8"/>
      <c r="BS1091" s="8"/>
    </row>
    <row r="1092" customFormat="false" ht="15" hidden="false" customHeight="false" outlineLevel="0" collapsed="false">
      <c r="A1092" s="7" t="s">
        <v>8079</v>
      </c>
      <c r="B1092" s="7" t="s">
        <v>8080</v>
      </c>
      <c r="C1092" s="7" t="s">
        <v>8081</v>
      </c>
      <c r="D1092" s="7"/>
      <c r="E1092" s="7" t="s">
        <v>101</v>
      </c>
      <c r="F1092" s="7" t="s">
        <v>101</v>
      </c>
      <c r="G1092" s="7"/>
      <c r="H1092" s="7" t="s">
        <v>102</v>
      </c>
      <c r="I1092" s="7" t="s">
        <v>158</v>
      </c>
      <c r="J1092" s="7" t="s">
        <v>104</v>
      </c>
      <c r="K1092" s="7" t="s">
        <v>105</v>
      </c>
      <c r="L1092" s="7" t="s">
        <v>106</v>
      </c>
      <c r="M1092" s="7"/>
      <c r="N1092" s="7" t="s">
        <v>8082</v>
      </c>
      <c r="O1092" s="7" t="s">
        <v>8082</v>
      </c>
      <c r="P1092" s="7" t="s">
        <v>135</v>
      </c>
      <c r="Q1092" s="7"/>
      <c r="R1092" s="7" t="s">
        <v>109</v>
      </c>
      <c r="S1092" s="7" t="s">
        <v>110</v>
      </c>
      <c r="T1092" s="7" t="n">
        <v>0.348</v>
      </c>
      <c r="U1092" s="7" t="n">
        <v>1</v>
      </c>
      <c r="V1092" s="7" t="s">
        <v>90</v>
      </c>
      <c r="W1092" s="7"/>
      <c r="X1092" s="7"/>
      <c r="Y1092" s="7" t="s">
        <v>8082</v>
      </c>
      <c r="Z1092" s="7"/>
      <c r="AA1092" s="7"/>
      <c r="AB1092" s="7"/>
      <c r="AC1092" s="7" t="n">
        <v>0</v>
      </c>
      <c r="AD1092" s="7" t="s">
        <v>388</v>
      </c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 t="s">
        <v>127</v>
      </c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</row>
    <row r="1093" customFormat="false" ht="15" hidden="false" customHeight="false" outlineLevel="0" collapsed="false">
      <c r="A1093" s="7" t="s">
        <v>8083</v>
      </c>
      <c r="B1093" s="7" t="s">
        <v>8084</v>
      </c>
      <c r="C1093" s="7" t="s">
        <v>8085</v>
      </c>
      <c r="D1093" s="7"/>
      <c r="E1093" s="7" t="s">
        <v>101</v>
      </c>
      <c r="F1093" s="7" t="s">
        <v>101</v>
      </c>
      <c r="G1093" s="7"/>
      <c r="H1093" s="7" t="s">
        <v>102</v>
      </c>
      <c r="I1093" s="7" t="s">
        <v>300</v>
      </c>
      <c r="J1093" s="7" t="s">
        <v>104</v>
      </c>
      <c r="K1093" s="7" t="s">
        <v>105</v>
      </c>
      <c r="L1093" s="7" t="s">
        <v>106</v>
      </c>
      <c r="M1093" s="7"/>
      <c r="N1093" s="7" t="s">
        <v>8086</v>
      </c>
      <c r="O1093" s="7"/>
      <c r="P1093" s="7" t="s">
        <v>135</v>
      </c>
      <c r="Q1093" s="7"/>
      <c r="R1093" s="7" t="s">
        <v>135</v>
      </c>
      <c r="S1093" s="7" t="s">
        <v>136</v>
      </c>
      <c r="T1093" s="7" t="n">
        <v>0.297</v>
      </c>
      <c r="U1093" s="7" t="n">
        <v>1</v>
      </c>
      <c r="V1093" s="7" t="s">
        <v>90</v>
      </c>
      <c r="W1093" s="7"/>
      <c r="X1093" s="7"/>
      <c r="Y1093" s="7" t="s">
        <v>8086</v>
      </c>
      <c r="Z1093" s="7"/>
      <c r="AA1093" s="7"/>
      <c r="AB1093" s="7"/>
      <c r="AC1093" s="7" t="n">
        <v>0</v>
      </c>
      <c r="AD1093" s="7" t="s">
        <v>388</v>
      </c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 t="s">
        <v>127</v>
      </c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</row>
    <row r="1094" customFormat="false" ht="15" hidden="false" customHeight="false" outlineLevel="0" collapsed="false">
      <c r="A1094" s="7" t="s">
        <v>8087</v>
      </c>
      <c r="B1094" s="7" t="s">
        <v>8088</v>
      </c>
      <c r="C1094" s="7" t="s">
        <v>8089</v>
      </c>
      <c r="D1094" s="7"/>
      <c r="E1094" s="7" t="s">
        <v>101</v>
      </c>
      <c r="F1094" s="7" t="s">
        <v>101</v>
      </c>
      <c r="G1094" s="7"/>
      <c r="H1094" s="7" t="s">
        <v>102</v>
      </c>
      <c r="I1094" s="7" t="s">
        <v>103</v>
      </c>
      <c r="J1094" s="7" t="s">
        <v>104</v>
      </c>
      <c r="K1094" s="7" t="s">
        <v>105</v>
      </c>
      <c r="L1094" s="7" t="s">
        <v>106</v>
      </c>
      <c r="M1094" s="7"/>
      <c r="N1094" s="7" t="s">
        <v>8090</v>
      </c>
      <c r="O1094" s="7" t="s">
        <v>8090</v>
      </c>
      <c r="P1094" s="7" t="s">
        <v>135</v>
      </c>
      <c r="Q1094" s="7"/>
      <c r="R1094" s="7" t="s">
        <v>109</v>
      </c>
      <c r="S1094" s="7" t="s">
        <v>110</v>
      </c>
      <c r="T1094" s="7" t="n">
        <v>0.396</v>
      </c>
      <c r="U1094" s="7" t="n">
        <v>1</v>
      </c>
      <c r="V1094" s="7" t="s">
        <v>90</v>
      </c>
      <c r="W1094" s="7"/>
      <c r="X1094" s="7"/>
      <c r="Y1094" s="7" t="s">
        <v>8090</v>
      </c>
      <c r="Z1094" s="7"/>
      <c r="AA1094" s="7"/>
      <c r="AB1094" s="7"/>
      <c r="AC1094" s="7" t="n">
        <v>0</v>
      </c>
      <c r="AD1094" s="7" t="s">
        <v>388</v>
      </c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 t="s">
        <v>127</v>
      </c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</row>
    <row r="1095" customFormat="false" ht="15" hidden="false" customHeight="false" outlineLevel="0" collapsed="false">
      <c r="A1095" s="7" t="s">
        <v>8091</v>
      </c>
      <c r="B1095" s="7" t="s">
        <v>8092</v>
      </c>
      <c r="C1095" s="7" t="s">
        <v>8093</v>
      </c>
      <c r="D1095" s="7"/>
      <c r="E1095" s="7" t="s">
        <v>101</v>
      </c>
      <c r="F1095" s="7" t="s">
        <v>101</v>
      </c>
      <c r="G1095" s="7"/>
      <c r="H1095" s="7" t="s">
        <v>102</v>
      </c>
      <c r="I1095" s="7" t="s">
        <v>132</v>
      </c>
      <c r="J1095" s="7" t="s">
        <v>104</v>
      </c>
      <c r="K1095" s="7" t="s">
        <v>105</v>
      </c>
      <c r="L1095" s="7" t="s">
        <v>106</v>
      </c>
      <c r="M1095" s="7"/>
      <c r="N1095" s="7" t="s">
        <v>8094</v>
      </c>
      <c r="O1095" s="7" t="s">
        <v>8094</v>
      </c>
      <c r="P1095" s="7" t="s">
        <v>135</v>
      </c>
      <c r="Q1095" s="7"/>
      <c r="R1095" s="7" t="s">
        <v>109</v>
      </c>
      <c r="S1095" s="7" t="s">
        <v>110</v>
      </c>
      <c r="T1095" s="7" t="n">
        <v>0.759</v>
      </c>
      <c r="U1095" s="7" t="n">
        <v>1</v>
      </c>
      <c r="V1095" s="7" t="s">
        <v>90</v>
      </c>
      <c r="W1095" s="7"/>
      <c r="X1095" s="7"/>
      <c r="Y1095" s="7" t="s">
        <v>8094</v>
      </c>
      <c r="Z1095" s="7"/>
      <c r="AA1095" s="7"/>
      <c r="AB1095" s="7"/>
      <c r="AC1095" s="7" t="n">
        <v>0</v>
      </c>
      <c r="AD1095" s="7" t="s">
        <v>388</v>
      </c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 t="s">
        <v>1080</v>
      </c>
      <c r="BE1095" s="7" t="s">
        <v>127</v>
      </c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</row>
    <row r="1096" customFormat="false" ht="15" hidden="false" customHeight="false" outlineLevel="0" collapsed="false">
      <c r="A1096" s="7" t="s">
        <v>8095</v>
      </c>
      <c r="B1096" s="7" t="s">
        <v>8096</v>
      </c>
      <c r="C1096" s="7" t="s">
        <v>8097</v>
      </c>
      <c r="D1096" s="7" t="s">
        <v>8098</v>
      </c>
      <c r="E1096" s="7" t="s">
        <v>101</v>
      </c>
      <c r="F1096" s="7" t="s">
        <v>101</v>
      </c>
      <c r="G1096" s="7"/>
      <c r="H1096" s="7" t="s">
        <v>102</v>
      </c>
      <c r="I1096" s="7" t="s">
        <v>132</v>
      </c>
      <c r="J1096" s="7" t="s">
        <v>104</v>
      </c>
      <c r="K1096" s="7" t="s">
        <v>105</v>
      </c>
      <c r="L1096" s="7" t="s">
        <v>2656</v>
      </c>
      <c r="M1096" s="7"/>
      <c r="N1096" s="7" t="s">
        <v>8099</v>
      </c>
      <c r="O1096" s="7"/>
      <c r="P1096" s="7" t="s">
        <v>135</v>
      </c>
      <c r="Q1096" s="7"/>
      <c r="R1096" s="7"/>
      <c r="S1096" s="7"/>
      <c r="T1096" s="7" t="n">
        <v>0.278</v>
      </c>
      <c r="U1096" s="7" t="n">
        <v>1</v>
      </c>
      <c r="V1096" s="7" t="s">
        <v>90</v>
      </c>
      <c r="W1096" s="7"/>
      <c r="X1096" s="7"/>
      <c r="Y1096" s="7" t="s">
        <v>8099</v>
      </c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 t="s">
        <v>127</v>
      </c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</row>
    <row r="1097" customFormat="false" ht="15" hidden="false" customHeight="false" outlineLevel="0" collapsed="false">
      <c r="A1097" s="7" t="s">
        <v>8100</v>
      </c>
      <c r="B1097" s="7" t="s">
        <v>8101</v>
      </c>
      <c r="C1097" s="7" t="s">
        <v>8102</v>
      </c>
      <c r="D1097" s="7" t="s">
        <v>8103</v>
      </c>
      <c r="E1097" s="7" t="s">
        <v>101</v>
      </c>
      <c r="F1097" s="7" t="s">
        <v>101</v>
      </c>
      <c r="G1097" s="7"/>
      <c r="H1097" s="7" t="s">
        <v>102</v>
      </c>
      <c r="I1097" s="7" t="s">
        <v>300</v>
      </c>
      <c r="J1097" s="7" t="s">
        <v>104</v>
      </c>
      <c r="K1097" s="7" t="s">
        <v>105</v>
      </c>
      <c r="L1097" s="7" t="s">
        <v>106</v>
      </c>
      <c r="M1097" s="7"/>
      <c r="N1097" s="7" t="s">
        <v>8104</v>
      </c>
      <c r="O1097" s="7" t="s">
        <v>8104</v>
      </c>
      <c r="P1097" s="7" t="s">
        <v>135</v>
      </c>
      <c r="Q1097" s="7"/>
      <c r="R1097" s="7" t="s">
        <v>109</v>
      </c>
      <c r="S1097" s="7" t="s">
        <v>110</v>
      </c>
      <c r="T1097" s="7" t="n">
        <v>0.372</v>
      </c>
      <c r="U1097" s="7" t="n">
        <v>1</v>
      </c>
      <c r="V1097" s="7" t="s">
        <v>90</v>
      </c>
      <c r="W1097" s="7"/>
      <c r="X1097" s="7" t="s">
        <v>2298</v>
      </c>
      <c r="Y1097" s="7" t="s">
        <v>8104</v>
      </c>
      <c r="Z1097" s="7" t="s">
        <v>3595</v>
      </c>
      <c r="AA1097" s="7"/>
      <c r="AB1097" s="7"/>
      <c r="AC1097" s="7" t="n">
        <v>0</v>
      </c>
      <c r="AD1097" s="7" t="s">
        <v>388</v>
      </c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 t="s">
        <v>127</v>
      </c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</row>
    <row r="1098" customFormat="false" ht="15" hidden="false" customHeight="false" outlineLevel="0" collapsed="false">
      <c r="A1098" s="7" t="s">
        <v>8105</v>
      </c>
      <c r="B1098" s="7" t="s">
        <v>8106</v>
      </c>
      <c r="C1098" s="7" t="s">
        <v>8107</v>
      </c>
      <c r="D1098" s="7" t="s">
        <v>3016</v>
      </c>
      <c r="E1098" s="7" t="s">
        <v>101</v>
      </c>
      <c r="F1098" s="7" t="s">
        <v>101</v>
      </c>
      <c r="G1098" s="7"/>
      <c r="H1098" s="7" t="s">
        <v>102</v>
      </c>
      <c r="I1098" s="7" t="s">
        <v>208</v>
      </c>
      <c r="J1098" s="7" t="s">
        <v>104</v>
      </c>
      <c r="K1098" s="7" t="s">
        <v>105</v>
      </c>
      <c r="L1098" s="7" t="s">
        <v>106</v>
      </c>
      <c r="M1098" s="7"/>
      <c r="N1098" s="7" t="s">
        <v>8108</v>
      </c>
      <c r="O1098" s="7" t="s">
        <v>8108</v>
      </c>
      <c r="P1098" s="7" t="s">
        <v>135</v>
      </c>
      <c r="Q1098" s="7"/>
      <c r="R1098" s="7" t="s">
        <v>109</v>
      </c>
      <c r="S1098" s="7" t="s">
        <v>110</v>
      </c>
      <c r="T1098" s="7" t="n">
        <v>0.586</v>
      </c>
      <c r="U1098" s="7" t="n">
        <v>1</v>
      </c>
      <c r="V1098" s="7" t="s">
        <v>90</v>
      </c>
      <c r="W1098" s="7"/>
      <c r="X1098" s="7" t="s">
        <v>263</v>
      </c>
      <c r="Y1098" s="7"/>
      <c r="Z1098" s="7" t="s">
        <v>768</v>
      </c>
      <c r="AA1098" s="7"/>
      <c r="AB1098" s="7"/>
      <c r="AC1098" s="7" t="n">
        <v>2</v>
      </c>
      <c r="AD1098" s="7" t="s">
        <v>1954</v>
      </c>
      <c r="AE1098" s="7"/>
      <c r="AF1098" s="7"/>
      <c r="AG1098" s="7" t="s">
        <v>1955</v>
      </c>
      <c r="AH1098" s="7" t="s">
        <v>1956</v>
      </c>
      <c r="AI1098" s="7"/>
      <c r="AJ1098" s="7"/>
      <c r="AK1098" s="7"/>
      <c r="AL1098" s="7"/>
      <c r="AM1098" s="7" t="s">
        <v>1955</v>
      </c>
      <c r="AN1098" s="7" t="s">
        <v>1957</v>
      </c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 t="s">
        <v>127</v>
      </c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</row>
    <row r="1099" customFormat="false" ht="15" hidden="false" customHeight="false" outlineLevel="0" collapsed="false">
      <c r="A1099" s="7" t="s">
        <v>8109</v>
      </c>
      <c r="B1099" s="7" t="s">
        <v>8110</v>
      </c>
      <c r="C1099" s="7" t="s">
        <v>8111</v>
      </c>
      <c r="D1099" s="7" t="s">
        <v>8112</v>
      </c>
      <c r="E1099" s="7" t="s">
        <v>101</v>
      </c>
      <c r="F1099" s="7" t="s">
        <v>101</v>
      </c>
      <c r="G1099" s="7"/>
      <c r="H1099" s="7" t="s">
        <v>102</v>
      </c>
      <c r="I1099" s="7" t="s">
        <v>132</v>
      </c>
      <c r="J1099" s="7" t="s">
        <v>104</v>
      </c>
      <c r="K1099" s="7" t="s">
        <v>105</v>
      </c>
      <c r="L1099" s="7" t="s">
        <v>106</v>
      </c>
      <c r="M1099" s="7"/>
      <c r="N1099" s="7" t="s">
        <v>8113</v>
      </c>
      <c r="O1099" s="7" t="s">
        <v>8113</v>
      </c>
      <c r="P1099" s="7" t="s">
        <v>135</v>
      </c>
      <c r="Q1099" s="7"/>
      <c r="R1099" s="7" t="s">
        <v>109</v>
      </c>
      <c r="S1099" s="7" t="s">
        <v>110</v>
      </c>
      <c r="T1099" s="7" t="n">
        <v>0.577</v>
      </c>
      <c r="U1099" s="7" t="n">
        <v>1</v>
      </c>
      <c r="V1099" s="7" t="s">
        <v>90</v>
      </c>
      <c r="W1099" s="7"/>
      <c r="X1099" s="7" t="s">
        <v>8114</v>
      </c>
      <c r="Y1099" s="7"/>
      <c r="Z1099" s="7" t="s">
        <v>8115</v>
      </c>
      <c r="AA1099" s="7"/>
      <c r="AB1099" s="7"/>
      <c r="AC1099" s="7" t="n">
        <v>0</v>
      </c>
      <c r="AD1099" s="7" t="s">
        <v>388</v>
      </c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 t="s">
        <v>127</v>
      </c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</row>
    <row r="1100" customFormat="false" ht="15" hidden="false" customHeight="false" outlineLevel="0" collapsed="false">
      <c r="A1100" s="7" t="s">
        <v>8116</v>
      </c>
      <c r="B1100" s="7" t="s">
        <v>8117</v>
      </c>
      <c r="C1100" s="7" t="s">
        <v>8118</v>
      </c>
      <c r="D1100" s="7" t="s">
        <v>8112</v>
      </c>
      <c r="E1100" s="7" t="s">
        <v>101</v>
      </c>
      <c r="F1100" s="7" t="s">
        <v>101</v>
      </c>
      <c r="G1100" s="7"/>
      <c r="H1100" s="7" t="s">
        <v>102</v>
      </c>
      <c r="I1100" s="7" t="s">
        <v>132</v>
      </c>
      <c r="J1100" s="7" t="s">
        <v>104</v>
      </c>
      <c r="K1100" s="7" t="s">
        <v>105</v>
      </c>
      <c r="L1100" s="7" t="s">
        <v>106</v>
      </c>
      <c r="M1100" s="7"/>
      <c r="N1100" s="7" t="s">
        <v>8119</v>
      </c>
      <c r="O1100" s="7" t="s">
        <v>8119</v>
      </c>
      <c r="P1100" s="7" t="s">
        <v>135</v>
      </c>
      <c r="Q1100" s="7"/>
      <c r="R1100" s="7" t="s">
        <v>109</v>
      </c>
      <c r="S1100" s="7" t="s">
        <v>110</v>
      </c>
      <c r="T1100" s="7" t="n">
        <v>0.323</v>
      </c>
      <c r="U1100" s="7" t="n">
        <v>1</v>
      </c>
      <c r="V1100" s="7" t="s">
        <v>90</v>
      </c>
      <c r="W1100" s="7"/>
      <c r="X1100" s="7" t="s">
        <v>8114</v>
      </c>
      <c r="Y1100" s="7"/>
      <c r="Z1100" s="7" t="s">
        <v>8115</v>
      </c>
      <c r="AA1100" s="7"/>
      <c r="AB1100" s="7"/>
      <c r="AC1100" s="7" t="n">
        <v>0</v>
      </c>
      <c r="AD1100" s="7" t="s">
        <v>388</v>
      </c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 t="s">
        <v>127</v>
      </c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</row>
    <row r="1101" customFormat="false" ht="15" hidden="false" customHeight="false" outlineLevel="0" collapsed="false">
      <c r="A1101" s="7" t="s">
        <v>8120</v>
      </c>
      <c r="B1101" s="7" t="s">
        <v>8121</v>
      </c>
      <c r="C1101" s="7" t="s">
        <v>8122</v>
      </c>
      <c r="D1101" s="7" t="s">
        <v>8123</v>
      </c>
      <c r="E1101" s="7" t="s">
        <v>101</v>
      </c>
      <c r="F1101" s="7" t="s">
        <v>101</v>
      </c>
      <c r="G1101" s="7"/>
      <c r="H1101" s="7" t="s">
        <v>102</v>
      </c>
      <c r="I1101" s="7" t="s">
        <v>1104</v>
      </c>
      <c r="J1101" s="7" t="s">
        <v>104</v>
      </c>
      <c r="K1101" s="7" t="s">
        <v>105</v>
      </c>
      <c r="L1101" s="7" t="s">
        <v>1106</v>
      </c>
      <c r="M1101" s="7"/>
      <c r="N1101" s="7" t="s">
        <v>8124</v>
      </c>
      <c r="O1101" s="7" t="s">
        <v>8124</v>
      </c>
      <c r="P1101" s="7" t="s">
        <v>135</v>
      </c>
      <c r="Q1101" s="7"/>
      <c r="R1101" s="7" t="s">
        <v>109</v>
      </c>
      <c r="S1101" s="7" t="s">
        <v>110</v>
      </c>
      <c r="T1101" s="7" t="n">
        <v>0.758</v>
      </c>
      <c r="U1101" s="7" t="n">
        <v>1</v>
      </c>
      <c r="V1101" s="7" t="s">
        <v>2781</v>
      </c>
      <c r="W1101" s="7"/>
      <c r="X1101" s="7" t="s">
        <v>8125</v>
      </c>
      <c r="Y1101" s="7"/>
      <c r="Z1101" s="7" t="s">
        <v>8126</v>
      </c>
      <c r="AA1101" s="7"/>
      <c r="AB1101" s="7"/>
      <c r="AC1101" s="7" t="n">
        <v>2</v>
      </c>
      <c r="AD1101" s="7" t="s">
        <v>1954</v>
      </c>
      <c r="AE1101" s="7"/>
      <c r="AF1101" s="7"/>
      <c r="AG1101" s="7" t="s">
        <v>1955</v>
      </c>
      <c r="AH1101" s="7" t="s">
        <v>1956</v>
      </c>
      <c r="AI1101" s="7"/>
      <c r="AJ1101" s="7"/>
      <c r="AK1101" s="7"/>
      <c r="AL1101" s="7"/>
      <c r="AM1101" s="7" t="s">
        <v>1955</v>
      </c>
      <c r="AN1101" s="7" t="s">
        <v>1957</v>
      </c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 t="s">
        <v>127</v>
      </c>
      <c r="BF1101" s="8"/>
      <c r="BG1101" s="8"/>
      <c r="BH1101" s="8"/>
      <c r="BI1101" s="8"/>
      <c r="BJ1101" s="8"/>
      <c r="BK1101" s="8"/>
      <c r="BL1101" s="8"/>
      <c r="BM1101" s="8"/>
      <c r="BN1101" s="8"/>
      <c r="BO1101" s="8"/>
      <c r="BP1101" s="8"/>
      <c r="BQ1101" s="8"/>
      <c r="BR1101" s="8"/>
      <c r="BS1101" s="8"/>
    </row>
    <row r="1102" customFormat="false" ht="15" hidden="false" customHeight="false" outlineLevel="0" collapsed="false">
      <c r="A1102" s="7" t="s">
        <v>8127</v>
      </c>
      <c r="B1102" s="7" t="s">
        <v>8128</v>
      </c>
      <c r="C1102" s="7" t="s">
        <v>8129</v>
      </c>
      <c r="D1102" s="7" t="s">
        <v>1904</v>
      </c>
      <c r="E1102" s="7" t="s">
        <v>101</v>
      </c>
      <c r="F1102" s="7" t="s">
        <v>101</v>
      </c>
      <c r="G1102" s="7"/>
      <c r="H1102" s="7" t="s">
        <v>102</v>
      </c>
      <c r="I1102" s="7" t="s">
        <v>132</v>
      </c>
      <c r="J1102" s="7" t="s">
        <v>104</v>
      </c>
      <c r="K1102" s="7" t="s">
        <v>105</v>
      </c>
      <c r="L1102" s="7" t="s">
        <v>106</v>
      </c>
      <c r="M1102" s="7"/>
      <c r="N1102" s="7" t="s">
        <v>8130</v>
      </c>
      <c r="O1102" s="7" t="s">
        <v>8130</v>
      </c>
      <c r="P1102" s="7" t="s">
        <v>135</v>
      </c>
      <c r="Q1102" s="7"/>
      <c r="R1102" s="7" t="s">
        <v>109</v>
      </c>
      <c r="S1102" s="7" t="s">
        <v>110</v>
      </c>
      <c r="T1102" s="7" t="n">
        <v>0.442</v>
      </c>
      <c r="U1102" s="7" t="n">
        <v>1</v>
      </c>
      <c r="V1102" s="7" t="s">
        <v>2781</v>
      </c>
      <c r="W1102" s="7"/>
      <c r="X1102" s="7" t="s">
        <v>1907</v>
      </c>
      <c r="Y1102" s="7"/>
      <c r="Z1102" s="7" t="s">
        <v>1909</v>
      </c>
      <c r="AA1102" s="7"/>
      <c r="AB1102" s="7"/>
      <c r="AC1102" s="7" t="n">
        <v>2</v>
      </c>
      <c r="AD1102" s="7" t="s">
        <v>1954</v>
      </c>
      <c r="AE1102" s="7"/>
      <c r="AF1102" s="7"/>
      <c r="AG1102" s="7" t="s">
        <v>1955</v>
      </c>
      <c r="AH1102" s="7" t="s">
        <v>1956</v>
      </c>
      <c r="AI1102" s="7"/>
      <c r="AJ1102" s="7"/>
      <c r="AK1102" s="7"/>
      <c r="AL1102" s="7"/>
      <c r="AM1102" s="7" t="s">
        <v>1955</v>
      </c>
      <c r="AN1102" s="7" t="s">
        <v>1957</v>
      </c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 t="s">
        <v>127</v>
      </c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</row>
    <row r="1103" customFormat="false" ht="15" hidden="false" customHeight="false" outlineLevel="0" collapsed="false">
      <c r="A1103" s="7" t="s">
        <v>8131</v>
      </c>
      <c r="B1103" s="7" t="s">
        <v>8132</v>
      </c>
      <c r="C1103" s="7" t="s">
        <v>8133</v>
      </c>
      <c r="D1103" s="7" t="s">
        <v>8134</v>
      </c>
      <c r="E1103" s="7" t="s">
        <v>101</v>
      </c>
      <c r="F1103" s="7" t="s">
        <v>101</v>
      </c>
      <c r="G1103" s="7"/>
      <c r="H1103" s="7" t="s">
        <v>102</v>
      </c>
      <c r="I1103" s="7" t="s">
        <v>1104</v>
      </c>
      <c r="J1103" s="7" t="s">
        <v>104</v>
      </c>
      <c r="K1103" s="7" t="s">
        <v>105</v>
      </c>
      <c r="L1103" s="7" t="s">
        <v>1106</v>
      </c>
      <c r="M1103" s="7"/>
      <c r="N1103" s="7" t="s">
        <v>8135</v>
      </c>
      <c r="O1103" s="7" t="s">
        <v>8135</v>
      </c>
      <c r="P1103" s="7" t="s">
        <v>135</v>
      </c>
      <c r="Q1103" s="7"/>
      <c r="R1103" s="7" t="s">
        <v>109</v>
      </c>
      <c r="S1103" s="7" t="s">
        <v>110</v>
      </c>
      <c r="T1103" s="7" t="n">
        <v>0.837</v>
      </c>
      <c r="U1103" s="7" t="n">
        <v>1</v>
      </c>
      <c r="V1103" s="7" t="s">
        <v>3154</v>
      </c>
      <c r="W1103" s="7"/>
      <c r="X1103" s="7" t="s">
        <v>8136</v>
      </c>
      <c r="Y1103" s="7"/>
      <c r="Z1103" s="7" t="s">
        <v>8137</v>
      </c>
      <c r="AA1103" s="7"/>
      <c r="AB1103" s="7"/>
      <c r="AC1103" s="7" t="n">
        <v>2</v>
      </c>
      <c r="AD1103" s="7" t="s">
        <v>1954</v>
      </c>
      <c r="AE1103" s="7"/>
      <c r="AF1103" s="7"/>
      <c r="AG1103" s="7" t="s">
        <v>1955</v>
      </c>
      <c r="AH1103" s="7" t="s">
        <v>1956</v>
      </c>
      <c r="AI1103" s="7"/>
      <c r="AJ1103" s="7"/>
      <c r="AK1103" s="7"/>
      <c r="AL1103" s="7"/>
      <c r="AM1103" s="7" t="s">
        <v>1955</v>
      </c>
      <c r="AN1103" s="7" t="s">
        <v>1957</v>
      </c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 t="s">
        <v>127</v>
      </c>
      <c r="BF1103" s="8"/>
      <c r="BG1103" s="8"/>
      <c r="BH1103" s="8"/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</row>
    <row r="1104" customFormat="false" ht="15" hidden="false" customHeight="false" outlineLevel="0" collapsed="false">
      <c r="A1104" s="7" t="s">
        <v>8138</v>
      </c>
      <c r="B1104" s="7" t="s">
        <v>8139</v>
      </c>
      <c r="C1104" s="7" t="s">
        <v>8140</v>
      </c>
      <c r="D1104" s="7" t="s">
        <v>8123</v>
      </c>
      <c r="E1104" s="7" t="s">
        <v>101</v>
      </c>
      <c r="F1104" s="7" t="s">
        <v>101</v>
      </c>
      <c r="G1104" s="7"/>
      <c r="H1104" s="7" t="s">
        <v>102</v>
      </c>
      <c r="I1104" s="7" t="s">
        <v>1104</v>
      </c>
      <c r="J1104" s="7" t="s">
        <v>104</v>
      </c>
      <c r="K1104" s="7" t="s">
        <v>105</v>
      </c>
      <c r="L1104" s="7" t="s">
        <v>1106</v>
      </c>
      <c r="M1104" s="7"/>
      <c r="N1104" s="7" t="s">
        <v>8141</v>
      </c>
      <c r="O1104" s="7" t="s">
        <v>8141</v>
      </c>
      <c r="P1104" s="7" t="s">
        <v>135</v>
      </c>
      <c r="Q1104" s="7"/>
      <c r="R1104" s="7" t="s">
        <v>109</v>
      </c>
      <c r="S1104" s="7" t="s">
        <v>110</v>
      </c>
      <c r="T1104" s="7" t="n">
        <v>0.514</v>
      </c>
      <c r="U1104" s="7" t="n">
        <v>1</v>
      </c>
      <c r="V1104" s="7" t="s">
        <v>3154</v>
      </c>
      <c r="W1104" s="7"/>
      <c r="X1104" s="7" t="s">
        <v>8142</v>
      </c>
      <c r="Y1104" s="7"/>
      <c r="Z1104" s="7" t="s">
        <v>8143</v>
      </c>
      <c r="AA1104" s="7"/>
      <c r="AB1104" s="7"/>
      <c r="AC1104" s="7" t="n">
        <v>0</v>
      </c>
      <c r="AD1104" s="7" t="s">
        <v>388</v>
      </c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 t="s">
        <v>127</v>
      </c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</row>
    <row r="1105" customFormat="false" ht="15" hidden="false" customHeight="false" outlineLevel="0" collapsed="false">
      <c r="A1105" s="7" t="s">
        <v>8144</v>
      </c>
      <c r="B1105" s="7" t="s">
        <v>8145</v>
      </c>
      <c r="C1105" s="7" t="s">
        <v>8146</v>
      </c>
      <c r="D1105" s="7" t="s">
        <v>8147</v>
      </c>
      <c r="E1105" s="7" t="s">
        <v>101</v>
      </c>
      <c r="F1105" s="7" t="s">
        <v>101</v>
      </c>
      <c r="G1105" s="7"/>
      <c r="H1105" s="7" t="s">
        <v>102</v>
      </c>
      <c r="I1105" s="7" t="s">
        <v>1104</v>
      </c>
      <c r="J1105" s="7" t="s">
        <v>104</v>
      </c>
      <c r="K1105" s="7" t="s">
        <v>105</v>
      </c>
      <c r="L1105" s="7" t="s">
        <v>1106</v>
      </c>
      <c r="M1105" s="7"/>
      <c r="N1105" s="7" t="s">
        <v>8148</v>
      </c>
      <c r="O1105" s="7" t="s">
        <v>8148</v>
      </c>
      <c r="P1105" s="7" t="s">
        <v>135</v>
      </c>
      <c r="Q1105" s="7"/>
      <c r="R1105" s="7" t="s">
        <v>109</v>
      </c>
      <c r="S1105" s="7" t="s">
        <v>110</v>
      </c>
      <c r="T1105" s="7" t="n">
        <v>0.255</v>
      </c>
      <c r="U1105" s="7" t="n">
        <v>1</v>
      </c>
      <c r="V1105" s="7" t="s">
        <v>5345</v>
      </c>
      <c r="W1105" s="7"/>
      <c r="X1105" s="7" t="s">
        <v>8149</v>
      </c>
      <c r="Y1105" s="7"/>
      <c r="Z1105" s="7" t="s">
        <v>8150</v>
      </c>
      <c r="AA1105" s="7"/>
      <c r="AB1105" s="7"/>
      <c r="AC1105" s="7" t="n">
        <v>0</v>
      </c>
      <c r="AD1105" s="7" t="s">
        <v>388</v>
      </c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 t="s">
        <v>127</v>
      </c>
      <c r="BF1105" s="8"/>
      <c r="BG1105" s="8"/>
      <c r="BH1105" s="8"/>
      <c r="BI1105" s="8"/>
      <c r="BJ1105" s="8"/>
      <c r="BK1105" s="8"/>
      <c r="BL1105" s="8"/>
      <c r="BM1105" s="8"/>
      <c r="BN1105" s="8"/>
      <c r="BO1105" s="8"/>
      <c r="BP1105" s="8"/>
      <c r="BQ1105" s="8"/>
      <c r="BR1105" s="8"/>
      <c r="BS1105" s="8"/>
    </row>
    <row r="1106" customFormat="false" ht="15" hidden="false" customHeight="false" outlineLevel="0" collapsed="false">
      <c r="A1106" s="7" t="s">
        <v>8151</v>
      </c>
      <c r="B1106" s="7" t="s">
        <v>8152</v>
      </c>
      <c r="C1106" s="7" t="s">
        <v>8153</v>
      </c>
      <c r="D1106" s="7" t="s">
        <v>8154</v>
      </c>
      <c r="E1106" s="7" t="s">
        <v>101</v>
      </c>
      <c r="F1106" s="7" t="s">
        <v>101</v>
      </c>
      <c r="G1106" s="7"/>
      <c r="H1106" s="7" t="s">
        <v>102</v>
      </c>
      <c r="I1106" s="7" t="s">
        <v>1104</v>
      </c>
      <c r="J1106" s="7" t="s">
        <v>104</v>
      </c>
      <c r="K1106" s="7" t="s">
        <v>105</v>
      </c>
      <c r="L1106" s="7" t="s">
        <v>1106</v>
      </c>
      <c r="M1106" s="7"/>
      <c r="N1106" s="7" t="s">
        <v>8155</v>
      </c>
      <c r="O1106" s="7" t="s">
        <v>8155</v>
      </c>
      <c r="P1106" s="7" t="s">
        <v>135</v>
      </c>
      <c r="Q1106" s="7"/>
      <c r="R1106" s="7" t="s">
        <v>109</v>
      </c>
      <c r="S1106" s="7" t="s">
        <v>110</v>
      </c>
      <c r="T1106" s="7" t="n">
        <v>0.893</v>
      </c>
      <c r="U1106" s="7" t="n">
        <v>1</v>
      </c>
      <c r="V1106" s="7" t="s">
        <v>5345</v>
      </c>
      <c r="W1106" s="7"/>
      <c r="X1106" s="7" t="s">
        <v>8156</v>
      </c>
      <c r="Y1106" s="7"/>
      <c r="Z1106" s="7" t="s">
        <v>8157</v>
      </c>
      <c r="AA1106" s="7"/>
      <c r="AB1106" s="7"/>
      <c r="AC1106" s="7" t="n">
        <v>2</v>
      </c>
      <c r="AD1106" s="7" t="s">
        <v>1954</v>
      </c>
      <c r="AE1106" s="7"/>
      <c r="AF1106" s="7"/>
      <c r="AG1106" s="7" t="s">
        <v>1955</v>
      </c>
      <c r="AH1106" s="7" t="s">
        <v>1956</v>
      </c>
      <c r="AI1106" s="7"/>
      <c r="AJ1106" s="7"/>
      <c r="AK1106" s="7"/>
      <c r="AL1106" s="7"/>
      <c r="AM1106" s="7" t="s">
        <v>1955</v>
      </c>
      <c r="AN1106" s="7" t="s">
        <v>1957</v>
      </c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 t="s">
        <v>127</v>
      </c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8"/>
      <c r="BS1106" s="8"/>
    </row>
    <row r="1107" customFormat="false" ht="15" hidden="false" customHeight="false" outlineLevel="0" collapsed="false">
      <c r="A1107" s="7" t="s">
        <v>8158</v>
      </c>
      <c r="B1107" s="7" t="s">
        <v>8159</v>
      </c>
      <c r="C1107" s="7" t="s">
        <v>8160</v>
      </c>
      <c r="D1107" s="7"/>
      <c r="E1107" s="7" t="s">
        <v>101</v>
      </c>
      <c r="F1107" s="7" t="s">
        <v>101</v>
      </c>
      <c r="G1107" s="7"/>
      <c r="H1107" s="7" t="s">
        <v>102</v>
      </c>
      <c r="I1107" s="7" t="s">
        <v>300</v>
      </c>
      <c r="J1107" s="7" t="s">
        <v>104</v>
      </c>
      <c r="K1107" s="7" t="s">
        <v>105</v>
      </c>
      <c r="L1107" s="7" t="s">
        <v>106</v>
      </c>
      <c r="M1107" s="7"/>
      <c r="N1107" s="7" t="s">
        <v>8161</v>
      </c>
      <c r="O1107" s="7" t="s">
        <v>8161</v>
      </c>
      <c r="P1107" s="7" t="s">
        <v>135</v>
      </c>
      <c r="Q1107" s="7"/>
      <c r="R1107" s="7" t="s">
        <v>109</v>
      </c>
      <c r="S1107" s="7" t="s">
        <v>110</v>
      </c>
      <c r="T1107" s="7" t="n">
        <v>0.259</v>
      </c>
      <c r="U1107" s="7" t="n">
        <v>1</v>
      </c>
      <c r="V1107" s="7" t="s">
        <v>90</v>
      </c>
      <c r="W1107" s="7"/>
      <c r="X1107" s="7"/>
      <c r="Y1107" s="7" t="s">
        <v>8161</v>
      </c>
      <c r="Z1107" s="7"/>
      <c r="AA1107" s="7"/>
      <c r="AB1107" s="7"/>
      <c r="AC1107" s="7" t="n">
        <v>0</v>
      </c>
      <c r="AD1107" s="7" t="s">
        <v>388</v>
      </c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 t="s">
        <v>127</v>
      </c>
      <c r="BF1107" s="8"/>
      <c r="BG1107" s="8"/>
      <c r="BH1107" s="8"/>
      <c r="BI1107" s="8"/>
      <c r="BJ1107" s="8"/>
      <c r="BK1107" s="8"/>
      <c r="BL1107" s="8"/>
      <c r="BM1107" s="8"/>
      <c r="BN1107" s="8"/>
      <c r="BO1107" s="8"/>
      <c r="BP1107" s="8"/>
      <c r="BQ1107" s="8"/>
      <c r="BR1107" s="8"/>
      <c r="BS1107" s="8"/>
    </row>
    <row r="1108" customFormat="false" ht="15" hidden="false" customHeight="false" outlineLevel="0" collapsed="false">
      <c r="A1108" s="7" t="s">
        <v>8162</v>
      </c>
      <c r="B1108" s="7" t="s">
        <v>8163</v>
      </c>
      <c r="C1108" s="7" t="s">
        <v>8164</v>
      </c>
      <c r="D1108" s="7" t="s">
        <v>7746</v>
      </c>
      <c r="E1108" s="7" t="s">
        <v>101</v>
      </c>
      <c r="F1108" s="7" t="s">
        <v>101</v>
      </c>
      <c r="G1108" s="7"/>
      <c r="H1108" s="7" t="s">
        <v>102</v>
      </c>
      <c r="I1108" s="7" t="s">
        <v>132</v>
      </c>
      <c r="J1108" s="7" t="s">
        <v>104</v>
      </c>
      <c r="K1108" s="7" t="s">
        <v>105</v>
      </c>
      <c r="L1108" s="7" t="s">
        <v>2656</v>
      </c>
      <c r="M1108" s="7"/>
      <c r="N1108" s="7" t="s">
        <v>8165</v>
      </c>
      <c r="O1108" s="7"/>
      <c r="P1108" s="7" t="s">
        <v>135</v>
      </c>
      <c r="Q1108" s="7"/>
      <c r="R1108" s="7" t="s">
        <v>135</v>
      </c>
      <c r="S1108" s="7" t="s">
        <v>136</v>
      </c>
      <c r="T1108" s="7" t="n">
        <v>0.269</v>
      </c>
      <c r="U1108" s="7" t="n">
        <v>1</v>
      </c>
      <c r="V1108" s="7" t="s">
        <v>90</v>
      </c>
      <c r="W1108" s="7"/>
      <c r="X1108" s="7"/>
      <c r="Y1108" s="7" t="s">
        <v>8165</v>
      </c>
      <c r="Z1108" s="7"/>
      <c r="AA1108" s="7"/>
      <c r="AB1108" s="7"/>
      <c r="AC1108" s="7" t="n">
        <v>0</v>
      </c>
      <c r="AD1108" s="7" t="s">
        <v>388</v>
      </c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 t="s">
        <v>127</v>
      </c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</row>
    <row r="1109" customFormat="false" ht="15" hidden="false" customHeight="false" outlineLevel="0" collapsed="false">
      <c r="A1109" s="7" t="s">
        <v>8166</v>
      </c>
      <c r="B1109" s="7" t="s">
        <v>8167</v>
      </c>
      <c r="C1109" s="7" t="s">
        <v>8168</v>
      </c>
      <c r="D1109" s="7"/>
      <c r="E1109" s="7" t="s">
        <v>101</v>
      </c>
      <c r="F1109" s="7" t="s">
        <v>101</v>
      </c>
      <c r="G1109" s="7"/>
      <c r="H1109" s="7" t="s">
        <v>102</v>
      </c>
      <c r="I1109" s="7" t="s">
        <v>1726</v>
      </c>
      <c r="J1109" s="7" t="s">
        <v>104</v>
      </c>
      <c r="K1109" s="7" t="s">
        <v>105</v>
      </c>
      <c r="L1109" s="7" t="s">
        <v>1447</v>
      </c>
      <c r="M1109" s="7"/>
      <c r="N1109" s="7" t="s">
        <v>8169</v>
      </c>
      <c r="O1109" s="7" t="s">
        <v>8169</v>
      </c>
      <c r="P1109" s="7" t="s">
        <v>135</v>
      </c>
      <c r="Q1109" s="7"/>
      <c r="R1109" s="7" t="s">
        <v>109</v>
      </c>
      <c r="S1109" s="7" t="s">
        <v>110</v>
      </c>
      <c r="T1109" s="7" t="n">
        <v>0.322</v>
      </c>
      <c r="U1109" s="7" t="n">
        <v>1</v>
      </c>
      <c r="V1109" s="7" t="s">
        <v>90</v>
      </c>
      <c r="W1109" s="7"/>
      <c r="X1109" s="7"/>
      <c r="Y1109" s="7" t="s">
        <v>8169</v>
      </c>
      <c r="Z1109" s="7"/>
      <c r="AA1109" s="7"/>
      <c r="AB1109" s="7"/>
      <c r="AC1109" s="7" t="n">
        <v>0</v>
      </c>
      <c r="AD1109" s="7" t="s">
        <v>388</v>
      </c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 t="s">
        <v>127</v>
      </c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</row>
    <row r="1110" customFormat="false" ht="15" hidden="false" customHeight="false" outlineLevel="0" collapsed="false">
      <c r="A1110" s="7" t="s">
        <v>8170</v>
      </c>
      <c r="B1110" s="7" t="s">
        <v>8171</v>
      </c>
      <c r="C1110" s="7" t="s">
        <v>8172</v>
      </c>
      <c r="D1110" s="7"/>
      <c r="E1110" s="7" t="s">
        <v>101</v>
      </c>
      <c r="F1110" s="7" t="s">
        <v>101</v>
      </c>
      <c r="G1110" s="7"/>
      <c r="H1110" s="7" t="s">
        <v>102</v>
      </c>
      <c r="I1110" s="7" t="s">
        <v>132</v>
      </c>
      <c r="J1110" s="7" t="s">
        <v>104</v>
      </c>
      <c r="K1110" s="7" t="s">
        <v>105</v>
      </c>
      <c r="L1110" s="7" t="s">
        <v>106</v>
      </c>
      <c r="M1110" s="7"/>
      <c r="N1110" s="7" t="s">
        <v>8173</v>
      </c>
      <c r="O1110" s="7" t="s">
        <v>8173</v>
      </c>
      <c r="P1110" s="7" t="s">
        <v>135</v>
      </c>
      <c r="Q1110" s="7"/>
      <c r="R1110" s="7" t="s">
        <v>109</v>
      </c>
      <c r="S1110" s="7" t="s">
        <v>110</v>
      </c>
      <c r="T1110" s="7" t="n">
        <v>0.371</v>
      </c>
      <c r="U1110" s="7" t="n">
        <v>1</v>
      </c>
      <c r="V1110" s="7" t="s">
        <v>90</v>
      </c>
      <c r="W1110" s="7"/>
      <c r="X1110" s="7"/>
      <c r="Y1110" s="7" t="s">
        <v>8173</v>
      </c>
      <c r="Z1110" s="7"/>
      <c r="AA1110" s="7"/>
      <c r="AB1110" s="7"/>
      <c r="AC1110" s="7" t="n">
        <v>0</v>
      </c>
      <c r="AD1110" s="7" t="s">
        <v>388</v>
      </c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 t="s">
        <v>127</v>
      </c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</row>
    <row r="1111" customFormat="false" ht="15" hidden="false" customHeight="false" outlineLevel="0" collapsed="false">
      <c r="A1111" s="7" t="s">
        <v>8174</v>
      </c>
      <c r="B1111" s="7" t="s">
        <v>8175</v>
      </c>
      <c r="C1111" s="7" t="s">
        <v>8176</v>
      </c>
      <c r="D1111" s="7" t="s">
        <v>654</v>
      </c>
      <c r="E1111" s="7" t="s">
        <v>101</v>
      </c>
      <c r="F1111" s="7" t="s">
        <v>82</v>
      </c>
      <c r="G1111" s="7" t="s">
        <v>83</v>
      </c>
      <c r="H1111" s="7" t="s">
        <v>102</v>
      </c>
      <c r="I1111" s="7" t="s">
        <v>132</v>
      </c>
      <c r="J1111" s="7" t="s">
        <v>104</v>
      </c>
      <c r="K1111" s="7" t="s">
        <v>105</v>
      </c>
      <c r="L1111" s="7" t="s">
        <v>106</v>
      </c>
      <c r="M1111" s="7"/>
      <c r="N1111" s="7" t="s">
        <v>1835</v>
      </c>
      <c r="O1111" s="7" t="s">
        <v>1835</v>
      </c>
      <c r="P1111" s="7" t="s">
        <v>135</v>
      </c>
      <c r="Q1111" s="7"/>
      <c r="R1111" s="7" t="s">
        <v>109</v>
      </c>
      <c r="S1111" s="7" t="s">
        <v>110</v>
      </c>
      <c r="T1111" s="7" t="n">
        <v>0.4</v>
      </c>
      <c r="U1111" s="7" t="n">
        <v>1</v>
      </c>
      <c r="V1111" s="7" t="s">
        <v>90</v>
      </c>
      <c r="W1111" s="7"/>
      <c r="X1111" s="7"/>
      <c r="Y1111" s="7" t="s">
        <v>1835</v>
      </c>
      <c r="Z1111" s="7"/>
      <c r="AA1111" s="7"/>
      <c r="AB1111" s="7"/>
      <c r="AC1111" s="7" t="n">
        <v>7</v>
      </c>
      <c r="AD1111" s="7" t="s">
        <v>1538</v>
      </c>
      <c r="AE1111" s="7" t="s">
        <v>1812</v>
      </c>
      <c r="AF1111" s="7" t="s">
        <v>8177</v>
      </c>
      <c r="AG1111" s="7"/>
      <c r="AH1111" s="7"/>
      <c r="AI1111" s="7"/>
      <c r="AJ1111" s="7"/>
      <c r="AK1111" s="7"/>
      <c r="AL1111" s="7"/>
      <c r="AM1111" s="7"/>
      <c r="AN1111" s="7"/>
      <c r="AO1111" s="7" t="s">
        <v>1812</v>
      </c>
      <c r="AP1111" s="7" t="s">
        <v>654</v>
      </c>
      <c r="AQ1111" s="7" t="s">
        <v>1812</v>
      </c>
      <c r="AR1111" s="7" t="s">
        <v>82</v>
      </c>
      <c r="AS1111" s="7" t="s">
        <v>1812</v>
      </c>
      <c r="AT1111" s="7" t="s">
        <v>216</v>
      </c>
      <c r="AU1111" s="7" t="s">
        <v>1812</v>
      </c>
      <c r="AV1111" s="7" t="s">
        <v>1837</v>
      </c>
      <c r="AW1111" s="7" t="s">
        <v>1812</v>
      </c>
      <c r="AX1111" s="7" t="s">
        <v>294</v>
      </c>
      <c r="AY1111" s="7" t="s">
        <v>1812</v>
      </c>
      <c r="AZ1111" s="7" t="s">
        <v>666</v>
      </c>
      <c r="BA1111" s="7"/>
      <c r="BB1111" s="7"/>
      <c r="BC1111" s="7"/>
      <c r="BD1111" s="7" t="s">
        <v>220</v>
      </c>
      <c r="BE1111" s="7" t="s">
        <v>127</v>
      </c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</row>
    <row r="1112" customFormat="false" ht="15" hidden="false" customHeight="false" outlineLevel="0" collapsed="false">
      <c r="A1112" s="7" t="s">
        <v>8178</v>
      </c>
      <c r="B1112" s="7" t="s">
        <v>8179</v>
      </c>
      <c r="C1112" s="7" t="s">
        <v>8180</v>
      </c>
      <c r="D1112" s="7" t="s">
        <v>654</v>
      </c>
      <c r="E1112" s="7" t="s">
        <v>101</v>
      </c>
      <c r="F1112" s="7" t="s">
        <v>82</v>
      </c>
      <c r="G1112" s="7" t="s">
        <v>83</v>
      </c>
      <c r="H1112" s="7" t="s">
        <v>102</v>
      </c>
      <c r="I1112" s="7" t="s">
        <v>132</v>
      </c>
      <c r="J1112" s="7" t="s">
        <v>104</v>
      </c>
      <c r="K1112" s="7" t="s">
        <v>105</v>
      </c>
      <c r="L1112" s="7" t="s">
        <v>106</v>
      </c>
      <c r="M1112" s="7"/>
      <c r="N1112" s="7" t="s">
        <v>8181</v>
      </c>
      <c r="O1112" s="7" t="s">
        <v>8181</v>
      </c>
      <c r="P1112" s="7" t="s">
        <v>135</v>
      </c>
      <c r="Q1112" s="7"/>
      <c r="R1112" s="7" t="s">
        <v>109</v>
      </c>
      <c r="S1112" s="7" t="s">
        <v>110</v>
      </c>
      <c r="T1112" s="7" t="n">
        <v>0.191</v>
      </c>
      <c r="U1112" s="7" t="n">
        <v>1</v>
      </c>
      <c r="V1112" s="7" t="s">
        <v>90</v>
      </c>
      <c r="W1112" s="7"/>
      <c r="X1112" s="7"/>
      <c r="Y1112" s="7" t="s">
        <v>8181</v>
      </c>
      <c r="Z1112" s="7"/>
      <c r="AA1112" s="7"/>
      <c r="AB1112" s="7"/>
      <c r="AC1112" s="7" t="n">
        <v>5</v>
      </c>
      <c r="AD1112" s="7" t="s">
        <v>2505</v>
      </c>
      <c r="AE1112" s="7" t="s">
        <v>1812</v>
      </c>
      <c r="AF1112" s="7" t="s">
        <v>8182</v>
      </c>
      <c r="AG1112" s="7"/>
      <c r="AH1112" s="7"/>
      <c r="AI1112" s="7"/>
      <c r="AJ1112" s="7"/>
      <c r="AK1112" s="7"/>
      <c r="AL1112" s="7"/>
      <c r="AM1112" s="7"/>
      <c r="AN1112" s="7"/>
      <c r="AO1112" s="7" t="s">
        <v>1812</v>
      </c>
      <c r="AP1112" s="7" t="s">
        <v>654</v>
      </c>
      <c r="AQ1112" s="7" t="s">
        <v>1812</v>
      </c>
      <c r="AR1112" s="7" t="s">
        <v>82</v>
      </c>
      <c r="AS1112" s="7" t="s">
        <v>1812</v>
      </c>
      <c r="AT1112" s="7" t="s">
        <v>216</v>
      </c>
      <c r="AU1112" s="7"/>
      <c r="AV1112" s="7"/>
      <c r="AW1112" s="7" t="s">
        <v>1812</v>
      </c>
      <c r="AX1112" s="7" t="s">
        <v>294</v>
      </c>
      <c r="AY1112" s="7"/>
      <c r="AZ1112" s="7"/>
      <c r="BA1112" s="7"/>
      <c r="BB1112" s="7"/>
      <c r="BC1112" s="7"/>
      <c r="BD1112" s="7" t="s">
        <v>220</v>
      </c>
      <c r="BE1112" s="7" t="s">
        <v>127</v>
      </c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</row>
    <row r="1113" customFormat="false" ht="15" hidden="false" customHeight="false" outlineLevel="0" collapsed="false">
      <c r="A1113" s="7" t="s">
        <v>8183</v>
      </c>
      <c r="B1113" s="7" t="s">
        <v>8184</v>
      </c>
      <c r="C1113" s="7" t="s">
        <v>8185</v>
      </c>
      <c r="D1113" s="7" t="s">
        <v>8186</v>
      </c>
      <c r="E1113" s="7" t="s">
        <v>101</v>
      </c>
      <c r="F1113" s="7" t="s">
        <v>101</v>
      </c>
      <c r="G1113" s="7"/>
      <c r="H1113" s="7" t="s">
        <v>102</v>
      </c>
      <c r="I1113" s="7" t="s">
        <v>132</v>
      </c>
      <c r="J1113" s="7" t="s">
        <v>104</v>
      </c>
      <c r="K1113" s="7" t="s">
        <v>105</v>
      </c>
      <c r="L1113" s="7" t="s">
        <v>106</v>
      </c>
      <c r="M1113" s="7"/>
      <c r="N1113" s="7" t="s">
        <v>8187</v>
      </c>
      <c r="O1113" s="7"/>
      <c r="P1113" s="7" t="s">
        <v>135</v>
      </c>
      <c r="Q1113" s="7"/>
      <c r="R1113" s="7" t="s">
        <v>135</v>
      </c>
      <c r="S1113" s="7" t="s">
        <v>136</v>
      </c>
      <c r="T1113" s="7" t="n">
        <v>0.52</v>
      </c>
      <c r="U1113" s="7" t="n">
        <v>1</v>
      </c>
      <c r="V1113" s="7" t="s">
        <v>90</v>
      </c>
      <c r="W1113" s="7"/>
      <c r="X1113" s="7"/>
      <c r="Y1113" s="7" t="s">
        <v>8187</v>
      </c>
      <c r="Z1113" s="7"/>
      <c r="AA1113" s="7"/>
      <c r="AB1113" s="7"/>
      <c r="AC1113" s="7" t="n">
        <v>0</v>
      </c>
      <c r="AD1113" s="7" t="s">
        <v>388</v>
      </c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 t="s">
        <v>127</v>
      </c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</row>
    <row r="1114" customFormat="false" ht="15" hidden="false" customHeight="false" outlineLevel="0" collapsed="false">
      <c r="A1114" s="7" t="s">
        <v>8188</v>
      </c>
      <c r="B1114" s="7" t="s">
        <v>8189</v>
      </c>
      <c r="C1114" s="7" t="s">
        <v>8190</v>
      </c>
      <c r="D1114" s="7" t="s">
        <v>8191</v>
      </c>
      <c r="E1114" s="7" t="s">
        <v>101</v>
      </c>
      <c r="F1114" s="7" t="s">
        <v>101</v>
      </c>
      <c r="G1114" s="7"/>
      <c r="H1114" s="7" t="s">
        <v>102</v>
      </c>
      <c r="I1114" s="7" t="s">
        <v>158</v>
      </c>
      <c r="J1114" s="7" t="s">
        <v>104</v>
      </c>
      <c r="K1114" s="7" t="s">
        <v>105</v>
      </c>
      <c r="L1114" s="7" t="s">
        <v>106</v>
      </c>
      <c r="M1114" s="7"/>
      <c r="N1114" s="7" t="s">
        <v>8192</v>
      </c>
      <c r="O1114" s="7" t="s">
        <v>8192</v>
      </c>
      <c r="P1114" s="7" t="s">
        <v>135</v>
      </c>
      <c r="Q1114" s="7"/>
      <c r="R1114" s="7" t="s">
        <v>109</v>
      </c>
      <c r="S1114" s="7" t="s">
        <v>110</v>
      </c>
      <c r="T1114" s="7" t="n">
        <v>0.446</v>
      </c>
      <c r="U1114" s="7" t="n">
        <v>1</v>
      </c>
      <c r="V1114" s="7" t="s">
        <v>2781</v>
      </c>
      <c r="W1114" s="7"/>
      <c r="X1114" s="7" t="s">
        <v>8193</v>
      </c>
      <c r="Y1114" s="7"/>
      <c r="Z1114" s="7" t="s">
        <v>8194</v>
      </c>
      <c r="AA1114" s="7"/>
      <c r="AB1114" s="7"/>
      <c r="AC1114" s="7" t="n">
        <v>2</v>
      </c>
      <c r="AD1114" s="7" t="s">
        <v>1954</v>
      </c>
      <c r="AE1114" s="7"/>
      <c r="AF1114" s="7"/>
      <c r="AG1114" s="7" t="s">
        <v>1955</v>
      </c>
      <c r="AH1114" s="7" t="s">
        <v>1956</v>
      </c>
      <c r="AI1114" s="7"/>
      <c r="AJ1114" s="7"/>
      <c r="AK1114" s="7"/>
      <c r="AL1114" s="7"/>
      <c r="AM1114" s="7" t="s">
        <v>1955</v>
      </c>
      <c r="AN1114" s="7" t="s">
        <v>1957</v>
      </c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 t="s">
        <v>127</v>
      </c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</row>
    <row r="1115" customFormat="false" ht="15" hidden="false" customHeight="false" outlineLevel="0" collapsed="false">
      <c r="A1115" s="7" t="s">
        <v>8195</v>
      </c>
      <c r="B1115" s="7" t="s">
        <v>8196</v>
      </c>
      <c r="C1115" s="7" t="s">
        <v>8197</v>
      </c>
      <c r="D1115" s="7" t="s">
        <v>8198</v>
      </c>
      <c r="E1115" s="7" t="s">
        <v>101</v>
      </c>
      <c r="F1115" s="7" t="s">
        <v>101</v>
      </c>
      <c r="G1115" s="7"/>
      <c r="H1115" s="7" t="s">
        <v>102</v>
      </c>
      <c r="I1115" s="7" t="s">
        <v>1140</v>
      </c>
      <c r="J1115" s="7" t="s">
        <v>104</v>
      </c>
      <c r="K1115" s="7" t="s">
        <v>105</v>
      </c>
      <c r="L1115" s="7" t="s">
        <v>106</v>
      </c>
      <c r="M1115" s="7"/>
      <c r="N1115" s="7" t="s">
        <v>8199</v>
      </c>
      <c r="O1115" s="7" t="s">
        <v>8199</v>
      </c>
      <c r="P1115" s="7" t="s">
        <v>135</v>
      </c>
      <c r="Q1115" s="7"/>
      <c r="R1115" s="7" t="s">
        <v>109</v>
      </c>
      <c r="S1115" s="7" t="s">
        <v>110</v>
      </c>
      <c r="T1115" s="7" t="n">
        <v>0.299</v>
      </c>
      <c r="U1115" s="7" t="n">
        <v>1</v>
      </c>
      <c r="V1115" s="7" t="s">
        <v>2781</v>
      </c>
      <c r="W1115" s="7"/>
      <c r="X1115" s="7" t="s">
        <v>8200</v>
      </c>
      <c r="Y1115" s="7"/>
      <c r="Z1115" s="7" t="s">
        <v>8201</v>
      </c>
      <c r="AA1115" s="7"/>
      <c r="AB1115" s="7"/>
      <c r="AC1115" s="7" t="n">
        <v>2</v>
      </c>
      <c r="AD1115" s="7" t="s">
        <v>1954</v>
      </c>
      <c r="AE1115" s="7"/>
      <c r="AF1115" s="7"/>
      <c r="AG1115" s="7" t="s">
        <v>1955</v>
      </c>
      <c r="AH1115" s="7" t="s">
        <v>1956</v>
      </c>
      <c r="AI1115" s="7"/>
      <c r="AJ1115" s="7"/>
      <c r="AK1115" s="7"/>
      <c r="AL1115" s="7"/>
      <c r="AM1115" s="7" t="s">
        <v>1955</v>
      </c>
      <c r="AN1115" s="7" t="s">
        <v>1957</v>
      </c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 t="s">
        <v>127</v>
      </c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</row>
    <row r="1116" customFormat="false" ht="15" hidden="false" customHeight="false" outlineLevel="0" collapsed="false">
      <c r="A1116" s="7" t="s">
        <v>8202</v>
      </c>
      <c r="B1116" s="7" t="s">
        <v>8203</v>
      </c>
      <c r="C1116" s="7" t="s">
        <v>8204</v>
      </c>
      <c r="D1116" s="7" t="s">
        <v>4912</v>
      </c>
      <c r="E1116" s="7" t="s">
        <v>101</v>
      </c>
      <c r="F1116" s="7" t="s">
        <v>101</v>
      </c>
      <c r="G1116" s="7"/>
      <c r="H1116" s="7" t="s">
        <v>102</v>
      </c>
      <c r="I1116" s="7" t="s">
        <v>1104</v>
      </c>
      <c r="J1116" s="7" t="s">
        <v>104</v>
      </c>
      <c r="K1116" s="7" t="s">
        <v>105</v>
      </c>
      <c r="L1116" s="7" t="s">
        <v>1106</v>
      </c>
      <c r="M1116" s="7"/>
      <c r="N1116" s="7" t="s">
        <v>8205</v>
      </c>
      <c r="O1116" s="7" t="s">
        <v>8205</v>
      </c>
      <c r="P1116" s="7" t="s">
        <v>135</v>
      </c>
      <c r="Q1116" s="7"/>
      <c r="R1116" s="7" t="s">
        <v>109</v>
      </c>
      <c r="S1116" s="7" t="s">
        <v>110</v>
      </c>
      <c r="T1116" s="7" t="n">
        <v>0.662</v>
      </c>
      <c r="U1116" s="7" t="n">
        <v>1</v>
      </c>
      <c r="V1116" s="7" t="s">
        <v>2781</v>
      </c>
      <c r="W1116" s="7"/>
      <c r="X1116" s="7" t="s">
        <v>8206</v>
      </c>
      <c r="Y1116" s="7"/>
      <c r="Z1116" s="7" t="s">
        <v>8207</v>
      </c>
      <c r="AA1116" s="7"/>
      <c r="AB1116" s="7"/>
      <c r="AC1116" s="7" t="n">
        <v>2</v>
      </c>
      <c r="AD1116" s="7" t="s">
        <v>1954</v>
      </c>
      <c r="AE1116" s="7"/>
      <c r="AF1116" s="7"/>
      <c r="AG1116" s="7" t="s">
        <v>1955</v>
      </c>
      <c r="AH1116" s="7" t="s">
        <v>1956</v>
      </c>
      <c r="AI1116" s="7"/>
      <c r="AJ1116" s="7"/>
      <c r="AK1116" s="7"/>
      <c r="AL1116" s="7"/>
      <c r="AM1116" s="7" t="s">
        <v>1955</v>
      </c>
      <c r="AN1116" s="7" t="s">
        <v>1957</v>
      </c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 t="s">
        <v>127</v>
      </c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</row>
    <row r="1117" customFormat="false" ht="15" hidden="false" customHeight="false" outlineLevel="0" collapsed="false">
      <c r="A1117" s="7" t="s">
        <v>8208</v>
      </c>
      <c r="B1117" s="7" t="s">
        <v>8209</v>
      </c>
      <c r="C1117" s="7" t="s">
        <v>8210</v>
      </c>
      <c r="D1117" s="7" t="s">
        <v>8211</v>
      </c>
      <c r="E1117" s="7" t="s">
        <v>101</v>
      </c>
      <c r="F1117" s="7" t="s">
        <v>101</v>
      </c>
      <c r="G1117" s="7"/>
      <c r="H1117" s="7" t="s">
        <v>102</v>
      </c>
      <c r="I1117" s="7" t="s">
        <v>103</v>
      </c>
      <c r="J1117" s="7" t="s">
        <v>104</v>
      </c>
      <c r="K1117" s="7" t="s">
        <v>105</v>
      </c>
      <c r="L1117" s="7" t="s">
        <v>106</v>
      </c>
      <c r="M1117" s="7"/>
      <c r="N1117" s="7" t="s">
        <v>8212</v>
      </c>
      <c r="O1117" s="7" t="s">
        <v>8212</v>
      </c>
      <c r="P1117" s="7" t="s">
        <v>135</v>
      </c>
      <c r="Q1117" s="7"/>
      <c r="R1117" s="7" t="s">
        <v>109</v>
      </c>
      <c r="S1117" s="7" t="s">
        <v>110</v>
      </c>
      <c r="T1117" s="7" t="n">
        <v>0.262</v>
      </c>
      <c r="U1117" s="7" t="n">
        <v>1</v>
      </c>
      <c r="V1117" s="7" t="s">
        <v>2842</v>
      </c>
      <c r="W1117" s="7"/>
      <c r="X1117" s="7" t="s">
        <v>8213</v>
      </c>
      <c r="Y1117" s="7"/>
      <c r="Z1117" s="7" t="s">
        <v>8214</v>
      </c>
      <c r="AA1117" s="7"/>
      <c r="AB1117" s="7"/>
      <c r="AC1117" s="7" t="n">
        <v>2</v>
      </c>
      <c r="AD1117" s="7" t="s">
        <v>1954</v>
      </c>
      <c r="AE1117" s="7"/>
      <c r="AF1117" s="7"/>
      <c r="AG1117" s="7" t="s">
        <v>1955</v>
      </c>
      <c r="AH1117" s="7" t="s">
        <v>1956</v>
      </c>
      <c r="AI1117" s="7"/>
      <c r="AJ1117" s="7"/>
      <c r="AK1117" s="7"/>
      <c r="AL1117" s="7"/>
      <c r="AM1117" s="7" t="s">
        <v>1955</v>
      </c>
      <c r="AN1117" s="7" t="s">
        <v>1957</v>
      </c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 t="s">
        <v>127</v>
      </c>
      <c r="BF1117" s="8"/>
      <c r="BG1117" s="8"/>
      <c r="BH1117" s="8"/>
      <c r="BI1117" s="8"/>
      <c r="BJ1117" s="8"/>
      <c r="BK1117" s="8"/>
      <c r="BL1117" s="8"/>
      <c r="BM1117" s="8"/>
      <c r="BN1117" s="8"/>
      <c r="BO1117" s="8"/>
      <c r="BP1117" s="8"/>
      <c r="BQ1117" s="8"/>
      <c r="BR1117" s="8"/>
      <c r="BS1117" s="8"/>
    </row>
    <row r="1118" customFormat="false" ht="15" hidden="false" customHeight="false" outlineLevel="0" collapsed="false">
      <c r="A1118" s="7" t="s">
        <v>8215</v>
      </c>
      <c r="B1118" s="7" t="s">
        <v>8216</v>
      </c>
      <c r="C1118" s="7" t="s">
        <v>8217</v>
      </c>
      <c r="D1118" s="7" t="s">
        <v>8218</v>
      </c>
      <c r="E1118" s="7" t="s">
        <v>410</v>
      </c>
      <c r="F1118" s="7" t="s">
        <v>410</v>
      </c>
      <c r="G1118" s="7"/>
      <c r="H1118" s="7" t="s">
        <v>207</v>
      </c>
      <c r="I1118" s="7" t="s">
        <v>158</v>
      </c>
      <c r="J1118" s="7" t="s">
        <v>475</v>
      </c>
      <c r="K1118" s="7" t="s">
        <v>476</v>
      </c>
      <c r="L1118" s="7" t="s">
        <v>353</v>
      </c>
      <c r="M1118" s="7"/>
      <c r="N1118" s="7" t="s">
        <v>8219</v>
      </c>
      <c r="O1118" s="7" t="s">
        <v>8219</v>
      </c>
      <c r="P1118" s="7" t="s">
        <v>84</v>
      </c>
      <c r="Q1118" s="7"/>
      <c r="R1118" s="7" t="s">
        <v>109</v>
      </c>
      <c r="S1118" s="7" t="s">
        <v>110</v>
      </c>
      <c r="T1118" s="7" t="n">
        <v>0.655</v>
      </c>
      <c r="U1118" s="7" t="n">
        <v>1</v>
      </c>
      <c r="V1118" s="7" t="s">
        <v>86</v>
      </c>
      <c r="W1118" s="7" t="s">
        <v>2126</v>
      </c>
      <c r="X1118" s="7"/>
      <c r="Y1118" s="7" t="s">
        <v>8220</v>
      </c>
      <c r="Z1118" s="7" t="s">
        <v>8221</v>
      </c>
      <c r="AA1118" s="7"/>
      <c r="AB1118" s="7"/>
      <c r="AC1118" s="7" t="n">
        <v>0</v>
      </c>
      <c r="AD1118" s="7" t="s">
        <v>388</v>
      </c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 t="s">
        <v>1861</v>
      </c>
      <c r="BE1118" s="7" t="s">
        <v>609</v>
      </c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</row>
    <row r="1119" customFormat="false" ht="15" hidden="false" customHeight="false" outlineLevel="0" collapsed="false">
      <c r="A1119" s="7" t="s">
        <v>8222</v>
      </c>
      <c r="B1119" s="7" t="s">
        <v>8223</v>
      </c>
      <c r="C1119" s="7" t="s">
        <v>8224</v>
      </c>
      <c r="D1119" s="7" t="s">
        <v>8225</v>
      </c>
      <c r="E1119" s="7" t="s">
        <v>410</v>
      </c>
      <c r="F1119" s="7" t="s">
        <v>410</v>
      </c>
      <c r="G1119" s="7"/>
      <c r="H1119" s="7" t="s">
        <v>207</v>
      </c>
      <c r="I1119" s="7" t="s">
        <v>158</v>
      </c>
      <c r="J1119" s="7" t="s">
        <v>475</v>
      </c>
      <c r="K1119" s="7" t="s">
        <v>476</v>
      </c>
      <c r="L1119" s="7" t="s">
        <v>353</v>
      </c>
      <c r="M1119" s="7"/>
      <c r="N1119" s="7" t="s">
        <v>8226</v>
      </c>
      <c r="O1119" s="7" t="s">
        <v>8226</v>
      </c>
      <c r="P1119" s="7" t="s">
        <v>84</v>
      </c>
      <c r="Q1119" s="7"/>
      <c r="R1119" s="7" t="s">
        <v>109</v>
      </c>
      <c r="S1119" s="7" t="s">
        <v>110</v>
      </c>
      <c r="T1119" s="7" t="n">
        <v>0.663</v>
      </c>
      <c r="U1119" s="7" t="n">
        <v>1</v>
      </c>
      <c r="V1119" s="7" t="s">
        <v>86</v>
      </c>
      <c r="W1119" s="7" t="s">
        <v>8227</v>
      </c>
      <c r="X1119" s="7" t="s">
        <v>8228</v>
      </c>
      <c r="Y1119" s="7" t="s">
        <v>8229</v>
      </c>
      <c r="Z1119" s="7" t="s">
        <v>8230</v>
      </c>
      <c r="AA1119" s="7"/>
      <c r="AB1119" s="7"/>
      <c r="AC1119" s="7" t="n">
        <v>0</v>
      </c>
      <c r="AD1119" s="7" t="s">
        <v>388</v>
      </c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 t="s">
        <v>1861</v>
      </c>
      <c r="BE1119" s="7" t="s">
        <v>609</v>
      </c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</row>
    <row r="1120" customFormat="false" ht="15" hidden="false" customHeight="false" outlineLevel="0" collapsed="false">
      <c r="A1120" s="7" t="s">
        <v>8231</v>
      </c>
      <c r="B1120" s="7" t="s">
        <v>8232</v>
      </c>
      <c r="C1120" s="7" t="s">
        <v>8233</v>
      </c>
      <c r="D1120" s="7" t="s">
        <v>8234</v>
      </c>
      <c r="E1120" s="7" t="s">
        <v>410</v>
      </c>
      <c r="F1120" s="7" t="s">
        <v>410</v>
      </c>
      <c r="G1120" s="7" t="s">
        <v>8235</v>
      </c>
      <c r="H1120" s="7" t="s">
        <v>207</v>
      </c>
      <c r="I1120" s="7" t="s">
        <v>158</v>
      </c>
      <c r="J1120" s="7" t="s">
        <v>475</v>
      </c>
      <c r="K1120" s="7" t="s">
        <v>476</v>
      </c>
      <c r="L1120" s="7" t="s">
        <v>353</v>
      </c>
      <c r="M1120" s="7"/>
      <c r="N1120" s="7" t="s">
        <v>8236</v>
      </c>
      <c r="O1120" s="7" t="s">
        <v>8236</v>
      </c>
      <c r="P1120" s="7" t="s">
        <v>84</v>
      </c>
      <c r="Q1120" s="7"/>
      <c r="R1120" s="7" t="s">
        <v>109</v>
      </c>
      <c r="S1120" s="7" t="s">
        <v>110</v>
      </c>
      <c r="T1120" s="7" t="n">
        <v>0.416</v>
      </c>
      <c r="U1120" s="7" t="n">
        <v>1</v>
      </c>
      <c r="V1120" s="7" t="s">
        <v>86</v>
      </c>
      <c r="W1120" s="7" t="s">
        <v>8237</v>
      </c>
      <c r="X1120" s="7" t="s">
        <v>8228</v>
      </c>
      <c r="Y1120" s="7" t="s">
        <v>8238</v>
      </c>
      <c r="Z1120" s="7" t="s">
        <v>8239</v>
      </c>
      <c r="AA1120" s="7"/>
      <c r="AB1120" s="7"/>
      <c r="AC1120" s="7" t="n">
        <v>0</v>
      </c>
      <c r="AD1120" s="7" t="s">
        <v>388</v>
      </c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 t="s">
        <v>1861</v>
      </c>
      <c r="BE1120" s="7" t="s">
        <v>609</v>
      </c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</row>
    <row r="1121" customFormat="false" ht="15" hidden="false" customHeight="false" outlineLevel="0" collapsed="false">
      <c r="A1121" s="7" t="s">
        <v>8240</v>
      </c>
      <c r="B1121" s="7" t="s">
        <v>8241</v>
      </c>
      <c r="C1121" s="7" t="s">
        <v>8242</v>
      </c>
      <c r="D1121" s="7" t="s">
        <v>8243</v>
      </c>
      <c r="E1121" s="7" t="s">
        <v>410</v>
      </c>
      <c r="F1121" s="7" t="s">
        <v>410</v>
      </c>
      <c r="G1121" s="7" t="s">
        <v>8244</v>
      </c>
      <c r="H1121" s="7" t="s">
        <v>207</v>
      </c>
      <c r="I1121" s="7" t="s">
        <v>158</v>
      </c>
      <c r="J1121" s="7" t="s">
        <v>475</v>
      </c>
      <c r="K1121" s="7" t="s">
        <v>476</v>
      </c>
      <c r="L1121" s="7" t="s">
        <v>353</v>
      </c>
      <c r="M1121" s="7"/>
      <c r="N1121" s="7" t="s">
        <v>8245</v>
      </c>
      <c r="O1121" s="7" t="s">
        <v>8245</v>
      </c>
      <c r="P1121" s="7" t="s">
        <v>84</v>
      </c>
      <c r="Q1121" s="7"/>
      <c r="R1121" s="7" t="s">
        <v>109</v>
      </c>
      <c r="S1121" s="7" t="s">
        <v>110</v>
      </c>
      <c r="T1121" s="7" t="n">
        <v>0.415</v>
      </c>
      <c r="U1121" s="7" t="n">
        <v>1</v>
      </c>
      <c r="V1121" s="7" t="s">
        <v>86</v>
      </c>
      <c r="W1121" s="7" t="s">
        <v>8246</v>
      </c>
      <c r="X1121" s="7" t="s">
        <v>3789</v>
      </c>
      <c r="Y1121" s="7" t="s">
        <v>8247</v>
      </c>
      <c r="Z1121" s="7" t="s">
        <v>8248</v>
      </c>
      <c r="AA1121" s="7"/>
      <c r="AB1121" s="7"/>
      <c r="AC1121" s="7" t="n">
        <v>0</v>
      </c>
      <c r="AD1121" s="7" t="s">
        <v>388</v>
      </c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 t="s">
        <v>1861</v>
      </c>
      <c r="BE1121" s="7" t="s">
        <v>609</v>
      </c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</row>
    <row r="1122" customFormat="false" ht="15" hidden="false" customHeight="false" outlineLevel="0" collapsed="false">
      <c r="A1122" s="7" t="s">
        <v>8249</v>
      </c>
      <c r="B1122" s="7" t="s">
        <v>8250</v>
      </c>
      <c r="C1122" s="7" t="s">
        <v>8251</v>
      </c>
      <c r="D1122" s="7" t="s">
        <v>8252</v>
      </c>
      <c r="E1122" s="7" t="s">
        <v>410</v>
      </c>
      <c r="F1122" s="7" t="s">
        <v>410</v>
      </c>
      <c r="G1122" s="7" t="s">
        <v>8253</v>
      </c>
      <c r="H1122" s="7" t="s">
        <v>207</v>
      </c>
      <c r="I1122" s="7" t="s">
        <v>158</v>
      </c>
      <c r="J1122" s="7" t="s">
        <v>475</v>
      </c>
      <c r="K1122" s="7" t="s">
        <v>476</v>
      </c>
      <c r="L1122" s="7" t="s">
        <v>353</v>
      </c>
      <c r="M1122" s="7"/>
      <c r="N1122" s="7" t="s">
        <v>8254</v>
      </c>
      <c r="O1122" s="7"/>
      <c r="P1122" s="7" t="s">
        <v>84</v>
      </c>
      <c r="Q1122" s="7"/>
      <c r="R1122" s="7"/>
      <c r="S1122" s="7"/>
      <c r="T1122" s="7" t="n">
        <v>0.698</v>
      </c>
      <c r="U1122" s="7" t="n">
        <v>1</v>
      </c>
      <c r="V1122" s="7" t="s">
        <v>86</v>
      </c>
      <c r="W1122" s="7" t="s">
        <v>2642</v>
      </c>
      <c r="X1122" s="7" t="s">
        <v>8255</v>
      </c>
      <c r="Y1122" s="7" t="s">
        <v>8256</v>
      </c>
      <c r="Z1122" s="7" t="s">
        <v>8257</v>
      </c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 t="s">
        <v>1861</v>
      </c>
      <c r="BE1122" s="7" t="s">
        <v>609</v>
      </c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</row>
    <row r="1123" customFormat="false" ht="15" hidden="false" customHeight="false" outlineLevel="0" collapsed="false">
      <c r="A1123" s="7" t="s">
        <v>8258</v>
      </c>
      <c r="B1123" s="7" t="s">
        <v>8259</v>
      </c>
      <c r="C1123" s="7" t="s">
        <v>8260</v>
      </c>
      <c r="D1123" s="7" t="s">
        <v>8261</v>
      </c>
      <c r="E1123" s="7" t="s">
        <v>101</v>
      </c>
      <c r="F1123" s="7" t="s">
        <v>101</v>
      </c>
      <c r="G1123" s="7"/>
      <c r="H1123" s="7" t="s">
        <v>102</v>
      </c>
      <c r="I1123" s="7" t="s">
        <v>208</v>
      </c>
      <c r="J1123" s="7" t="s">
        <v>104</v>
      </c>
      <c r="K1123" s="7" t="s">
        <v>105</v>
      </c>
      <c r="L1123" s="7" t="s">
        <v>106</v>
      </c>
      <c r="M1123" s="7"/>
      <c r="N1123" s="7" t="s">
        <v>8262</v>
      </c>
      <c r="O1123" s="7" t="s">
        <v>8262</v>
      </c>
      <c r="P1123" s="7" t="s">
        <v>135</v>
      </c>
      <c r="Q1123" s="7"/>
      <c r="R1123" s="7" t="s">
        <v>109</v>
      </c>
      <c r="S1123" s="7" t="s">
        <v>110</v>
      </c>
      <c r="T1123" s="7" t="n">
        <v>0.523</v>
      </c>
      <c r="U1123" s="7" t="n">
        <v>1</v>
      </c>
      <c r="V1123" s="7" t="s">
        <v>90</v>
      </c>
      <c r="W1123" s="7"/>
      <c r="X1123" s="7"/>
      <c r="Y1123" s="7" t="s">
        <v>8262</v>
      </c>
      <c r="Z1123" s="7"/>
      <c r="AA1123" s="7"/>
      <c r="AB1123" s="7"/>
      <c r="AC1123" s="7" t="n">
        <v>0</v>
      </c>
      <c r="AD1123" s="7" t="s">
        <v>388</v>
      </c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 t="s">
        <v>127</v>
      </c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</row>
    <row r="1124" customFormat="false" ht="15" hidden="false" customHeight="false" outlineLevel="0" collapsed="false">
      <c r="A1124" s="7" t="s">
        <v>8263</v>
      </c>
      <c r="B1124" s="7" t="s">
        <v>8264</v>
      </c>
      <c r="C1124" s="7" t="s">
        <v>8265</v>
      </c>
      <c r="D1124" s="7" t="s">
        <v>8266</v>
      </c>
      <c r="E1124" s="7" t="s">
        <v>101</v>
      </c>
      <c r="F1124" s="7" t="s">
        <v>101</v>
      </c>
      <c r="G1124" s="7"/>
      <c r="H1124" s="7" t="s">
        <v>102</v>
      </c>
      <c r="I1124" s="7" t="s">
        <v>158</v>
      </c>
      <c r="J1124" s="7" t="s">
        <v>104</v>
      </c>
      <c r="K1124" s="7" t="s">
        <v>105</v>
      </c>
      <c r="L1124" s="7" t="s">
        <v>106</v>
      </c>
      <c r="M1124" s="7"/>
      <c r="N1124" s="7" t="s">
        <v>8267</v>
      </c>
      <c r="O1124" s="7" t="s">
        <v>8267</v>
      </c>
      <c r="P1124" s="7" t="s">
        <v>135</v>
      </c>
      <c r="Q1124" s="7"/>
      <c r="R1124" s="7" t="s">
        <v>109</v>
      </c>
      <c r="S1124" s="7" t="s">
        <v>110</v>
      </c>
      <c r="T1124" s="7" t="n">
        <v>0.812</v>
      </c>
      <c r="U1124" s="7" t="n">
        <v>1</v>
      </c>
      <c r="V1124" s="7" t="s">
        <v>90</v>
      </c>
      <c r="W1124" s="7"/>
      <c r="X1124" s="7"/>
      <c r="Y1124" s="7" t="s">
        <v>8267</v>
      </c>
      <c r="Z1124" s="7"/>
      <c r="AA1124" s="7"/>
      <c r="AB1124" s="7"/>
      <c r="AC1124" s="7" t="n">
        <v>0</v>
      </c>
      <c r="AD1124" s="7" t="s">
        <v>388</v>
      </c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 t="s">
        <v>127</v>
      </c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8"/>
      <c r="BS1124" s="8"/>
    </row>
    <row r="1125" customFormat="false" ht="15" hidden="false" customHeight="false" outlineLevel="0" collapsed="false">
      <c r="A1125" s="7" t="s">
        <v>8268</v>
      </c>
      <c r="B1125" s="7" t="s">
        <v>8269</v>
      </c>
      <c r="C1125" s="7" t="s">
        <v>8270</v>
      </c>
      <c r="D1125" s="7" t="s">
        <v>8271</v>
      </c>
      <c r="E1125" s="7" t="s">
        <v>101</v>
      </c>
      <c r="F1125" s="7" t="s">
        <v>101</v>
      </c>
      <c r="G1125" s="7"/>
      <c r="H1125" s="7" t="s">
        <v>102</v>
      </c>
      <c r="I1125" s="7" t="s">
        <v>374</v>
      </c>
      <c r="J1125" s="7" t="s">
        <v>104</v>
      </c>
      <c r="K1125" s="7" t="s">
        <v>105</v>
      </c>
      <c r="L1125" s="7" t="s">
        <v>106</v>
      </c>
      <c r="M1125" s="7"/>
      <c r="N1125" s="7" t="s">
        <v>8272</v>
      </c>
      <c r="O1125" s="7"/>
      <c r="P1125" s="7" t="s">
        <v>135</v>
      </c>
      <c r="Q1125" s="7"/>
      <c r="R1125" s="7" t="s">
        <v>135</v>
      </c>
      <c r="S1125" s="7" t="s">
        <v>136</v>
      </c>
      <c r="T1125" s="7" t="n">
        <v>0.621</v>
      </c>
      <c r="U1125" s="7" t="n">
        <v>1</v>
      </c>
      <c r="V1125" s="7" t="s">
        <v>90</v>
      </c>
      <c r="W1125" s="7"/>
      <c r="X1125" s="7"/>
      <c r="Y1125" s="7" t="s">
        <v>8272</v>
      </c>
      <c r="Z1125" s="7"/>
      <c r="AA1125" s="7"/>
      <c r="AB1125" s="7"/>
      <c r="AC1125" s="7" t="n">
        <v>2</v>
      </c>
      <c r="AD1125" s="7" t="s">
        <v>1954</v>
      </c>
      <c r="AE1125" s="7"/>
      <c r="AF1125" s="7"/>
      <c r="AG1125" s="7" t="s">
        <v>779</v>
      </c>
      <c r="AH1125" s="7" t="s">
        <v>1956</v>
      </c>
      <c r="AI1125" s="7"/>
      <c r="AJ1125" s="7"/>
      <c r="AK1125" s="7"/>
      <c r="AL1125" s="7"/>
      <c r="AM1125" s="7" t="s">
        <v>779</v>
      </c>
      <c r="AN1125" s="7" t="s">
        <v>1957</v>
      </c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 t="s">
        <v>127</v>
      </c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</row>
    <row r="1126" customFormat="false" ht="15" hidden="false" customHeight="false" outlineLevel="0" collapsed="false">
      <c r="A1126" s="7" t="s">
        <v>8273</v>
      </c>
      <c r="B1126" s="7" t="s">
        <v>8274</v>
      </c>
      <c r="C1126" s="7" t="s">
        <v>3528</v>
      </c>
      <c r="D1126" s="7" t="s">
        <v>2492</v>
      </c>
      <c r="E1126" s="7" t="s">
        <v>101</v>
      </c>
      <c r="F1126" s="7" t="s">
        <v>82</v>
      </c>
      <c r="G1126" s="7" t="s">
        <v>83</v>
      </c>
      <c r="H1126" s="7" t="s">
        <v>102</v>
      </c>
      <c r="I1126" s="7" t="s">
        <v>158</v>
      </c>
      <c r="J1126" s="7" t="s">
        <v>104</v>
      </c>
      <c r="K1126" s="7" t="s">
        <v>105</v>
      </c>
      <c r="L1126" s="7" t="s">
        <v>106</v>
      </c>
      <c r="M1126" s="7"/>
      <c r="N1126" s="7" t="s">
        <v>2493</v>
      </c>
      <c r="O1126" s="7" t="s">
        <v>2493</v>
      </c>
      <c r="P1126" s="7" t="s">
        <v>135</v>
      </c>
      <c r="Q1126" s="7"/>
      <c r="R1126" s="7" t="s">
        <v>109</v>
      </c>
      <c r="S1126" s="7" t="s">
        <v>110</v>
      </c>
      <c r="T1126" s="7" t="n">
        <v>0.422</v>
      </c>
      <c r="U1126" s="7" t="n">
        <v>1</v>
      </c>
      <c r="V1126" s="7" t="s">
        <v>90</v>
      </c>
      <c r="W1126" s="7"/>
      <c r="X1126" s="7"/>
      <c r="Y1126" s="7" t="s">
        <v>2493</v>
      </c>
      <c r="Z1126" s="7"/>
      <c r="AA1126" s="7"/>
      <c r="AB1126" s="7"/>
      <c r="AC1126" s="7" t="n">
        <v>8</v>
      </c>
      <c r="AD1126" s="7" t="s">
        <v>541</v>
      </c>
      <c r="AE1126" s="7" t="s">
        <v>2103</v>
      </c>
      <c r="AF1126" s="7" t="s">
        <v>2494</v>
      </c>
      <c r="AG1126" s="7"/>
      <c r="AH1126" s="7"/>
      <c r="AI1126" s="7"/>
      <c r="AJ1126" s="7"/>
      <c r="AK1126" s="7"/>
      <c r="AL1126" s="7"/>
      <c r="AM1126" s="7"/>
      <c r="AN1126" s="7"/>
      <c r="AO1126" s="7" t="s">
        <v>2103</v>
      </c>
      <c r="AP1126" s="7" t="s">
        <v>2495</v>
      </c>
      <c r="AQ1126" s="7" t="s">
        <v>2103</v>
      </c>
      <c r="AR1126" s="7" t="s">
        <v>82</v>
      </c>
      <c r="AS1126" s="7" t="s">
        <v>2103</v>
      </c>
      <c r="AT1126" s="7" t="s">
        <v>216</v>
      </c>
      <c r="AU1126" s="7" t="s">
        <v>2103</v>
      </c>
      <c r="AV1126" s="7" t="s">
        <v>314</v>
      </c>
      <c r="AW1126" s="7" t="s">
        <v>2103</v>
      </c>
      <c r="AX1126" s="7" t="s">
        <v>273</v>
      </c>
      <c r="AY1126" s="7" t="s">
        <v>2103</v>
      </c>
      <c r="AZ1126" s="7" t="s">
        <v>124</v>
      </c>
      <c r="BA1126" s="7" t="s">
        <v>2103</v>
      </c>
      <c r="BB1126" s="7" t="s">
        <v>369</v>
      </c>
      <c r="BC1126" s="7"/>
      <c r="BD1126" s="7"/>
      <c r="BE1126" s="7" t="s">
        <v>127</v>
      </c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</row>
    <row r="1127" customFormat="false" ht="15" hidden="false" customHeight="false" outlineLevel="0" collapsed="false">
      <c r="A1127" s="7" t="s">
        <v>8275</v>
      </c>
      <c r="B1127" s="7" t="s">
        <v>8276</v>
      </c>
      <c r="C1127" s="7" t="s">
        <v>8277</v>
      </c>
      <c r="D1127" s="7" t="s">
        <v>676</v>
      </c>
      <c r="E1127" s="7" t="s">
        <v>677</v>
      </c>
      <c r="F1127" s="7" t="s">
        <v>677</v>
      </c>
      <c r="G1127" s="7"/>
      <c r="H1127" s="7" t="s">
        <v>207</v>
      </c>
      <c r="I1127" s="7" t="s">
        <v>374</v>
      </c>
      <c r="J1127" s="7" t="s">
        <v>104</v>
      </c>
      <c r="K1127" s="7" t="s">
        <v>105</v>
      </c>
      <c r="L1127" s="7" t="s">
        <v>106</v>
      </c>
      <c r="M1127" s="7"/>
      <c r="N1127" s="7" t="s">
        <v>8278</v>
      </c>
      <c r="O1127" s="7" t="s">
        <v>8278</v>
      </c>
      <c r="P1127" s="7" t="s">
        <v>109</v>
      </c>
      <c r="Q1127" s="7"/>
      <c r="R1127" s="7" t="s">
        <v>109</v>
      </c>
      <c r="S1127" s="7" t="s">
        <v>110</v>
      </c>
      <c r="T1127" s="7" t="n">
        <v>0.413</v>
      </c>
      <c r="U1127" s="7" t="n">
        <v>1</v>
      </c>
      <c r="V1127" s="7" t="s">
        <v>86</v>
      </c>
      <c r="W1127" s="7"/>
      <c r="X1127" s="7"/>
      <c r="Y1127" s="7" t="s">
        <v>8278</v>
      </c>
      <c r="Z1127" s="7"/>
      <c r="AA1127" s="7"/>
      <c r="AB1127" s="7"/>
      <c r="AC1127" s="7" t="n">
        <v>0</v>
      </c>
      <c r="AD1127" s="7" t="s">
        <v>388</v>
      </c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 t="s">
        <v>127</v>
      </c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</row>
    <row r="1128" customFormat="false" ht="15" hidden="false" customHeight="false" outlineLevel="0" collapsed="false">
      <c r="A1128" s="7" t="s">
        <v>8279</v>
      </c>
      <c r="B1128" s="7" t="s">
        <v>8280</v>
      </c>
      <c r="C1128" s="7" t="s">
        <v>8281</v>
      </c>
      <c r="D1128" s="7" t="s">
        <v>8282</v>
      </c>
      <c r="E1128" s="7" t="s">
        <v>444</v>
      </c>
      <c r="F1128" s="7" t="s">
        <v>444</v>
      </c>
      <c r="G1128" s="7"/>
      <c r="H1128" s="7" t="s">
        <v>207</v>
      </c>
      <c r="I1128" s="7" t="s">
        <v>208</v>
      </c>
      <c r="J1128" s="7" t="s">
        <v>104</v>
      </c>
      <c r="K1128" s="7" t="s">
        <v>105</v>
      </c>
      <c r="L1128" s="7" t="s">
        <v>106</v>
      </c>
      <c r="M1128" s="7"/>
      <c r="N1128" s="7" t="s">
        <v>8283</v>
      </c>
      <c r="O1128" s="7" t="s">
        <v>8283</v>
      </c>
      <c r="P1128" s="7" t="s">
        <v>109</v>
      </c>
      <c r="Q1128" s="7"/>
      <c r="R1128" s="7" t="s">
        <v>109</v>
      </c>
      <c r="S1128" s="7" t="s">
        <v>110</v>
      </c>
      <c r="T1128" s="7" t="n">
        <v>0.535</v>
      </c>
      <c r="U1128" s="7" t="n">
        <v>1</v>
      </c>
      <c r="V1128" s="7" t="s">
        <v>86</v>
      </c>
      <c r="W1128" s="7"/>
      <c r="X1128" s="7"/>
      <c r="Y1128" s="7" t="s">
        <v>8284</v>
      </c>
      <c r="Z1128" s="7"/>
      <c r="AA1128" s="7"/>
      <c r="AB1128" s="7"/>
      <c r="AC1128" s="7" t="n">
        <v>0</v>
      </c>
      <c r="AD1128" s="7" t="s">
        <v>388</v>
      </c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 t="s">
        <v>127</v>
      </c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</row>
    <row r="1129" customFormat="false" ht="15" hidden="false" customHeight="false" outlineLevel="0" collapsed="false">
      <c r="A1129" s="7" t="s">
        <v>8285</v>
      </c>
      <c r="B1129" s="7" t="s">
        <v>8286</v>
      </c>
      <c r="C1129" s="7" t="s">
        <v>8287</v>
      </c>
      <c r="D1129" s="7" t="s">
        <v>2028</v>
      </c>
      <c r="E1129" s="7" t="s">
        <v>82</v>
      </c>
      <c r="F1129" s="7" t="s">
        <v>82</v>
      </c>
      <c r="G1129" s="7"/>
      <c r="H1129" s="7"/>
      <c r="I1129" s="7" t="s">
        <v>158</v>
      </c>
      <c r="J1129" s="7" t="s">
        <v>104</v>
      </c>
      <c r="K1129" s="7" t="s">
        <v>105</v>
      </c>
      <c r="L1129" s="7" t="s">
        <v>2470</v>
      </c>
      <c r="M1129" s="7"/>
      <c r="N1129" s="7" t="s">
        <v>8288</v>
      </c>
      <c r="O1129" s="7" t="s">
        <v>8288</v>
      </c>
      <c r="P1129" s="7" t="s">
        <v>109</v>
      </c>
      <c r="Q1129" s="7"/>
      <c r="R1129" s="7" t="s">
        <v>109</v>
      </c>
      <c r="S1129" s="7" t="s">
        <v>110</v>
      </c>
      <c r="T1129" s="7" t="n">
        <v>0.403</v>
      </c>
      <c r="U1129" s="7" t="n">
        <v>1</v>
      </c>
      <c r="V1129" s="7"/>
      <c r="W1129" s="7"/>
      <c r="X1129" s="7"/>
      <c r="Y1129" s="7" t="s">
        <v>8288</v>
      </c>
      <c r="Z1129" s="7"/>
      <c r="AA1129" s="7"/>
      <c r="AB1129" s="7"/>
      <c r="AC1129" s="7" t="n">
        <v>4</v>
      </c>
      <c r="AD1129" s="7" t="s">
        <v>1376</v>
      </c>
      <c r="AE1129" s="7" t="s">
        <v>2032</v>
      </c>
      <c r="AF1129" s="7" t="s">
        <v>8287</v>
      </c>
      <c r="AG1129" s="7"/>
      <c r="AH1129" s="7"/>
      <c r="AI1129" s="7"/>
      <c r="AJ1129" s="7"/>
      <c r="AK1129" s="7"/>
      <c r="AL1129" s="7"/>
      <c r="AM1129" s="7"/>
      <c r="AN1129" s="7"/>
      <c r="AO1129" s="7" t="s">
        <v>2032</v>
      </c>
      <c r="AP1129" s="7" t="s">
        <v>2028</v>
      </c>
      <c r="AQ1129" s="7" t="s">
        <v>2032</v>
      </c>
      <c r="AR1129" s="7" t="s">
        <v>82</v>
      </c>
      <c r="AS1129" s="7"/>
      <c r="AT1129" s="7"/>
      <c r="AU1129" s="7"/>
      <c r="AV1129" s="7"/>
      <c r="AW1129" s="7" t="s">
        <v>2032</v>
      </c>
      <c r="AX1129" s="7" t="s">
        <v>8288</v>
      </c>
      <c r="AY1129" s="7"/>
      <c r="AZ1129" s="7"/>
      <c r="BA1129" s="7"/>
      <c r="BB1129" s="7"/>
      <c r="BC1129" s="7"/>
      <c r="BD1129" s="7" t="s">
        <v>220</v>
      </c>
      <c r="BE1129" s="7" t="s">
        <v>127</v>
      </c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</row>
    <row r="1130" customFormat="false" ht="15" hidden="false" customHeight="false" outlineLevel="0" collapsed="false">
      <c r="A1130" s="7" t="s">
        <v>8289</v>
      </c>
      <c r="B1130" s="7" t="s">
        <v>8290</v>
      </c>
      <c r="C1130" s="7" t="s">
        <v>8291</v>
      </c>
      <c r="D1130" s="7" t="s">
        <v>4866</v>
      </c>
      <c r="E1130" s="7" t="s">
        <v>101</v>
      </c>
      <c r="F1130" s="7" t="s">
        <v>101</v>
      </c>
      <c r="G1130" s="7"/>
      <c r="H1130" s="7" t="s">
        <v>102</v>
      </c>
      <c r="I1130" s="7" t="s">
        <v>158</v>
      </c>
      <c r="J1130" s="7" t="s">
        <v>104</v>
      </c>
      <c r="K1130" s="7" t="s">
        <v>105</v>
      </c>
      <c r="L1130" s="7" t="s">
        <v>353</v>
      </c>
      <c r="M1130" s="7"/>
      <c r="N1130" s="7" t="s">
        <v>4867</v>
      </c>
      <c r="O1130" s="7"/>
      <c r="P1130" s="7" t="s">
        <v>135</v>
      </c>
      <c r="Q1130" s="7"/>
      <c r="R1130" s="7"/>
      <c r="S1130" s="7"/>
      <c r="T1130" s="7" t="n">
        <v>0.313</v>
      </c>
      <c r="U1130" s="7" t="n">
        <v>1</v>
      </c>
      <c r="V1130" s="7" t="s">
        <v>90</v>
      </c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 t="s">
        <v>619</v>
      </c>
      <c r="AH1130" s="7" t="s">
        <v>1956</v>
      </c>
      <c r="AI1130" s="7"/>
      <c r="AJ1130" s="7"/>
      <c r="AK1130" s="7"/>
      <c r="AL1130" s="7"/>
      <c r="AM1130" s="7" t="s">
        <v>619</v>
      </c>
      <c r="AN1130" s="7" t="s">
        <v>1957</v>
      </c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 t="s">
        <v>127</v>
      </c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</row>
    <row r="1131" customFormat="false" ht="15" hidden="false" customHeight="false" outlineLevel="0" collapsed="false">
      <c r="A1131" s="7" t="s">
        <v>8292</v>
      </c>
      <c r="B1131" s="7" t="s">
        <v>8293</v>
      </c>
      <c r="C1131" s="7" t="s">
        <v>8294</v>
      </c>
      <c r="D1131" s="7" t="s">
        <v>409</v>
      </c>
      <c r="E1131" s="7" t="s">
        <v>101</v>
      </c>
      <c r="F1131" s="7" t="s">
        <v>101</v>
      </c>
      <c r="G1131" s="7"/>
      <c r="H1131" s="7" t="s">
        <v>102</v>
      </c>
      <c r="I1131" s="7" t="s">
        <v>158</v>
      </c>
      <c r="J1131" s="7" t="s">
        <v>104</v>
      </c>
      <c r="K1131" s="7" t="s">
        <v>105</v>
      </c>
      <c r="L1131" s="7" t="s">
        <v>353</v>
      </c>
      <c r="M1131" s="7"/>
      <c r="N1131" s="7" t="s">
        <v>5033</v>
      </c>
      <c r="O1131" s="7" t="s">
        <v>5033</v>
      </c>
      <c r="P1131" s="7" t="s">
        <v>135</v>
      </c>
      <c r="Q1131" s="7"/>
      <c r="R1131" s="7" t="s">
        <v>109</v>
      </c>
      <c r="S1131" s="7" t="s">
        <v>110</v>
      </c>
      <c r="T1131" s="7" t="n">
        <v>0.392</v>
      </c>
      <c r="U1131" s="7" t="n">
        <v>1</v>
      </c>
      <c r="V1131" s="7" t="s">
        <v>90</v>
      </c>
      <c r="W1131" s="7"/>
      <c r="X1131" s="7"/>
      <c r="Y1131" s="7"/>
      <c r="Z1131" s="7"/>
      <c r="AA1131" s="7"/>
      <c r="AB1131" s="7"/>
      <c r="AC1131" s="7" t="n">
        <v>2</v>
      </c>
      <c r="AD1131" s="7" t="s">
        <v>1954</v>
      </c>
      <c r="AE1131" s="7"/>
      <c r="AF1131" s="7"/>
      <c r="AG1131" s="7" t="s">
        <v>619</v>
      </c>
      <c r="AH1131" s="7" t="s">
        <v>1956</v>
      </c>
      <c r="AI1131" s="7"/>
      <c r="AJ1131" s="7"/>
      <c r="AK1131" s="7"/>
      <c r="AL1131" s="7"/>
      <c r="AM1131" s="7" t="s">
        <v>619</v>
      </c>
      <c r="AN1131" s="7" t="s">
        <v>1957</v>
      </c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 t="s">
        <v>127</v>
      </c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</row>
    <row r="1132" customFormat="false" ht="15" hidden="false" customHeight="false" outlineLevel="0" collapsed="false">
      <c r="A1132" s="7" t="s">
        <v>8295</v>
      </c>
      <c r="B1132" s="7" t="s">
        <v>8296</v>
      </c>
      <c r="C1132" s="7" t="s">
        <v>8297</v>
      </c>
      <c r="D1132" s="7" t="s">
        <v>4937</v>
      </c>
      <c r="E1132" s="7" t="s">
        <v>101</v>
      </c>
      <c r="F1132" s="7" t="s">
        <v>101</v>
      </c>
      <c r="G1132" s="7"/>
      <c r="H1132" s="7" t="s">
        <v>102</v>
      </c>
      <c r="I1132" s="7" t="s">
        <v>158</v>
      </c>
      <c r="J1132" s="7" t="s">
        <v>104</v>
      </c>
      <c r="K1132" s="7" t="s">
        <v>105</v>
      </c>
      <c r="L1132" s="7" t="s">
        <v>353</v>
      </c>
      <c r="M1132" s="7"/>
      <c r="N1132" s="7" t="s">
        <v>4938</v>
      </c>
      <c r="O1132" s="7" t="s">
        <v>4938</v>
      </c>
      <c r="P1132" s="7" t="s">
        <v>135</v>
      </c>
      <c r="Q1132" s="7"/>
      <c r="R1132" s="7" t="s">
        <v>109</v>
      </c>
      <c r="S1132" s="7" t="s">
        <v>110</v>
      </c>
      <c r="T1132" s="7" t="n">
        <v>0.4</v>
      </c>
      <c r="U1132" s="7" t="n">
        <v>1</v>
      </c>
      <c r="V1132" s="7" t="s">
        <v>90</v>
      </c>
      <c r="W1132" s="7"/>
      <c r="X1132" s="7"/>
      <c r="Y1132" s="7"/>
      <c r="Z1132" s="7"/>
      <c r="AA1132" s="7"/>
      <c r="AB1132" s="7"/>
      <c r="AC1132" s="7" t="n">
        <v>2</v>
      </c>
      <c r="AD1132" s="7" t="s">
        <v>1954</v>
      </c>
      <c r="AE1132" s="7"/>
      <c r="AF1132" s="7"/>
      <c r="AG1132" s="7" t="s">
        <v>619</v>
      </c>
      <c r="AH1132" s="7" t="s">
        <v>1956</v>
      </c>
      <c r="AI1132" s="7"/>
      <c r="AJ1132" s="7"/>
      <c r="AK1132" s="7"/>
      <c r="AL1132" s="7"/>
      <c r="AM1132" s="7" t="s">
        <v>619</v>
      </c>
      <c r="AN1132" s="7" t="s">
        <v>1957</v>
      </c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 t="s">
        <v>127</v>
      </c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</row>
    <row r="1133" customFormat="false" ht="15" hidden="false" customHeight="false" outlineLevel="0" collapsed="false">
      <c r="A1133" s="7" t="s">
        <v>8298</v>
      </c>
      <c r="B1133" s="7" t="s">
        <v>8299</v>
      </c>
      <c r="C1133" s="7" t="s">
        <v>8300</v>
      </c>
      <c r="D1133" s="7" t="s">
        <v>3898</v>
      </c>
      <c r="E1133" s="7" t="s">
        <v>101</v>
      </c>
      <c r="F1133" s="7" t="s">
        <v>101</v>
      </c>
      <c r="G1133" s="7"/>
      <c r="H1133" s="7" t="s">
        <v>102</v>
      </c>
      <c r="I1133" s="7" t="s">
        <v>158</v>
      </c>
      <c r="J1133" s="7" t="s">
        <v>104</v>
      </c>
      <c r="K1133" s="7" t="s">
        <v>105</v>
      </c>
      <c r="L1133" s="7" t="s">
        <v>353</v>
      </c>
      <c r="M1133" s="7"/>
      <c r="N1133" s="7" t="s">
        <v>4996</v>
      </c>
      <c r="O1133" s="7" t="s">
        <v>4996</v>
      </c>
      <c r="P1133" s="7" t="s">
        <v>135</v>
      </c>
      <c r="Q1133" s="7"/>
      <c r="R1133" s="7" t="s">
        <v>109</v>
      </c>
      <c r="S1133" s="7" t="s">
        <v>110</v>
      </c>
      <c r="T1133" s="7" t="n">
        <v>0.391</v>
      </c>
      <c r="U1133" s="7" t="n">
        <v>1</v>
      </c>
      <c r="V1133" s="7" t="s">
        <v>90</v>
      </c>
      <c r="W1133" s="7"/>
      <c r="X1133" s="7"/>
      <c r="Y1133" s="7"/>
      <c r="Z1133" s="7"/>
      <c r="AA1133" s="7"/>
      <c r="AB1133" s="7"/>
      <c r="AC1133" s="7" t="n">
        <v>2</v>
      </c>
      <c r="AD1133" s="7" t="s">
        <v>1954</v>
      </c>
      <c r="AE1133" s="7"/>
      <c r="AF1133" s="7"/>
      <c r="AG1133" s="7" t="s">
        <v>619</v>
      </c>
      <c r="AH1133" s="7" t="s">
        <v>1956</v>
      </c>
      <c r="AI1133" s="7"/>
      <c r="AJ1133" s="7"/>
      <c r="AK1133" s="7"/>
      <c r="AL1133" s="7"/>
      <c r="AM1133" s="7" t="s">
        <v>619</v>
      </c>
      <c r="AN1133" s="7" t="s">
        <v>1957</v>
      </c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 t="s">
        <v>127</v>
      </c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</row>
    <row r="1134" customFormat="false" ht="15" hidden="false" customHeight="false" outlineLevel="0" collapsed="false">
      <c r="A1134" s="7" t="s">
        <v>8301</v>
      </c>
      <c r="B1134" s="7" t="s">
        <v>8302</v>
      </c>
      <c r="C1134" s="7" t="s">
        <v>8303</v>
      </c>
      <c r="D1134" s="7" t="s">
        <v>4984</v>
      </c>
      <c r="E1134" s="7" t="s">
        <v>101</v>
      </c>
      <c r="F1134" s="7" t="s">
        <v>101</v>
      </c>
      <c r="G1134" s="7"/>
      <c r="H1134" s="7" t="s">
        <v>102</v>
      </c>
      <c r="I1134" s="7" t="s">
        <v>158</v>
      </c>
      <c r="J1134" s="7" t="s">
        <v>104</v>
      </c>
      <c r="K1134" s="7" t="s">
        <v>105</v>
      </c>
      <c r="L1134" s="7" t="s">
        <v>353</v>
      </c>
      <c r="M1134" s="7"/>
      <c r="N1134" s="7" t="s">
        <v>5002</v>
      </c>
      <c r="O1134" s="7"/>
      <c r="P1134" s="7" t="s">
        <v>135</v>
      </c>
      <c r="Q1134" s="7"/>
      <c r="R1134" s="7"/>
      <c r="S1134" s="7"/>
      <c r="T1134" s="7" t="n">
        <v>0.45</v>
      </c>
      <c r="U1134" s="7" t="n">
        <v>1</v>
      </c>
      <c r="V1134" s="7" t="s">
        <v>90</v>
      </c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 t="s">
        <v>127</v>
      </c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8"/>
      <c r="BS1134" s="8"/>
    </row>
    <row r="1135" customFormat="false" ht="15" hidden="false" customHeight="false" outlineLevel="0" collapsed="false">
      <c r="A1135" s="7" t="s">
        <v>8304</v>
      </c>
      <c r="B1135" s="7" t="s">
        <v>8305</v>
      </c>
      <c r="C1135" s="7" t="s">
        <v>8306</v>
      </c>
      <c r="D1135" s="7" t="s">
        <v>5238</v>
      </c>
      <c r="E1135" s="7" t="s">
        <v>101</v>
      </c>
      <c r="F1135" s="7" t="s">
        <v>101</v>
      </c>
      <c r="G1135" s="7"/>
      <c r="H1135" s="7" t="s">
        <v>102</v>
      </c>
      <c r="I1135" s="7" t="s">
        <v>374</v>
      </c>
      <c r="J1135" s="7" t="s">
        <v>104</v>
      </c>
      <c r="K1135" s="7" t="s">
        <v>105</v>
      </c>
      <c r="L1135" s="7" t="s">
        <v>106</v>
      </c>
      <c r="M1135" s="7"/>
      <c r="N1135" s="7" t="s">
        <v>5239</v>
      </c>
      <c r="O1135" s="7"/>
      <c r="P1135" s="7" t="s">
        <v>135</v>
      </c>
      <c r="Q1135" s="7"/>
      <c r="R1135" s="7"/>
      <c r="S1135" s="7"/>
      <c r="T1135" s="7" t="n">
        <v>0.151</v>
      </c>
      <c r="U1135" s="7" t="n">
        <v>1</v>
      </c>
      <c r="V1135" s="7" t="s">
        <v>90</v>
      </c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 t="s">
        <v>127</v>
      </c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</row>
    <row r="1136" customFormat="false" ht="15" hidden="false" customHeight="false" outlineLevel="0" collapsed="false">
      <c r="A1136" s="7" t="s">
        <v>8307</v>
      </c>
      <c r="B1136" s="7" t="s">
        <v>8308</v>
      </c>
      <c r="C1136" s="7" t="s">
        <v>3533</v>
      </c>
      <c r="D1136" s="7" t="s">
        <v>2492</v>
      </c>
      <c r="E1136" s="7" t="s">
        <v>101</v>
      </c>
      <c r="F1136" s="7" t="s">
        <v>82</v>
      </c>
      <c r="G1136" s="7" t="s">
        <v>83</v>
      </c>
      <c r="H1136" s="7" t="s">
        <v>102</v>
      </c>
      <c r="I1136" s="7" t="s">
        <v>158</v>
      </c>
      <c r="J1136" s="7" t="s">
        <v>104</v>
      </c>
      <c r="K1136" s="7" t="s">
        <v>105</v>
      </c>
      <c r="L1136" s="7" t="s">
        <v>106</v>
      </c>
      <c r="M1136" s="7"/>
      <c r="N1136" s="7" t="s">
        <v>2493</v>
      </c>
      <c r="O1136" s="7" t="s">
        <v>2493</v>
      </c>
      <c r="P1136" s="7" t="s">
        <v>135</v>
      </c>
      <c r="Q1136" s="7"/>
      <c r="R1136" s="7" t="s">
        <v>109</v>
      </c>
      <c r="S1136" s="7" t="s">
        <v>110</v>
      </c>
      <c r="T1136" s="7" t="n">
        <v>0.274</v>
      </c>
      <c r="U1136" s="7" t="n">
        <v>1</v>
      </c>
      <c r="V1136" s="7" t="s">
        <v>90</v>
      </c>
      <c r="W1136" s="7"/>
      <c r="X1136" s="7"/>
      <c r="Y1136" s="7" t="s">
        <v>2493</v>
      </c>
      <c r="Z1136" s="7"/>
      <c r="AA1136" s="7"/>
      <c r="AB1136" s="7"/>
      <c r="AC1136" s="7" t="n">
        <v>8</v>
      </c>
      <c r="AD1136" s="7" t="s">
        <v>541</v>
      </c>
      <c r="AE1136" s="7" t="s">
        <v>2103</v>
      </c>
      <c r="AF1136" s="7" t="s">
        <v>2494</v>
      </c>
      <c r="AG1136" s="7"/>
      <c r="AH1136" s="7"/>
      <c r="AI1136" s="7"/>
      <c r="AJ1136" s="7"/>
      <c r="AK1136" s="7"/>
      <c r="AL1136" s="7"/>
      <c r="AM1136" s="7"/>
      <c r="AN1136" s="7"/>
      <c r="AO1136" s="7" t="s">
        <v>2103</v>
      </c>
      <c r="AP1136" s="7" t="s">
        <v>2495</v>
      </c>
      <c r="AQ1136" s="7" t="s">
        <v>2103</v>
      </c>
      <c r="AR1136" s="7" t="s">
        <v>82</v>
      </c>
      <c r="AS1136" s="7" t="s">
        <v>2103</v>
      </c>
      <c r="AT1136" s="7" t="s">
        <v>216</v>
      </c>
      <c r="AU1136" s="7" t="s">
        <v>2103</v>
      </c>
      <c r="AV1136" s="7" t="s">
        <v>314</v>
      </c>
      <c r="AW1136" s="7" t="s">
        <v>2103</v>
      </c>
      <c r="AX1136" s="7" t="s">
        <v>273</v>
      </c>
      <c r="AY1136" s="7" t="s">
        <v>2103</v>
      </c>
      <c r="AZ1136" s="7" t="s">
        <v>124</v>
      </c>
      <c r="BA1136" s="7" t="s">
        <v>2103</v>
      </c>
      <c r="BB1136" s="7" t="s">
        <v>369</v>
      </c>
      <c r="BC1136" s="7"/>
      <c r="BD1136" s="7"/>
      <c r="BE1136" s="7" t="s">
        <v>127</v>
      </c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</row>
    <row r="1137" customFormat="false" ht="15" hidden="false" customHeight="false" outlineLevel="0" collapsed="false">
      <c r="A1137" s="7" t="s">
        <v>8309</v>
      </c>
      <c r="B1137" s="7" t="s">
        <v>8310</v>
      </c>
      <c r="C1137" s="7" t="s">
        <v>3492</v>
      </c>
      <c r="D1137" s="7" t="s">
        <v>900</v>
      </c>
      <c r="E1137" s="7" t="s">
        <v>101</v>
      </c>
      <c r="F1137" s="7" t="s">
        <v>82</v>
      </c>
      <c r="G1137" s="7"/>
      <c r="H1137" s="7" t="s">
        <v>102</v>
      </c>
      <c r="I1137" s="7" t="s">
        <v>158</v>
      </c>
      <c r="J1137" s="7" t="s">
        <v>104</v>
      </c>
      <c r="K1137" s="7" t="s">
        <v>105</v>
      </c>
      <c r="L1137" s="7" t="s">
        <v>106</v>
      </c>
      <c r="M1137" s="7"/>
      <c r="N1137" s="7" t="s">
        <v>4121</v>
      </c>
      <c r="O1137" s="7" t="s">
        <v>4121</v>
      </c>
      <c r="P1137" s="7" t="s">
        <v>135</v>
      </c>
      <c r="Q1137" s="7"/>
      <c r="R1137" s="7" t="s">
        <v>109</v>
      </c>
      <c r="S1137" s="7" t="s">
        <v>110</v>
      </c>
      <c r="T1137" s="7" t="n">
        <v>0.485</v>
      </c>
      <c r="U1137" s="7" t="n">
        <v>1</v>
      </c>
      <c r="V1137" s="7" t="s">
        <v>90</v>
      </c>
      <c r="W1137" s="7"/>
      <c r="X1137" s="7"/>
      <c r="Y1137" s="7" t="s">
        <v>4121</v>
      </c>
      <c r="Z1137" s="7"/>
      <c r="AA1137" s="7"/>
      <c r="AB1137" s="7"/>
      <c r="AC1137" s="7" t="n">
        <v>10</v>
      </c>
      <c r="AD1137" s="7" t="s">
        <v>359</v>
      </c>
      <c r="AE1137" s="7" t="s">
        <v>2103</v>
      </c>
      <c r="AF1137" s="7" t="s">
        <v>8311</v>
      </c>
      <c r="AG1137" s="7" t="s">
        <v>115</v>
      </c>
      <c r="AH1137" s="7" t="s">
        <v>116</v>
      </c>
      <c r="AI1137" s="7"/>
      <c r="AJ1137" s="7"/>
      <c r="AK1137" s="7"/>
      <c r="AL1137" s="7"/>
      <c r="AM1137" s="7" t="s">
        <v>2103</v>
      </c>
      <c r="AN1137" s="7" t="s">
        <v>4124</v>
      </c>
      <c r="AO1137" s="7" t="s">
        <v>2103</v>
      </c>
      <c r="AP1137" s="7" t="s">
        <v>4125</v>
      </c>
      <c r="AQ1137" s="7" t="s">
        <v>2103</v>
      </c>
      <c r="AR1137" s="7" t="s">
        <v>82</v>
      </c>
      <c r="AS1137" s="7" t="s">
        <v>2103</v>
      </c>
      <c r="AT1137" s="7" t="s">
        <v>122</v>
      </c>
      <c r="AU1137" s="7" t="s">
        <v>2103</v>
      </c>
      <c r="AV1137" s="7" t="s">
        <v>8312</v>
      </c>
      <c r="AW1137" s="7" t="s">
        <v>2103</v>
      </c>
      <c r="AX1137" s="7" t="s">
        <v>273</v>
      </c>
      <c r="AY1137" s="7" t="s">
        <v>2103</v>
      </c>
      <c r="AZ1137" s="7" t="s">
        <v>295</v>
      </c>
      <c r="BA1137" s="7" t="s">
        <v>2103</v>
      </c>
      <c r="BB1137" s="7" t="s">
        <v>369</v>
      </c>
      <c r="BC1137" s="7"/>
      <c r="BD1137" s="7"/>
      <c r="BE1137" s="7" t="s">
        <v>127</v>
      </c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</row>
    <row r="1138" customFormat="false" ht="15" hidden="false" customHeight="false" outlineLevel="0" collapsed="false">
      <c r="A1138" s="7" t="s">
        <v>8313</v>
      </c>
      <c r="B1138" s="7" t="s">
        <v>8314</v>
      </c>
      <c r="C1138" s="7" t="s">
        <v>8315</v>
      </c>
      <c r="D1138" s="7"/>
      <c r="E1138" s="7" t="s">
        <v>101</v>
      </c>
      <c r="F1138" s="7" t="s">
        <v>101</v>
      </c>
      <c r="G1138" s="7"/>
      <c r="H1138" s="7" t="s">
        <v>102</v>
      </c>
      <c r="I1138" s="7" t="s">
        <v>132</v>
      </c>
      <c r="J1138" s="7" t="s">
        <v>104</v>
      </c>
      <c r="K1138" s="7" t="s">
        <v>105</v>
      </c>
      <c r="L1138" s="7" t="s">
        <v>106</v>
      </c>
      <c r="M1138" s="7"/>
      <c r="N1138" s="7" t="s">
        <v>8316</v>
      </c>
      <c r="O1138" s="7"/>
      <c r="P1138" s="7" t="s">
        <v>135</v>
      </c>
      <c r="Q1138" s="7"/>
      <c r="R1138" s="7" t="s">
        <v>135</v>
      </c>
      <c r="S1138" s="7" t="s">
        <v>136</v>
      </c>
      <c r="T1138" s="7" t="n">
        <v>0.282</v>
      </c>
      <c r="U1138" s="7" t="n">
        <v>1</v>
      </c>
      <c r="V1138" s="7" t="s">
        <v>90</v>
      </c>
      <c r="W1138" s="7"/>
      <c r="X1138" s="7"/>
      <c r="Y1138" s="7"/>
      <c r="Z1138" s="7"/>
      <c r="AA1138" s="7"/>
      <c r="AB1138" s="7"/>
      <c r="AC1138" s="7" t="n">
        <v>0</v>
      </c>
      <c r="AD1138" s="7" t="s">
        <v>388</v>
      </c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 t="s">
        <v>127</v>
      </c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</row>
    <row r="1139" customFormat="false" ht="15" hidden="false" customHeight="false" outlineLevel="0" collapsed="false">
      <c r="A1139" s="7" t="s">
        <v>8317</v>
      </c>
      <c r="B1139" s="7" t="s">
        <v>8318</v>
      </c>
      <c r="C1139" s="7" t="s">
        <v>8310</v>
      </c>
      <c r="D1139" s="7" t="s">
        <v>900</v>
      </c>
      <c r="E1139" s="7" t="s">
        <v>101</v>
      </c>
      <c r="F1139" s="7" t="s">
        <v>82</v>
      </c>
      <c r="G1139" s="7"/>
      <c r="H1139" s="7" t="s">
        <v>102</v>
      </c>
      <c r="I1139" s="7" t="s">
        <v>158</v>
      </c>
      <c r="J1139" s="7" t="s">
        <v>104</v>
      </c>
      <c r="K1139" s="7" t="s">
        <v>105</v>
      </c>
      <c r="L1139" s="7" t="s">
        <v>106</v>
      </c>
      <c r="M1139" s="7"/>
      <c r="N1139" s="7" t="s">
        <v>2201</v>
      </c>
      <c r="O1139" s="7" t="s">
        <v>2201</v>
      </c>
      <c r="P1139" s="7" t="s">
        <v>135</v>
      </c>
      <c r="Q1139" s="7"/>
      <c r="R1139" s="7" t="s">
        <v>109</v>
      </c>
      <c r="S1139" s="7" t="s">
        <v>110</v>
      </c>
      <c r="T1139" s="7" t="n">
        <v>0.528</v>
      </c>
      <c r="U1139" s="7" t="n">
        <v>1</v>
      </c>
      <c r="V1139" s="7" t="s">
        <v>90</v>
      </c>
      <c r="W1139" s="7"/>
      <c r="X1139" s="7"/>
      <c r="Y1139" s="7" t="s">
        <v>2201</v>
      </c>
      <c r="Z1139" s="7"/>
      <c r="AA1139" s="7"/>
      <c r="AB1139" s="7"/>
      <c r="AC1139" s="7" t="n">
        <v>5</v>
      </c>
      <c r="AD1139" s="7" t="s">
        <v>2505</v>
      </c>
      <c r="AE1139" s="7" t="s">
        <v>2103</v>
      </c>
      <c r="AF1139" s="7" t="s">
        <v>8319</v>
      </c>
      <c r="AG1139" s="7"/>
      <c r="AH1139" s="7"/>
      <c r="AI1139" s="7"/>
      <c r="AJ1139" s="7"/>
      <c r="AK1139" s="7"/>
      <c r="AL1139" s="7"/>
      <c r="AM1139" s="7"/>
      <c r="AN1139" s="7"/>
      <c r="AO1139" s="7" t="s">
        <v>2103</v>
      </c>
      <c r="AP1139" s="7" t="s">
        <v>8320</v>
      </c>
      <c r="AQ1139" s="7" t="s">
        <v>2103</v>
      </c>
      <c r="AR1139" s="7" t="s">
        <v>82</v>
      </c>
      <c r="AS1139" s="7" t="s">
        <v>2103</v>
      </c>
      <c r="AT1139" s="7" t="s">
        <v>122</v>
      </c>
      <c r="AU1139" s="7"/>
      <c r="AV1139" s="7"/>
      <c r="AW1139" s="7" t="s">
        <v>2103</v>
      </c>
      <c r="AX1139" s="7" t="s">
        <v>273</v>
      </c>
      <c r="AY1139" s="7"/>
      <c r="AZ1139" s="7"/>
      <c r="BA1139" s="7"/>
      <c r="BB1139" s="7"/>
      <c r="BC1139" s="7"/>
      <c r="BD1139" s="7"/>
      <c r="BE1139" s="7" t="s">
        <v>127</v>
      </c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</row>
    <row r="1140" customFormat="false" ht="15" hidden="false" customHeight="false" outlineLevel="0" collapsed="false">
      <c r="A1140" s="7" t="s">
        <v>8321</v>
      </c>
      <c r="B1140" s="7" t="s">
        <v>8322</v>
      </c>
      <c r="C1140" s="7" t="s">
        <v>3489</v>
      </c>
      <c r="D1140" s="7" t="s">
        <v>900</v>
      </c>
      <c r="E1140" s="7" t="s">
        <v>101</v>
      </c>
      <c r="F1140" s="7" t="s">
        <v>82</v>
      </c>
      <c r="G1140" s="7"/>
      <c r="H1140" s="7" t="s">
        <v>102</v>
      </c>
      <c r="I1140" s="7" t="s">
        <v>158</v>
      </c>
      <c r="J1140" s="7" t="s">
        <v>104</v>
      </c>
      <c r="K1140" s="7" t="s">
        <v>105</v>
      </c>
      <c r="L1140" s="7" t="s">
        <v>106</v>
      </c>
      <c r="M1140" s="7"/>
      <c r="N1140" s="7" t="s">
        <v>4121</v>
      </c>
      <c r="O1140" s="7" t="s">
        <v>4121</v>
      </c>
      <c r="P1140" s="7" t="s">
        <v>135</v>
      </c>
      <c r="Q1140" s="7"/>
      <c r="R1140" s="7" t="s">
        <v>109</v>
      </c>
      <c r="S1140" s="7" t="s">
        <v>110</v>
      </c>
      <c r="T1140" s="7" t="n">
        <v>0.487</v>
      </c>
      <c r="U1140" s="7" t="n">
        <v>1</v>
      </c>
      <c r="V1140" s="7" t="s">
        <v>90</v>
      </c>
      <c r="W1140" s="7"/>
      <c r="X1140" s="7"/>
      <c r="Y1140" s="7" t="s">
        <v>4121</v>
      </c>
      <c r="Z1140" s="7"/>
      <c r="AA1140" s="7"/>
      <c r="AB1140" s="7"/>
      <c r="AC1140" s="7" t="n">
        <v>10</v>
      </c>
      <c r="AD1140" s="7" t="s">
        <v>359</v>
      </c>
      <c r="AE1140" s="7" t="s">
        <v>2103</v>
      </c>
      <c r="AF1140" s="7" t="s">
        <v>8311</v>
      </c>
      <c r="AG1140" s="7" t="s">
        <v>115</v>
      </c>
      <c r="AH1140" s="7" t="s">
        <v>116</v>
      </c>
      <c r="AI1140" s="7"/>
      <c r="AJ1140" s="7"/>
      <c r="AK1140" s="7"/>
      <c r="AL1140" s="7"/>
      <c r="AM1140" s="7" t="s">
        <v>2103</v>
      </c>
      <c r="AN1140" s="7" t="s">
        <v>4124</v>
      </c>
      <c r="AO1140" s="7" t="s">
        <v>2103</v>
      </c>
      <c r="AP1140" s="7" t="s">
        <v>4125</v>
      </c>
      <c r="AQ1140" s="7" t="s">
        <v>2103</v>
      </c>
      <c r="AR1140" s="7" t="s">
        <v>82</v>
      </c>
      <c r="AS1140" s="7" t="s">
        <v>2103</v>
      </c>
      <c r="AT1140" s="7" t="s">
        <v>122</v>
      </c>
      <c r="AU1140" s="7" t="s">
        <v>2103</v>
      </c>
      <c r="AV1140" s="7" t="s">
        <v>8323</v>
      </c>
      <c r="AW1140" s="7" t="s">
        <v>2103</v>
      </c>
      <c r="AX1140" s="7" t="s">
        <v>273</v>
      </c>
      <c r="AY1140" s="7" t="s">
        <v>2103</v>
      </c>
      <c r="AZ1140" s="7" t="s">
        <v>295</v>
      </c>
      <c r="BA1140" s="7" t="s">
        <v>2103</v>
      </c>
      <c r="BB1140" s="7" t="s">
        <v>369</v>
      </c>
      <c r="BC1140" s="7"/>
      <c r="BD1140" s="7"/>
      <c r="BE1140" s="7" t="s">
        <v>127</v>
      </c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</row>
    <row r="1141" customFormat="false" ht="15" hidden="false" customHeight="false" outlineLevel="0" collapsed="false">
      <c r="A1141" s="7" t="s">
        <v>8324</v>
      </c>
      <c r="B1141" s="7" t="s">
        <v>8325</v>
      </c>
      <c r="C1141" s="7" t="s">
        <v>3486</v>
      </c>
      <c r="D1141" s="7" t="s">
        <v>900</v>
      </c>
      <c r="E1141" s="7" t="s">
        <v>101</v>
      </c>
      <c r="F1141" s="7" t="s">
        <v>82</v>
      </c>
      <c r="G1141" s="7"/>
      <c r="H1141" s="7" t="s">
        <v>102</v>
      </c>
      <c r="I1141" s="7" t="s">
        <v>158</v>
      </c>
      <c r="J1141" s="7" t="s">
        <v>104</v>
      </c>
      <c r="K1141" s="7" t="s">
        <v>105</v>
      </c>
      <c r="L1141" s="7" t="s">
        <v>106</v>
      </c>
      <c r="M1141" s="7"/>
      <c r="N1141" s="7" t="s">
        <v>4121</v>
      </c>
      <c r="O1141" s="7" t="s">
        <v>4121</v>
      </c>
      <c r="P1141" s="7" t="s">
        <v>135</v>
      </c>
      <c r="Q1141" s="7"/>
      <c r="R1141" s="7" t="s">
        <v>109</v>
      </c>
      <c r="S1141" s="7" t="s">
        <v>110</v>
      </c>
      <c r="T1141" s="7" t="n">
        <v>0.335</v>
      </c>
      <c r="U1141" s="7" t="n">
        <v>1</v>
      </c>
      <c r="V1141" s="7" t="s">
        <v>90</v>
      </c>
      <c r="W1141" s="7"/>
      <c r="X1141" s="7"/>
      <c r="Y1141" s="7" t="s">
        <v>4121</v>
      </c>
      <c r="Z1141" s="7"/>
      <c r="AA1141" s="7"/>
      <c r="AB1141" s="7"/>
      <c r="AC1141" s="7" t="n">
        <v>10</v>
      </c>
      <c r="AD1141" s="7" t="s">
        <v>359</v>
      </c>
      <c r="AE1141" s="7" t="s">
        <v>2103</v>
      </c>
      <c r="AF1141" s="7" t="s">
        <v>4123</v>
      </c>
      <c r="AG1141" s="7" t="s">
        <v>115</v>
      </c>
      <c r="AH1141" s="7" t="s">
        <v>116</v>
      </c>
      <c r="AI1141" s="7"/>
      <c r="AJ1141" s="7"/>
      <c r="AK1141" s="7"/>
      <c r="AL1141" s="7"/>
      <c r="AM1141" s="7" t="s">
        <v>2103</v>
      </c>
      <c r="AN1141" s="7" t="s">
        <v>4124</v>
      </c>
      <c r="AO1141" s="7" t="s">
        <v>2103</v>
      </c>
      <c r="AP1141" s="7" t="s">
        <v>4125</v>
      </c>
      <c r="AQ1141" s="7" t="s">
        <v>2103</v>
      </c>
      <c r="AR1141" s="7" t="s">
        <v>82</v>
      </c>
      <c r="AS1141" s="7" t="s">
        <v>2103</v>
      </c>
      <c r="AT1141" s="7" t="s">
        <v>122</v>
      </c>
      <c r="AU1141" s="7" t="s">
        <v>2103</v>
      </c>
      <c r="AV1141" s="7" t="s">
        <v>8312</v>
      </c>
      <c r="AW1141" s="7" t="s">
        <v>2103</v>
      </c>
      <c r="AX1141" s="7" t="s">
        <v>273</v>
      </c>
      <c r="AY1141" s="7" t="s">
        <v>2103</v>
      </c>
      <c r="AZ1141" s="7" t="s">
        <v>295</v>
      </c>
      <c r="BA1141" s="7" t="s">
        <v>2103</v>
      </c>
      <c r="BB1141" s="7" t="s">
        <v>369</v>
      </c>
      <c r="BC1141" s="7"/>
      <c r="BD1141" s="7"/>
      <c r="BE1141" s="7" t="s">
        <v>127</v>
      </c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</row>
    <row r="1142" customFormat="false" ht="15" hidden="false" customHeight="false" outlineLevel="0" collapsed="false">
      <c r="A1142" s="7" t="s">
        <v>8326</v>
      </c>
      <c r="B1142" s="7" t="s">
        <v>8327</v>
      </c>
      <c r="C1142" s="7" t="s">
        <v>8325</v>
      </c>
      <c r="D1142" s="7" t="s">
        <v>900</v>
      </c>
      <c r="E1142" s="7" t="s">
        <v>101</v>
      </c>
      <c r="F1142" s="7" t="s">
        <v>82</v>
      </c>
      <c r="G1142" s="7"/>
      <c r="H1142" s="7" t="s">
        <v>102</v>
      </c>
      <c r="I1142" s="7" t="s">
        <v>158</v>
      </c>
      <c r="J1142" s="7" t="s">
        <v>104</v>
      </c>
      <c r="K1142" s="7" t="s">
        <v>105</v>
      </c>
      <c r="L1142" s="7" t="s">
        <v>106</v>
      </c>
      <c r="M1142" s="7"/>
      <c r="N1142" s="7" t="s">
        <v>2201</v>
      </c>
      <c r="O1142" s="7" t="s">
        <v>2201</v>
      </c>
      <c r="P1142" s="7" t="s">
        <v>135</v>
      </c>
      <c r="Q1142" s="7"/>
      <c r="R1142" s="7" t="s">
        <v>109</v>
      </c>
      <c r="S1142" s="7" t="s">
        <v>110</v>
      </c>
      <c r="T1142" s="7" t="n">
        <v>0.283</v>
      </c>
      <c r="U1142" s="7" t="n">
        <v>1</v>
      </c>
      <c r="V1142" s="7" t="s">
        <v>90</v>
      </c>
      <c r="W1142" s="7"/>
      <c r="X1142" s="7"/>
      <c r="Y1142" s="7" t="s">
        <v>2201</v>
      </c>
      <c r="Z1142" s="7"/>
      <c r="AA1142" s="7"/>
      <c r="AB1142" s="7"/>
      <c r="AC1142" s="7" t="n">
        <v>5</v>
      </c>
      <c r="AD1142" s="7" t="s">
        <v>2505</v>
      </c>
      <c r="AE1142" s="7" t="s">
        <v>2103</v>
      </c>
      <c r="AF1142" s="7" t="s">
        <v>8319</v>
      </c>
      <c r="AG1142" s="7"/>
      <c r="AH1142" s="7"/>
      <c r="AI1142" s="7"/>
      <c r="AJ1142" s="7"/>
      <c r="AK1142" s="7"/>
      <c r="AL1142" s="7"/>
      <c r="AM1142" s="7"/>
      <c r="AN1142" s="7"/>
      <c r="AO1142" s="7" t="s">
        <v>2103</v>
      </c>
      <c r="AP1142" s="7" t="s">
        <v>8320</v>
      </c>
      <c r="AQ1142" s="7" t="s">
        <v>2103</v>
      </c>
      <c r="AR1142" s="7" t="s">
        <v>82</v>
      </c>
      <c r="AS1142" s="7" t="s">
        <v>2103</v>
      </c>
      <c r="AT1142" s="7" t="s">
        <v>122</v>
      </c>
      <c r="AU1142" s="7"/>
      <c r="AV1142" s="7"/>
      <c r="AW1142" s="7" t="s">
        <v>2103</v>
      </c>
      <c r="AX1142" s="7" t="s">
        <v>273</v>
      </c>
      <c r="AY1142" s="7"/>
      <c r="AZ1142" s="7"/>
      <c r="BA1142" s="7"/>
      <c r="BB1142" s="7"/>
      <c r="BC1142" s="7"/>
      <c r="BD1142" s="7"/>
      <c r="BE1142" s="7" t="s">
        <v>127</v>
      </c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8"/>
      <c r="BS1142" s="8"/>
    </row>
    <row r="1143" customFormat="false" ht="15" hidden="false" customHeight="false" outlineLevel="0" collapsed="false">
      <c r="A1143" s="7" t="s">
        <v>8328</v>
      </c>
      <c r="B1143" s="7" t="s">
        <v>8329</v>
      </c>
      <c r="C1143" s="7" t="s">
        <v>8330</v>
      </c>
      <c r="D1143" s="7" t="s">
        <v>8331</v>
      </c>
      <c r="E1143" s="7" t="s">
        <v>819</v>
      </c>
      <c r="F1143" s="7" t="s">
        <v>819</v>
      </c>
      <c r="G1143" s="7"/>
      <c r="H1143" s="7" t="s">
        <v>207</v>
      </c>
      <c r="I1143" s="7" t="s">
        <v>132</v>
      </c>
      <c r="J1143" s="7" t="s">
        <v>104</v>
      </c>
      <c r="K1143" s="7" t="s">
        <v>105</v>
      </c>
      <c r="L1143" s="7" t="s">
        <v>106</v>
      </c>
      <c r="M1143" s="7"/>
      <c r="N1143" s="7" t="s">
        <v>8332</v>
      </c>
      <c r="O1143" s="7" t="s">
        <v>8332</v>
      </c>
      <c r="P1143" s="7" t="s">
        <v>135</v>
      </c>
      <c r="Q1143" s="7"/>
      <c r="R1143" s="7" t="s">
        <v>109</v>
      </c>
      <c r="S1143" s="7" t="s">
        <v>110</v>
      </c>
      <c r="T1143" s="7" t="n">
        <v>0.3</v>
      </c>
      <c r="U1143" s="7" t="n">
        <v>1</v>
      </c>
      <c r="V1143" s="7" t="s">
        <v>90</v>
      </c>
      <c r="W1143" s="7"/>
      <c r="X1143" s="7"/>
      <c r="Y1143" s="7" t="s">
        <v>8332</v>
      </c>
      <c r="Z1143" s="7"/>
      <c r="AA1143" s="7"/>
      <c r="AB1143" s="7"/>
      <c r="AC1143" s="7" t="n">
        <v>0</v>
      </c>
      <c r="AD1143" s="7" t="s">
        <v>388</v>
      </c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 t="s">
        <v>440</v>
      </c>
      <c r="BE1143" s="7" t="s">
        <v>127</v>
      </c>
      <c r="BF1143" s="8"/>
      <c r="BG1143" s="8"/>
      <c r="BH1143" s="8"/>
      <c r="BI1143" s="8"/>
      <c r="BJ1143" s="8"/>
      <c r="BK1143" s="8"/>
      <c r="BL1143" s="8"/>
      <c r="BM1143" s="8"/>
      <c r="BN1143" s="8"/>
      <c r="BO1143" s="8"/>
      <c r="BP1143" s="8"/>
      <c r="BQ1143" s="8"/>
      <c r="BR1143" s="8"/>
      <c r="BS1143" s="8"/>
    </row>
    <row r="1144" customFormat="false" ht="15" hidden="false" customHeight="false" outlineLevel="0" collapsed="false">
      <c r="A1144" s="7" t="s">
        <v>8333</v>
      </c>
      <c r="B1144" s="7" t="s">
        <v>8334</v>
      </c>
      <c r="C1144" s="7" t="s">
        <v>8335</v>
      </c>
      <c r="D1144" s="7" t="s">
        <v>8336</v>
      </c>
      <c r="E1144" s="7" t="s">
        <v>431</v>
      </c>
      <c r="F1144" s="7" t="s">
        <v>431</v>
      </c>
      <c r="G1144" s="7"/>
      <c r="H1144" s="7" t="s">
        <v>207</v>
      </c>
      <c r="I1144" s="7" t="s">
        <v>158</v>
      </c>
      <c r="J1144" s="7" t="s">
        <v>104</v>
      </c>
      <c r="K1144" s="7" t="s">
        <v>105</v>
      </c>
      <c r="L1144" s="7" t="s">
        <v>106</v>
      </c>
      <c r="M1144" s="7"/>
      <c r="N1144" s="7" t="s">
        <v>8337</v>
      </c>
      <c r="O1144" s="7" t="s">
        <v>8337</v>
      </c>
      <c r="P1144" s="7" t="s">
        <v>109</v>
      </c>
      <c r="Q1144" s="7"/>
      <c r="R1144" s="7" t="s">
        <v>109</v>
      </c>
      <c r="S1144" s="7" t="s">
        <v>110</v>
      </c>
      <c r="T1144" s="7" t="n">
        <v>0.738</v>
      </c>
      <c r="U1144" s="7" t="n">
        <v>1</v>
      </c>
      <c r="V1144" s="7" t="s">
        <v>1156</v>
      </c>
      <c r="W1144" s="7"/>
      <c r="X1144" s="7"/>
      <c r="Y1144" s="7" t="s">
        <v>8337</v>
      </c>
      <c r="Z1144" s="7"/>
      <c r="AA1144" s="7"/>
      <c r="AB1144" s="7"/>
      <c r="AC1144" s="7" t="n">
        <v>0</v>
      </c>
      <c r="AD1144" s="7" t="s">
        <v>388</v>
      </c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 t="s">
        <v>127</v>
      </c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</row>
    <row r="1145" customFormat="false" ht="15" hidden="false" customHeight="false" outlineLevel="0" collapsed="false">
      <c r="A1145" s="7" t="s">
        <v>8338</v>
      </c>
      <c r="B1145" s="7" t="s">
        <v>8339</v>
      </c>
      <c r="C1145" s="7" t="s">
        <v>8340</v>
      </c>
      <c r="D1145" s="7" t="s">
        <v>8341</v>
      </c>
      <c r="E1145" s="7" t="s">
        <v>737</v>
      </c>
      <c r="F1145" s="7" t="s">
        <v>737</v>
      </c>
      <c r="G1145" s="7"/>
      <c r="H1145" s="7" t="s">
        <v>207</v>
      </c>
      <c r="I1145" s="7" t="s">
        <v>158</v>
      </c>
      <c r="J1145" s="7" t="s">
        <v>104</v>
      </c>
      <c r="K1145" s="7" t="s">
        <v>105</v>
      </c>
      <c r="L1145" s="7" t="s">
        <v>106</v>
      </c>
      <c r="M1145" s="7"/>
      <c r="N1145" s="7" t="s">
        <v>8342</v>
      </c>
      <c r="O1145" s="7" t="s">
        <v>8342</v>
      </c>
      <c r="P1145" s="7" t="s">
        <v>109</v>
      </c>
      <c r="Q1145" s="7"/>
      <c r="R1145" s="7" t="s">
        <v>109</v>
      </c>
      <c r="S1145" s="7" t="s">
        <v>110</v>
      </c>
      <c r="T1145" s="7" t="n">
        <v>0.597</v>
      </c>
      <c r="U1145" s="7" t="n">
        <v>1</v>
      </c>
      <c r="V1145" s="7" t="s">
        <v>86</v>
      </c>
      <c r="W1145" s="7"/>
      <c r="X1145" s="7"/>
      <c r="Y1145" s="7" t="s">
        <v>8342</v>
      </c>
      <c r="Z1145" s="7"/>
      <c r="AA1145" s="7"/>
      <c r="AB1145" s="7"/>
      <c r="AC1145" s="7" t="n">
        <v>0</v>
      </c>
      <c r="AD1145" s="7" t="s">
        <v>388</v>
      </c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 t="s">
        <v>127</v>
      </c>
      <c r="BF1145" s="8"/>
      <c r="BG1145" s="8"/>
      <c r="BH1145" s="8"/>
      <c r="BI1145" s="8"/>
      <c r="BJ1145" s="8"/>
      <c r="BK1145" s="8"/>
      <c r="BL1145" s="8"/>
      <c r="BM1145" s="8"/>
      <c r="BN1145" s="8"/>
      <c r="BO1145" s="8"/>
      <c r="BP1145" s="8"/>
      <c r="BQ1145" s="8"/>
      <c r="BR1145" s="8"/>
      <c r="BS1145" s="8"/>
    </row>
    <row r="1146" customFormat="false" ht="15" hidden="false" customHeight="false" outlineLevel="0" collapsed="false">
      <c r="A1146" s="7" t="s">
        <v>8343</v>
      </c>
      <c r="B1146" s="7" t="s">
        <v>8344</v>
      </c>
      <c r="C1146" s="7" t="s">
        <v>8345</v>
      </c>
      <c r="D1146" s="7" t="s">
        <v>8346</v>
      </c>
      <c r="E1146" s="7" t="s">
        <v>888</v>
      </c>
      <c r="F1146" s="7" t="s">
        <v>888</v>
      </c>
      <c r="G1146" s="7"/>
      <c r="H1146" s="7" t="s">
        <v>207</v>
      </c>
      <c r="I1146" s="7" t="s">
        <v>208</v>
      </c>
      <c r="J1146" s="7" t="s">
        <v>104</v>
      </c>
      <c r="K1146" s="7" t="s">
        <v>105</v>
      </c>
      <c r="L1146" s="7" t="s">
        <v>106</v>
      </c>
      <c r="M1146" s="7"/>
      <c r="N1146" s="7" t="s">
        <v>8347</v>
      </c>
      <c r="O1146" s="7" t="s">
        <v>8347</v>
      </c>
      <c r="P1146" s="7" t="s">
        <v>135</v>
      </c>
      <c r="Q1146" s="7"/>
      <c r="R1146" s="7" t="s">
        <v>109</v>
      </c>
      <c r="S1146" s="7" t="s">
        <v>110</v>
      </c>
      <c r="T1146" s="7" t="n">
        <v>0.476</v>
      </c>
      <c r="U1146" s="7" t="n">
        <v>1</v>
      </c>
      <c r="V1146" s="7" t="s">
        <v>90</v>
      </c>
      <c r="W1146" s="7"/>
      <c r="X1146" s="7"/>
      <c r="Y1146" s="7" t="s">
        <v>8347</v>
      </c>
      <c r="Z1146" s="7"/>
      <c r="AA1146" s="7"/>
      <c r="AB1146" s="7"/>
      <c r="AC1146" s="7" t="n">
        <v>0</v>
      </c>
      <c r="AD1146" s="7" t="s">
        <v>388</v>
      </c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 t="s">
        <v>440</v>
      </c>
      <c r="BE1146" s="7" t="s">
        <v>127</v>
      </c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</row>
    <row r="1147" customFormat="false" ht="15" hidden="false" customHeight="false" outlineLevel="0" collapsed="false">
      <c r="A1147" s="7" t="s">
        <v>8348</v>
      </c>
      <c r="B1147" s="7" t="s">
        <v>8349</v>
      </c>
      <c r="C1147" s="7" t="s">
        <v>8350</v>
      </c>
      <c r="D1147" s="7" t="s">
        <v>8351</v>
      </c>
      <c r="E1147" s="7" t="s">
        <v>737</v>
      </c>
      <c r="F1147" s="7" t="s">
        <v>737</v>
      </c>
      <c r="G1147" s="7"/>
      <c r="H1147" s="7" t="s">
        <v>207</v>
      </c>
      <c r="I1147" s="7" t="s">
        <v>132</v>
      </c>
      <c r="J1147" s="7" t="s">
        <v>104</v>
      </c>
      <c r="K1147" s="7" t="s">
        <v>105</v>
      </c>
      <c r="L1147" s="7" t="s">
        <v>106</v>
      </c>
      <c r="M1147" s="7"/>
      <c r="N1147" s="7" t="s">
        <v>8352</v>
      </c>
      <c r="O1147" s="7" t="s">
        <v>8352</v>
      </c>
      <c r="P1147" s="7" t="s">
        <v>135</v>
      </c>
      <c r="Q1147" s="7"/>
      <c r="R1147" s="7" t="s">
        <v>109</v>
      </c>
      <c r="S1147" s="7" t="s">
        <v>110</v>
      </c>
      <c r="T1147" s="7" t="n">
        <v>0.451</v>
      </c>
      <c r="U1147" s="7" t="n">
        <v>1</v>
      </c>
      <c r="V1147" s="7" t="s">
        <v>90</v>
      </c>
      <c r="W1147" s="7"/>
      <c r="X1147" s="7"/>
      <c r="Y1147" s="7" t="s">
        <v>8352</v>
      </c>
      <c r="Z1147" s="7"/>
      <c r="AA1147" s="7"/>
      <c r="AB1147" s="7"/>
      <c r="AC1147" s="7" t="n">
        <v>0</v>
      </c>
      <c r="AD1147" s="7" t="s">
        <v>388</v>
      </c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 t="s">
        <v>2797</v>
      </c>
      <c r="BE1147" s="7" t="s">
        <v>127</v>
      </c>
      <c r="BF1147" s="8"/>
      <c r="BG1147" s="8"/>
      <c r="BH1147" s="8"/>
      <c r="BI1147" s="8"/>
      <c r="BJ1147" s="8"/>
      <c r="BK1147" s="8"/>
      <c r="BL1147" s="8"/>
      <c r="BM1147" s="8"/>
      <c r="BN1147" s="8"/>
      <c r="BO1147" s="8"/>
      <c r="BP1147" s="8"/>
      <c r="BQ1147" s="8"/>
      <c r="BR1147" s="8"/>
      <c r="BS1147" s="8"/>
    </row>
    <row r="1148" customFormat="false" ht="15" hidden="false" customHeight="false" outlineLevel="0" collapsed="false">
      <c r="A1148" s="7" t="s">
        <v>8353</v>
      </c>
      <c r="B1148" s="7" t="s">
        <v>8354</v>
      </c>
      <c r="C1148" s="7" t="s">
        <v>8355</v>
      </c>
      <c r="D1148" s="7" t="s">
        <v>8356</v>
      </c>
      <c r="E1148" s="7" t="s">
        <v>819</v>
      </c>
      <c r="F1148" s="7" t="s">
        <v>819</v>
      </c>
      <c r="G1148" s="7"/>
      <c r="H1148" s="7" t="s">
        <v>207</v>
      </c>
      <c r="I1148" s="7" t="s">
        <v>158</v>
      </c>
      <c r="J1148" s="7" t="s">
        <v>104</v>
      </c>
      <c r="K1148" s="7" t="s">
        <v>105</v>
      </c>
      <c r="L1148" s="7" t="s">
        <v>106</v>
      </c>
      <c r="M1148" s="7"/>
      <c r="N1148" s="7" t="s">
        <v>8357</v>
      </c>
      <c r="O1148" s="7" t="s">
        <v>8357</v>
      </c>
      <c r="P1148" s="7" t="s">
        <v>135</v>
      </c>
      <c r="Q1148" s="7"/>
      <c r="R1148" s="7" t="s">
        <v>109</v>
      </c>
      <c r="S1148" s="7" t="s">
        <v>110</v>
      </c>
      <c r="T1148" s="7" t="n">
        <v>0.602</v>
      </c>
      <c r="U1148" s="7" t="n">
        <v>1</v>
      </c>
      <c r="V1148" s="7" t="s">
        <v>90</v>
      </c>
      <c r="W1148" s="7"/>
      <c r="X1148" s="7"/>
      <c r="Y1148" s="7" t="s">
        <v>8357</v>
      </c>
      <c r="Z1148" s="7"/>
      <c r="AA1148" s="7"/>
      <c r="AB1148" s="7"/>
      <c r="AC1148" s="7" t="n">
        <v>0</v>
      </c>
      <c r="AD1148" s="7" t="s">
        <v>388</v>
      </c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 t="s">
        <v>2797</v>
      </c>
      <c r="BE1148" s="7" t="s">
        <v>127</v>
      </c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8"/>
      <c r="BS1148" s="8"/>
    </row>
    <row r="1149" customFormat="false" ht="15" hidden="false" customHeight="false" outlineLevel="0" collapsed="false">
      <c r="A1149" s="7" t="s">
        <v>8358</v>
      </c>
      <c r="B1149" s="7" t="s">
        <v>8359</v>
      </c>
      <c r="C1149" s="7" t="s">
        <v>8360</v>
      </c>
      <c r="D1149" s="7" t="s">
        <v>8361</v>
      </c>
      <c r="E1149" s="7" t="s">
        <v>819</v>
      </c>
      <c r="F1149" s="7" t="s">
        <v>819</v>
      </c>
      <c r="G1149" s="7"/>
      <c r="H1149" s="7" t="s">
        <v>207</v>
      </c>
      <c r="I1149" s="7" t="s">
        <v>132</v>
      </c>
      <c r="J1149" s="7" t="s">
        <v>104</v>
      </c>
      <c r="K1149" s="7" t="s">
        <v>105</v>
      </c>
      <c r="L1149" s="7" t="s">
        <v>106</v>
      </c>
      <c r="M1149" s="7"/>
      <c r="N1149" s="7" t="s">
        <v>8362</v>
      </c>
      <c r="O1149" s="7" t="s">
        <v>8362</v>
      </c>
      <c r="P1149" s="7" t="s">
        <v>135</v>
      </c>
      <c r="Q1149" s="7"/>
      <c r="R1149" s="7" t="s">
        <v>109</v>
      </c>
      <c r="S1149" s="7" t="s">
        <v>110</v>
      </c>
      <c r="T1149" s="7" t="n">
        <v>0.429</v>
      </c>
      <c r="U1149" s="7" t="n">
        <v>1</v>
      </c>
      <c r="V1149" s="7" t="s">
        <v>90</v>
      </c>
      <c r="W1149" s="7"/>
      <c r="X1149" s="7"/>
      <c r="Y1149" s="7" t="s">
        <v>8362</v>
      </c>
      <c r="Z1149" s="7"/>
      <c r="AA1149" s="7"/>
      <c r="AB1149" s="7"/>
      <c r="AC1149" s="7" t="n">
        <v>0</v>
      </c>
      <c r="AD1149" s="7" t="s">
        <v>388</v>
      </c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 t="s">
        <v>2797</v>
      </c>
      <c r="BE1149" s="7" t="s">
        <v>127</v>
      </c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</row>
    <row r="1150" customFormat="false" ht="15" hidden="false" customHeight="false" outlineLevel="0" collapsed="false">
      <c r="A1150" s="7" t="s">
        <v>8363</v>
      </c>
      <c r="B1150" s="7" t="s">
        <v>8364</v>
      </c>
      <c r="C1150" s="7" t="s">
        <v>8365</v>
      </c>
      <c r="D1150" s="7" t="s">
        <v>4363</v>
      </c>
      <c r="E1150" s="7" t="s">
        <v>516</v>
      </c>
      <c r="F1150" s="7" t="s">
        <v>516</v>
      </c>
      <c r="G1150" s="7" t="s">
        <v>2455</v>
      </c>
      <c r="H1150" s="7" t="s">
        <v>207</v>
      </c>
      <c r="I1150" s="7" t="s">
        <v>300</v>
      </c>
      <c r="J1150" s="7" t="s">
        <v>104</v>
      </c>
      <c r="K1150" s="7" t="s">
        <v>105</v>
      </c>
      <c r="L1150" s="7" t="s">
        <v>106</v>
      </c>
      <c r="M1150" s="7"/>
      <c r="N1150" s="7" t="s">
        <v>8366</v>
      </c>
      <c r="O1150" s="7" t="s">
        <v>8366</v>
      </c>
      <c r="P1150" s="7" t="s">
        <v>109</v>
      </c>
      <c r="Q1150" s="7"/>
      <c r="R1150" s="7" t="s">
        <v>109</v>
      </c>
      <c r="S1150" s="7" t="s">
        <v>110</v>
      </c>
      <c r="T1150" s="7" t="n">
        <v>0.835</v>
      </c>
      <c r="U1150" s="7" t="n">
        <v>1</v>
      </c>
      <c r="V1150" s="7" t="s">
        <v>86</v>
      </c>
      <c r="W1150" s="7"/>
      <c r="X1150" s="7"/>
      <c r="Y1150" s="7" t="s">
        <v>8366</v>
      </c>
      <c r="Z1150" s="7"/>
      <c r="AA1150" s="7"/>
      <c r="AB1150" s="7"/>
      <c r="AC1150" s="7" t="n">
        <v>0</v>
      </c>
      <c r="AD1150" s="7" t="s">
        <v>388</v>
      </c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 t="s">
        <v>127</v>
      </c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8"/>
      <c r="BS1150" s="8"/>
    </row>
    <row r="1151" customFormat="false" ht="15" hidden="false" customHeight="false" outlineLevel="0" collapsed="false">
      <c r="A1151" s="7" t="s">
        <v>8367</v>
      </c>
      <c r="B1151" s="7" t="s">
        <v>8368</v>
      </c>
      <c r="C1151" s="7" t="s">
        <v>8369</v>
      </c>
      <c r="D1151" s="7" t="s">
        <v>8370</v>
      </c>
      <c r="E1151" s="7" t="s">
        <v>1966</v>
      </c>
      <c r="F1151" s="7" t="s">
        <v>1966</v>
      </c>
      <c r="G1151" s="7"/>
      <c r="H1151" s="7" t="s">
        <v>207</v>
      </c>
      <c r="I1151" s="7" t="s">
        <v>158</v>
      </c>
      <c r="J1151" s="7" t="s">
        <v>104</v>
      </c>
      <c r="K1151" s="7" t="s">
        <v>105</v>
      </c>
      <c r="L1151" s="7" t="s">
        <v>353</v>
      </c>
      <c r="M1151" s="7"/>
      <c r="N1151" s="7" t="s">
        <v>8371</v>
      </c>
      <c r="O1151" s="7" t="s">
        <v>8371</v>
      </c>
      <c r="P1151" s="7" t="s">
        <v>135</v>
      </c>
      <c r="Q1151" s="7"/>
      <c r="R1151" s="7" t="s">
        <v>109</v>
      </c>
      <c r="S1151" s="7" t="s">
        <v>110</v>
      </c>
      <c r="T1151" s="7" t="n">
        <v>0.25</v>
      </c>
      <c r="U1151" s="7" t="n">
        <v>1</v>
      </c>
      <c r="V1151" s="7" t="s">
        <v>90</v>
      </c>
      <c r="W1151" s="7"/>
      <c r="X1151" s="7"/>
      <c r="Y1151" s="7" t="s">
        <v>8371</v>
      </c>
      <c r="Z1151" s="7"/>
      <c r="AA1151" s="7"/>
      <c r="AB1151" s="7"/>
      <c r="AC1151" s="7" t="n">
        <v>0</v>
      </c>
      <c r="AD1151" s="7" t="s">
        <v>388</v>
      </c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 t="s">
        <v>440</v>
      </c>
      <c r="BE1151" s="7" t="s">
        <v>127</v>
      </c>
      <c r="BF1151" s="8"/>
      <c r="BG1151" s="8"/>
      <c r="BH1151" s="8"/>
      <c r="BI1151" s="8"/>
      <c r="BJ1151" s="8"/>
      <c r="BK1151" s="8"/>
      <c r="BL1151" s="8"/>
      <c r="BM1151" s="8"/>
      <c r="BN1151" s="8"/>
      <c r="BO1151" s="8"/>
      <c r="BP1151" s="8"/>
      <c r="BQ1151" s="8"/>
      <c r="BR1151" s="8"/>
      <c r="BS1151" s="8"/>
    </row>
    <row r="1152" customFormat="false" ht="15" hidden="false" customHeight="false" outlineLevel="0" collapsed="false">
      <c r="A1152" s="7" t="s">
        <v>8372</v>
      </c>
      <c r="B1152" s="7" t="s">
        <v>8373</v>
      </c>
      <c r="C1152" s="7" t="s">
        <v>8374</v>
      </c>
      <c r="D1152" s="7" t="s">
        <v>8375</v>
      </c>
      <c r="E1152" s="7" t="s">
        <v>431</v>
      </c>
      <c r="F1152" s="7" t="s">
        <v>431</v>
      </c>
      <c r="G1152" s="7"/>
      <c r="H1152" s="7" t="s">
        <v>207</v>
      </c>
      <c r="I1152" s="7" t="s">
        <v>132</v>
      </c>
      <c r="J1152" s="7" t="s">
        <v>104</v>
      </c>
      <c r="K1152" s="7" t="s">
        <v>105</v>
      </c>
      <c r="L1152" s="7" t="s">
        <v>106</v>
      </c>
      <c r="M1152" s="7"/>
      <c r="N1152" s="7" t="s">
        <v>8376</v>
      </c>
      <c r="O1152" s="7" t="s">
        <v>8376</v>
      </c>
      <c r="P1152" s="7" t="s">
        <v>135</v>
      </c>
      <c r="Q1152" s="7"/>
      <c r="R1152" s="7" t="s">
        <v>109</v>
      </c>
      <c r="S1152" s="7" t="s">
        <v>110</v>
      </c>
      <c r="T1152" s="7" t="n">
        <v>0.576</v>
      </c>
      <c r="U1152" s="7" t="n">
        <v>1</v>
      </c>
      <c r="V1152" s="7" t="s">
        <v>90</v>
      </c>
      <c r="W1152" s="7"/>
      <c r="X1152" s="7"/>
      <c r="Y1152" s="7" t="s">
        <v>8376</v>
      </c>
      <c r="Z1152" s="7"/>
      <c r="AA1152" s="7"/>
      <c r="AB1152" s="7"/>
      <c r="AC1152" s="7" t="n">
        <v>0</v>
      </c>
      <c r="AD1152" s="7" t="s">
        <v>388</v>
      </c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 t="s">
        <v>2797</v>
      </c>
      <c r="BE1152" s="7" t="s">
        <v>127</v>
      </c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</row>
    <row r="1153" customFormat="false" ht="15" hidden="false" customHeight="false" outlineLevel="0" collapsed="false">
      <c r="A1153" s="7" t="s">
        <v>8377</v>
      </c>
      <c r="B1153" s="7" t="s">
        <v>8378</v>
      </c>
      <c r="C1153" s="7" t="s">
        <v>8379</v>
      </c>
      <c r="D1153" s="7" t="s">
        <v>8380</v>
      </c>
      <c r="E1153" s="7" t="s">
        <v>819</v>
      </c>
      <c r="F1153" s="7" t="s">
        <v>819</v>
      </c>
      <c r="G1153" s="7"/>
      <c r="H1153" s="7" t="s">
        <v>207</v>
      </c>
      <c r="I1153" s="7" t="s">
        <v>132</v>
      </c>
      <c r="J1153" s="7" t="s">
        <v>104</v>
      </c>
      <c r="K1153" s="7" t="s">
        <v>105</v>
      </c>
      <c r="L1153" s="7" t="s">
        <v>106</v>
      </c>
      <c r="M1153" s="7"/>
      <c r="N1153" s="7" t="s">
        <v>8381</v>
      </c>
      <c r="O1153" s="7"/>
      <c r="P1153" s="7" t="s">
        <v>135</v>
      </c>
      <c r="Q1153" s="7"/>
      <c r="R1153" s="7"/>
      <c r="S1153" s="7"/>
      <c r="T1153" s="7" t="n">
        <v>0.221</v>
      </c>
      <c r="U1153" s="7" t="n">
        <v>1</v>
      </c>
      <c r="V1153" s="7" t="s">
        <v>90</v>
      </c>
      <c r="W1153" s="7"/>
      <c r="X1153" s="7"/>
      <c r="Y1153" s="7" t="s">
        <v>8381</v>
      </c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 t="s">
        <v>440</v>
      </c>
      <c r="BE1153" s="7" t="s">
        <v>127</v>
      </c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</row>
    <row r="1154" customFormat="false" ht="15" hidden="false" customHeight="false" outlineLevel="0" collapsed="false">
      <c r="A1154" s="7" t="s">
        <v>8382</v>
      </c>
      <c r="B1154" s="7" t="s">
        <v>8383</v>
      </c>
      <c r="C1154" s="7" t="s">
        <v>8384</v>
      </c>
      <c r="D1154" s="7" t="s">
        <v>8385</v>
      </c>
      <c r="E1154" s="7" t="s">
        <v>444</v>
      </c>
      <c r="F1154" s="7" t="s">
        <v>444</v>
      </c>
      <c r="G1154" s="7"/>
      <c r="H1154" s="7" t="s">
        <v>207</v>
      </c>
      <c r="I1154" s="7" t="s">
        <v>132</v>
      </c>
      <c r="J1154" s="7" t="s">
        <v>104</v>
      </c>
      <c r="K1154" s="7" t="s">
        <v>105</v>
      </c>
      <c r="L1154" s="7" t="s">
        <v>106</v>
      </c>
      <c r="M1154" s="7"/>
      <c r="N1154" s="7" t="s">
        <v>8386</v>
      </c>
      <c r="O1154" s="7" t="s">
        <v>8386</v>
      </c>
      <c r="P1154" s="7" t="s">
        <v>135</v>
      </c>
      <c r="Q1154" s="7"/>
      <c r="R1154" s="7" t="s">
        <v>109</v>
      </c>
      <c r="S1154" s="7" t="s">
        <v>110</v>
      </c>
      <c r="T1154" s="7" t="n">
        <v>0.275</v>
      </c>
      <c r="U1154" s="7" t="n">
        <v>1</v>
      </c>
      <c r="V1154" s="7" t="s">
        <v>90</v>
      </c>
      <c r="W1154" s="7"/>
      <c r="X1154" s="7"/>
      <c r="Y1154" s="7" t="s">
        <v>8386</v>
      </c>
      <c r="Z1154" s="7"/>
      <c r="AA1154" s="7"/>
      <c r="AB1154" s="7"/>
      <c r="AC1154" s="7" t="n">
        <v>0</v>
      </c>
      <c r="AD1154" s="7" t="s">
        <v>388</v>
      </c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 t="s">
        <v>440</v>
      </c>
      <c r="BE1154" s="7" t="s">
        <v>127</v>
      </c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</row>
    <row r="1155" customFormat="false" ht="15" hidden="false" customHeight="false" outlineLevel="0" collapsed="false">
      <c r="A1155" s="7" t="s">
        <v>8387</v>
      </c>
      <c r="B1155" s="7" t="s">
        <v>8388</v>
      </c>
      <c r="C1155" s="7" t="s">
        <v>8389</v>
      </c>
      <c r="D1155" s="7" t="s">
        <v>8390</v>
      </c>
      <c r="E1155" s="7" t="s">
        <v>1966</v>
      </c>
      <c r="F1155" s="7" t="s">
        <v>1966</v>
      </c>
      <c r="G1155" s="7"/>
      <c r="H1155" s="7" t="s">
        <v>207</v>
      </c>
      <c r="I1155" s="7" t="s">
        <v>208</v>
      </c>
      <c r="J1155" s="7" t="s">
        <v>104</v>
      </c>
      <c r="K1155" s="7" t="s">
        <v>105</v>
      </c>
      <c r="L1155" s="7" t="s">
        <v>106</v>
      </c>
      <c r="M1155" s="7"/>
      <c r="N1155" s="7" t="s">
        <v>8391</v>
      </c>
      <c r="O1155" s="7" t="s">
        <v>8391</v>
      </c>
      <c r="P1155" s="7" t="s">
        <v>135</v>
      </c>
      <c r="Q1155" s="7"/>
      <c r="R1155" s="7" t="s">
        <v>109</v>
      </c>
      <c r="S1155" s="7" t="s">
        <v>110</v>
      </c>
      <c r="T1155" s="7" t="n">
        <v>0.41</v>
      </c>
      <c r="U1155" s="7" t="n">
        <v>1</v>
      </c>
      <c r="V1155" s="7" t="s">
        <v>90</v>
      </c>
      <c r="W1155" s="7"/>
      <c r="X1155" s="7"/>
      <c r="Y1155" s="7" t="s">
        <v>8391</v>
      </c>
      <c r="Z1155" s="7"/>
      <c r="AA1155" s="7"/>
      <c r="AB1155" s="7"/>
      <c r="AC1155" s="7" t="n">
        <v>0</v>
      </c>
      <c r="AD1155" s="7" t="s">
        <v>388</v>
      </c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 t="s">
        <v>440</v>
      </c>
      <c r="BE1155" s="7" t="s">
        <v>127</v>
      </c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</row>
    <row r="1156" customFormat="false" ht="15" hidden="false" customHeight="false" outlineLevel="0" collapsed="false">
      <c r="A1156" s="7" t="s">
        <v>8392</v>
      </c>
      <c r="B1156" s="7" t="s">
        <v>8393</v>
      </c>
      <c r="C1156" s="7" t="s">
        <v>8394</v>
      </c>
      <c r="D1156" s="7" t="s">
        <v>8370</v>
      </c>
      <c r="E1156" s="7" t="s">
        <v>1966</v>
      </c>
      <c r="F1156" s="7" t="s">
        <v>1966</v>
      </c>
      <c r="G1156" s="7"/>
      <c r="H1156" s="7" t="s">
        <v>207</v>
      </c>
      <c r="I1156" s="7" t="s">
        <v>158</v>
      </c>
      <c r="J1156" s="7" t="s">
        <v>104</v>
      </c>
      <c r="K1156" s="7" t="s">
        <v>105</v>
      </c>
      <c r="L1156" s="7" t="s">
        <v>353</v>
      </c>
      <c r="M1156" s="7"/>
      <c r="N1156" s="7" t="s">
        <v>8395</v>
      </c>
      <c r="O1156" s="7" t="s">
        <v>8395</v>
      </c>
      <c r="P1156" s="7" t="s">
        <v>135</v>
      </c>
      <c r="Q1156" s="7"/>
      <c r="R1156" s="7" t="s">
        <v>109</v>
      </c>
      <c r="S1156" s="7" t="s">
        <v>110</v>
      </c>
      <c r="T1156" s="7" t="n">
        <v>0.313</v>
      </c>
      <c r="U1156" s="7" t="n">
        <v>1</v>
      </c>
      <c r="V1156" s="7" t="s">
        <v>90</v>
      </c>
      <c r="W1156" s="7"/>
      <c r="X1156" s="7"/>
      <c r="Y1156" s="7" t="s">
        <v>8395</v>
      </c>
      <c r="Z1156" s="7"/>
      <c r="AA1156" s="7"/>
      <c r="AB1156" s="7"/>
      <c r="AC1156" s="7" t="n">
        <v>0</v>
      </c>
      <c r="AD1156" s="7" t="s">
        <v>388</v>
      </c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 t="s">
        <v>440</v>
      </c>
      <c r="BE1156" s="7" t="s">
        <v>127</v>
      </c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</row>
    <row r="1157" customFormat="false" ht="15" hidden="false" customHeight="false" outlineLevel="0" collapsed="false">
      <c r="A1157" s="7" t="s">
        <v>8396</v>
      </c>
      <c r="B1157" s="7" t="s">
        <v>8397</v>
      </c>
      <c r="C1157" s="7" t="s">
        <v>8398</v>
      </c>
      <c r="D1157" s="7" t="s">
        <v>8399</v>
      </c>
      <c r="E1157" s="7" t="s">
        <v>819</v>
      </c>
      <c r="F1157" s="7" t="s">
        <v>819</v>
      </c>
      <c r="G1157" s="7"/>
      <c r="H1157" s="7" t="s">
        <v>207</v>
      </c>
      <c r="I1157" s="7" t="s">
        <v>300</v>
      </c>
      <c r="J1157" s="7" t="s">
        <v>104</v>
      </c>
      <c r="K1157" s="7" t="s">
        <v>105</v>
      </c>
      <c r="L1157" s="7" t="s">
        <v>106</v>
      </c>
      <c r="M1157" s="7"/>
      <c r="N1157" s="7" t="s">
        <v>8400</v>
      </c>
      <c r="O1157" s="7"/>
      <c r="P1157" s="7" t="s">
        <v>135</v>
      </c>
      <c r="Q1157" s="7"/>
      <c r="R1157" s="7"/>
      <c r="S1157" s="7"/>
      <c r="T1157" s="7" t="n">
        <v>0.227</v>
      </c>
      <c r="U1157" s="7" t="n">
        <v>1</v>
      </c>
      <c r="V1157" s="7" t="s">
        <v>90</v>
      </c>
      <c r="W1157" s="7"/>
      <c r="X1157" s="7"/>
      <c r="Y1157" s="7" t="s">
        <v>8400</v>
      </c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 t="s">
        <v>440</v>
      </c>
      <c r="BE1157" s="7" t="s">
        <v>127</v>
      </c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</row>
    <row r="1158" customFormat="false" ht="15" hidden="false" customHeight="false" outlineLevel="0" collapsed="false">
      <c r="A1158" s="7" t="s">
        <v>8401</v>
      </c>
      <c r="B1158" s="7" t="s">
        <v>8402</v>
      </c>
      <c r="C1158" s="7" t="s">
        <v>8403</v>
      </c>
      <c r="D1158" s="7" t="s">
        <v>8375</v>
      </c>
      <c r="E1158" s="7" t="s">
        <v>431</v>
      </c>
      <c r="F1158" s="7" t="s">
        <v>431</v>
      </c>
      <c r="G1158" s="7"/>
      <c r="H1158" s="7" t="s">
        <v>207</v>
      </c>
      <c r="I1158" s="7" t="s">
        <v>132</v>
      </c>
      <c r="J1158" s="7" t="s">
        <v>104</v>
      </c>
      <c r="K1158" s="7" t="s">
        <v>105</v>
      </c>
      <c r="L1158" s="7" t="s">
        <v>106</v>
      </c>
      <c r="M1158" s="7"/>
      <c r="N1158" s="7" t="s">
        <v>8404</v>
      </c>
      <c r="O1158" s="7" t="s">
        <v>8404</v>
      </c>
      <c r="P1158" s="7" t="s">
        <v>135</v>
      </c>
      <c r="Q1158" s="7"/>
      <c r="R1158" s="7" t="s">
        <v>109</v>
      </c>
      <c r="S1158" s="7" t="s">
        <v>110</v>
      </c>
      <c r="T1158" s="7" t="n">
        <v>0.346</v>
      </c>
      <c r="U1158" s="7" t="n">
        <v>1</v>
      </c>
      <c r="V1158" s="7" t="s">
        <v>90</v>
      </c>
      <c r="W1158" s="7"/>
      <c r="X1158" s="7"/>
      <c r="Y1158" s="7" t="s">
        <v>8404</v>
      </c>
      <c r="Z1158" s="7"/>
      <c r="AA1158" s="7"/>
      <c r="AB1158" s="7"/>
      <c r="AC1158" s="7" t="n">
        <v>0</v>
      </c>
      <c r="AD1158" s="7" t="s">
        <v>388</v>
      </c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 t="s">
        <v>2797</v>
      </c>
      <c r="BE1158" s="7" t="s">
        <v>127</v>
      </c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</row>
    <row r="1159" customFormat="false" ht="15" hidden="false" customHeight="false" outlineLevel="0" collapsed="false">
      <c r="A1159" s="7" t="s">
        <v>8405</v>
      </c>
      <c r="B1159" s="7" t="s">
        <v>8406</v>
      </c>
      <c r="C1159" s="7" t="s">
        <v>8407</v>
      </c>
      <c r="D1159" s="7" t="s">
        <v>8408</v>
      </c>
      <c r="E1159" s="7" t="s">
        <v>8409</v>
      </c>
      <c r="F1159" s="7" t="s">
        <v>8409</v>
      </c>
      <c r="G1159" s="7"/>
      <c r="H1159" s="7" t="s">
        <v>207</v>
      </c>
      <c r="I1159" s="7" t="s">
        <v>132</v>
      </c>
      <c r="J1159" s="7" t="s">
        <v>104</v>
      </c>
      <c r="K1159" s="7" t="s">
        <v>105</v>
      </c>
      <c r="L1159" s="7" t="s">
        <v>106</v>
      </c>
      <c r="M1159" s="7"/>
      <c r="N1159" s="7" t="s">
        <v>8410</v>
      </c>
      <c r="O1159" s="7" t="s">
        <v>8410</v>
      </c>
      <c r="P1159" s="7" t="s">
        <v>109</v>
      </c>
      <c r="Q1159" s="7"/>
      <c r="R1159" s="7" t="s">
        <v>109</v>
      </c>
      <c r="S1159" s="7" t="s">
        <v>110</v>
      </c>
      <c r="T1159" s="7" t="n">
        <v>0.365</v>
      </c>
      <c r="U1159" s="7" t="n">
        <v>1</v>
      </c>
      <c r="V1159" s="7" t="s">
        <v>1156</v>
      </c>
      <c r="W1159" s="7"/>
      <c r="X1159" s="7"/>
      <c r="Y1159" s="7" t="s">
        <v>8410</v>
      </c>
      <c r="Z1159" s="7"/>
      <c r="AA1159" s="7"/>
      <c r="AB1159" s="7"/>
      <c r="AC1159" s="7" t="n">
        <v>0</v>
      </c>
      <c r="AD1159" s="7" t="s">
        <v>388</v>
      </c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 t="s">
        <v>127</v>
      </c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</row>
    <row r="1160" customFormat="false" ht="15" hidden="false" customHeight="false" outlineLevel="0" collapsed="false">
      <c r="A1160" s="7" t="s">
        <v>8411</v>
      </c>
      <c r="B1160" s="7" t="s">
        <v>8412</v>
      </c>
      <c r="C1160" s="7" t="s">
        <v>8413</v>
      </c>
      <c r="D1160" s="7" t="s">
        <v>8414</v>
      </c>
      <c r="E1160" s="7" t="s">
        <v>819</v>
      </c>
      <c r="F1160" s="7" t="s">
        <v>819</v>
      </c>
      <c r="G1160" s="7"/>
      <c r="H1160" s="7" t="s">
        <v>207</v>
      </c>
      <c r="I1160" s="7" t="s">
        <v>132</v>
      </c>
      <c r="J1160" s="7" t="s">
        <v>104</v>
      </c>
      <c r="K1160" s="7" t="s">
        <v>105</v>
      </c>
      <c r="L1160" s="7" t="s">
        <v>106</v>
      </c>
      <c r="M1160" s="7"/>
      <c r="N1160" s="7" t="s">
        <v>8415</v>
      </c>
      <c r="O1160" s="7" t="s">
        <v>8415</v>
      </c>
      <c r="P1160" s="7" t="s">
        <v>135</v>
      </c>
      <c r="Q1160" s="7"/>
      <c r="R1160" s="7" t="s">
        <v>109</v>
      </c>
      <c r="S1160" s="7" t="s">
        <v>110</v>
      </c>
      <c r="T1160" s="7" t="n">
        <v>0.482</v>
      </c>
      <c r="U1160" s="7" t="n">
        <v>1</v>
      </c>
      <c r="V1160" s="7" t="s">
        <v>90</v>
      </c>
      <c r="W1160" s="7"/>
      <c r="X1160" s="7"/>
      <c r="Y1160" s="7" t="s">
        <v>8415</v>
      </c>
      <c r="Z1160" s="7"/>
      <c r="AA1160" s="7"/>
      <c r="AB1160" s="7"/>
      <c r="AC1160" s="7" t="n">
        <v>0</v>
      </c>
      <c r="AD1160" s="7" t="s">
        <v>388</v>
      </c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 t="s">
        <v>2797</v>
      </c>
      <c r="BE1160" s="7" t="s">
        <v>127</v>
      </c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</row>
    <row r="1161" customFormat="false" ht="15" hidden="false" customHeight="false" outlineLevel="0" collapsed="false">
      <c r="A1161" s="7" t="s">
        <v>8416</v>
      </c>
      <c r="B1161" s="7" t="s">
        <v>8417</v>
      </c>
      <c r="C1161" s="7" t="s">
        <v>8418</v>
      </c>
      <c r="D1161" s="7" t="s">
        <v>8419</v>
      </c>
      <c r="E1161" s="7" t="s">
        <v>819</v>
      </c>
      <c r="F1161" s="7" t="s">
        <v>819</v>
      </c>
      <c r="G1161" s="7"/>
      <c r="H1161" s="7" t="s">
        <v>207</v>
      </c>
      <c r="I1161" s="7" t="s">
        <v>158</v>
      </c>
      <c r="J1161" s="7" t="s">
        <v>104</v>
      </c>
      <c r="K1161" s="7" t="s">
        <v>105</v>
      </c>
      <c r="L1161" s="7" t="s">
        <v>106</v>
      </c>
      <c r="M1161" s="7"/>
      <c r="N1161" s="7" t="s">
        <v>8420</v>
      </c>
      <c r="O1161" s="7" t="s">
        <v>8420</v>
      </c>
      <c r="P1161" s="7" t="s">
        <v>109</v>
      </c>
      <c r="Q1161" s="7"/>
      <c r="R1161" s="7" t="s">
        <v>109</v>
      </c>
      <c r="S1161" s="7" t="s">
        <v>110</v>
      </c>
      <c r="T1161" s="7" t="n">
        <v>0.36</v>
      </c>
      <c r="U1161" s="7" t="n">
        <v>1</v>
      </c>
      <c r="V1161" s="7" t="s">
        <v>1156</v>
      </c>
      <c r="W1161" s="7"/>
      <c r="X1161" s="7"/>
      <c r="Y1161" s="7" t="s">
        <v>8420</v>
      </c>
      <c r="Z1161" s="7"/>
      <c r="AA1161" s="7"/>
      <c r="AB1161" s="7"/>
      <c r="AC1161" s="7" t="n">
        <v>0</v>
      </c>
      <c r="AD1161" s="7" t="s">
        <v>388</v>
      </c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 t="s">
        <v>127</v>
      </c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</row>
    <row r="1162" customFormat="false" ht="15" hidden="false" customHeight="false" outlineLevel="0" collapsed="false">
      <c r="A1162" s="7" t="s">
        <v>8421</v>
      </c>
      <c r="B1162" s="7" t="s">
        <v>8422</v>
      </c>
      <c r="C1162" s="7" t="s">
        <v>8423</v>
      </c>
      <c r="D1162" s="7" t="s">
        <v>8424</v>
      </c>
      <c r="E1162" s="7" t="s">
        <v>431</v>
      </c>
      <c r="F1162" s="7" t="s">
        <v>431</v>
      </c>
      <c r="G1162" s="7"/>
      <c r="H1162" s="7" t="s">
        <v>207</v>
      </c>
      <c r="I1162" s="7" t="s">
        <v>234</v>
      </c>
      <c r="J1162" s="7" t="s">
        <v>104</v>
      </c>
      <c r="K1162" s="7" t="s">
        <v>105</v>
      </c>
      <c r="L1162" s="7" t="s">
        <v>259</v>
      </c>
      <c r="M1162" s="7"/>
      <c r="N1162" s="7" t="s">
        <v>8425</v>
      </c>
      <c r="O1162" s="7" t="s">
        <v>8425</v>
      </c>
      <c r="P1162" s="7" t="s">
        <v>109</v>
      </c>
      <c r="Q1162" s="7"/>
      <c r="R1162" s="7" t="s">
        <v>109</v>
      </c>
      <c r="S1162" s="7" t="s">
        <v>110</v>
      </c>
      <c r="T1162" s="7" t="n">
        <v>0.657</v>
      </c>
      <c r="U1162" s="7" t="n">
        <v>1</v>
      </c>
      <c r="V1162" s="7" t="s">
        <v>86</v>
      </c>
      <c r="W1162" s="7"/>
      <c r="X1162" s="7"/>
      <c r="Y1162" s="7" t="s">
        <v>8425</v>
      </c>
      <c r="Z1162" s="7"/>
      <c r="AA1162" s="7"/>
      <c r="AB1162" s="7"/>
      <c r="AC1162" s="7" t="n">
        <v>0</v>
      </c>
      <c r="AD1162" s="7" t="s">
        <v>388</v>
      </c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 t="s">
        <v>127</v>
      </c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8"/>
      <c r="BS1162" s="8"/>
    </row>
    <row r="1163" customFormat="false" ht="15" hidden="false" customHeight="false" outlineLevel="0" collapsed="false">
      <c r="A1163" s="7" t="s">
        <v>8426</v>
      </c>
      <c r="B1163" s="7" t="s">
        <v>8427</v>
      </c>
      <c r="C1163" s="7" t="s">
        <v>8428</v>
      </c>
      <c r="D1163" s="7" t="s">
        <v>8429</v>
      </c>
      <c r="E1163" s="7" t="s">
        <v>410</v>
      </c>
      <c r="F1163" s="7" t="s">
        <v>410</v>
      </c>
      <c r="G1163" s="7"/>
      <c r="H1163" s="7" t="s">
        <v>207</v>
      </c>
      <c r="I1163" s="7" t="s">
        <v>132</v>
      </c>
      <c r="J1163" s="7" t="s">
        <v>104</v>
      </c>
      <c r="K1163" s="7" t="s">
        <v>105</v>
      </c>
      <c r="L1163" s="7" t="s">
        <v>106</v>
      </c>
      <c r="M1163" s="7"/>
      <c r="N1163" s="7" t="s">
        <v>8430</v>
      </c>
      <c r="O1163" s="7" t="s">
        <v>8430</v>
      </c>
      <c r="P1163" s="7" t="s">
        <v>135</v>
      </c>
      <c r="Q1163" s="7"/>
      <c r="R1163" s="7" t="s">
        <v>109</v>
      </c>
      <c r="S1163" s="7" t="s">
        <v>110</v>
      </c>
      <c r="T1163" s="7" t="n">
        <v>0.389</v>
      </c>
      <c r="U1163" s="7" t="n">
        <v>5</v>
      </c>
      <c r="V1163" s="7" t="s">
        <v>90</v>
      </c>
      <c r="W1163" s="7"/>
      <c r="X1163" s="7"/>
      <c r="Y1163" s="7" t="s">
        <v>8431</v>
      </c>
      <c r="Z1163" s="7"/>
      <c r="AA1163" s="7"/>
      <c r="AB1163" s="7"/>
      <c r="AC1163" s="7" t="n">
        <v>0</v>
      </c>
      <c r="AD1163" s="7" t="s">
        <v>388</v>
      </c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 t="s">
        <v>2797</v>
      </c>
      <c r="BE1163" s="7" t="s">
        <v>127</v>
      </c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</row>
    <row r="1164" customFormat="false" ht="15" hidden="false" customHeight="false" outlineLevel="0" collapsed="false">
      <c r="A1164" s="7" t="s">
        <v>8432</v>
      </c>
      <c r="B1164" s="7" t="s">
        <v>8433</v>
      </c>
      <c r="C1164" s="7" t="s">
        <v>8434</v>
      </c>
      <c r="D1164" s="7" t="s">
        <v>8385</v>
      </c>
      <c r="E1164" s="7" t="s">
        <v>444</v>
      </c>
      <c r="F1164" s="7" t="s">
        <v>444</v>
      </c>
      <c r="G1164" s="7"/>
      <c r="H1164" s="7" t="s">
        <v>207</v>
      </c>
      <c r="I1164" s="7" t="s">
        <v>374</v>
      </c>
      <c r="J1164" s="7" t="s">
        <v>104</v>
      </c>
      <c r="K1164" s="7" t="s">
        <v>105</v>
      </c>
      <c r="L1164" s="7" t="s">
        <v>106</v>
      </c>
      <c r="M1164" s="7"/>
      <c r="N1164" s="7" t="s">
        <v>8435</v>
      </c>
      <c r="O1164" s="7" t="s">
        <v>8435</v>
      </c>
      <c r="P1164" s="7" t="s">
        <v>135</v>
      </c>
      <c r="Q1164" s="7"/>
      <c r="R1164" s="7" t="s">
        <v>109</v>
      </c>
      <c r="S1164" s="7" t="s">
        <v>110</v>
      </c>
      <c r="T1164" s="7" t="n">
        <v>0.219</v>
      </c>
      <c r="U1164" s="7" t="n">
        <v>1</v>
      </c>
      <c r="V1164" s="7" t="s">
        <v>90</v>
      </c>
      <c r="W1164" s="7"/>
      <c r="X1164" s="7"/>
      <c r="Y1164" s="7" t="s">
        <v>8435</v>
      </c>
      <c r="Z1164" s="7"/>
      <c r="AA1164" s="7"/>
      <c r="AB1164" s="7"/>
      <c r="AC1164" s="7" t="n">
        <v>0</v>
      </c>
      <c r="AD1164" s="7" t="s">
        <v>388</v>
      </c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 t="s">
        <v>440</v>
      </c>
      <c r="BE1164" s="7" t="s">
        <v>127</v>
      </c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8"/>
      <c r="BS1164" s="8"/>
    </row>
    <row r="1165" customFormat="false" ht="15" hidden="false" customHeight="false" outlineLevel="0" collapsed="false">
      <c r="A1165" s="7" t="s">
        <v>8436</v>
      </c>
      <c r="B1165" s="7" t="s">
        <v>8437</v>
      </c>
      <c r="C1165" s="7" t="s">
        <v>8438</v>
      </c>
      <c r="D1165" s="7" t="s">
        <v>8439</v>
      </c>
      <c r="E1165" s="7" t="s">
        <v>819</v>
      </c>
      <c r="F1165" s="7" t="s">
        <v>819</v>
      </c>
      <c r="G1165" s="7"/>
      <c r="H1165" s="7" t="s">
        <v>207</v>
      </c>
      <c r="I1165" s="7" t="s">
        <v>103</v>
      </c>
      <c r="J1165" s="7" t="s">
        <v>104</v>
      </c>
      <c r="K1165" s="7" t="s">
        <v>105</v>
      </c>
      <c r="L1165" s="7" t="s">
        <v>106</v>
      </c>
      <c r="M1165" s="7"/>
      <c r="N1165" s="7" t="s">
        <v>8440</v>
      </c>
      <c r="O1165" s="7" t="s">
        <v>8440</v>
      </c>
      <c r="P1165" s="7" t="s">
        <v>135</v>
      </c>
      <c r="Q1165" s="7"/>
      <c r="R1165" s="7" t="s">
        <v>109</v>
      </c>
      <c r="S1165" s="7" t="s">
        <v>110</v>
      </c>
      <c r="T1165" s="7" t="n">
        <v>0.43</v>
      </c>
      <c r="U1165" s="7" t="n">
        <v>1</v>
      </c>
      <c r="V1165" s="7" t="s">
        <v>90</v>
      </c>
      <c r="W1165" s="7"/>
      <c r="X1165" s="7"/>
      <c r="Y1165" s="7" t="s">
        <v>8440</v>
      </c>
      <c r="Z1165" s="7"/>
      <c r="AA1165" s="7"/>
      <c r="AB1165" s="7"/>
      <c r="AC1165" s="7" t="n">
        <v>0</v>
      </c>
      <c r="AD1165" s="7" t="s">
        <v>388</v>
      </c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 t="s">
        <v>2797</v>
      </c>
      <c r="BE1165" s="7" t="s">
        <v>127</v>
      </c>
      <c r="BF1165" s="8"/>
      <c r="BG1165" s="8"/>
      <c r="BH1165" s="8"/>
      <c r="BI1165" s="8"/>
      <c r="BJ1165" s="8"/>
      <c r="BK1165" s="8"/>
      <c r="BL1165" s="8"/>
      <c r="BM1165" s="8"/>
      <c r="BN1165" s="8"/>
      <c r="BO1165" s="8"/>
      <c r="BP1165" s="8"/>
      <c r="BQ1165" s="8"/>
      <c r="BR1165" s="8"/>
      <c r="BS1165" s="8"/>
    </row>
    <row r="1166" customFormat="false" ht="15" hidden="false" customHeight="false" outlineLevel="0" collapsed="false">
      <c r="A1166" s="7" t="s">
        <v>8441</v>
      </c>
      <c r="B1166" s="7" t="s">
        <v>8442</v>
      </c>
      <c r="C1166" s="7" t="s">
        <v>8443</v>
      </c>
      <c r="D1166" s="7" t="s">
        <v>8444</v>
      </c>
      <c r="E1166" s="7" t="s">
        <v>819</v>
      </c>
      <c r="F1166" s="7" t="s">
        <v>819</v>
      </c>
      <c r="G1166" s="7"/>
      <c r="H1166" s="7" t="s">
        <v>207</v>
      </c>
      <c r="I1166" s="7" t="s">
        <v>132</v>
      </c>
      <c r="J1166" s="7" t="s">
        <v>104</v>
      </c>
      <c r="K1166" s="7" t="s">
        <v>105</v>
      </c>
      <c r="L1166" s="7" t="s">
        <v>106</v>
      </c>
      <c r="M1166" s="7"/>
      <c r="N1166" s="7" t="s">
        <v>8445</v>
      </c>
      <c r="O1166" s="7"/>
      <c r="P1166" s="7" t="s">
        <v>135</v>
      </c>
      <c r="Q1166" s="7"/>
      <c r="R1166" s="7"/>
      <c r="S1166" s="7"/>
      <c r="T1166" s="7" t="n">
        <v>0.225</v>
      </c>
      <c r="U1166" s="7" t="n">
        <v>1</v>
      </c>
      <c r="V1166" s="7" t="s">
        <v>90</v>
      </c>
      <c r="W1166" s="7"/>
      <c r="X1166" s="7"/>
      <c r="Y1166" s="7" t="s">
        <v>8445</v>
      </c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 t="s">
        <v>440</v>
      </c>
      <c r="BE1166" s="7" t="s">
        <v>127</v>
      </c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</row>
    <row r="1167" customFormat="false" ht="15" hidden="false" customHeight="false" outlineLevel="0" collapsed="false">
      <c r="A1167" s="7" t="s">
        <v>8446</v>
      </c>
      <c r="B1167" s="7" t="s">
        <v>8447</v>
      </c>
      <c r="C1167" s="7" t="s">
        <v>8448</v>
      </c>
      <c r="D1167" s="7" t="s">
        <v>8449</v>
      </c>
      <c r="E1167" s="7" t="s">
        <v>444</v>
      </c>
      <c r="F1167" s="7" t="s">
        <v>444</v>
      </c>
      <c r="G1167" s="7"/>
      <c r="H1167" s="7" t="s">
        <v>207</v>
      </c>
      <c r="I1167" s="7" t="s">
        <v>158</v>
      </c>
      <c r="J1167" s="7" t="s">
        <v>104</v>
      </c>
      <c r="K1167" s="7" t="s">
        <v>105</v>
      </c>
      <c r="L1167" s="7" t="s">
        <v>106</v>
      </c>
      <c r="M1167" s="7"/>
      <c r="N1167" s="7" t="s">
        <v>8450</v>
      </c>
      <c r="O1167" s="7" t="s">
        <v>8450</v>
      </c>
      <c r="P1167" s="7" t="s">
        <v>135</v>
      </c>
      <c r="Q1167" s="7"/>
      <c r="R1167" s="7" t="s">
        <v>109</v>
      </c>
      <c r="S1167" s="7" t="s">
        <v>110</v>
      </c>
      <c r="T1167" s="7" t="n">
        <v>0.439</v>
      </c>
      <c r="U1167" s="7" t="n">
        <v>1</v>
      </c>
      <c r="V1167" s="7" t="s">
        <v>90</v>
      </c>
      <c r="W1167" s="7"/>
      <c r="X1167" s="7"/>
      <c r="Y1167" s="7" t="s">
        <v>8450</v>
      </c>
      <c r="Z1167" s="7"/>
      <c r="AA1167" s="7"/>
      <c r="AB1167" s="7"/>
      <c r="AC1167" s="7" t="n">
        <v>0</v>
      </c>
      <c r="AD1167" s="7" t="s">
        <v>388</v>
      </c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 t="s">
        <v>2797</v>
      </c>
      <c r="BE1167" s="7" t="s">
        <v>127</v>
      </c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</row>
    <row r="1168" customFormat="false" ht="15" hidden="false" customHeight="false" outlineLevel="0" collapsed="false">
      <c r="A1168" s="7" t="s">
        <v>8451</v>
      </c>
      <c r="B1168" s="7" t="s">
        <v>8452</v>
      </c>
      <c r="C1168" s="7" t="s">
        <v>8453</v>
      </c>
      <c r="D1168" s="7" t="s">
        <v>8454</v>
      </c>
      <c r="E1168" s="7" t="s">
        <v>819</v>
      </c>
      <c r="F1168" s="7" t="s">
        <v>819</v>
      </c>
      <c r="G1168" s="7"/>
      <c r="H1168" s="7" t="s">
        <v>207</v>
      </c>
      <c r="I1168" s="7" t="s">
        <v>132</v>
      </c>
      <c r="J1168" s="7" t="s">
        <v>104</v>
      </c>
      <c r="K1168" s="7" t="s">
        <v>105</v>
      </c>
      <c r="L1168" s="7" t="s">
        <v>106</v>
      </c>
      <c r="M1168" s="7"/>
      <c r="N1168" s="7" t="s">
        <v>8455</v>
      </c>
      <c r="O1168" s="7"/>
      <c r="P1168" s="7" t="s">
        <v>135</v>
      </c>
      <c r="Q1168" s="7"/>
      <c r="R1168" s="7"/>
      <c r="S1168" s="7"/>
      <c r="T1168" s="7" t="n">
        <v>0.28</v>
      </c>
      <c r="U1168" s="7" t="n">
        <v>1</v>
      </c>
      <c r="V1168" s="7" t="s">
        <v>90</v>
      </c>
      <c r="W1168" s="7"/>
      <c r="X1168" s="7"/>
      <c r="Y1168" s="7" t="s">
        <v>8455</v>
      </c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 t="s">
        <v>2797</v>
      </c>
      <c r="BE1168" s="7" t="s">
        <v>127</v>
      </c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</row>
    <row r="1169" customFormat="false" ht="15" hidden="false" customHeight="false" outlineLevel="0" collapsed="false">
      <c r="A1169" s="7" t="s">
        <v>8456</v>
      </c>
      <c r="B1169" s="7" t="s">
        <v>8457</v>
      </c>
      <c r="C1169" s="7" t="s">
        <v>8458</v>
      </c>
      <c r="D1169" s="7" t="s">
        <v>8459</v>
      </c>
      <c r="E1169" s="7" t="s">
        <v>819</v>
      </c>
      <c r="F1169" s="7" t="s">
        <v>819</v>
      </c>
      <c r="G1169" s="7"/>
      <c r="H1169" s="7" t="s">
        <v>207</v>
      </c>
      <c r="I1169" s="7" t="s">
        <v>208</v>
      </c>
      <c r="J1169" s="7" t="s">
        <v>104</v>
      </c>
      <c r="K1169" s="7" t="s">
        <v>105</v>
      </c>
      <c r="L1169" s="7" t="s">
        <v>106</v>
      </c>
      <c r="M1169" s="7"/>
      <c r="N1169" s="7" t="s">
        <v>8460</v>
      </c>
      <c r="O1169" s="7" t="s">
        <v>8460</v>
      </c>
      <c r="P1169" s="7" t="s">
        <v>84</v>
      </c>
      <c r="Q1169" s="7"/>
      <c r="R1169" s="7" t="s">
        <v>109</v>
      </c>
      <c r="S1169" s="7" t="s">
        <v>110</v>
      </c>
      <c r="T1169" s="7" t="n">
        <v>0.485</v>
      </c>
      <c r="U1169" s="7" t="n">
        <v>2</v>
      </c>
      <c r="V1169" s="7" t="s">
        <v>479</v>
      </c>
      <c r="W1169" s="7"/>
      <c r="X1169" s="7"/>
      <c r="Y1169" s="7" t="s">
        <v>8460</v>
      </c>
      <c r="Z1169" s="7"/>
      <c r="AA1169" s="7"/>
      <c r="AB1169" s="7"/>
      <c r="AC1169" s="7" t="n">
        <v>0</v>
      </c>
      <c r="AD1169" s="7" t="s">
        <v>388</v>
      </c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 t="s">
        <v>1861</v>
      </c>
      <c r="BE1169" s="7" t="s">
        <v>127</v>
      </c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</row>
    <row r="1170" customFormat="false" ht="15" hidden="false" customHeight="false" outlineLevel="0" collapsed="false">
      <c r="A1170" s="7" t="s">
        <v>8461</v>
      </c>
      <c r="B1170" s="7" t="s">
        <v>8462</v>
      </c>
      <c r="C1170" s="7" t="s">
        <v>8463</v>
      </c>
      <c r="D1170" s="7" t="s">
        <v>8464</v>
      </c>
      <c r="E1170" s="7" t="s">
        <v>410</v>
      </c>
      <c r="F1170" s="7" t="s">
        <v>410</v>
      </c>
      <c r="G1170" s="7"/>
      <c r="H1170" s="7" t="s">
        <v>207</v>
      </c>
      <c r="I1170" s="7" t="s">
        <v>132</v>
      </c>
      <c r="J1170" s="7" t="s">
        <v>104</v>
      </c>
      <c r="K1170" s="7" t="s">
        <v>105</v>
      </c>
      <c r="L1170" s="7" t="s">
        <v>106</v>
      </c>
      <c r="M1170" s="7"/>
      <c r="N1170" s="7" t="s">
        <v>8465</v>
      </c>
      <c r="O1170" s="7" t="s">
        <v>8465</v>
      </c>
      <c r="P1170" s="7" t="s">
        <v>135</v>
      </c>
      <c r="Q1170" s="7"/>
      <c r="R1170" s="7" t="s">
        <v>109</v>
      </c>
      <c r="S1170" s="7" t="s">
        <v>110</v>
      </c>
      <c r="T1170" s="7" t="n">
        <v>0.335</v>
      </c>
      <c r="U1170" s="7" t="n">
        <v>1</v>
      </c>
      <c r="V1170" s="7" t="s">
        <v>90</v>
      </c>
      <c r="W1170" s="7"/>
      <c r="X1170" s="7"/>
      <c r="Y1170" s="7" t="s">
        <v>8465</v>
      </c>
      <c r="Z1170" s="7"/>
      <c r="AA1170" s="7"/>
      <c r="AB1170" s="7"/>
      <c r="AC1170" s="7" t="n">
        <v>0</v>
      </c>
      <c r="AD1170" s="7" t="s">
        <v>388</v>
      </c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 t="s">
        <v>440</v>
      </c>
      <c r="BE1170" s="7" t="s">
        <v>127</v>
      </c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</row>
    <row r="1171" customFormat="false" ht="15" hidden="false" customHeight="false" outlineLevel="0" collapsed="false">
      <c r="A1171" s="7" t="s">
        <v>8466</v>
      </c>
      <c r="B1171" s="7" t="s">
        <v>8467</v>
      </c>
      <c r="C1171" s="7" t="s">
        <v>8468</v>
      </c>
      <c r="D1171" s="7" t="s">
        <v>8469</v>
      </c>
      <c r="E1171" s="7" t="s">
        <v>444</v>
      </c>
      <c r="F1171" s="7" t="s">
        <v>444</v>
      </c>
      <c r="G1171" s="7"/>
      <c r="H1171" s="7" t="s">
        <v>207</v>
      </c>
      <c r="I1171" s="7" t="s">
        <v>132</v>
      </c>
      <c r="J1171" s="7" t="s">
        <v>104</v>
      </c>
      <c r="K1171" s="7" t="s">
        <v>105</v>
      </c>
      <c r="L1171" s="7" t="s">
        <v>106</v>
      </c>
      <c r="M1171" s="7"/>
      <c r="N1171" s="7" t="s">
        <v>8470</v>
      </c>
      <c r="O1171" s="7" t="s">
        <v>8470</v>
      </c>
      <c r="P1171" s="7" t="s">
        <v>135</v>
      </c>
      <c r="Q1171" s="7"/>
      <c r="R1171" s="7" t="s">
        <v>109</v>
      </c>
      <c r="S1171" s="7" t="s">
        <v>110</v>
      </c>
      <c r="T1171" s="7" t="n">
        <v>0.439</v>
      </c>
      <c r="U1171" s="7" t="n">
        <v>1</v>
      </c>
      <c r="V1171" s="7" t="s">
        <v>90</v>
      </c>
      <c r="W1171" s="7"/>
      <c r="X1171" s="7"/>
      <c r="Y1171" s="7" t="s">
        <v>8470</v>
      </c>
      <c r="Z1171" s="7"/>
      <c r="AA1171" s="7"/>
      <c r="AB1171" s="7"/>
      <c r="AC1171" s="7" t="n">
        <v>0</v>
      </c>
      <c r="AD1171" s="7" t="s">
        <v>388</v>
      </c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 t="s">
        <v>440</v>
      </c>
      <c r="BE1171" s="7" t="s">
        <v>127</v>
      </c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</row>
    <row r="1172" customFormat="false" ht="15" hidden="false" customHeight="false" outlineLevel="0" collapsed="false">
      <c r="A1172" s="7" t="s">
        <v>8471</v>
      </c>
      <c r="B1172" s="7" t="s">
        <v>8472</v>
      </c>
      <c r="C1172" s="7" t="s">
        <v>8473</v>
      </c>
      <c r="D1172" s="7" t="s">
        <v>7954</v>
      </c>
      <c r="E1172" s="7" t="s">
        <v>819</v>
      </c>
      <c r="F1172" s="7" t="s">
        <v>819</v>
      </c>
      <c r="G1172" s="7"/>
      <c r="H1172" s="7" t="s">
        <v>207</v>
      </c>
      <c r="I1172" s="7" t="s">
        <v>208</v>
      </c>
      <c r="J1172" s="7" t="s">
        <v>104</v>
      </c>
      <c r="K1172" s="7" t="s">
        <v>105</v>
      </c>
      <c r="L1172" s="7" t="s">
        <v>106</v>
      </c>
      <c r="M1172" s="7"/>
      <c r="N1172" s="7" t="s">
        <v>8474</v>
      </c>
      <c r="O1172" s="7" t="s">
        <v>8474</v>
      </c>
      <c r="P1172" s="7" t="s">
        <v>109</v>
      </c>
      <c r="Q1172" s="7"/>
      <c r="R1172" s="7" t="s">
        <v>109</v>
      </c>
      <c r="S1172" s="7" t="s">
        <v>110</v>
      </c>
      <c r="T1172" s="7" t="n">
        <v>0.742</v>
      </c>
      <c r="U1172" s="7" t="n">
        <v>1</v>
      </c>
      <c r="V1172" s="7" t="s">
        <v>1156</v>
      </c>
      <c r="W1172" s="7"/>
      <c r="X1172" s="7"/>
      <c r="Y1172" s="7" t="s">
        <v>8474</v>
      </c>
      <c r="Z1172" s="7"/>
      <c r="AA1172" s="7"/>
      <c r="AB1172" s="7"/>
      <c r="AC1172" s="7" t="n">
        <v>0</v>
      </c>
      <c r="AD1172" s="7" t="s">
        <v>388</v>
      </c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 t="s">
        <v>127</v>
      </c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</row>
    <row r="1173" customFormat="false" ht="15" hidden="false" customHeight="false" outlineLevel="0" collapsed="false">
      <c r="A1173" s="7" t="s">
        <v>8475</v>
      </c>
      <c r="B1173" s="7" t="s">
        <v>8476</v>
      </c>
      <c r="C1173" s="7" t="s">
        <v>8477</v>
      </c>
      <c r="D1173" s="7" t="s">
        <v>8478</v>
      </c>
      <c r="E1173" s="7" t="s">
        <v>410</v>
      </c>
      <c r="F1173" s="7" t="s">
        <v>410</v>
      </c>
      <c r="G1173" s="7"/>
      <c r="H1173" s="7" t="s">
        <v>207</v>
      </c>
      <c r="I1173" s="7" t="s">
        <v>103</v>
      </c>
      <c r="J1173" s="7" t="s">
        <v>104</v>
      </c>
      <c r="K1173" s="7" t="s">
        <v>105</v>
      </c>
      <c r="L1173" s="7" t="s">
        <v>106</v>
      </c>
      <c r="M1173" s="7"/>
      <c r="N1173" s="7" t="s">
        <v>8479</v>
      </c>
      <c r="O1173" s="7" t="s">
        <v>8479</v>
      </c>
      <c r="P1173" s="7" t="s">
        <v>135</v>
      </c>
      <c r="Q1173" s="7"/>
      <c r="R1173" s="7" t="s">
        <v>109</v>
      </c>
      <c r="S1173" s="7" t="s">
        <v>110</v>
      </c>
      <c r="T1173" s="7" t="n">
        <v>0.421</v>
      </c>
      <c r="U1173" s="7" t="n">
        <v>1</v>
      </c>
      <c r="V1173" s="7" t="s">
        <v>90</v>
      </c>
      <c r="W1173" s="7"/>
      <c r="X1173" s="7"/>
      <c r="Y1173" s="7" t="s">
        <v>8479</v>
      </c>
      <c r="Z1173" s="7"/>
      <c r="AA1173" s="7"/>
      <c r="AB1173" s="7"/>
      <c r="AC1173" s="7" t="n">
        <v>0</v>
      </c>
      <c r="AD1173" s="7" t="s">
        <v>388</v>
      </c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 t="s">
        <v>2797</v>
      </c>
      <c r="BE1173" s="7" t="s">
        <v>127</v>
      </c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</row>
    <row r="1174" customFormat="false" ht="15" hidden="false" customHeight="false" outlineLevel="0" collapsed="false">
      <c r="A1174" s="7" t="s">
        <v>8480</v>
      </c>
      <c r="B1174" s="7" t="s">
        <v>8481</v>
      </c>
      <c r="C1174" s="7" t="s">
        <v>8482</v>
      </c>
      <c r="D1174" s="7" t="s">
        <v>8483</v>
      </c>
      <c r="E1174" s="7" t="s">
        <v>1966</v>
      </c>
      <c r="F1174" s="7" t="s">
        <v>1966</v>
      </c>
      <c r="G1174" s="7"/>
      <c r="H1174" s="7" t="s">
        <v>207</v>
      </c>
      <c r="I1174" s="7" t="s">
        <v>208</v>
      </c>
      <c r="J1174" s="7" t="s">
        <v>104</v>
      </c>
      <c r="K1174" s="7" t="s">
        <v>105</v>
      </c>
      <c r="L1174" s="7" t="s">
        <v>106</v>
      </c>
      <c r="M1174" s="7"/>
      <c r="N1174" s="7" t="s">
        <v>8484</v>
      </c>
      <c r="O1174" s="7" t="s">
        <v>8484</v>
      </c>
      <c r="P1174" s="7" t="s">
        <v>135</v>
      </c>
      <c r="Q1174" s="7"/>
      <c r="R1174" s="7" t="s">
        <v>109</v>
      </c>
      <c r="S1174" s="7" t="s">
        <v>110</v>
      </c>
      <c r="T1174" s="7" t="n">
        <v>0.767</v>
      </c>
      <c r="U1174" s="7" t="n">
        <v>1</v>
      </c>
      <c r="V1174" s="7" t="s">
        <v>90</v>
      </c>
      <c r="W1174" s="7"/>
      <c r="X1174" s="7"/>
      <c r="Y1174" s="7" t="s">
        <v>8484</v>
      </c>
      <c r="Z1174" s="7"/>
      <c r="AA1174" s="7"/>
      <c r="AB1174" s="7"/>
      <c r="AC1174" s="7" t="n">
        <v>0</v>
      </c>
      <c r="AD1174" s="7" t="s">
        <v>388</v>
      </c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 t="s">
        <v>2797</v>
      </c>
      <c r="BE1174" s="7" t="s">
        <v>127</v>
      </c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</row>
    <row r="1175" customFormat="false" ht="15" hidden="false" customHeight="false" outlineLevel="0" collapsed="false">
      <c r="A1175" s="7" t="s">
        <v>8485</v>
      </c>
      <c r="B1175" s="7" t="s">
        <v>8486</v>
      </c>
      <c r="C1175" s="7" t="s">
        <v>8487</v>
      </c>
      <c r="D1175" s="7" t="s">
        <v>8488</v>
      </c>
      <c r="E1175" s="7" t="s">
        <v>819</v>
      </c>
      <c r="F1175" s="7" t="s">
        <v>819</v>
      </c>
      <c r="G1175" s="7"/>
      <c r="H1175" s="7" t="s">
        <v>207</v>
      </c>
      <c r="I1175" s="7" t="s">
        <v>208</v>
      </c>
      <c r="J1175" s="7" t="s">
        <v>104</v>
      </c>
      <c r="K1175" s="7" t="s">
        <v>105</v>
      </c>
      <c r="L1175" s="7" t="s">
        <v>106</v>
      </c>
      <c r="M1175" s="7"/>
      <c r="N1175" s="7" t="s">
        <v>8489</v>
      </c>
      <c r="O1175" s="7" t="s">
        <v>8489</v>
      </c>
      <c r="P1175" s="7" t="s">
        <v>84</v>
      </c>
      <c r="Q1175" s="7"/>
      <c r="R1175" s="7" t="s">
        <v>109</v>
      </c>
      <c r="S1175" s="7" t="s">
        <v>110</v>
      </c>
      <c r="T1175" s="7" t="n">
        <v>0.754</v>
      </c>
      <c r="U1175" s="7" t="n">
        <v>3</v>
      </c>
      <c r="V1175" s="7" t="s">
        <v>161</v>
      </c>
      <c r="W1175" s="7" t="s">
        <v>8490</v>
      </c>
      <c r="X1175" s="7" t="s">
        <v>8491</v>
      </c>
      <c r="Y1175" s="7" t="s">
        <v>8492</v>
      </c>
      <c r="Z1175" s="7"/>
      <c r="AA1175" s="7"/>
      <c r="AB1175" s="7"/>
      <c r="AC1175" s="7" t="n">
        <v>0</v>
      </c>
      <c r="AD1175" s="7" t="s">
        <v>388</v>
      </c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 t="s">
        <v>1861</v>
      </c>
      <c r="BE1175" s="7" t="s">
        <v>127</v>
      </c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</row>
    <row r="1176" customFormat="false" ht="15" hidden="false" customHeight="false" outlineLevel="0" collapsed="false">
      <c r="A1176" s="7" t="s">
        <v>8493</v>
      </c>
      <c r="B1176" s="7" t="s">
        <v>8494</v>
      </c>
      <c r="C1176" s="7" t="s">
        <v>8495</v>
      </c>
      <c r="D1176" s="7" t="s">
        <v>7929</v>
      </c>
      <c r="E1176" s="7" t="s">
        <v>431</v>
      </c>
      <c r="F1176" s="7" t="s">
        <v>431</v>
      </c>
      <c r="G1176" s="7"/>
      <c r="H1176" s="7" t="s">
        <v>207</v>
      </c>
      <c r="I1176" s="7" t="s">
        <v>208</v>
      </c>
      <c r="J1176" s="7" t="s">
        <v>104</v>
      </c>
      <c r="K1176" s="7" t="s">
        <v>105</v>
      </c>
      <c r="L1176" s="7" t="s">
        <v>106</v>
      </c>
      <c r="M1176" s="7"/>
      <c r="N1176" s="7" t="s">
        <v>8496</v>
      </c>
      <c r="O1176" s="7" t="s">
        <v>8496</v>
      </c>
      <c r="P1176" s="7" t="s">
        <v>109</v>
      </c>
      <c r="Q1176" s="7"/>
      <c r="R1176" s="7" t="s">
        <v>109</v>
      </c>
      <c r="S1176" s="7" t="s">
        <v>110</v>
      </c>
      <c r="T1176" s="7" t="n">
        <v>0.717</v>
      </c>
      <c r="U1176" s="7" t="n">
        <v>1</v>
      </c>
      <c r="V1176" s="7" t="s">
        <v>86</v>
      </c>
      <c r="W1176" s="7"/>
      <c r="X1176" s="7"/>
      <c r="Y1176" s="7" t="s">
        <v>8496</v>
      </c>
      <c r="Z1176" s="7"/>
      <c r="AA1176" s="7"/>
      <c r="AB1176" s="7"/>
      <c r="AC1176" s="7" t="n">
        <v>0</v>
      </c>
      <c r="AD1176" s="7" t="s">
        <v>388</v>
      </c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 t="s">
        <v>127</v>
      </c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</row>
    <row r="1177" customFormat="false" ht="15" hidden="false" customHeight="false" outlineLevel="0" collapsed="false">
      <c r="A1177" s="7" t="s">
        <v>8497</v>
      </c>
      <c r="B1177" s="7" t="s">
        <v>8498</v>
      </c>
      <c r="C1177" s="7" t="s">
        <v>8499</v>
      </c>
      <c r="D1177" s="7" t="s">
        <v>8500</v>
      </c>
      <c r="E1177" s="7" t="s">
        <v>431</v>
      </c>
      <c r="F1177" s="7" t="s">
        <v>431</v>
      </c>
      <c r="G1177" s="7"/>
      <c r="H1177" s="7" t="s">
        <v>207</v>
      </c>
      <c r="I1177" s="7" t="s">
        <v>1140</v>
      </c>
      <c r="J1177" s="7" t="s">
        <v>104</v>
      </c>
      <c r="K1177" s="7" t="s">
        <v>105</v>
      </c>
      <c r="L1177" s="7" t="s">
        <v>106</v>
      </c>
      <c r="M1177" s="7"/>
      <c r="N1177" s="7" t="s">
        <v>8501</v>
      </c>
      <c r="O1177" s="7" t="s">
        <v>8501</v>
      </c>
      <c r="P1177" s="7" t="s">
        <v>109</v>
      </c>
      <c r="Q1177" s="7"/>
      <c r="R1177" s="7" t="s">
        <v>109</v>
      </c>
      <c r="S1177" s="7" t="s">
        <v>110</v>
      </c>
      <c r="T1177" s="7" t="n">
        <v>0.614</v>
      </c>
      <c r="U1177" s="7" t="n">
        <v>1</v>
      </c>
      <c r="V1177" s="7" t="s">
        <v>1156</v>
      </c>
      <c r="W1177" s="7"/>
      <c r="X1177" s="7"/>
      <c r="Y1177" s="7" t="s">
        <v>8501</v>
      </c>
      <c r="Z1177" s="7"/>
      <c r="AA1177" s="7"/>
      <c r="AB1177" s="7"/>
      <c r="AC1177" s="7" t="n">
        <v>0</v>
      </c>
      <c r="AD1177" s="7" t="s">
        <v>388</v>
      </c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 t="s">
        <v>127</v>
      </c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</row>
    <row r="1178" customFormat="false" ht="15" hidden="false" customHeight="false" outlineLevel="0" collapsed="false">
      <c r="A1178" s="7" t="s">
        <v>8502</v>
      </c>
      <c r="B1178" s="7" t="s">
        <v>8503</v>
      </c>
      <c r="C1178" s="9" t="s">
        <v>8504</v>
      </c>
      <c r="D1178" s="7" t="s">
        <v>8505</v>
      </c>
      <c r="E1178" s="7" t="s">
        <v>1966</v>
      </c>
      <c r="F1178" s="7" t="s">
        <v>1966</v>
      </c>
      <c r="G1178" s="7"/>
      <c r="H1178" s="7" t="s">
        <v>207</v>
      </c>
      <c r="I1178" s="7" t="s">
        <v>132</v>
      </c>
      <c r="J1178" s="7" t="s">
        <v>104</v>
      </c>
      <c r="K1178" s="7" t="s">
        <v>105</v>
      </c>
      <c r="L1178" s="7" t="s">
        <v>106</v>
      </c>
      <c r="M1178" s="7"/>
      <c r="N1178" s="7" t="s">
        <v>8506</v>
      </c>
      <c r="O1178" s="7" t="s">
        <v>8506</v>
      </c>
      <c r="P1178" s="7" t="s">
        <v>135</v>
      </c>
      <c r="Q1178" s="7"/>
      <c r="R1178" s="7" t="s">
        <v>109</v>
      </c>
      <c r="S1178" s="7" t="s">
        <v>110</v>
      </c>
      <c r="T1178" s="7" t="n">
        <v>0.29</v>
      </c>
      <c r="U1178" s="7" t="n">
        <v>1</v>
      </c>
      <c r="V1178" s="7" t="s">
        <v>90</v>
      </c>
      <c r="W1178" s="7"/>
      <c r="X1178" s="7"/>
      <c r="Y1178" s="7" t="s">
        <v>8506</v>
      </c>
      <c r="Z1178" s="7"/>
      <c r="AA1178" s="7"/>
      <c r="AB1178" s="7"/>
      <c r="AC1178" s="7" t="n">
        <v>0</v>
      </c>
      <c r="AD1178" s="7" t="s">
        <v>388</v>
      </c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 t="s">
        <v>440</v>
      </c>
      <c r="BE1178" s="7" t="s">
        <v>127</v>
      </c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</row>
    <row r="1179" customFormat="false" ht="15" hidden="false" customHeight="false" outlineLevel="0" collapsed="false">
      <c r="A1179" s="7" t="s">
        <v>8507</v>
      </c>
      <c r="B1179" s="7" t="s">
        <v>8508</v>
      </c>
      <c r="C1179" s="7" t="s">
        <v>8509</v>
      </c>
      <c r="D1179" s="7" t="s">
        <v>8510</v>
      </c>
      <c r="E1179" s="7" t="s">
        <v>741</v>
      </c>
      <c r="F1179" s="7" t="s">
        <v>741</v>
      </c>
      <c r="G1179" s="7"/>
      <c r="H1179" s="7" t="s">
        <v>207</v>
      </c>
      <c r="I1179" s="7" t="s">
        <v>158</v>
      </c>
      <c r="J1179" s="7" t="s">
        <v>104</v>
      </c>
      <c r="K1179" s="7" t="s">
        <v>105</v>
      </c>
      <c r="L1179" s="7" t="s">
        <v>106</v>
      </c>
      <c r="M1179" s="7"/>
      <c r="N1179" s="7" t="s">
        <v>8511</v>
      </c>
      <c r="O1179" s="7" t="s">
        <v>8511</v>
      </c>
      <c r="P1179" s="7" t="s">
        <v>135</v>
      </c>
      <c r="Q1179" s="7"/>
      <c r="R1179" s="7" t="s">
        <v>109</v>
      </c>
      <c r="S1179" s="7" t="s">
        <v>110</v>
      </c>
      <c r="T1179" s="7" t="n">
        <v>0.708</v>
      </c>
      <c r="U1179" s="7" t="n">
        <v>1</v>
      </c>
      <c r="V1179" s="7" t="s">
        <v>90</v>
      </c>
      <c r="W1179" s="7"/>
      <c r="X1179" s="7"/>
      <c r="Y1179" s="7" t="s">
        <v>8511</v>
      </c>
      <c r="Z1179" s="7"/>
      <c r="AA1179" s="7"/>
      <c r="AB1179" s="7"/>
      <c r="AC1179" s="7" t="n">
        <v>0</v>
      </c>
      <c r="AD1179" s="7" t="s">
        <v>388</v>
      </c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 t="s">
        <v>440</v>
      </c>
      <c r="BE1179" s="7" t="s">
        <v>127</v>
      </c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</row>
    <row r="1180" customFormat="false" ht="15" hidden="false" customHeight="false" outlineLevel="0" collapsed="false">
      <c r="A1180" s="7" t="s">
        <v>8512</v>
      </c>
      <c r="B1180" s="7" t="s">
        <v>8513</v>
      </c>
      <c r="C1180" s="7" t="s">
        <v>8514</v>
      </c>
      <c r="D1180" s="7" t="s">
        <v>8515</v>
      </c>
      <c r="E1180" s="7" t="s">
        <v>444</v>
      </c>
      <c r="F1180" s="7" t="s">
        <v>444</v>
      </c>
      <c r="G1180" s="7"/>
      <c r="H1180" s="7" t="s">
        <v>207</v>
      </c>
      <c r="I1180" s="7" t="s">
        <v>158</v>
      </c>
      <c r="J1180" s="7" t="s">
        <v>104</v>
      </c>
      <c r="K1180" s="7" t="s">
        <v>105</v>
      </c>
      <c r="L1180" s="7" t="s">
        <v>353</v>
      </c>
      <c r="M1180" s="7"/>
      <c r="N1180" s="7" t="s">
        <v>8516</v>
      </c>
      <c r="O1180" s="7"/>
      <c r="P1180" s="7" t="s">
        <v>109</v>
      </c>
      <c r="Q1180" s="7"/>
      <c r="R1180" s="7"/>
      <c r="S1180" s="7"/>
      <c r="T1180" s="7" t="n">
        <v>0.82</v>
      </c>
      <c r="U1180" s="7" t="n">
        <v>1</v>
      </c>
      <c r="V1180" s="7" t="s">
        <v>1156</v>
      </c>
      <c r="W1180" s="7"/>
      <c r="X1180" s="7"/>
      <c r="Y1180" s="7" t="s">
        <v>8516</v>
      </c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 t="s">
        <v>127</v>
      </c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</row>
    <row r="1181" customFormat="false" ht="15" hidden="false" customHeight="false" outlineLevel="0" collapsed="false">
      <c r="A1181" s="7" t="s">
        <v>8517</v>
      </c>
      <c r="B1181" s="7" t="s">
        <v>8518</v>
      </c>
      <c r="C1181" s="7" t="s">
        <v>8519</v>
      </c>
      <c r="D1181" s="7" t="s">
        <v>8520</v>
      </c>
      <c r="E1181" s="7" t="s">
        <v>819</v>
      </c>
      <c r="F1181" s="7" t="s">
        <v>819</v>
      </c>
      <c r="G1181" s="7"/>
      <c r="H1181" s="7" t="s">
        <v>207</v>
      </c>
      <c r="I1181" s="7" t="s">
        <v>103</v>
      </c>
      <c r="J1181" s="7" t="s">
        <v>104</v>
      </c>
      <c r="K1181" s="7" t="s">
        <v>105</v>
      </c>
      <c r="L1181" s="7" t="s">
        <v>106</v>
      </c>
      <c r="M1181" s="7"/>
      <c r="N1181" s="7" t="s">
        <v>8521</v>
      </c>
      <c r="O1181" s="7"/>
      <c r="P1181" s="7" t="s">
        <v>135</v>
      </c>
      <c r="Q1181" s="7"/>
      <c r="R1181" s="7"/>
      <c r="S1181" s="7"/>
      <c r="T1181" s="7" t="n">
        <v>0.378</v>
      </c>
      <c r="U1181" s="7" t="n">
        <v>1</v>
      </c>
      <c r="V1181" s="7" t="s">
        <v>90</v>
      </c>
      <c r="W1181" s="7"/>
      <c r="X1181" s="7"/>
      <c r="Y1181" s="7" t="s">
        <v>8521</v>
      </c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 t="s">
        <v>440</v>
      </c>
      <c r="BE1181" s="7" t="s">
        <v>127</v>
      </c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</row>
    <row r="1182" customFormat="false" ht="15" hidden="false" customHeight="false" outlineLevel="0" collapsed="false">
      <c r="A1182" s="7" t="s">
        <v>8522</v>
      </c>
      <c r="B1182" s="7" t="s">
        <v>8523</v>
      </c>
      <c r="C1182" s="7" t="s">
        <v>8524</v>
      </c>
      <c r="D1182" s="7" t="s">
        <v>8525</v>
      </c>
      <c r="E1182" s="7" t="s">
        <v>431</v>
      </c>
      <c r="F1182" s="7" t="s">
        <v>431</v>
      </c>
      <c r="G1182" s="7"/>
      <c r="H1182" s="7" t="s">
        <v>207</v>
      </c>
      <c r="I1182" s="7" t="s">
        <v>103</v>
      </c>
      <c r="J1182" s="7" t="s">
        <v>104</v>
      </c>
      <c r="K1182" s="7" t="s">
        <v>105</v>
      </c>
      <c r="L1182" s="7" t="s">
        <v>106</v>
      </c>
      <c r="M1182" s="7"/>
      <c r="N1182" s="7" t="s">
        <v>8526</v>
      </c>
      <c r="O1182" s="7" t="s">
        <v>8526</v>
      </c>
      <c r="P1182" s="7" t="s">
        <v>109</v>
      </c>
      <c r="Q1182" s="7"/>
      <c r="R1182" s="7" t="s">
        <v>109</v>
      </c>
      <c r="S1182" s="7" t="s">
        <v>110</v>
      </c>
      <c r="T1182" s="7" t="n">
        <v>0.658</v>
      </c>
      <c r="U1182" s="7" t="n">
        <v>1</v>
      </c>
      <c r="V1182" s="7" t="s">
        <v>86</v>
      </c>
      <c r="W1182" s="7"/>
      <c r="X1182" s="7"/>
      <c r="Y1182" s="7" t="s">
        <v>8526</v>
      </c>
      <c r="Z1182" s="7"/>
      <c r="AA1182" s="7"/>
      <c r="AB1182" s="7"/>
      <c r="AC1182" s="7" t="n">
        <v>0</v>
      </c>
      <c r="AD1182" s="7" t="s">
        <v>388</v>
      </c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 t="s">
        <v>127</v>
      </c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</row>
    <row r="1183" customFormat="false" ht="15" hidden="false" customHeight="false" outlineLevel="0" collapsed="false">
      <c r="A1183" s="7" t="s">
        <v>8527</v>
      </c>
      <c r="B1183" s="7" t="s">
        <v>8528</v>
      </c>
      <c r="C1183" s="9" t="s">
        <v>8529</v>
      </c>
      <c r="D1183" s="7" t="s">
        <v>8336</v>
      </c>
      <c r="E1183" s="7" t="s">
        <v>431</v>
      </c>
      <c r="F1183" s="7" t="s">
        <v>431</v>
      </c>
      <c r="G1183" s="7"/>
      <c r="H1183" s="7" t="s">
        <v>207</v>
      </c>
      <c r="I1183" s="7" t="s">
        <v>158</v>
      </c>
      <c r="J1183" s="7" t="s">
        <v>104</v>
      </c>
      <c r="K1183" s="7" t="s">
        <v>105</v>
      </c>
      <c r="L1183" s="7" t="s">
        <v>106</v>
      </c>
      <c r="M1183" s="7"/>
      <c r="N1183" s="7" t="s">
        <v>8530</v>
      </c>
      <c r="O1183" s="7" t="s">
        <v>8530</v>
      </c>
      <c r="P1183" s="7" t="s">
        <v>109</v>
      </c>
      <c r="Q1183" s="7"/>
      <c r="R1183" s="7" t="s">
        <v>109</v>
      </c>
      <c r="S1183" s="7" t="s">
        <v>110</v>
      </c>
      <c r="T1183" s="7" t="n">
        <v>0.73</v>
      </c>
      <c r="U1183" s="7" t="n">
        <v>1</v>
      </c>
      <c r="V1183" s="7" t="s">
        <v>1156</v>
      </c>
      <c r="W1183" s="7"/>
      <c r="X1183" s="7"/>
      <c r="Y1183" s="7" t="s">
        <v>8530</v>
      </c>
      <c r="Z1183" s="7"/>
      <c r="AA1183" s="7"/>
      <c r="AB1183" s="7"/>
      <c r="AC1183" s="7" t="n">
        <v>0</v>
      </c>
      <c r="AD1183" s="7" t="s">
        <v>388</v>
      </c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 t="s">
        <v>127</v>
      </c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</row>
    <row r="1184" customFormat="false" ht="15" hidden="false" customHeight="false" outlineLevel="0" collapsed="false">
      <c r="A1184" s="7" t="s">
        <v>8531</v>
      </c>
      <c r="B1184" s="7" t="s">
        <v>8532</v>
      </c>
      <c r="C1184" s="7" t="s">
        <v>8533</v>
      </c>
      <c r="D1184" s="7" t="s">
        <v>8534</v>
      </c>
      <c r="E1184" s="7" t="s">
        <v>431</v>
      </c>
      <c r="F1184" s="7" t="s">
        <v>431</v>
      </c>
      <c r="G1184" s="7"/>
      <c r="H1184" s="7" t="s">
        <v>207</v>
      </c>
      <c r="I1184" s="7" t="s">
        <v>103</v>
      </c>
      <c r="J1184" s="7" t="s">
        <v>104</v>
      </c>
      <c r="K1184" s="7" t="s">
        <v>105</v>
      </c>
      <c r="L1184" s="7" t="s">
        <v>106</v>
      </c>
      <c r="M1184" s="7"/>
      <c r="N1184" s="7" t="s">
        <v>8535</v>
      </c>
      <c r="O1184" s="7" t="s">
        <v>8535</v>
      </c>
      <c r="P1184" s="7" t="s">
        <v>135</v>
      </c>
      <c r="Q1184" s="7"/>
      <c r="R1184" s="7" t="s">
        <v>109</v>
      </c>
      <c r="S1184" s="7" t="s">
        <v>110</v>
      </c>
      <c r="T1184" s="7" t="n">
        <v>0.286</v>
      </c>
      <c r="U1184" s="7" t="n">
        <v>1</v>
      </c>
      <c r="V1184" s="7" t="s">
        <v>90</v>
      </c>
      <c r="W1184" s="7"/>
      <c r="X1184" s="7"/>
      <c r="Y1184" s="7" t="s">
        <v>8535</v>
      </c>
      <c r="Z1184" s="7"/>
      <c r="AA1184" s="7"/>
      <c r="AB1184" s="7"/>
      <c r="AC1184" s="7" t="n">
        <v>0</v>
      </c>
      <c r="AD1184" s="7" t="s">
        <v>388</v>
      </c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 t="s">
        <v>2797</v>
      </c>
      <c r="BE1184" s="7" t="s">
        <v>127</v>
      </c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</row>
    <row r="1185" customFormat="false" ht="15" hidden="false" customHeight="false" outlineLevel="0" collapsed="false">
      <c r="A1185" s="7" t="s">
        <v>8536</v>
      </c>
      <c r="B1185" s="7" t="s">
        <v>8537</v>
      </c>
      <c r="C1185" s="7" t="s">
        <v>8538</v>
      </c>
      <c r="D1185" s="7" t="s">
        <v>8539</v>
      </c>
      <c r="E1185" s="7" t="s">
        <v>737</v>
      </c>
      <c r="F1185" s="7" t="s">
        <v>737</v>
      </c>
      <c r="G1185" s="7"/>
      <c r="H1185" s="7" t="s">
        <v>207</v>
      </c>
      <c r="I1185" s="7" t="s">
        <v>132</v>
      </c>
      <c r="J1185" s="7" t="s">
        <v>104</v>
      </c>
      <c r="K1185" s="7" t="s">
        <v>105</v>
      </c>
      <c r="L1185" s="7" t="s">
        <v>106</v>
      </c>
      <c r="M1185" s="7"/>
      <c r="N1185" s="7" t="s">
        <v>8540</v>
      </c>
      <c r="O1185" s="7" t="s">
        <v>8540</v>
      </c>
      <c r="P1185" s="7" t="s">
        <v>135</v>
      </c>
      <c r="Q1185" s="7"/>
      <c r="R1185" s="7" t="s">
        <v>109</v>
      </c>
      <c r="S1185" s="7" t="s">
        <v>110</v>
      </c>
      <c r="T1185" s="7" t="n">
        <v>0.475</v>
      </c>
      <c r="U1185" s="7" t="n">
        <v>1</v>
      </c>
      <c r="V1185" s="7" t="s">
        <v>90</v>
      </c>
      <c r="W1185" s="7"/>
      <c r="X1185" s="7"/>
      <c r="Y1185" s="7" t="s">
        <v>8540</v>
      </c>
      <c r="Z1185" s="7"/>
      <c r="AA1185" s="7"/>
      <c r="AB1185" s="7"/>
      <c r="AC1185" s="7" t="n">
        <v>0</v>
      </c>
      <c r="AD1185" s="7" t="s">
        <v>388</v>
      </c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 t="s">
        <v>2797</v>
      </c>
      <c r="BE1185" s="7" t="s">
        <v>127</v>
      </c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</row>
    <row r="1186" customFormat="false" ht="15" hidden="false" customHeight="false" outlineLevel="0" collapsed="false">
      <c r="A1186" s="7" t="s">
        <v>8541</v>
      </c>
      <c r="B1186" s="7" t="s">
        <v>8542</v>
      </c>
      <c r="C1186" s="7" t="s">
        <v>8543</v>
      </c>
      <c r="D1186" s="7" t="s">
        <v>8544</v>
      </c>
      <c r="E1186" s="7" t="s">
        <v>431</v>
      </c>
      <c r="F1186" s="7" t="s">
        <v>431</v>
      </c>
      <c r="G1186" s="7"/>
      <c r="H1186" s="7" t="s">
        <v>207</v>
      </c>
      <c r="I1186" s="7" t="s">
        <v>208</v>
      </c>
      <c r="J1186" s="7" t="s">
        <v>104</v>
      </c>
      <c r="K1186" s="7" t="s">
        <v>105</v>
      </c>
      <c r="L1186" s="7" t="s">
        <v>106</v>
      </c>
      <c r="M1186" s="7"/>
      <c r="N1186" s="7" t="s">
        <v>8545</v>
      </c>
      <c r="O1186" s="7" t="s">
        <v>8545</v>
      </c>
      <c r="P1186" s="7" t="s">
        <v>135</v>
      </c>
      <c r="Q1186" s="7"/>
      <c r="R1186" s="7" t="s">
        <v>109</v>
      </c>
      <c r="S1186" s="7" t="s">
        <v>110</v>
      </c>
      <c r="T1186" s="7" t="n">
        <v>0.454</v>
      </c>
      <c r="U1186" s="7" t="n">
        <v>1</v>
      </c>
      <c r="V1186" s="7" t="s">
        <v>90</v>
      </c>
      <c r="W1186" s="7"/>
      <c r="X1186" s="7"/>
      <c r="Y1186" s="7" t="s">
        <v>8545</v>
      </c>
      <c r="Z1186" s="7"/>
      <c r="AA1186" s="7"/>
      <c r="AB1186" s="7"/>
      <c r="AC1186" s="7" t="n">
        <v>0</v>
      </c>
      <c r="AD1186" s="7" t="s">
        <v>388</v>
      </c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 t="s">
        <v>2797</v>
      </c>
      <c r="BE1186" s="7" t="s">
        <v>127</v>
      </c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</row>
    <row r="1187" customFormat="false" ht="15" hidden="false" customHeight="false" outlineLevel="0" collapsed="false">
      <c r="A1187" s="7" t="s">
        <v>8546</v>
      </c>
      <c r="B1187" s="7" t="s">
        <v>8547</v>
      </c>
      <c r="C1187" s="7" t="s">
        <v>8548</v>
      </c>
      <c r="D1187" s="7" t="s">
        <v>8549</v>
      </c>
      <c r="E1187" s="7" t="s">
        <v>3127</v>
      </c>
      <c r="F1187" s="7" t="s">
        <v>3127</v>
      </c>
      <c r="G1187" s="7"/>
      <c r="H1187" s="7" t="s">
        <v>207</v>
      </c>
      <c r="I1187" s="7" t="s">
        <v>132</v>
      </c>
      <c r="J1187" s="7" t="s">
        <v>104</v>
      </c>
      <c r="K1187" s="7" t="s">
        <v>105</v>
      </c>
      <c r="L1187" s="7" t="s">
        <v>106</v>
      </c>
      <c r="M1187" s="7"/>
      <c r="N1187" s="7" t="s">
        <v>8550</v>
      </c>
      <c r="O1187" s="7" t="s">
        <v>8550</v>
      </c>
      <c r="P1187" s="7" t="s">
        <v>109</v>
      </c>
      <c r="Q1187" s="7"/>
      <c r="R1187" s="7" t="s">
        <v>109</v>
      </c>
      <c r="S1187" s="7" t="s">
        <v>110</v>
      </c>
      <c r="T1187" s="7" t="n">
        <v>0.572</v>
      </c>
      <c r="U1187" s="7" t="n">
        <v>1</v>
      </c>
      <c r="V1187" s="7" t="s">
        <v>1156</v>
      </c>
      <c r="W1187" s="7"/>
      <c r="X1187" s="7"/>
      <c r="Y1187" s="7" t="s">
        <v>8550</v>
      </c>
      <c r="Z1187" s="7"/>
      <c r="AA1187" s="7"/>
      <c r="AB1187" s="7"/>
      <c r="AC1187" s="7" t="n">
        <v>0</v>
      </c>
      <c r="AD1187" s="7" t="s">
        <v>388</v>
      </c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 t="s">
        <v>127</v>
      </c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</row>
    <row r="1188" customFormat="false" ht="15" hidden="false" customHeight="false" outlineLevel="0" collapsed="false">
      <c r="A1188" s="7" t="s">
        <v>8551</v>
      </c>
      <c r="B1188" s="7" t="s">
        <v>8552</v>
      </c>
      <c r="C1188" s="7" t="s">
        <v>8553</v>
      </c>
      <c r="D1188" s="7" t="s">
        <v>8554</v>
      </c>
      <c r="E1188" s="7" t="s">
        <v>3127</v>
      </c>
      <c r="F1188" s="7" t="s">
        <v>3127</v>
      </c>
      <c r="G1188" s="7"/>
      <c r="H1188" s="7" t="s">
        <v>207</v>
      </c>
      <c r="I1188" s="7" t="s">
        <v>158</v>
      </c>
      <c r="J1188" s="7" t="s">
        <v>104</v>
      </c>
      <c r="K1188" s="7" t="s">
        <v>105</v>
      </c>
      <c r="L1188" s="7" t="s">
        <v>106</v>
      </c>
      <c r="M1188" s="7"/>
      <c r="N1188" s="7" t="s">
        <v>8555</v>
      </c>
      <c r="O1188" s="7" t="s">
        <v>8555</v>
      </c>
      <c r="P1188" s="7" t="s">
        <v>135</v>
      </c>
      <c r="Q1188" s="7"/>
      <c r="R1188" s="7" t="s">
        <v>109</v>
      </c>
      <c r="S1188" s="7" t="s">
        <v>110</v>
      </c>
      <c r="T1188" s="7" t="n">
        <v>0.706</v>
      </c>
      <c r="U1188" s="7" t="n">
        <v>1</v>
      </c>
      <c r="V1188" s="7" t="s">
        <v>90</v>
      </c>
      <c r="W1188" s="7"/>
      <c r="X1188" s="7"/>
      <c r="Y1188" s="7" t="s">
        <v>8555</v>
      </c>
      <c r="Z1188" s="7"/>
      <c r="AA1188" s="7"/>
      <c r="AB1188" s="7"/>
      <c r="AC1188" s="7" t="n">
        <v>0</v>
      </c>
      <c r="AD1188" s="7" t="s">
        <v>388</v>
      </c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 t="s">
        <v>440</v>
      </c>
      <c r="BE1188" s="7" t="s">
        <v>127</v>
      </c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</row>
    <row r="1189" customFormat="false" ht="15" hidden="false" customHeight="false" outlineLevel="0" collapsed="false">
      <c r="A1189" s="7" t="s">
        <v>8556</v>
      </c>
      <c r="B1189" s="7" t="s">
        <v>8557</v>
      </c>
      <c r="C1189" s="7" t="s">
        <v>8558</v>
      </c>
      <c r="D1189" s="7" t="s">
        <v>8559</v>
      </c>
      <c r="E1189" s="7" t="s">
        <v>1966</v>
      </c>
      <c r="F1189" s="7" t="s">
        <v>1966</v>
      </c>
      <c r="G1189" s="7"/>
      <c r="H1189" s="7" t="s">
        <v>207</v>
      </c>
      <c r="I1189" s="7" t="s">
        <v>132</v>
      </c>
      <c r="J1189" s="7" t="s">
        <v>104</v>
      </c>
      <c r="K1189" s="7" t="s">
        <v>105</v>
      </c>
      <c r="L1189" s="7" t="s">
        <v>106</v>
      </c>
      <c r="M1189" s="7"/>
      <c r="N1189" s="7" t="s">
        <v>8560</v>
      </c>
      <c r="O1189" s="7"/>
      <c r="P1189" s="7" t="s">
        <v>135</v>
      </c>
      <c r="Q1189" s="7"/>
      <c r="R1189" s="7"/>
      <c r="S1189" s="7"/>
      <c r="T1189" s="7" t="n">
        <v>0.138</v>
      </c>
      <c r="U1189" s="7" t="n">
        <v>1</v>
      </c>
      <c r="V1189" s="7" t="s">
        <v>90</v>
      </c>
      <c r="W1189" s="7"/>
      <c r="X1189" s="7"/>
      <c r="Y1189" s="7" t="s">
        <v>8560</v>
      </c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 t="s">
        <v>440</v>
      </c>
      <c r="BE1189" s="7" t="s">
        <v>127</v>
      </c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</row>
    <row r="1190" customFormat="false" ht="15" hidden="false" customHeight="false" outlineLevel="0" collapsed="false">
      <c r="A1190" s="7" t="s">
        <v>8561</v>
      </c>
      <c r="B1190" s="7" t="s">
        <v>8562</v>
      </c>
      <c r="C1190" s="7" t="s">
        <v>8563</v>
      </c>
      <c r="D1190" s="7" t="s">
        <v>8564</v>
      </c>
      <c r="E1190" s="7" t="s">
        <v>410</v>
      </c>
      <c r="F1190" s="7" t="s">
        <v>410</v>
      </c>
      <c r="G1190" s="7"/>
      <c r="H1190" s="7" t="s">
        <v>207</v>
      </c>
      <c r="I1190" s="7" t="s">
        <v>132</v>
      </c>
      <c r="J1190" s="7" t="s">
        <v>104</v>
      </c>
      <c r="K1190" s="7" t="s">
        <v>105</v>
      </c>
      <c r="L1190" s="7" t="s">
        <v>106</v>
      </c>
      <c r="M1190" s="7"/>
      <c r="N1190" s="7" t="s">
        <v>8565</v>
      </c>
      <c r="O1190" s="7" t="s">
        <v>8565</v>
      </c>
      <c r="P1190" s="7" t="s">
        <v>84</v>
      </c>
      <c r="Q1190" s="7"/>
      <c r="R1190" s="7" t="s">
        <v>109</v>
      </c>
      <c r="S1190" s="7" t="s">
        <v>110</v>
      </c>
      <c r="T1190" s="7" t="n">
        <v>0.344</v>
      </c>
      <c r="U1190" s="7" t="n">
        <v>2</v>
      </c>
      <c r="V1190" s="7" t="s">
        <v>111</v>
      </c>
      <c r="W1190" s="7"/>
      <c r="X1190" s="7"/>
      <c r="Y1190" s="7" t="s">
        <v>8565</v>
      </c>
      <c r="Z1190" s="7"/>
      <c r="AA1190" s="7"/>
      <c r="AB1190" s="7"/>
      <c r="AC1190" s="7" t="n">
        <v>0</v>
      </c>
      <c r="AD1190" s="7" t="s">
        <v>388</v>
      </c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 t="s">
        <v>1861</v>
      </c>
      <c r="BE1190" s="7" t="s">
        <v>127</v>
      </c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</row>
    <row r="1191" customFormat="false" ht="15" hidden="false" customHeight="false" outlineLevel="0" collapsed="false">
      <c r="A1191" s="7" t="s">
        <v>8566</v>
      </c>
      <c r="B1191" s="7" t="s">
        <v>8567</v>
      </c>
      <c r="C1191" s="7" t="s">
        <v>8568</v>
      </c>
      <c r="D1191" s="7" t="s">
        <v>8569</v>
      </c>
      <c r="E1191" s="7" t="s">
        <v>1966</v>
      </c>
      <c r="F1191" s="7" t="s">
        <v>1966</v>
      </c>
      <c r="G1191" s="7"/>
      <c r="H1191" s="7" t="s">
        <v>207</v>
      </c>
      <c r="I1191" s="7" t="s">
        <v>208</v>
      </c>
      <c r="J1191" s="7" t="s">
        <v>104</v>
      </c>
      <c r="K1191" s="7" t="s">
        <v>105</v>
      </c>
      <c r="L1191" s="7" t="s">
        <v>106</v>
      </c>
      <c r="M1191" s="7"/>
      <c r="N1191" s="7" t="s">
        <v>8570</v>
      </c>
      <c r="O1191" s="7" t="s">
        <v>8570</v>
      </c>
      <c r="P1191" s="7" t="s">
        <v>135</v>
      </c>
      <c r="Q1191" s="7"/>
      <c r="R1191" s="7" t="s">
        <v>109</v>
      </c>
      <c r="S1191" s="7" t="s">
        <v>110</v>
      </c>
      <c r="T1191" s="7" t="n">
        <v>0.642</v>
      </c>
      <c r="U1191" s="7" t="n">
        <v>1</v>
      </c>
      <c r="V1191" s="7" t="s">
        <v>90</v>
      </c>
      <c r="W1191" s="7"/>
      <c r="X1191" s="7"/>
      <c r="Y1191" s="7" t="s">
        <v>8570</v>
      </c>
      <c r="Z1191" s="7"/>
      <c r="AA1191" s="7"/>
      <c r="AB1191" s="7"/>
      <c r="AC1191" s="7" t="n">
        <v>0</v>
      </c>
      <c r="AD1191" s="7" t="s">
        <v>388</v>
      </c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 t="s">
        <v>2797</v>
      </c>
      <c r="BE1191" s="7" t="s">
        <v>127</v>
      </c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</row>
    <row r="1192" customFormat="false" ht="15" hidden="false" customHeight="false" outlineLevel="0" collapsed="false">
      <c r="A1192" s="7" t="s">
        <v>8571</v>
      </c>
      <c r="B1192" s="7" t="s">
        <v>8572</v>
      </c>
      <c r="C1192" s="7" t="s">
        <v>8573</v>
      </c>
      <c r="D1192" s="7" t="s">
        <v>8574</v>
      </c>
      <c r="E1192" s="7" t="s">
        <v>2296</v>
      </c>
      <c r="F1192" s="7" t="s">
        <v>2296</v>
      </c>
      <c r="G1192" s="7"/>
      <c r="H1192" s="7" t="s">
        <v>207</v>
      </c>
      <c r="I1192" s="7" t="s">
        <v>132</v>
      </c>
      <c r="J1192" s="7" t="s">
        <v>104</v>
      </c>
      <c r="K1192" s="7" t="s">
        <v>105</v>
      </c>
      <c r="L1192" s="7" t="s">
        <v>106</v>
      </c>
      <c r="M1192" s="7"/>
      <c r="N1192" s="7" t="s">
        <v>8575</v>
      </c>
      <c r="O1192" s="7" t="s">
        <v>8575</v>
      </c>
      <c r="P1192" s="7" t="s">
        <v>135</v>
      </c>
      <c r="Q1192" s="7"/>
      <c r="R1192" s="7" t="s">
        <v>109</v>
      </c>
      <c r="S1192" s="7" t="s">
        <v>110</v>
      </c>
      <c r="T1192" s="7" t="n">
        <v>0.22</v>
      </c>
      <c r="U1192" s="7" t="n">
        <v>1</v>
      </c>
      <c r="V1192" s="7" t="s">
        <v>90</v>
      </c>
      <c r="W1192" s="7"/>
      <c r="X1192" s="7"/>
      <c r="Y1192" s="7" t="s">
        <v>8575</v>
      </c>
      <c r="Z1192" s="7"/>
      <c r="AA1192" s="7"/>
      <c r="AB1192" s="7"/>
      <c r="AC1192" s="7" t="n">
        <v>0</v>
      </c>
      <c r="AD1192" s="7" t="s">
        <v>388</v>
      </c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 t="s">
        <v>440</v>
      </c>
      <c r="BE1192" s="7" t="s">
        <v>127</v>
      </c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</row>
    <row r="1193" customFormat="false" ht="15" hidden="false" customHeight="false" outlineLevel="0" collapsed="false">
      <c r="A1193" s="7" t="s">
        <v>8576</v>
      </c>
      <c r="B1193" s="7" t="s">
        <v>8577</v>
      </c>
      <c r="C1193" s="7" t="s">
        <v>8578</v>
      </c>
      <c r="D1193" s="7" t="s">
        <v>8579</v>
      </c>
      <c r="E1193" s="7" t="s">
        <v>410</v>
      </c>
      <c r="F1193" s="7" t="s">
        <v>410</v>
      </c>
      <c r="G1193" s="7" t="s">
        <v>8580</v>
      </c>
      <c r="H1193" s="7" t="s">
        <v>207</v>
      </c>
      <c r="I1193" s="7" t="s">
        <v>132</v>
      </c>
      <c r="J1193" s="7" t="s">
        <v>104</v>
      </c>
      <c r="K1193" s="7" t="s">
        <v>105</v>
      </c>
      <c r="L1193" s="7" t="s">
        <v>106</v>
      </c>
      <c r="M1193" s="7"/>
      <c r="N1193" s="7" t="s">
        <v>8581</v>
      </c>
      <c r="O1193" s="7" t="s">
        <v>8581</v>
      </c>
      <c r="P1193" s="7" t="s">
        <v>135</v>
      </c>
      <c r="Q1193" s="7"/>
      <c r="R1193" s="7" t="s">
        <v>109</v>
      </c>
      <c r="S1193" s="7" t="s">
        <v>110</v>
      </c>
      <c r="T1193" s="7" t="n">
        <v>0.223</v>
      </c>
      <c r="U1193" s="7" t="n">
        <v>1</v>
      </c>
      <c r="V1193" s="7" t="s">
        <v>90</v>
      </c>
      <c r="W1193" s="7"/>
      <c r="X1193" s="7"/>
      <c r="Y1193" s="7" t="s">
        <v>8581</v>
      </c>
      <c r="Z1193" s="7"/>
      <c r="AA1193" s="7"/>
      <c r="AB1193" s="7"/>
      <c r="AC1193" s="7" t="n">
        <v>0</v>
      </c>
      <c r="AD1193" s="7" t="s">
        <v>388</v>
      </c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 t="s">
        <v>440</v>
      </c>
      <c r="BE1193" s="7" t="s">
        <v>127</v>
      </c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</row>
    <row r="1194" customFormat="false" ht="15" hidden="false" customHeight="false" outlineLevel="0" collapsed="false">
      <c r="A1194" s="7" t="s">
        <v>8582</v>
      </c>
      <c r="B1194" s="7" t="s">
        <v>8583</v>
      </c>
      <c r="C1194" s="7" t="s">
        <v>8584</v>
      </c>
      <c r="D1194" s="7" t="s">
        <v>8454</v>
      </c>
      <c r="E1194" s="7" t="s">
        <v>819</v>
      </c>
      <c r="F1194" s="7" t="s">
        <v>819</v>
      </c>
      <c r="G1194" s="7"/>
      <c r="H1194" s="7" t="s">
        <v>207</v>
      </c>
      <c r="I1194" s="7" t="s">
        <v>132</v>
      </c>
      <c r="J1194" s="7" t="s">
        <v>104</v>
      </c>
      <c r="K1194" s="7" t="s">
        <v>105</v>
      </c>
      <c r="L1194" s="7" t="s">
        <v>106</v>
      </c>
      <c r="M1194" s="7"/>
      <c r="N1194" s="7" t="s">
        <v>8585</v>
      </c>
      <c r="O1194" s="7" t="s">
        <v>8585</v>
      </c>
      <c r="P1194" s="7" t="s">
        <v>135</v>
      </c>
      <c r="Q1194" s="7"/>
      <c r="R1194" s="7" t="s">
        <v>109</v>
      </c>
      <c r="S1194" s="7" t="s">
        <v>110</v>
      </c>
      <c r="T1194" s="7" t="n">
        <v>0.17</v>
      </c>
      <c r="U1194" s="7" t="n">
        <v>1</v>
      </c>
      <c r="V1194" s="7" t="s">
        <v>90</v>
      </c>
      <c r="W1194" s="7"/>
      <c r="X1194" s="7"/>
      <c r="Y1194" s="7" t="s">
        <v>8585</v>
      </c>
      <c r="Z1194" s="7"/>
      <c r="AA1194" s="7"/>
      <c r="AB1194" s="7"/>
      <c r="AC1194" s="7" t="n">
        <v>0</v>
      </c>
      <c r="AD1194" s="7" t="s">
        <v>388</v>
      </c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 t="s">
        <v>2797</v>
      </c>
      <c r="BE1194" s="7" t="s">
        <v>127</v>
      </c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</row>
    <row r="1195" customFormat="false" ht="15" hidden="false" customHeight="false" outlineLevel="0" collapsed="false">
      <c r="A1195" s="7" t="s">
        <v>8586</v>
      </c>
      <c r="B1195" s="7" t="s">
        <v>8587</v>
      </c>
      <c r="C1195" s="7" t="s">
        <v>8588</v>
      </c>
      <c r="D1195" s="7" t="s">
        <v>8589</v>
      </c>
      <c r="E1195" s="7" t="s">
        <v>410</v>
      </c>
      <c r="F1195" s="7" t="s">
        <v>410</v>
      </c>
      <c r="G1195" s="7"/>
      <c r="H1195" s="7" t="s">
        <v>207</v>
      </c>
      <c r="I1195" s="7" t="s">
        <v>208</v>
      </c>
      <c r="J1195" s="7" t="s">
        <v>104</v>
      </c>
      <c r="K1195" s="7" t="s">
        <v>105</v>
      </c>
      <c r="L1195" s="7" t="s">
        <v>106</v>
      </c>
      <c r="M1195" s="7"/>
      <c r="N1195" s="7" t="s">
        <v>8590</v>
      </c>
      <c r="O1195" s="7" t="s">
        <v>8590</v>
      </c>
      <c r="P1195" s="7" t="s">
        <v>135</v>
      </c>
      <c r="Q1195" s="7"/>
      <c r="R1195" s="7" t="s">
        <v>109</v>
      </c>
      <c r="S1195" s="7" t="s">
        <v>110</v>
      </c>
      <c r="T1195" s="7" t="n">
        <v>0.375</v>
      </c>
      <c r="U1195" s="7" t="n">
        <v>1</v>
      </c>
      <c r="V1195" s="7" t="s">
        <v>90</v>
      </c>
      <c r="W1195" s="7"/>
      <c r="X1195" s="7"/>
      <c r="Y1195" s="7" t="s">
        <v>8590</v>
      </c>
      <c r="Z1195" s="7"/>
      <c r="AA1195" s="7"/>
      <c r="AB1195" s="7"/>
      <c r="AC1195" s="7" t="n">
        <v>0</v>
      </c>
      <c r="AD1195" s="7" t="s">
        <v>388</v>
      </c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 t="s">
        <v>2797</v>
      </c>
      <c r="BE1195" s="7" t="s">
        <v>127</v>
      </c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</row>
    <row r="1196" customFormat="false" ht="15" hidden="false" customHeight="false" outlineLevel="0" collapsed="false">
      <c r="A1196" s="7" t="s">
        <v>8591</v>
      </c>
      <c r="B1196" s="7" t="s">
        <v>8592</v>
      </c>
      <c r="C1196" s="7" t="s">
        <v>8593</v>
      </c>
      <c r="D1196" s="7" t="s">
        <v>8559</v>
      </c>
      <c r="E1196" s="7" t="s">
        <v>1966</v>
      </c>
      <c r="F1196" s="7" t="s">
        <v>1966</v>
      </c>
      <c r="G1196" s="7"/>
      <c r="H1196" s="7" t="s">
        <v>207</v>
      </c>
      <c r="I1196" s="7" t="s">
        <v>132</v>
      </c>
      <c r="J1196" s="7" t="s">
        <v>104</v>
      </c>
      <c r="K1196" s="7" t="s">
        <v>105</v>
      </c>
      <c r="L1196" s="7" t="s">
        <v>106</v>
      </c>
      <c r="M1196" s="7"/>
      <c r="N1196" s="7" t="s">
        <v>8594</v>
      </c>
      <c r="O1196" s="7" t="s">
        <v>8594</v>
      </c>
      <c r="P1196" s="7" t="s">
        <v>109</v>
      </c>
      <c r="Q1196" s="7"/>
      <c r="R1196" s="7" t="s">
        <v>109</v>
      </c>
      <c r="S1196" s="7" t="s">
        <v>110</v>
      </c>
      <c r="T1196" s="7" t="n">
        <v>0.378</v>
      </c>
      <c r="U1196" s="7" t="n">
        <v>1</v>
      </c>
      <c r="V1196" s="7" t="s">
        <v>1156</v>
      </c>
      <c r="W1196" s="7"/>
      <c r="X1196" s="7"/>
      <c r="Y1196" s="7" t="s">
        <v>8594</v>
      </c>
      <c r="Z1196" s="7"/>
      <c r="AA1196" s="7"/>
      <c r="AB1196" s="7"/>
      <c r="AC1196" s="7" t="n">
        <v>0</v>
      </c>
      <c r="AD1196" s="7" t="s">
        <v>388</v>
      </c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 t="s">
        <v>127</v>
      </c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</row>
    <row r="1197" customFormat="false" ht="15" hidden="false" customHeight="false" outlineLevel="0" collapsed="false">
      <c r="A1197" s="7" t="s">
        <v>8595</v>
      </c>
      <c r="B1197" s="7" t="s">
        <v>8596</v>
      </c>
      <c r="C1197" s="7" t="s">
        <v>8597</v>
      </c>
      <c r="D1197" s="7" t="s">
        <v>8598</v>
      </c>
      <c r="E1197" s="7" t="s">
        <v>4473</v>
      </c>
      <c r="F1197" s="7" t="s">
        <v>4473</v>
      </c>
      <c r="G1197" s="7"/>
      <c r="H1197" s="7" t="s">
        <v>207</v>
      </c>
      <c r="I1197" s="7" t="s">
        <v>132</v>
      </c>
      <c r="J1197" s="7" t="s">
        <v>104</v>
      </c>
      <c r="K1197" s="7" t="s">
        <v>105</v>
      </c>
      <c r="L1197" s="7" t="s">
        <v>106</v>
      </c>
      <c r="M1197" s="7"/>
      <c r="N1197" s="7" t="s">
        <v>8599</v>
      </c>
      <c r="O1197" s="7" t="s">
        <v>8599</v>
      </c>
      <c r="P1197" s="7" t="s">
        <v>135</v>
      </c>
      <c r="Q1197" s="7"/>
      <c r="R1197" s="7" t="s">
        <v>109</v>
      </c>
      <c r="S1197" s="7" t="s">
        <v>110</v>
      </c>
      <c r="T1197" s="7" t="n">
        <v>0.183</v>
      </c>
      <c r="U1197" s="7" t="n">
        <v>1</v>
      </c>
      <c r="V1197" s="7" t="s">
        <v>90</v>
      </c>
      <c r="W1197" s="7"/>
      <c r="X1197" s="7"/>
      <c r="Y1197" s="7" t="s">
        <v>8599</v>
      </c>
      <c r="Z1197" s="7"/>
      <c r="AA1197" s="7"/>
      <c r="AB1197" s="7"/>
      <c r="AC1197" s="7" t="n">
        <v>0</v>
      </c>
      <c r="AD1197" s="7" t="s">
        <v>388</v>
      </c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 t="s">
        <v>440</v>
      </c>
      <c r="BE1197" s="7" t="s">
        <v>127</v>
      </c>
      <c r="BF1197" s="8"/>
      <c r="BG1197" s="8"/>
      <c r="BH1197" s="8"/>
      <c r="BI1197" s="8"/>
      <c r="BJ1197" s="8"/>
      <c r="BK1197" s="8"/>
      <c r="BL1197" s="8"/>
      <c r="BM1197" s="8"/>
      <c r="BN1197" s="8"/>
      <c r="BO1197" s="8"/>
      <c r="BP1197" s="8"/>
      <c r="BQ1197" s="8"/>
      <c r="BR1197" s="8"/>
      <c r="BS1197" s="8"/>
    </row>
    <row r="1198" customFormat="false" ht="15" hidden="false" customHeight="false" outlineLevel="0" collapsed="false">
      <c r="A1198" s="7" t="s">
        <v>8600</v>
      </c>
      <c r="B1198" s="7" t="s">
        <v>8601</v>
      </c>
      <c r="C1198" s="7" t="s">
        <v>8602</v>
      </c>
      <c r="D1198" s="7" t="s">
        <v>8603</v>
      </c>
      <c r="E1198" s="7" t="s">
        <v>444</v>
      </c>
      <c r="F1198" s="7" t="s">
        <v>444</v>
      </c>
      <c r="G1198" s="7"/>
      <c r="H1198" s="7" t="s">
        <v>207</v>
      </c>
      <c r="I1198" s="7" t="s">
        <v>208</v>
      </c>
      <c r="J1198" s="7" t="s">
        <v>104</v>
      </c>
      <c r="K1198" s="7" t="s">
        <v>105</v>
      </c>
      <c r="L1198" s="7" t="s">
        <v>106</v>
      </c>
      <c r="M1198" s="7"/>
      <c r="N1198" s="7" t="s">
        <v>8604</v>
      </c>
      <c r="O1198" s="7" t="s">
        <v>8604</v>
      </c>
      <c r="P1198" s="7" t="s">
        <v>135</v>
      </c>
      <c r="Q1198" s="7"/>
      <c r="R1198" s="7" t="s">
        <v>109</v>
      </c>
      <c r="S1198" s="7" t="s">
        <v>110</v>
      </c>
      <c r="T1198" s="7" t="n">
        <v>0.377</v>
      </c>
      <c r="U1198" s="7" t="n">
        <v>1</v>
      </c>
      <c r="V1198" s="7" t="s">
        <v>90</v>
      </c>
      <c r="W1198" s="7"/>
      <c r="X1198" s="7"/>
      <c r="Y1198" s="7" t="s">
        <v>8604</v>
      </c>
      <c r="Z1198" s="7"/>
      <c r="AA1198" s="7"/>
      <c r="AB1198" s="7"/>
      <c r="AC1198" s="7" t="n">
        <v>0</v>
      </c>
      <c r="AD1198" s="7" t="s">
        <v>388</v>
      </c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 t="s">
        <v>440</v>
      </c>
      <c r="BE1198" s="7" t="s">
        <v>127</v>
      </c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</row>
    <row r="1199" customFormat="false" ht="15" hidden="false" customHeight="false" outlineLevel="0" collapsed="false">
      <c r="A1199" s="7" t="s">
        <v>8605</v>
      </c>
      <c r="B1199" s="7" t="s">
        <v>8606</v>
      </c>
      <c r="C1199" s="7" t="s">
        <v>8607</v>
      </c>
      <c r="D1199" s="7" t="s">
        <v>8608</v>
      </c>
      <c r="E1199" s="7" t="s">
        <v>444</v>
      </c>
      <c r="F1199" s="7" t="s">
        <v>444</v>
      </c>
      <c r="G1199" s="7"/>
      <c r="H1199" s="7" t="s">
        <v>207</v>
      </c>
      <c r="I1199" s="7" t="s">
        <v>208</v>
      </c>
      <c r="J1199" s="7" t="s">
        <v>104</v>
      </c>
      <c r="K1199" s="7" t="s">
        <v>105</v>
      </c>
      <c r="L1199" s="7" t="s">
        <v>106</v>
      </c>
      <c r="M1199" s="7"/>
      <c r="N1199" s="7" t="s">
        <v>8609</v>
      </c>
      <c r="O1199" s="7" t="s">
        <v>8609</v>
      </c>
      <c r="P1199" s="7" t="s">
        <v>135</v>
      </c>
      <c r="Q1199" s="7"/>
      <c r="R1199" s="7" t="s">
        <v>109</v>
      </c>
      <c r="S1199" s="7" t="s">
        <v>110</v>
      </c>
      <c r="T1199" s="7" t="n">
        <v>0.49</v>
      </c>
      <c r="U1199" s="7" t="n">
        <v>1</v>
      </c>
      <c r="V1199" s="7" t="s">
        <v>90</v>
      </c>
      <c r="W1199" s="7"/>
      <c r="X1199" s="7"/>
      <c r="Y1199" s="7" t="s">
        <v>8609</v>
      </c>
      <c r="Z1199" s="7"/>
      <c r="AA1199" s="7"/>
      <c r="AB1199" s="7"/>
      <c r="AC1199" s="7" t="n">
        <v>0</v>
      </c>
      <c r="AD1199" s="7" t="s">
        <v>388</v>
      </c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 t="s">
        <v>440</v>
      </c>
      <c r="BE1199" s="7" t="s">
        <v>127</v>
      </c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</row>
    <row r="1200" customFormat="false" ht="15" hidden="false" customHeight="false" outlineLevel="0" collapsed="false">
      <c r="A1200" s="7" t="s">
        <v>8610</v>
      </c>
      <c r="B1200" s="7" t="s">
        <v>8611</v>
      </c>
      <c r="C1200" s="7" t="s">
        <v>8612</v>
      </c>
      <c r="D1200" s="7" t="s">
        <v>8613</v>
      </c>
      <c r="E1200" s="7" t="s">
        <v>444</v>
      </c>
      <c r="F1200" s="7" t="s">
        <v>444</v>
      </c>
      <c r="G1200" s="7"/>
      <c r="H1200" s="7" t="s">
        <v>207</v>
      </c>
      <c r="I1200" s="7" t="s">
        <v>158</v>
      </c>
      <c r="J1200" s="7" t="s">
        <v>104</v>
      </c>
      <c r="K1200" s="7" t="s">
        <v>105</v>
      </c>
      <c r="L1200" s="7" t="s">
        <v>106</v>
      </c>
      <c r="M1200" s="7"/>
      <c r="N1200" s="7" t="s">
        <v>8614</v>
      </c>
      <c r="O1200" s="7" t="s">
        <v>8614</v>
      </c>
      <c r="P1200" s="7" t="s">
        <v>135</v>
      </c>
      <c r="Q1200" s="7"/>
      <c r="R1200" s="7" t="s">
        <v>109</v>
      </c>
      <c r="S1200" s="7" t="s">
        <v>110</v>
      </c>
      <c r="T1200" s="7" t="n">
        <v>0.276</v>
      </c>
      <c r="U1200" s="7" t="n">
        <v>1</v>
      </c>
      <c r="V1200" s="7" t="s">
        <v>90</v>
      </c>
      <c r="W1200" s="7"/>
      <c r="X1200" s="7"/>
      <c r="Y1200" s="7" t="s">
        <v>8614</v>
      </c>
      <c r="Z1200" s="7"/>
      <c r="AA1200" s="7"/>
      <c r="AB1200" s="7"/>
      <c r="AC1200" s="7" t="n">
        <v>0</v>
      </c>
      <c r="AD1200" s="7" t="s">
        <v>388</v>
      </c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 t="s">
        <v>440</v>
      </c>
      <c r="BE1200" s="7" t="s">
        <v>127</v>
      </c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</row>
    <row r="1201" customFormat="false" ht="15" hidden="false" customHeight="false" outlineLevel="0" collapsed="false">
      <c r="A1201" s="7" t="s">
        <v>8615</v>
      </c>
      <c r="B1201" s="7" t="s">
        <v>8616</v>
      </c>
      <c r="C1201" s="7" t="s">
        <v>8617</v>
      </c>
      <c r="D1201" s="7" t="s">
        <v>8618</v>
      </c>
      <c r="E1201" s="7" t="s">
        <v>431</v>
      </c>
      <c r="F1201" s="7" t="s">
        <v>431</v>
      </c>
      <c r="G1201" s="7"/>
      <c r="H1201" s="7" t="s">
        <v>207</v>
      </c>
      <c r="I1201" s="7" t="s">
        <v>132</v>
      </c>
      <c r="J1201" s="7" t="s">
        <v>104</v>
      </c>
      <c r="K1201" s="7" t="s">
        <v>105</v>
      </c>
      <c r="L1201" s="7" t="s">
        <v>106</v>
      </c>
      <c r="M1201" s="7"/>
      <c r="N1201" s="7" t="s">
        <v>8619</v>
      </c>
      <c r="O1201" s="7" t="s">
        <v>8619</v>
      </c>
      <c r="P1201" s="7" t="s">
        <v>135</v>
      </c>
      <c r="Q1201" s="7"/>
      <c r="R1201" s="7" t="s">
        <v>109</v>
      </c>
      <c r="S1201" s="7" t="s">
        <v>110</v>
      </c>
      <c r="T1201" s="7" t="n">
        <v>0.365</v>
      </c>
      <c r="U1201" s="7" t="n">
        <v>1</v>
      </c>
      <c r="V1201" s="7" t="s">
        <v>90</v>
      </c>
      <c r="W1201" s="7"/>
      <c r="X1201" s="7"/>
      <c r="Y1201" s="7" t="s">
        <v>8619</v>
      </c>
      <c r="Z1201" s="7"/>
      <c r="AA1201" s="7"/>
      <c r="AB1201" s="7"/>
      <c r="AC1201" s="7" t="n">
        <v>0</v>
      </c>
      <c r="AD1201" s="7" t="s">
        <v>388</v>
      </c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 t="s">
        <v>2797</v>
      </c>
      <c r="BE1201" s="7" t="s">
        <v>127</v>
      </c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</row>
    <row r="1202" customFormat="false" ht="15" hidden="false" customHeight="false" outlineLevel="0" collapsed="false">
      <c r="A1202" s="7" t="s">
        <v>8620</v>
      </c>
      <c r="B1202" s="7" t="s">
        <v>8621</v>
      </c>
      <c r="C1202" s="7" t="s">
        <v>8622</v>
      </c>
      <c r="D1202" s="7" t="s">
        <v>8623</v>
      </c>
      <c r="E1202" s="7" t="s">
        <v>1966</v>
      </c>
      <c r="F1202" s="7" t="s">
        <v>1966</v>
      </c>
      <c r="G1202" s="7"/>
      <c r="H1202" s="7" t="s">
        <v>207</v>
      </c>
      <c r="I1202" s="7" t="s">
        <v>158</v>
      </c>
      <c r="J1202" s="7" t="s">
        <v>104</v>
      </c>
      <c r="K1202" s="7" t="s">
        <v>105</v>
      </c>
      <c r="L1202" s="7" t="s">
        <v>106</v>
      </c>
      <c r="M1202" s="7"/>
      <c r="N1202" s="7" t="s">
        <v>8624</v>
      </c>
      <c r="O1202" s="7" t="s">
        <v>8624</v>
      </c>
      <c r="P1202" s="7" t="s">
        <v>135</v>
      </c>
      <c r="Q1202" s="7"/>
      <c r="R1202" s="7" t="s">
        <v>109</v>
      </c>
      <c r="S1202" s="7" t="s">
        <v>110</v>
      </c>
      <c r="T1202" s="7" t="n">
        <v>0.692</v>
      </c>
      <c r="U1202" s="7" t="n">
        <v>1</v>
      </c>
      <c r="V1202" s="7" t="s">
        <v>90</v>
      </c>
      <c r="W1202" s="7"/>
      <c r="X1202" s="7"/>
      <c r="Y1202" s="7" t="s">
        <v>8624</v>
      </c>
      <c r="Z1202" s="7"/>
      <c r="AA1202" s="7"/>
      <c r="AB1202" s="7"/>
      <c r="AC1202" s="7" t="n">
        <v>0</v>
      </c>
      <c r="AD1202" s="7" t="s">
        <v>388</v>
      </c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 t="s">
        <v>2797</v>
      </c>
      <c r="BE1202" s="7" t="s">
        <v>127</v>
      </c>
      <c r="BF1202" s="8"/>
      <c r="BG1202" s="8"/>
      <c r="BH1202" s="8"/>
      <c r="BI1202" s="8"/>
      <c r="BJ1202" s="8"/>
      <c r="BK1202" s="8"/>
      <c r="BL1202" s="8"/>
      <c r="BM1202" s="8"/>
      <c r="BN1202" s="8"/>
      <c r="BO1202" s="8"/>
      <c r="BP1202" s="8"/>
      <c r="BQ1202" s="8"/>
      <c r="BR1202" s="8"/>
      <c r="BS1202" s="8"/>
    </row>
    <row r="1203" customFormat="false" ht="15" hidden="false" customHeight="false" outlineLevel="0" collapsed="false">
      <c r="A1203" s="7" t="s">
        <v>8625</v>
      </c>
      <c r="B1203" s="7" t="s">
        <v>8626</v>
      </c>
      <c r="C1203" s="7" t="s">
        <v>8627</v>
      </c>
      <c r="D1203" s="7" t="s">
        <v>8628</v>
      </c>
      <c r="E1203" s="7" t="s">
        <v>819</v>
      </c>
      <c r="F1203" s="7" t="s">
        <v>819</v>
      </c>
      <c r="G1203" s="7"/>
      <c r="H1203" s="7" t="s">
        <v>207</v>
      </c>
      <c r="I1203" s="7" t="s">
        <v>103</v>
      </c>
      <c r="J1203" s="7" t="s">
        <v>104</v>
      </c>
      <c r="K1203" s="7" t="s">
        <v>105</v>
      </c>
      <c r="L1203" s="7" t="s">
        <v>106</v>
      </c>
      <c r="M1203" s="7"/>
      <c r="N1203" s="7" t="s">
        <v>8629</v>
      </c>
      <c r="O1203" s="7" t="s">
        <v>8629</v>
      </c>
      <c r="P1203" s="7" t="s">
        <v>135</v>
      </c>
      <c r="Q1203" s="7"/>
      <c r="R1203" s="7" t="s">
        <v>109</v>
      </c>
      <c r="S1203" s="7" t="s">
        <v>110</v>
      </c>
      <c r="T1203" s="7" t="n">
        <v>0.655</v>
      </c>
      <c r="U1203" s="7" t="n">
        <v>1</v>
      </c>
      <c r="V1203" s="7" t="s">
        <v>90</v>
      </c>
      <c r="W1203" s="7"/>
      <c r="X1203" s="7"/>
      <c r="Y1203" s="7" t="s">
        <v>8629</v>
      </c>
      <c r="Z1203" s="7"/>
      <c r="AA1203" s="7"/>
      <c r="AB1203" s="7"/>
      <c r="AC1203" s="7" t="n">
        <v>0</v>
      </c>
      <c r="AD1203" s="7" t="s">
        <v>388</v>
      </c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 t="s">
        <v>440</v>
      </c>
      <c r="BE1203" s="7" t="s">
        <v>127</v>
      </c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</row>
    <row r="1204" customFormat="false" ht="15" hidden="false" customHeight="false" outlineLevel="0" collapsed="false">
      <c r="A1204" s="7" t="s">
        <v>8630</v>
      </c>
      <c r="B1204" s="7" t="s">
        <v>8631</v>
      </c>
      <c r="C1204" s="7" t="s">
        <v>8632</v>
      </c>
      <c r="D1204" s="7" t="s">
        <v>4363</v>
      </c>
      <c r="E1204" s="7" t="s">
        <v>516</v>
      </c>
      <c r="F1204" s="7" t="s">
        <v>516</v>
      </c>
      <c r="G1204" s="7" t="s">
        <v>2455</v>
      </c>
      <c r="H1204" s="7" t="s">
        <v>207</v>
      </c>
      <c r="I1204" s="7" t="s">
        <v>132</v>
      </c>
      <c r="J1204" s="7" t="s">
        <v>104</v>
      </c>
      <c r="K1204" s="7" t="s">
        <v>105</v>
      </c>
      <c r="L1204" s="7" t="s">
        <v>106</v>
      </c>
      <c r="M1204" s="7"/>
      <c r="N1204" s="7" t="s">
        <v>8633</v>
      </c>
      <c r="O1204" s="7" t="s">
        <v>8633</v>
      </c>
      <c r="P1204" s="7" t="s">
        <v>135</v>
      </c>
      <c r="Q1204" s="7"/>
      <c r="R1204" s="7" t="s">
        <v>109</v>
      </c>
      <c r="S1204" s="7" t="s">
        <v>110</v>
      </c>
      <c r="T1204" s="7" t="n">
        <v>0.52</v>
      </c>
      <c r="U1204" s="7" t="n">
        <v>1</v>
      </c>
      <c r="V1204" s="7" t="s">
        <v>90</v>
      </c>
      <c r="W1204" s="7"/>
      <c r="X1204" s="7"/>
      <c r="Y1204" s="7" t="s">
        <v>8633</v>
      </c>
      <c r="Z1204" s="7"/>
      <c r="AA1204" s="7"/>
      <c r="AB1204" s="7"/>
      <c r="AC1204" s="7" t="n">
        <v>0</v>
      </c>
      <c r="AD1204" s="7" t="s">
        <v>388</v>
      </c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 t="s">
        <v>2797</v>
      </c>
      <c r="BE1204" s="7" t="s">
        <v>127</v>
      </c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8"/>
      <c r="BS1204" s="8"/>
    </row>
    <row r="1205" customFormat="false" ht="15" hidden="false" customHeight="false" outlineLevel="0" collapsed="false">
      <c r="A1205" s="7" t="s">
        <v>8634</v>
      </c>
      <c r="B1205" s="7" t="s">
        <v>8635</v>
      </c>
      <c r="C1205" s="7" t="s">
        <v>8636</v>
      </c>
      <c r="D1205" s="7" t="s">
        <v>8637</v>
      </c>
      <c r="E1205" s="7" t="s">
        <v>1966</v>
      </c>
      <c r="F1205" s="7" t="s">
        <v>1966</v>
      </c>
      <c r="G1205" s="7"/>
      <c r="H1205" s="7" t="s">
        <v>207</v>
      </c>
      <c r="I1205" s="7" t="s">
        <v>103</v>
      </c>
      <c r="J1205" s="7" t="s">
        <v>104</v>
      </c>
      <c r="K1205" s="7" t="s">
        <v>105</v>
      </c>
      <c r="L1205" s="7" t="s">
        <v>106</v>
      </c>
      <c r="M1205" s="7"/>
      <c r="N1205" s="7" t="s">
        <v>8638</v>
      </c>
      <c r="O1205" s="7" t="s">
        <v>8638</v>
      </c>
      <c r="P1205" s="7" t="s">
        <v>135</v>
      </c>
      <c r="Q1205" s="7"/>
      <c r="R1205" s="7" t="s">
        <v>109</v>
      </c>
      <c r="S1205" s="7" t="s">
        <v>110</v>
      </c>
      <c r="T1205" s="7" t="n">
        <v>0.198</v>
      </c>
      <c r="U1205" s="7" t="n">
        <v>1</v>
      </c>
      <c r="V1205" s="7" t="s">
        <v>90</v>
      </c>
      <c r="W1205" s="7"/>
      <c r="X1205" s="7"/>
      <c r="Y1205" s="7" t="s">
        <v>8638</v>
      </c>
      <c r="Z1205" s="7"/>
      <c r="AA1205" s="7"/>
      <c r="AB1205" s="7"/>
      <c r="AC1205" s="7" t="n">
        <v>0</v>
      </c>
      <c r="AD1205" s="7" t="s">
        <v>388</v>
      </c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 t="s">
        <v>440</v>
      </c>
      <c r="BE1205" s="7" t="s">
        <v>127</v>
      </c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</row>
    <row r="1206" customFormat="false" ht="15" hidden="false" customHeight="false" outlineLevel="0" collapsed="false">
      <c r="A1206" s="7" t="s">
        <v>8639</v>
      </c>
      <c r="B1206" s="7" t="s">
        <v>8640</v>
      </c>
      <c r="C1206" s="7" t="s">
        <v>8641</v>
      </c>
      <c r="D1206" s="7" t="s">
        <v>8005</v>
      </c>
      <c r="E1206" s="7" t="s">
        <v>737</v>
      </c>
      <c r="F1206" s="7" t="s">
        <v>737</v>
      </c>
      <c r="G1206" s="7"/>
      <c r="H1206" s="7" t="s">
        <v>207</v>
      </c>
      <c r="I1206" s="7" t="s">
        <v>132</v>
      </c>
      <c r="J1206" s="7" t="s">
        <v>104</v>
      </c>
      <c r="K1206" s="7" t="s">
        <v>105</v>
      </c>
      <c r="L1206" s="7" t="s">
        <v>106</v>
      </c>
      <c r="M1206" s="7"/>
      <c r="N1206" s="7" t="s">
        <v>8642</v>
      </c>
      <c r="O1206" s="7" t="s">
        <v>8642</v>
      </c>
      <c r="P1206" s="7" t="s">
        <v>135</v>
      </c>
      <c r="Q1206" s="7"/>
      <c r="R1206" s="7" t="s">
        <v>109</v>
      </c>
      <c r="S1206" s="7" t="s">
        <v>110</v>
      </c>
      <c r="T1206" s="7" t="n">
        <v>0.306</v>
      </c>
      <c r="U1206" s="7" t="n">
        <v>1</v>
      </c>
      <c r="V1206" s="7" t="s">
        <v>90</v>
      </c>
      <c r="W1206" s="7"/>
      <c r="X1206" s="7"/>
      <c r="Y1206" s="7" t="s">
        <v>8642</v>
      </c>
      <c r="Z1206" s="7"/>
      <c r="AA1206" s="7"/>
      <c r="AB1206" s="7"/>
      <c r="AC1206" s="7" t="n">
        <v>0</v>
      </c>
      <c r="AD1206" s="7" t="s">
        <v>388</v>
      </c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 t="s">
        <v>440</v>
      </c>
      <c r="BE1206" s="7" t="s">
        <v>127</v>
      </c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8"/>
      <c r="BS1206" s="8"/>
    </row>
    <row r="1207" customFormat="false" ht="15" hidden="false" customHeight="false" outlineLevel="0" collapsed="false">
      <c r="A1207" s="7" t="s">
        <v>8643</v>
      </c>
      <c r="B1207" s="7" t="s">
        <v>8644</v>
      </c>
      <c r="C1207" s="7" t="s">
        <v>8645</v>
      </c>
      <c r="D1207" s="7" t="s">
        <v>8646</v>
      </c>
      <c r="E1207" s="7" t="s">
        <v>507</v>
      </c>
      <c r="F1207" s="7" t="s">
        <v>507</v>
      </c>
      <c r="G1207" s="7"/>
      <c r="H1207" s="7" t="s">
        <v>207</v>
      </c>
      <c r="I1207" s="7" t="s">
        <v>158</v>
      </c>
      <c r="J1207" s="7" t="s">
        <v>104</v>
      </c>
      <c r="K1207" s="7" t="s">
        <v>105</v>
      </c>
      <c r="L1207" s="7" t="s">
        <v>106</v>
      </c>
      <c r="M1207" s="7"/>
      <c r="N1207" s="7" t="s">
        <v>8647</v>
      </c>
      <c r="O1207" s="7"/>
      <c r="P1207" s="7" t="s">
        <v>135</v>
      </c>
      <c r="Q1207" s="7"/>
      <c r="R1207" s="7"/>
      <c r="S1207" s="7"/>
      <c r="T1207" s="7" t="n">
        <v>0.399</v>
      </c>
      <c r="U1207" s="7" t="n">
        <v>1</v>
      </c>
      <c r="V1207" s="7" t="s">
        <v>90</v>
      </c>
      <c r="W1207" s="7"/>
      <c r="X1207" s="7"/>
      <c r="Y1207" s="7" t="s">
        <v>8647</v>
      </c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 t="s">
        <v>440</v>
      </c>
      <c r="BE1207" s="7" t="s">
        <v>127</v>
      </c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</row>
    <row r="1208" customFormat="false" ht="15" hidden="false" customHeight="false" outlineLevel="0" collapsed="false">
      <c r="A1208" s="7" t="s">
        <v>8648</v>
      </c>
      <c r="B1208" s="7" t="s">
        <v>8649</v>
      </c>
      <c r="C1208" s="7" t="s">
        <v>8650</v>
      </c>
      <c r="D1208" s="7" t="s">
        <v>8651</v>
      </c>
      <c r="E1208" s="7" t="s">
        <v>1966</v>
      </c>
      <c r="F1208" s="7" t="s">
        <v>1966</v>
      </c>
      <c r="G1208" s="7"/>
      <c r="H1208" s="7" t="s">
        <v>207</v>
      </c>
      <c r="I1208" s="7" t="s">
        <v>1104</v>
      </c>
      <c r="J1208" s="7" t="s">
        <v>104</v>
      </c>
      <c r="K1208" s="7" t="s">
        <v>105</v>
      </c>
      <c r="L1208" s="7" t="s">
        <v>2951</v>
      </c>
      <c r="M1208" s="7"/>
      <c r="N1208" s="7" t="s">
        <v>8652</v>
      </c>
      <c r="O1208" s="7" t="s">
        <v>8652</v>
      </c>
      <c r="P1208" s="7" t="s">
        <v>109</v>
      </c>
      <c r="Q1208" s="7"/>
      <c r="R1208" s="7" t="s">
        <v>109</v>
      </c>
      <c r="S1208" s="7" t="s">
        <v>110</v>
      </c>
      <c r="T1208" s="7" t="n">
        <v>0.634</v>
      </c>
      <c r="U1208" s="7" t="n">
        <v>1</v>
      </c>
      <c r="V1208" s="7" t="s">
        <v>1156</v>
      </c>
      <c r="W1208" s="7"/>
      <c r="X1208" s="7"/>
      <c r="Y1208" s="7" t="s">
        <v>8652</v>
      </c>
      <c r="Z1208" s="7"/>
      <c r="AA1208" s="7"/>
      <c r="AB1208" s="7"/>
      <c r="AC1208" s="7" t="n">
        <v>0</v>
      </c>
      <c r="AD1208" s="7" t="s">
        <v>388</v>
      </c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 t="s">
        <v>127</v>
      </c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8"/>
      <c r="BS1208" s="8"/>
    </row>
    <row r="1209" customFormat="false" ht="15" hidden="false" customHeight="false" outlineLevel="0" collapsed="false">
      <c r="A1209" s="7" t="s">
        <v>8653</v>
      </c>
      <c r="B1209" s="7" t="s">
        <v>8654</v>
      </c>
      <c r="C1209" s="7" t="s">
        <v>8655</v>
      </c>
      <c r="D1209" s="7" t="s">
        <v>8336</v>
      </c>
      <c r="E1209" s="7" t="s">
        <v>431</v>
      </c>
      <c r="F1209" s="7" t="s">
        <v>431</v>
      </c>
      <c r="G1209" s="7"/>
      <c r="H1209" s="7" t="s">
        <v>207</v>
      </c>
      <c r="I1209" s="7" t="s">
        <v>158</v>
      </c>
      <c r="J1209" s="7" t="s">
        <v>104</v>
      </c>
      <c r="K1209" s="7" t="s">
        <v>105</v>
      </c>
      <c r="L1209" s="7" t="s">
        <v>353</v>
      </c>
      <c r="M1209" s="7"/>
      <c r="N1209" s="7" t="s">
        <v>8656</v>
      </c>
      <c r="O1209" s="7" t="s">
        <v>8656</v>
      </c>
      <c r="P1209" s="7" t="s">
        <v>109</v>
      </c>
      <c r="Q1209" s="7"/>
      <c r="R1209" s="7" t="s">
        <v>109</v>
      </c>
      <c r="S1209" s="7" t="s">
        <v>110</v>
      </c>
      <c r="T1209" s="7" t="n">
        <v>0.806</v>
      </c>
      <c r="U1209" s="7" t="n">
        <v>1</v>
      </c>
      <c r="V1209" s="7" t="s">
        <v>1156</v>
      </c>
      <c r="W1209" s="7"/>
      <c r="X1209" s="7"/>
      <c r="Y1209" s="7" t="s">
        <v>8656</v>
      </c>
      <c r="Z1209" s="7"/>
      <c r="AA1209" s="7"/>
      <c r="AB1209" s="7"/>
      <c r="AC1209" s="7" t="n">
        <v>0</v>
      </c>
      <c r="AD1209" s="7" t="s">
        <v>388</v>
      </c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 t="s">
        <v>127</v>
      </c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</row>
    <row r="1210" customFormat="false" ht="15" hidden="false" customHeight="false" outlineLevel="0" collapsed="false">
      <c r="A1210" s="7" t="s">
        <v>8657</v>
      </c>
      <c r="B1210" s="7" t="s">
        <v>8658</v>
      </c>
      <c r="C1210" s="7" t="s">
        <v>8659</v>
      </c>
      <c r="D1210" s="7" t="s">
        <v>8660</v>
      </c>
      <c r="E1210" s="7" t="s">
        <v>1966</v>
      </c>
      <c r="F1210" s="7" t="s">
        <v>1966</v>
      </c>
      <c r="G1210" s="7"/>
      <c r="H1210" s="7" t="s">
        <v>207</v>
      </c>
      <c r="I1210" s="7" t="s">
        <v>158</v>
      </c>
      <c r="J1210" s="7" t="s">
        <v>104</v>
      </c>
      <c r="K1210" s="7" t="s">
        <v>105</v>
      </c>
      <c r="L1210" s="7" t="s">
        <v>106</v>
      </c>
      <c r="M1210" s="7"/>
      <c r="N1210" s="7" t="s">
        <v>8661</v>
      </c>
      <c r="O1210" s="7"/>
      <c r="P1210" s="7" t="s">
        <v>84</v>
      </c>
      <c r="Q1210" s="7"/>
      <c r="R1210" s="7"/>
      <c r="S1210" s="7"/>
      <c r="T1210" s="7" t="n">
        <v>0.495</v>
      </c>
      <c r="U1210" s="7" t="n">
        <v>2</v>
      </c>
      <c r="V1210" s="7" t="s">
        <v>479</v>
      </c>
      <c r="W1210" s="7"/>
      <c r="X1210" s="7"/>
      <c r="Y1210" s="7" t="s">
        <v>8661</v>
      </c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 t="s">
        <v>1861</v>
      </c>
      <c r="BE1210" s="7" t="s">
        <v>127</v>
      </c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</row>
    <row r="1211" customFormat="false" ht="15" hidden="false" customHeight="false" outlineLevel="0" collapsed="false">
      <c r="A1211" s="7" t="s">
        <v>8662</v>
      </c>
      <c r="B1211" s="7" t="s">
        <v>8663</v>
      </c>
      <c r="C1211" s="7" t="s">
        <v>8664</v>
      </c>
      <c r="D1211" s="7" t="s">
        <v>8665</v>
      </c>
      <c r="E1211" s="7" t="s">
        <v>819</v>
      </c>
      <c r="F1211" s="7" t="s">
        <v>819</v>
      </c>
      <c r="G1211" s="7"/>
      <c r="H1211" s="7" t="s">
        <v>207</v>
      </c>
      <c r="I1211" s="7" t="s">
        <v>1639</v>
      </c>
      <c r="J1211" s="7" t="s">
        <v>104</v>
      </c>
      <c r="K1211" s="7" t="s">
        <v>105</v>
      </c>
      <c r="L1211" s="7" t="s">
        <v>106</v>
      </c>
      <c r="M1211" s="7"/>
      <c r="N1211" s="7" t="s">
        <v>8666</v>
      </c>
      <c r="O1211" s="7" t="s">
        <v>8666</v>
      </c>
      <c r="P1211" s="7" t="s">
        <v>135</v>
      </c>
      <c r="Q1211" s="7"/>
      <c r="R1211" s="7" t="s">
        <v>109</v>
      </c>
      <c r="S1211" s="7" t="s">
        <v>110</v>
      </c>
      <c r="T1211" s="7" t="n">
        <v>0.215</v>
      </c>
      <c r="U1211" s="7" t="n">
        <v>1</v>
      </c>
      <c r="V1211" s="7" t="s">
        <v>90</v>
      </c>
      <c r="W1211" s="7"/>
      <c r="X1211" s="7"/>
      <c r="Y1211" s="7" t="s">
        <v>8666</v>
      </c>
      <c r="Z1211" s="7"/>
      <c r="AA1211" s="7"/>
      <c r="AB1211" s="7"/>
      <c r="AC1211" s="7" t="n">
        <v>0</v>
      </c>
      <c r="AD1211" s="7" t="s">
        <v>388</v>
      </c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 t="s">
        <v>440</v>
      </c>
      <c r="BE1211" s="7" t="s">
        <v>127</v>
      </c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</row>
    <row r="1212" customFormat="false" ht="15" hidden="false" customHeight="false" outlineLevel="0" collapsed="false">
      <c r="A1212" s="7" t="s">
        <v>8667</v>
      </c>
      <c r="B1212" s="7" t="s">
        <v>8668</v>
      </c>
      <c r="C1212" s="7" t="s">
        <v>8669</v>
      </c>
      <c r="D1212" s="7" t="s">
        <v>8515</v>
      </c>
      <c r="E1212" s="7" t="s">
        <v>444</v>
      </c>
      <c r="F1212" s="7" t="s">
        <v>444</v>
      </c>
      <c r="G1212" s="7"/>
      <c r="H1212" s="7" t="s">
        <v>207</v>
      </c>
      <c r="I1212" s="7" t="s">
        <v>158</v>
      </c>
      <c r="J1212" s="7" t="s">
        <v>104</v>
      </c>
      <c r="K1212" s="7" t="s">
        <v>105</v>
      </c>
      <c r="L1212" s="7" t="s">
        <v>106</v>
      </c>
      <c r="M1212" s="7"/>
      <c r="N1212" s="7" t="s">
        <v>8670</v>
      </c>
      <c r="O1212" s="7" t="s">
        <v>8670</v>
      </c>
      <c r="P1212" s="7" t="s">
        <v>109</v>
      </c>
      <c r="Q1212" s="7"/>
      <c r="R1212" s="7" t="s">
        <v>109</v>
      </c>
      <c r="S1212" s="7" t="s">
        <v>110</v>
      </c>
      <c r="T1212" s="7" t="n">
        <v>0.759</v>
      </c>
      <c r="U1212" s="7" t="n">
        <v>1</v>
      </c>
      <c r="V1212" s="7" t="s">
        <v>1156</v>
      </c>
      <c r="W1212" s="7"/>
      <c r="X1212" s="7"/>
      <c r="Y1212" s="7" t="s">
        <v>8670</v>
      </c>
      <c r="Z1212" s="7"/>
      <c r="AA1212" s="7"/>
      <c r="AB1212" s="7"/>
      <c r="AC1212" s="7" t="n">
        <v>0</v>
      </c>
      <c r="AD1212" s="7" t="s">
        <v>388</v>
      </c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 t="s">
        <v>127</v>
      </c>
      <c r="BF1212" s="8"/>
      <c r="BG1212" s="8"/>
      <c r="BH1212" s="8"/>
      <c r="BI1212" s="8"/>
      <c r="BJ1212" s="8"/>
      <c r="BK1212" s="8"/>
      <c r="BL1212" s="8"/>
      <c r="BM1212" s="8"/>
      <c r="BN1212" s="8"/>
      <c r="BO1212" s="8"/>
      <c r="BP1212" s="8"/>
      <c r="BQ1212" s="8"/>
      <c r="BR1212" s="8"/>
      <c r="BS1212" s="8"/>
    </row>
    <row r="1213" customFormat="false" ht="15" hidden="false" customHeight="false" outlineLevel="0" collapsed="false">
      <c r="A1213" s="7" t="s">
        <v>8671</v>
      </c>
      <c r="B1213" s="7" t="s">
        <v>8672</v>
      </c>
      <c r="C1213" s="7" t="s">
        <v>8673</v>
      </c>
      <c r="D1213" s="7" t="s">
        <v>4363</v>
      </c>
      <c r="E1213" s="7" t="s">
        <v>516</v>
      </c>
      <c r="F1213" s="7" t="s">
        <v>516</v>
      </c>
      <c r="G1213" s="7" t="s">
        <v>2455</v>
      </c>
      <c r="H1213" s="7" t="s">
        <v>207</v>
      </c>
      <c r="I1213" s="7" t="s">
        <v>132</v>
      </c>
      <c r="J1213" s="7" t="s">
        <v>104</v>
      </c>
      <c r="K1213" s="7" t="s">
        <v>105</v>
      </c>
      <c r="L1213" s="7" t="s">
        <v>106</v>
      </c>
      <c r="M1213" s="7"/>
      <c r="N1213" s="7" t="s">
        <v>8674</v>
      </c>
      <c r="O1213" s="7" t="s">
        <v>8674</v>
      </c>
      <c r="P1213" s="7" t="s">
        <v>135</v>
      </c>
      <c r="Q1213" s="7"/>
      <c r="R1213" s="7" t="s">
        <v>109</v>
      </c>
      <c r="S1213" s="7" t="s">
        <v>110</v>
      </c>
      <c r="T1213" s="7" t="n">
        <v>0.44</v>
      </c>
      <c r="U1213" s="7" t="n">
        <v>1</v>
      </c>
      <c r="V1213" s="7" t="s">
        <v>90</v>
      </c>
      <c r="W1213" s="7"/>
      <c r="X1213" s="7"/>
      <c r="Y1213" s="7" t="s">
        <v>8674</v>
      </c>
      <c r="Z1213" s="7"/>
      <c r="AA1213" s="7"/>
      <c r="AB1213" s="7"/>
      <c r="AC1213" s="7" t="n">
        <v>0</v>
      </c>
      <c r="AD1213" s="7" t="s">
        <v>388</v>
      </c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 t="s">
        <v>2797</v>
      </c>
      <c r="BE1213" s="7" t="s">
        <v>127</v>
      </c>
      <c r="BF1213" s="8"/>
      <c r="BG1213" s="8"/>
      <c r="BH1213" s="8"/>
      <c r="BI1213" s="8"/>
      <c r="BJ1213" s="8"/>
      <c r="BK1213" s="8"/>
      <c r="BL1213" s="8"/>
      <c r="BM1213" s="8"/>
      <c r="BN1213" s="8"/>
      <c r="BO1213" s="8"/>
      <c r="BP1213" s="8"/>
      <c r="BQ1213" s="8"/>
      <c r="BR1213" s="8"/>
      <c r="BS1213" s="8"/>
    </row>
    <row r="1214" customFormat="false" ht="15" hidden="false" customHeight="false" outlineLevel="0" collapsed="false">
      <c r="A1214" s="7" t="s">
        <v>8675</v>
      </c>
      <c r="B1214" s="7" t="s">
        <v>8676</v>
      </c>
      <c r="C1214" s="7" t="s">
        <v>8677</v>
      </c>
      <c r="D1214" s="7" t="s">
        <v>8678</v>
      </c>
      <c r="E1214" s="7" t="s">
        <v>1966</v>
      </c>
      <c r="F1214" s="7" t="s">
        <v>1966</v>
      </c>
      <c r="G1214" s="7"/>
      <c r="H1214" s="7" t="s">
        <v>207</v>
      </c>
      <c r="I1214" s="7" t="s">
        <v>158</v>
      </c>
      <c r="J1214" s="7" t="s">
        <v>104</v>
      </c>
      <c r="K1214" s="7" t="s">
        <v>105</v>
      </c>
      <c r="L1214" s="7" t="s">
        <v>106</v>
      </c>
      <c r="M1214" s="7"/>
      <c r="N1214" s="7" t="s">
        <v>8679</v>
      </c>
      <c r="O1214" s="7"/>
      <c r="P1214" s="7" t="s">
        <v>135</v>
      </c>
      <c r="Q1214" s="7"/>
      <c r="R1214" s="7"/>
      <c r="S1214" s="7"/>
      <c r="T1214" s="7" t="n">
        <v>0.414</v>
      </c>
      <c r="U1214" s="7" t="n">
        <v>1</v>
      </c>
      <c r="V1214" s="7" t="s">
        <v>90</v>
      </c>
      <c r="W1214" s="7"/>
      <c r="X1214" s="7"/>
      <c r="Y1214" s="7" t="s">
        <v>8679</v>
      </c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 t="s">
        <v>440</v>
      </c>
      <c r="BE1214" s="7" t="s">
        <v>127</v>
      </c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</row>
    <row r="1215" customFormat="false" ht="15" hidden="false" customHeight="false" outlineLevel="0" collapsed="false">
      <c r="A1215" s="7" t="s">
        <v>8680</v>
      </c>
      <c r="B1215" s="7" t="s">
        <v>8681</v>
      </c>
      <c r="C1215" s="7" t="s">
        <v>8682</v>
      </c>
      <c r="D1215" s="7" t="s">
        <v>8683</v>
      </c>
      <c r="E1215" s="7" t="s">
        <v>444</v>
      </c>
      <c r="F1215" s="7" t="s">
        <v>444</v>
      </c>
      <c r="G1215" s="7"/>
      <c r="H1215" s="7" t="s">
        <v>207</v>
      </c>
      <c r="I1215" s="7" t="s">
        <v>208</v>
      </c>
      <c r="J1215" s="7" t="s">
        <v>104</v>
      </c>
      <c r="K1215" s="7" t="s">
        <v>105</v>
      </c>
      <c r="L1215" s="7" t="s">
        <v>106</v>
      </c>
      <c r="M1215" s="7"/>
      <c r="N1215" s="7" t="s">
        <v>8684</v>
      </c>
      <c r="O1215" s="7" t="s">
        <v>8684</v>
      </c>
      <c r="P1215" s="7" t="s">
        <v>84</v>
      </c>
      <c r="Q1215" s="7"/>
      <c r="R1215" s="7" t="s">
        <v>109</v>
      </c>
      <c r="S1215" s="7" t="s">
        <v>110</v>
      </c>
      <c r="T1215" s="7" t="n">
        <v>0.56</v>
      </c>
      <c r="U1215" s="7" t="n">
        <v>2</v>
      </c>
      <c r="V1215" s="7" t="s">
        <v>111</v>
      </c>
      <c r="W1215" s="7"/>
      <c r="X1215" s="7"/>
      <c r="Y1215" s="7" t="s">
        <v>8684</v>
      </c>
      <c r="Z1215" s="7"/>
      <c r="AA1215" s="7"/>
      <c r="AB1215" s="7"/>
      <c r="AC1215" s="7" t="n">
        <v>0</v>
      </c>
      <c r="AD1215" s="7" t="s">
        <v>388</v>
      </c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 t="s">
        <v>1861</v>
      </c>
      <c r="BE1215" s="7" t="s">
        <v>127</v>
      </c>
      <c r="BF1215" s="8"/>
      <c r="BG1215" s="8"/>
      <c r="BH1215" s="8"/>
      <c r="BI1215" s="8"/>
      <c r="BJ1215" s="8"/>
      <c r="BK1215" s="8"/>
      <c r="BL1215" s="8"/>
      <c r="BM1215" s="8"/>
      <c r="BN1215" s="8"/>
      <c r="BO1215" s="8"/>
      <c r="BP1215" s="8"/>
      <c r="BQ1215" s="8"/>
      <c r="BR1215" s="8"/>
      <c r="BS1215" s="8"/>
    </row>
    <row r="1216" customFormat="false" ht="15" hidden="false" customHeight="false" outlineLevel="0" collapsed="false">
      <c r="A1216" s="7" t="s">
        <v>8685</v>
      </c>
      <c r="B1216" s="7" t="s">
        <v>8686</v>
      </c>
      <c r="C1216" s="7" t="s">
        <v>8687</v>
      </c>
      <c r="D1216" s="7" t="s">
        <v>8688</v>
      </c>
      <c r="E1216" s="7" t="s">
        <v>737</v>
      </c>
      <c r="F1216" s="7" t="s">
        <v>737</v>
      </c>
      <c r="G1216" s="7"/>
      <c r="H1216" s="7" t="s">
        <v>207</v>
      </c>
      <c r="I1216" s="7" t="s">
        <v>132</v>
      </c>
      <c r="J1216" s="7" t="s">
        <v>104</v>
      </c>
      <c r="K1216" s="7" t="s">
        <v>105</v>
      </c>
      <c r="L1216" s="7" t="s">
        <v>106</v>
      </c>
      <c r="M1216" s="7"/>
      <c r="N1216" s="7" t="s">
        <v>8689</v>
      </c>
      <c r="O1216" s="7" t="s">
        <v>8689</v>
      </c>
      <c r="P1216" s="7" t="s">
        <v>135</v>
      </c>
      <c r="Q1216" s="7"/>
      <c r="R1216" s="7" t="s">
        <v>109</v>
      </c>
      <c r="S1216" s="7" t="s">
        <v>110</v>
      </c>
      <c r="T1216" s="7" t="n">
        <v>0.398</v>
      </c>
      <c r="U1216" s="7" t="n">
        <v>1</v>
      </c>
      <c r="V1216" s="7" t="s">
        <v>90</v>
      </c>
      <c r="W1216" s="7"/>
      <c r="X1216" s="7"/>
      <c r="Y1216" s="7" t="s">
        <v>8689</v>
      </c>
      <c r="Z1216" s="7"/>
      <c r="AA1216" s="7"/>
      <c r="AB1216" s="7"/>
      <c r="AC1216" s="7" t="n">
        <v>0</v>
      </c>
      <c r="AD1216" s="7" t="s">
        <v>388</v>
      </c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 t="s">
        <v>2797</v>
      </c>
      <c r="BE1216" s="7" t="s">
        <v>127</v>
      </c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</row>
    <row r="1217" customFormat="false" ht="15" hidden="false" customHeight="false" outlineLevel="0" collapsed="false">
      <c r="A1217" s="7" t="s">
        <v>8690</v>
      </c>
      <c r="B1217" s="7" t="s">
        <v>8691</v>
      </c>
      <c r="C1217" s="7" t="s">
        <v>8692</v>
      </c>
      <c r="D1217" s="7" t="s">
        <v>8356</v>
      </c>
      <c r="E1217" s="7" t="s">
        <v>819</v>
      </c>
      <c r="F1217" s="7" t="s">
        <v>819</v>
      </c>
      <c r="G1217" s="7"/>
      <c r="H1217" s="7" t="s">
        <v>207</v>
      </c>
      <c r="I1217" s="7" t="s">
        <v>132</v>
      </c>
      <c r="J1217" s="7" t="s">
        <v>104</v>
      </c>
      <c r="K1217" s="7" t="s">
        <v>105</v>
      </c>
      <c r="L1217" s="7" t="s">
        <v>106</v>
      </c>
      <c r="M1217" s="7"/>
      <c r="N1217" s="7" t="s">
        <v>8693</v>
      </c>
      <c r="O1217" s="7" t="s">
        <v>8693</v>
      </c>
      <c r="P1217" s="7" t="s">
        <v>135</v>
      </c>
      <c r="Q1217" s="7"/>
      <c r="R1217" s="7" t="s">
        <v>109</v>
      </c>
      <c r="S1217" s="7" t="s">
        <v>110</v>
      </c>
      <c r="T1217" s="7" t="n">
        <v>0.611</v>
      </c>
      <c r="U1217" s="7" t="n">
        <v>1</v>
      </c>
      <c r="V1217" s="7" t="s">
        <v>90</v>
      </c>
      <c r="W1217" s="7"/>
      <c r="X1217" s="7"/>
      <c r="Y1217" s="7" t="s">
        <v>8693</v>
      </c>
      <c r="Z1217" s="7"/>
      <c r="AA1217" s="7"/>
      <c r="AB1217" s="7"/>
      <c r="AC1217" s="7" t="n">
        <v>0</v>
      </c>
      <c r="AD1217" s="7" t="s">
        <v>388</v>
      </c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 t="s">
        <v>440</v>
      </c>
      <c r="BE1217" s="7" t="s">
        <v>127</v>
      </c>
      <c r="BF1217" s="8"/>
      <c r="BG1217" s="8"/>
      <c r="BH1217" s="8"/>
      <c r="BI1217" s="8"/>
      <c r="BJ1217" s="8"/>
      <c r="BK1217" s="8"/>
      <c r="BL1217" s="8"/>
      <c r="BM1217" s="8"/>
      <c r="BN1217" s="8"/>
      <c r="BO1217" s="8"/>
      <c r="BP1217" s="8"/>
      <c r="BQ1217" s="8"/>
      <c r="BR1217" s="8"/>
      <c r="BS1217" s="8"/>
    </row>
    <row r="1218" customFormat="false" ht="15" hidden="false" customHeight="false" outlineLevel="0" collapsed="false">
      <c r="A1218" s="7" t="s">
        <v>8694</v>
      </c>
      <c r="B1218" s="7" t="s">
        <v>8695</v>
      </c>
      <c r="C1218" s="7" t="s">
        <v>8696</v>
      </c>
      <c r="D1218" s="7" t="s">
        <v>8697</v>
      </c>
      <c r="E1218" s="7" t="s">
        <v>444</v>
      </c>
      <c r="F1218" s="7" t="s">
        <v>444</v>
      </c>
      <c r="G1218" s="7"/>
      <c r="H1218" s="7" t="s">
        <v>207</v>
      </c>
      <c r="I1218" s="7" t="s">
        <v>132</v>
      </c>
      <c r="J1218" s="7" t="s">
        <v>104</v>
      </c>
      <c r="K1218" s="7" t="s">
        <v>105</v>
      </c>
      <c r="L1218" s="7" t="s">
        <v>106</v>
      </c>
      <c r="M1218" s="7"/>
      <c r="N1218" s="7" t="s">
        <v>8698</v>
      </c>
      <c r="O1218" s="7" t="s">
        <v>8698</v>
      </c>
      <c r="P1218" s="7" t="s">
        <v>135</v>
      </c>
      <c r="Q1218" s="7"/>
      <c r="R1218" s="7" t="s">
        <v>109</v>
      </c>
      <c r="S1218" s="7" t="s">
        <v>110</v>
      </c>
      <c r="T1218" s="7" t="n">
        <v>0.319</v>
      </c>
      <c r="U1218" s="7" t="n">
        <v>1</v>
      </c>
      <c r="V1218" s="7" t="s">
        <v>90</v>
      </c>
      <c r="W1218" s="7"/>
      <c r="X1218" s="7"/>
      <c r="Y1218" s="7" t="s">
        <v>8698</v>
      </c>
      <c r="Z1218" s="7"/>
      <c r="AA1218" s="7"/>
      <c r="AB1218" s="7"/>
      <c r="AC1218" s="7" t="n">
        <v>0</v>
      </c>
      <c r="AD1218" s="7" t="s">
        <v>388</v>
      </c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 t="s">
        <v>440</v>
      </c>
      <c r="BE1218" s="7" t="s">
        <v>127</v>
      </c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</row>
    <row r="1219" customFormat="false" ht="15" hidden="false" customHeight="false" outlineLevel="0" collapsed="false">
      <c r="A1219" s="7" t="s">
        <v>8699</v>
      </c>
      <c r="B1219" s="7" t="s">
        <v>8700</v>
      </c>
      <c r="C1219" s="7" t="s">
        <v>8701</v>
      </c>
      <c r="D1219" s="7" t="s">
        <v>8702</v>
      </c>
      <c r="E1219" s="7" t="s">
        <v>444</v>
      </c>
      <c r="F1219" s="7" t="s">
        <v>444</v>
      </c>
      <c r="G1219" s="7"/>
      <c r="H1219" s="7" t="s">
        <v>207</v>
      </c>
      <c r="I1219" s="7" t="s">
        <v>208</v>
      </c>
      <c r="J1219" s="7" t="s">
        <v>104</v>
      </c>
      <c r="K1219" s="7" t="s">
        <v>105</v>
      </c>
      <c r="L1219" s="7" t="s">
        <v>235</v>
      </c>
      <c r="M1219" s="7"/>
      <c r="N1219" s="7" t="s">
        <v>8703</v>
      </c>
      <c r="O1219" s="7" t="s">
        <v>8703</v>
      </c>
      <c r="P1219" s="7" t="s">
        <v>109</v>
      </c>
      <c r="Q1219" s="7"/>
      <c r="R1219" s="7" t="s">
        <v>109</v>
      </c>
      <c r="S1219" s="7" t="s">
        <v>110</v>
      </c>
      <c r="T1219" s="7" t="n">
        <v>0.644</v>
      </c>
      <c r="U1219" s="7" t="n">
        <v>1</v>
      </c>
      <c r="V1219" s="7" t="s">
        <v>1156</v>
      </c>
      <c r="W1219" s="7"/>
      <c r="X1219" s="7"/>
      <c r="Y1219" s="7" t="s">
        <v>8703</v>
      </c>
      <c r="Z1219" s="7"/>
      <c r="AA1219" s="7"/>
      <c r="AB1219" s="7"/>
      <c r="AC1219" s="7" t="n">
        <v>0</v>
      </c>
      <c r="AD1219" s="7" t="s">
        <v>388</v>
      </c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 t="s">
        <v>127</v>
      </c>
      <c r="BF1219" s="8"/>
      <c r="BG1219" s="8"/>
      <c r="BH1219" s="8"/>
      <c r="BI1219" s="8"/>
      <c r="BJ1219" s="8"/>
      <c r="BK1219" s="8"/>
      <c r="BL1219" s="8"/>
      <c r="BM1219" s="8"/>
      <c r="BN1219" s="8"/>
      <c r="BO1219" s="8"/>
      <c r="BP1219" s="8"/>
      <c r="BQ1219" s="8"/>
      <c r="BR1219" s="8"/>
      <c r="BS1219" s="8"/>
    </row>
    <row r="1220" customFormat="false" ht="15" hidden="false" customHeight="false" outlineLevel="0" collapsed="false">
      <c r="A1220" s="7" t="s">
        <v>8704</v>
      </c>
      <c r="B1220" s="7" t="s">
        <v>8705</v>
      </c>
      <c r="C1220" s="7" t="s">
        <v>8706</v>
      </c>
      <c r="D1220" s="7" t="s">
        <v>8707</v>
      </c>
      <c r="E1220" s="7" t="s">
        <v>1966</v>
      </c>
      <c r="F1220" s="7" t="s">
        <v>1966</v>
      </c>
      <c r="G1220" s="7"/>
      <c r="H1220" s="7" t="s">
        <v>207</v>
      </c>
      <c r="I1220" s="7" t="s">
        <v>1140</v>
      </c>
      <c r="J1220" s="7" t="s">
        <v>104</v>
      </c>
      <c r="K1220" s="7" t="s">
        <v>105</v>
      </c>
      <c r="L1220" s="7" t="s">
        <v>106</v>
      </c>
      <c r="M1220" s="7"/>
      <c r="N1220" s="7" t="s">
        <v>8708</v>
      </c>
      <c r="O1220" s="7" t="s">
        <v>8708</v>
      </c>
      <c r="P1220" s="7" t="s">
        <v>109</v>
      </c>
      <c r="Q1220" s="7"/>
      <c r="R1220" s="7" t="s">
        <v>109</v>
      </c>
      <c r="S1220" s="7" t="s">
        <v>110</v>
      </c>
      <c r="T1220" s="7" t="n">
        <v>0.773</v>
      </c>
      <c r="U1220" s="7" t="n">
        <v>1</v>
      </c>
      <c r="V1220" s="7" t="s">
        <v>1156</v>
      </c>
      <c r="W1220" s="7"/>
      <c r="X1220" s="7"/>
      <c r="Y1220" s="7" t="s">
        <v>8708</v>
      </c>
      <c r="Z1220" s="7"/>
      <c r="AA1220" s="7"/>
      <c r="AB1220" s="7"/>
      <c r="AC1220" s="7" t="n">
        <v>0</v>
      </c>
      <c r="AD1220" s="7" t="s">
        <v>388</v>
      </c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 t="s">
        <v>127</v>
      </c>
      <c r="BF1220" s="8"/>
      <c r="BG1220" s="8"/>
      <c r="BH1220" s="8"/>
      <c r="BI1220" s="8"/>
      <c r="BJ1220" s="8"/>
      <c r="BK1220" s="8"/>
      <c r="BL1220" s="8"/>
      <c r="BM1220" s="8"/>
      <c r="BN1220" s="8"/>
      <c r="BO1220" s="8"/>
      <c r="BP1220" s="8"/>
      <c r="BQ1220" s="8"/>
      <c r="BR1220" s="8"/>
      <c r="BS1220" s="8"/>
    </row>
    <row r="1221" customFormat="false" ht="15" hidden="false" customHeight="false" outlineLevel="0" collapsed="false">
      <c r="A1221" s="7" t="s">
        <v>8709</v>
      </c>
      <c r="B1221" s="7" t="s">
        <v>8710</v>
      </c>
      <c r="C1221" s="7" t="s">
        <v>8711</v>
      </c>
      <c r="D1221" s="7" t="s">
        <v>8515</v>
      </c>
      <c r="E1221" s="7" t="s">
        <v>444</v>
      </c>
      <c r="F1221" s="7" t="s">
        <v>444</v>
      </c>
      <c r="G1221" s="7"/>
      <c r="H1221" s="7" t="s">
        <v>207</v>
      </c>
      <c r="I1221" s="7" t="s">
        <v>158</v>
      </c>
      <c r="J1221" s="7" t="s">
        <v>104</v>
      </c>
      <c r="K1221" s="7" t="s">
        <v>105</v>
      </c>
      <c r="L1221" s="7" t="s">
        <v>353</v>
      </c>
      <c r="M1221" s="7"/>
      <c r="N1221" s="7" t="s">
        <v>8712</v>
      </c>
      <c r="O1221" s="7" t="s">
        <v>8712</v>
      </c>
      <c r="P1221" s="7" t="s">
        <v>84</v>
      </c>
      <c r="Q1221" s="7"/>
      <c r="R1221" s="7" t="s">
        <v>109</v>
      </c>
      <c r="S1221" s="7" t="s">
        <v>110</v>
      </c>
      <c r="T1221" s="7" t="n">
        <v>0.299</v>
      </c>
      <c r="U1221" s="7" t="n">
        <v>3</v>
      </c>
      <c r="V1221" s="7" t="s">
        <v>161</v>
      </c>
      <c r="W1221" s="7"/>
      <c r="X1221" s="7"/>
      <c r="Y1221" s="7" t="s">
        <v>8712</v>
      </c>
      <c r="Z1221" s="7"/>
      <c r="AA1221" s="7"/>
      <c r="AB1221" s="7"/>
      <c r="AC1221" s="7" t="n">
        <v>0</v>
      </c>
      <c r="AD1221" s="7" t="s">
        <v>388</v>
      </c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 t="s">
        <v>1861</v>
      </c>
      <c r="BE1221" s="7" t="s">
        <v>127</v>
      </c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</row>
    <row r="1222" customFormat="false" ht="15" hidden="false" customHeight="false" outlineLevel="0" collapsed="false">
      <c r="A1222" s="7" t="s">
        <v>8713</v>
      </c>
      <c r="B1222" s="7" t="s">
        <v>8714</v>
      </c>
      <c r="C1222" s="7" t="s">
        <v>8715</v>
      </c>
      <c r="D1222" s="7" t="s">
        <v>8716</v>
      </c>
      <c r="E1222" s="7" t="s">
        <v>819</v>
      </c>
      <c r="F1222" s="7" t="s">
        <v>819</v>
      </c>
      <c r="G1222" s="7"/>
      <c r="H1222" s="7" t="s">
        <v>207</v>
      </c>
      <c r="I1222" s="7" t="s">
        <v>158</v>
      </c>
      <c r="J1222" s="7" t="s">
        <v>104</v>
      </c>
      <c r="K1222" s="7" t="s">
        <v>105</v>
      </c>
      <c r="L1222" s="7" t="s">
        <v>353</v>
      </c>
      <c r="M1222" s="7"/>
      <c r="N1222" s="7" t="s">
        <v>8717</v>
      </c>
      <c r="O1222" s="7" t="s">
        <v>8717</v>
      </c>
      <c r="P1222" s="7" t="s">
        <v>135</v>
      </c>
      <c r="Q1222" s="7"/>
      <c r="R1222" s="7" t="s">
        <v>109</v>
      </c>
      <c r="S1222" s="7" t="s">
        <v>110</v>
      </c>
      <c r="T1222" s="7" t="n">
        <v>0.298</v>
      </c>
      <c r="U1222" s="7" t="n">
        <v>1</v>
      </c>
      <c r="V1222" s="7" t="s">
        <v>90</v>
      </c>
      <c r="W1222" s="7"/>
      <c r="X1222" s="7"/>
      <c r="Y1222" s="7" t="s">
        <v>8717</v>
      </c>
      <c r="Z1222" s="7"/>
      <c r="AA1222" s="7"/>
      <c r="AB1222" s="7"/>
      <c r="AC1222" s="7" t="n">
        <v>0</v>
      </c>
      <c r="AD1222" s="7" t="s">
        <v>388</v>
      </c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 t="s">
        <v>127</v>
      </c>
      <c r="BF1222" s="8"/>
      <c r="BG1222" s="8"/>
      <c r="BH1222" s="8"/>
      <c r="BI1222" s="8"/>
      <c r="BJ1222" s="8"/>
      <c r="BK1222" s="8"/>
      <c r="BL1222" s="8"/>
      <c r="BM1222" s="8"/>
      <c r="BN1222" s="8"/>
      <c r="BO1222" s="8"/>
      <c r="BP1222" s="8"/>
      <c r="BQ1222" s="8"/>
      <c r="BR1222" s="8"/>
      <c r="BS1222" s="8"/>
    </row>
    <row r="1223" customFormat="false" ht="15" hidden="false" customHeight="false" outlineLevel="0" collapsed="false">
      <c r="A1223" s="7" t="s">
        <v>8718</v>
      </c>
      <c r="B1223" s="7" t="s">
        <v>8719</v>
      </c>
      <c r="C1223" s="7" t="s">
        <v>8720</v>
      </c>
      <c r="D1223" s="7" t="s">
        <v>8721</v>
      </c>
      <c r="E1223" s="7" t="s">
        <v>819</v>
      </c>
      <c r="F1223" s="7" t="s">
        <v>819</v>
      </c>
      <c r="G1223" s="7"/>
      <c r="H1223" s="7" t="s">
        <v>207</v>
      </c>
      <c r="I1223" s="7" t="s">
        <v>208</v>
      </c>
      <c r="J1223" s="7" t="s">
        <v>104</v>
      </c>
      <c r="K1223" s="7" t="s">
        <v>105</v>
      </c>
      <c r="L1223" s="7" t="s">
        <v>106</v>
      </c>
      <c r="M1223" s="7"/>
      <c r="N1223" s="7" t="s">
        <v>8722</v>
      </c>
      <c r="O1223" s="7" t="s">
        <v>8722</v>
      </c>
      <c r="P1223" s="7" t="s">
        <v>109</v>
      </c>
      <c r="Q1223" s="7"/>
      <c r="R1223" s="7" t="s">
        <v>109</v>
      </c>
      <c r="S1223" s="7" t="s">
        <v>110</v>
      </c>
      <c r="T1223" s="7" t="n">
        <v>0.783</v>
      </c>
      <c r="U1223" s="7" t="n">
        <v>1</v>
      </c>
      <c r="V1223" s="7" t="s">
        <v>86</v>
      </c>
      <c r="W1223" s="7"/>
      <c r="X1223" s="7"/>
      <c r="Y1223" s="7" t="s">
        <v>8722</v>
      </c>
      <c r="Z1223" s="7"/>
      <c r="AA1223" s="7"/>
      <c r="AB1223" s="7"/>
      <c r="AC1223" s="7" t="n">
        <v>0</v>
      </c>
      <c r="AD1223" s="7" t="s">
        <v>388</v>
      </c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 t="s">
        <v>127</v>
      </c>
      <c r="BF1223" s="8"/>
      <c r="BG1223" s="8"/>
      <c r="BH1223" s="8"/>
      <c r="BI1223" s="8"/>
      <c r="BJ1223" s="8"/>
      <c r="BK1223" s="8"/>
      <c r="BL1223" s="8"/>
      <c r="BM1223" s="8"/>
      <c r="BN1223" s="8"/>
      <c r="BO1223" s="8"/>
      <c r="BP1223" s="8"/>
      <c r="BQ1223" s="8"/>
      <c r="BR1223" s="8"/>
      <c r="BS1223" s="8"/>
    </row>
    <row r="1224" customFormat="false" ht="15" hidden="false" customHeight="false" outlineLevel="0" collapsed="false">
      <c r="A1224" s="7" t="s">
        <v>8723</v>
      </c>
      <c r="B1224" s="7" t="s">
        <v>8724</v>
      </c>
      <c r="C1224" s="7" t="s">
        <v>8725</v>
      </c>
      <c r="D1224" s="7" t="s">
        <v>8726</v>
      </c>
      <c r="E1224" s="7" t="s">
        <v>737</v>
      </c>
      <c r="F1224" s="7" t="s">
        <v>737</v>
      </c>
      <c r="G1224" s="7" t="s">
        <v>4658</v>
      </c>
      <c r="H1224" s="7" t="s">
        <v>207</v>
      </c>
      <c r="I1224" s="7" t="s">
        <v>374</v>
      </c>
      <c r="J1224" s="7" t="s">
        <v>104</v>
      </c>
      <c r="K1224" s="7" t="s">
        <v>105</v>
      </c>
      <c r="L1224" s="7" t="s">
        <v>106</v>
      </c>
      <c r="M1224" s="7"/>
      <c r="N1224" s="7" t="s">
        <v>8727</v>
      </c>
      <c r="O1224" s="7" t="s">
        <v>8727</v>
      </c>
      <c r="P1224" s="7" t="s">
        <v>135</v>
      </c>
      <c r="Q1224" s="7"/>
      <c r="R1224" s="7" t="s">
        <v>109</v>
      </c>
      <c r="S1224" s="7" t="s">
        <v>110</v>
      </c>
      <c r="T1224" s="7" t="n">
        <v>0.266</v>
      </c>
      <c r="U1224" s="7" t="n">
        <v>1</v>
      </c>
      <c r="V1224" s="7" t="s">
        <v>90</v>
      </c>
      <c r="W1224" s="7"/>
      <c r="X1224" s="7"/>
      <c r="Y1224" s="7" t="s">
        <v>8727</v>
      </c>
      <c r="Z1224" s="7"/>
      <c r="AA1224" s="7"/>
      <c r="AB1224" s="7"/>
      <c r="AC1224" s="7" t="n">
        <v>0</v>
      </c>
      <c r="AD1224" s="7" t="s">
        <v>388</v>
      </c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 t="s">
        <v>440</v>
      </c>
      <c r="BE1224" s="7" t="s">
        <v>127</v>
      </c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8"/>
      <c r="BS1224" s="8"/>
    </row>
    <row r="1225" customFormat="false" ht="15" hidden="false" customHeight="false" outlineLevel="0" collapsed="false">
      <c r="A1225" s="7" t="s">
        <v>8728</v>
      </c>
      <c r="B1225" s="7" t="s">
        <v>8729</v>
      </c>
      <c r="C1225" s="7" t="s">
        <v>8730</v>
      </c>
      <c r="D1225" s="7" t="s">
        <v>8731</v>
      </c>
      <c r="E1225" s="7" t="s">
        <v>737</v>
      </c>
      <c r="F1225" s="7" t="s">
        <v>737</v>
      </c>
      <c r="G1225" s="7"/>
      <c r="H1225" s="7" t="s">
        <v>207</v>
      </c>
      <c r="I1225" s="7" t="s">
        <v>132</v>
      </c>
      <c r="J1225" s="7" t="s">
        <v>104</v>
      </c>
      <c r="K1225" s="7" t="s">
        <v>105</v>
      </c>
      <c r="L1225" s="7" t="s">
        <v>106</v>
      </c>
      <c r="M1225" s="7"/>
      <c r="N1225" s="7" t="s">
        <v>8732</v>
      </c>
      <c r="O1225" s="7" t="s">
        <v>8732</v>
      </c>
      <c r="P1225" s="7" t="s">
        <v>135</v>
      </c>
      <c r="Q1225" s="7"/>
      <c r="R1225" s="7" t="s">
        <v>109</v>
      </c>
      <c r="S1225" s="7" t="s">
        <v>110</v>
      </c>
      <c r="T1225" s="7" t="n">
        <v>0.521</v>
      </c>
      <c r="U1225" s="7" t="n">
        <v>1</v>
      </c>
      <c r="V1225" s="7" t="s">
        <v>90</v>
      </c>
      <c r="W1225" s="7"/>
      <c r="X1225" s="7"/>
      <c r="Y1225" s="7" t="s">
        <v>8732</v>
      </c>
      <c r="Z1225" s="7"/>
      <c r="AA1225" s="7"/>
      <c r="AB1225" s="7"/>
      <c r="AC1225" s="7" t="n">
        <v>0</v>
      </c>
      <c r="AD1225" s="7" t="s">
        <v>388</v>
      </c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 t="s">
        <v>440</v>
      </c>
      <c r="BE1225" s="7" t="s">
        <v>127</v>
      </c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</row>
    <row r="1226" customFormat="false" ht="15" hidden="false" customHeight="false" outlineLevel="0" collapsed="false">
      <c r="A1226" s="7" t="s">
        <v>8733</v>
      </c>
      <c r="B1226" s="7" t="s">
        <v>8734</v>
      </c>
      <c r="C1226" s="7" t="s">
        <v>8735</v>
      </c>
      <c r="D1226" s="7" t="s">
        <v>8429</v>
      </c>
      <c r="E1226" s="7" t="s">
        <v>410</v>
      </c>
      <c r="F1226" s="7" t="s">
        <v>410</v>
      </c>
      <c r="G1226" s="7"/>
      <c r="H1226" s="7" t="s">
        <v>207</v>
      </c>
      <c r="I1226" s="7" t="s">
        <v>132</v>
      </c>
      <c r="J1226" s="7" t="s">
        <v>104</v>
      </c>
      <c r="K1226" s="7" t="s">
        <v>105</v>
      </c>
      <c r="L1226" s="7" t="s">
        <v>106</v>
      </c>
      <c r="M1226" s="7"/>
      <c r="N1226" s="7" t="s">
        <v>8736</v>
      </c>
      <c r="O1226" s="7" t="s">
        <v>8736</v>
      </c>
      <c r="P1226" s="7" t="s">
        <v>135</v>
      </c>
      <c r="Q1226" s="7"/>
      <c r="R1226" s="7" t="s">
        <v>109</v>
      </c>
      <c r="S1226" s="7" t="s">
        <v>110</v>
      </c>
      <c r="T1226" s="7" t="n">
        <v>0.64</v>
      </c>
      <c r="U1226" s="7" t="n">
        <v>1</v>
      </c>
      <c r="V1226" s="7" t="s">
        <v>90</v>
      </c>
      <c r="W1226" s="7"/>
      <c r="X1226" s="7"/>
      <c r="Y1226" s="7" t="s">
        <v>8736</v>
      </c>
      <c r="Z1226" s="7"/>
      <c r="AA1226" s="7"/>
      <c r="AB1226" s="7"/>
      <c r="AC1226" s="7" t="n">
        <v>0</v>
      </c>
      <c r="AD1226" s="7" t="s">
        <v>388</v>
      </c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 t="s">
        <v>440</v>
      </c>
      <c r="BE1226" s="7" t="s">
        <v>127</v>
      </c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8"/>
      <c r="BS1226" s="8"/>
    </row>
    <row r="1227" customFormat="false" ht="15" hidden="false" customHeight="false" outlineLevel="0" collapsed="false">
      <c r="A1227" s="7" t="s">
        <v>8737</v>
      </c>
      <c r="B1227" s="7" t="s">
        <v>8738</v>
      </c>
      <c r="C1227" s="7" t="s">
        <v>8739</v>
      </c>
      <c r="D1227" s="7" t="s">
        <v>8740</v>
      </c>
      <c r="E1227" s="7" t="s">
        <v>431</v>
      </c>
      <c r="F1227" s="7" t="s">
        <v>431</v>
      </c>
      <c r="G1227" s="7"/>
      <c r="H1227" s="7" t="s">
        <v>207</v>
      </c>
      <c r="I1227" s="7" t="s">
        <v>132</v>
      </c>
      <c r="J1227" s="7" t="s">
        <v>104</v>
      </c>
      <c r="K1227" s="7" t="s">
        <v>105</v>
      </c>
      <c r="L1227" s="7" t="s">
        <v>106</v>
      </c>
      <c r="M1227" s="7"/>
      <c r="N1227" s="7" t="s">
        <v>8741</v>
      </c>
      <c r="O1227" s="7" t="s">
        <v>8741</v>
      </c>
      <c r="P1227" s="7" t="s">
        <v>135</v>
      </c>
      <c r="Q1227" s="7"/>
      <c r="R1227" s="7" t="s">
        <v>109</v>
      </c>
      <c r="S1227" s="7" t="s">
        <v>110</v>
      </c>
      <c r="T1227" s="7" t="n">
        <v>0.524</v>
      </c>
      <c r="U1227" s="7" t="n">
        <v>1</v>
      </c>
      <c r="V1227" s="7" t="s">
        <v>90</v>
      </c>
      <c r="W1227" s="7"/>
      <c r="X1227" s="7"/>
      <c r="Y1227" s="7" t="s">
        <v>8741</v>
      </c>
      <c r="Z1227" s="7"/>
      <c r="AA1227" s="7"/>
      <c r="AB1227" s="7"/>
      <c r="AC1227" s="7" t="n">
        <v>0</v>
      </c>
      <c r="AD1227" s="7" t="s">
        <v>388</v>
      </c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 t="s">
        <v>440</v>
      </c>
      <c r="BE1227" s="7" t="s">
        <v>127</v>
      </c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8"/>
      <c r="BS1227" s="8"/>
    </row>
    <row r="1228" customFormat="false" ht="15" hidden="false" customHeight="false" outlineLevel="0" collapsed="false">
      <c r="A1228" s="7" t="s">
        <v>8742</v>
      </c>
      <c r="B1228" s="7" t="s">
        <v>8743</v>
      </c>
      <c r="C1228" s="7" t="s">
        <v>8744</v>
      </c>
      <c r="D1228" s="7" t="s">
        <v>8331</v>
      </c>
      <c r="E1228" s="7" t="s">
        <v>819</v>
      </c>
      <c r="F1228" s="7" t="s">
        <v>819</v>
      </c>
      <c r="G1228" s="7"/>
      <c r="H1228" s="7" t="s">
        <v>207</v>
      </c>
      <c r="I1228" s="7" t="s">
        <v>132</v>
      </c>
      <c r="J1228" s="7" t="s">
        <v>104</v>
      </c>
      <c r="K1228" s="7" t="s">
        <v>105</v>
      </c>
      <c r="L1228" s="7" t="s">
        <v>106</v>
      </c>
      <c r="M1228" s="7"/>
      <c r="N1228" s="7" t="s">
        <v>8745</v>
      </c>
      <c r="O1228" s="7" t="s">
        <v>8745</v>
      </c>
      <c r="P1228" s="7" t="s">
        <v>135</v>
      </c>
      <c r="Q1228" s="7"/>
      <c r="R1228" s="7" t="s">
        <v>109</v>
      </c>
      <c r="S1228" s="7" t="s">
        <v>110</v>
      </c>
      <c r="T1228" s="7" t="n">
        <v>0.343</v>
      </c>
      <c r="U1228" s="7" t="n">
        <v>1</v>
      </c>
      <c r="V1228" s="7" t="s">
        <v>90</v>
      </c>
      <c r="W1228" s="7"/>
      <c r="X1228" s="7"/>
      <c r="Y1228" s="7" t="s">
        <v>8745</v>
      </c>
      <c r="Z1228" s="7"/>
      <c r="AA1228" s="7"/>
      <c r="AB1228" s="7"/>
      <c r="AC1228" s="7" t="n">
        <v>0</v>
      </c>
      <c r="AD1228" s="7" t="s">
        <v>388</v>
      </c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 t="s">
        <v>440</v>
      </c>
      <c r="BE1228" s="7" t="s">
        <v>127</v>
      </c>
      <c r="BF1228" s="8"/>
      <c r="BG1228" s="8"/>
      <c r="BH1228" s="8"/>
      <c r="BI1228" s="8"/>
      <c r="BJ1228" s="8"/>
      <c r="BK1228" s="8"/>
      <c r="BL1228" s="8"/>
      <c r="BM1228" s="8"/>
      <c r="BN1228" s="8"/>
      <c r="BO1228" s="8"/>
      <c r="BP1228" s="8"/>
      <c r="BQ1228" s="8"/>
      <c r="BR1228" s="8"/>
      <c r="BS1228" s="8"/>
    </row>
    <row r="1229" customFormat="false" ht="15" hidden="false" customHeight="false" outlineLevel="0" collapsed="false">
      <c r="A1229" s="7" t="s">
        <v>8746</v>
      </c>
      <c r="B1229" s="7" t="s">
        <v>8747</v>
      </c>
      <c r="C1229" s="7" t="s">
        <v>8748</v>
      </c>
      <c r="D1229" s="7" t="s">
        <v>8429</v>
      </c>
      <c r="E1229" s="7" t="s">
        <v>410</v>
      </c>
      <c r="F1229" s="7" t="s">
        <v>410</v>
      </c>
      <c r="G1229" s="7"/>
      <c r="H1229" s="7" t="s">
        <v>207</v>
      </c>
      <c r="I1229" s="7" t="s">
        <v>132</v>
      </c>
      <c r="J1229" s="7" t="s">
        <v>104</v>
      </c>
      <c r="K1229" s="7" t="s">
        <v>105</v>
      </c>
      <c r="L1229" s="7" t="s">
        <v>106</v>
      </c>
      <c r="M1229" s="7"/>
      <c r="N1229" s="7" t="s">
        <v>8749</v>
      </c>
      <c r="O1229" s="7" t="s">
        <v>8749</v>
      </c>
      <c r="P1229" s="7" t="s">
        <v>135</v>
      </c>
      <c r="Q1229" s="7"/>
      <c r="R1229" s="7" t="s">
        <v>109</v>
      </c>
      <c r="S1229" s="7" t="s">
        <v>110</v>
      </c>
      <c r="T1229" s="7" t="n">
        <v>0.613</v>
      </c>
      <c r="U1229" s="7" t="n">
        <v>1</v>
      </c>
      <c r="V1229" s="7" t="s">
        <v>90</v>
      </c>
      <c r="W1229" s="7"/>
      <c r="X1229" s="7"/>
      <c r="Y1229" s="7" t="s">
        <v>8749</v>
      </c>
      <c r="Z1229" s="7"/>
      <c r="AA1229" s="7"/>
      <c r="AB1229" s="7"/>
      <c r="AC1229" s="7" t="n">
        <v>0</v>
      </c>
      <c r="AD1229" s="7" t="s">
        <v>388</v>
      </c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 t="s">
        <v>440</v>
      </c>
      <c r="BE1229" s="7" t="s">
        <v>127</v>
      </c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</row>
    <row r="1230" customFormat="false" ht="15" hidden="false" customHeight="false" outlineLevel="0" collapsed="false">
      <c r="A1230" s="7" t="s">
        <v>8750</v>
      </c>
      <c r="B1230" s="7" t="s">
        <v>8751</v>
      </c>
      <c r="C1230" s="7" t="s">
        <v>8752</v>
      </c>
      <c r="D1230" s="7" t="s">
        <v>8753</v>
      </c>
      <c r="E1230" s="7" t="s">
        <v>888</v>
      </c>
      <c r="F1230" s="7" t="s">
        <v>888</v>
      </c>
      <c r="G1230" s="7" t="s">
        <v>8754</v>
      </c>
      <c r="H1230" s="7" t="s">
        <v>207</v>
      </c>
      <c r="I1230" s="7" t="s">
        <v>132</v>
      </c>
      <c r="J1230" s="7" t="s">
        <v>104</v>
      </c>
      <c r="K1230" s="7" t="s">
        <v>105</v>
      </c>
      <c r="L1230" s="7" t="s">
        <v>106</v>
      </c>
      <c r="M1230" s="7"/>
      <c r="N1230" s="7" t="s">
        <v>8755</v>
      </c>
      <c r="O1230" s="7" t="s">
        <v>8755</v>
      </c>
      <c r="P1230" s="7" t="s">
        <v>135</v>
      </c>
      <c r="Q1230" s="7"/>
      <c r="R1230" s="7" t="s">
        <v>109</v>
      </c>
      <c r="S1230" s="7" t="s">
        <v>110</v>
      </c>
      <c r="T1230" s="7" t="n">
        <v>0.232</v>
      </c>
      <c r="U1230" s="7" t="n">
        <v>1</v>
      </c>
      <c r="V1230" s="7" t="s">
        <v>90</v>
      </c>
      <c r="W1230" s="7"/>
      <c r="X1230" s="7"/>
      <c r="Y1230" s="7" t="s">
        <v>8755</v>
      </c>
      <c r="Z1230" s="7"/>
      <c r="AA1230" s="7"/>
      <c r="AB1230" s="7"/>
      <c r="AC1230" s="7" t="n">
        <v>0</v>
      </c>
      <c r="AD1230" s="7" t="s">
        <v>388</v>
      </c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 t="s">
        <v>440</v>
      </c>
      <c r="BE1230" s="7" t="s">
        <v>127</v>
      </c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8"/>
      <c r="BS1230" s="8"/>
    </row>
    <row r="1231" customFormat="false" ht="15" hidden="false" customHeight="false" outlineLevel="0" collapsed="false">
      <c r="A1231" s="7" t="s">
        <v>8756</v>
      </c>
      <c r="B1231" s="7" t="s">
        <v>8757</v>
      </c>
      <c r="C1231" s="7" t="s">
        <v>8758</v>
      </c>
      <c r="D1231" s="7" t="s">
        <v>8759</v>
      </c>
      <c r="E1231" s="7" t="s">
        <v>410</v>
      </c>
      <c r="F1231" s="7" t="s">
        <v>410</v>
      </c>
      <c r="G1231" s="7"/>
      <c r="H1231" s="7" t="s">
        <v>207</v>
      </c>
      <c r="I1231" s="7" t="s">
        <v>208</v>
      </c>
      <c r="J1231" s="7" t="s">
        <v>104</v>
      </c>
      <c r="K1231" s="7" t="s">
        <v>105</v>
      </c>
      <c r="L1231" s="7" t="s">
        <v>106</v>
      </c>
      <c r="M1231" s="7"/>
      <c r="N1231" s="7" t="s">
        <v>8760</v>
      </c>
      <c r="O1231" s="7" t="s">
        <v>8760</v>
      </c>
      <c r="P1231" s="7" t="s">
        <v>109</v>
      </c>
      <c r="Q1231" s="7"/>
      <c r="R1231" s="7" t="s">
        <v>109</v>
      </c>
      <c r="S1231" s="7" t="s">
        <v>110</v>
      </c>
      <c r="T1231" s="7" t="n">
        <v>0.645</v>
      </c>
      <c r="U1231" s="7" t="n">
        <v>1</v>
      </c>
      <c r="V1231" s="7" t="s">
        <v>86</v>
      </c>
      <c r="W1231" s="7"/>
      <c r="X1231" s="7"/>
      <c r="Y1231" s="7" t="s">
        <v>8760</v>
      </c>
      <c r="Z1231" s="7"/>
      <c r="AA1231" s="7"/>
      <c r="AB1231" s="7"/>
      <c r="AC1231" s="7" t="n">
        <v>0</v>
      </c>
      <c r="AD1231" s="7" t="s">
        <v>388</v>
      </c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 t="s">
        <v>127</v>
      </c>
      <c r="BF1231" s="8"/>
      <c r="BG1231" s="8"/>
      <c r="BH1231" s="8"/>
      <c r="BI1231" s="8"/>
      <c r="BJ1231" s="8"/>
      <c r="BK1231" s="8"/>
      <c r="BL1231" s="8"/>
      <c r="BM1231" s="8"/>
      <c r="BN1231" s="8"/>
      <c r="BO1231" s="8"/>
      <c r="BP1231" s="8"/>
      <c r="BQ1231" s="8"/>
      <c r="BR1231" s="8"/>
      <c r="BS1231" s="8"/>
    </row>
    <row r="1232" customFormat="false" ht="15" hidden="false" customHeight="false" outlineLevel="0" collapsed="false">
      <c r="A1232" s="7" t="s">
        <v>8761</v>
      </c>
      <c r="B1232" s="7" t="s">
        <v>8762</v>
      </c>
      <c r="C1232" s="7" t="s">
        <v>8763</v>
      </c>
      <c r="D1232" s="7" t="s">
        <v>8554</v>
      </c>
      <c r="E1232" s="7" t="s">
        <v>3127</v>
      </c>
      <c r="F1232" s="7" t="s">
        <v>3127</v>
      </c>
      <c r="G1232" s="7"/>
      <c r="H1232" s="7" t="s">
        <v>207</v>
      </c>
      <c r="I1232" s="7" t="s">
        <v>103</v>
      </c>
      <c r="J1232" s="7" t="s">
        <v>104</v>
      </c>
      <c r="K1232" s="7" t="s">
        <v>105</v>
      </c>
      <c r="L1232" s="7" t="s">
        <v>106</v>
      </c>
      <c r="M1232" s="7"/>
      <c r="N1232" s="7" t="s">
        <v>8764</v>
      </c>
      <c r="O1232" s="7" t="s">
        <v>8764</v>
      </c>
      <c r="P1232" s="7" t="s">
        <v>135</v>
      </c>
      <c r="Q1232" s="7"/>
      <c r="R1232" s="7" t="s">
        <v>109</v>
      </c>
      <c r="S1232" s="7" t="s">
        <v>110</v>
      </c>
      <c r="T1232" s="7" t="n">
        <v>0.299</v>
      </c>
      <c r="U1232" s="7" t="n">
        <v>1</v>
      </c>
      <c r="V1232" s="7" t="s">
        <v>90</v>
      </c>
      <c r="W1232" s="7"/>
      <c r="X1232" s="7"/>
      <c r="Y1232" s="7" t="s">
        <v>8764</v>
      </c>
      <c r="Z1232" s="7"/>
      <c r="AA1232" s="7"/>
      <c r="AB1232" s="7"/>
      <c r="AC1232" s="7" t="n">
        <v>0</v>
      </c>
      <c r="AD1232" s="7" t="s">
        <v>388</v>
      </c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 t="s">
        <v>440</v>
      </c>
      <c r="BE1232" s="7" t="s">
        <v>127</v>
      </c>
      <c r="BF1232" s="8"/>
      <c r="BG1232" s="8"/>
      <c r="BH1232" s="8"/>
      <c r="BI1232" s="8"/>
      <c r="BJ1232" s="8"/>
      <c r="BK1232" s="8"/>
      <c r="BL1232" s="8"/>
      <c r="BM1232" s="8"/>
      <c r="BN1232" s="8"/>
      <c r="BO1232" s="8"/>
      <c r="BP1232" s="8"/>
      <c r="BQ1232" s="8"/>
      <c r="BR1232" s="8"/>
      <c r="BS1232" s="8"/>
    </row>
    <row r="1233" customFormat="false" ht="15" hidden="false" customHeight="false" outlineLevel="0" collapsed="false">
      <c r="A1233" s="7" t="s">
        <v>8765</v>
      </c>
      <c r="B1233" s="7" t="s">
        <v>8766</v>
      </c>
      <c r="C1233" s="7" t="s">
        <v>8767</v>
      </c>
      <c r="D1233" s="7" t="s">
        <v>8768</v>
      </c>
      <c r="E1233" s="7" t="s">
        <v>819</v>
      </c>
      <c r="F1233" s="7" t="s">
        <v>819</v>
      </c>
      <c r="G1233" s="7"/>
      <c r="H1233" s="7" t="s">
        <v>207</v>
      </c>
      <c r="I1233" s="7" t="s">
        <v>208</v>
      </c>
      <c r="J1233" s="7" t="s">
        <v>104</v>
      </c>
      <c r="K1233" s="7" t="s">
        <v>105</v>
      </c>
      <c r="L1233" s="7" t="s">
        <v>106</v>
      </c>
      <c r="M1233" s="7"/>
      <c r="N1233" s="7" t="s">
        <v>8769</v>
      </c>
      <c r="O1233" s="7" t="s">
        <v>8769</v>
      </c>
      <c r="P1233" s="7" t="s">
        <v>84</v>
      </c>
      <c r="Q1233" s="7"/>
      <c r="R1233" s="7" t="s">
        <v>109</v>
      </c>
      <c r="S1233" s="7" t="s">
        <v>110</v>
      </c>
      <c r="T1233" s="7" t="n">
        <v>0.28</v>
      </c>
      <c r="U1233" s="7" t="n">
        <v>2</v>
      </c>
      <c r="V1233" s="7" t="s">
        <v>111</v>
      </c>
      <c r="W1233" s="7"/>
      <c r="X1233" s="7"/>
      <c r="Y1233" s="7" t="s">
        <v>8769</v>
      </c>
      <c r="Z1233" s="7"/>
      <c r="AA1233" s="7"/>
      <c r="AB1233" s="7"/>
      <c r="AC1233" s="7" t="n">
        <v>0</v>
      </c>
      <c r="AD1233" s="7" t="s">
        <v>388</v>
      </c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 t="s">
        <v>1861</v>
      </c>
      <c r="BE1233" s="7" t="s">
        <v>127</v>
      </c>
      <c r="BF1233" s="8"/>
      <c r="BG1233" s="8"/>
      <c r="BH1233" s="8"/>
      <c r="BI1233" s="8"/>
      <c r="BJ1233" s="8"/>
      <c r="BK1233" s="8"/>
      <c r="BL1233" s="8"/>
      <c r="BM1233" s="8"/>
      <c r="BN1233" s="8"/>
      <c r="BO1233" s="8"/>
      <c r="BP1233" s="8"/>
      <c r="BQ1233" s="8"/>
      <c r="BR1233" s="8"/>
      <c r="BS1233" s="8"/>
    </row>
    <row r="1234" customFormat="false" ht="15" hidden="false" customHeight="false" outlineLevel="0" collapsed="false">
      <c r="A1234" s="7" t="s">
        <v>8770</v>
      </c>
      <c r="B1234" s="7" t="s">
        <v>8771</v>
      </c>
      <c r="C1234" s="7" t="s">
        <v>8772</v>
      </c>
      <c r="D1234" s="7" t="s">
        <v>8515</v>
      </c>
      <c r="E1234" s="7" t="s">
        <v>444</v>
      </c>
      <c r="F1234" s="7" t="s">
        <v>444</v>
      </c>
      <c r="G1234" s="7"/>
      <c r="H1234" s="7" t="s">
        <v>207</v>
      </c>
      <c r="I1234" s="7" t="s">
        <v>158</v>
      </c>
      <c r="J1234" s="7" t="s">
        <v>104</v>
      </c>
      <c r="K1234" s="7" t="s">
        <v>105</v>
      </c>
      <c r="L1234" s="7" t="s">
        <v>353</v>
      </c>
      <c r="M1234" s="7"/>
      <c r="N1234" s="7" t="s">
        <v>8773</v>
      </c>
      <c r="O1234" s="7" t="s">
        <v>8773</v>
      </c>
      <c r="P1234" s="7" t="s">
        <v>109</v>
      </c>
      <c r="Q1234" s="7"/>
      <c r="R1234" s="7" t="s">
        <v>109</v>
      </c>
      <c r="S1234" s="7" t="s">
        <v>110</v>
      </c>
      <c r="T1234" s="7" t="n">
        <v>0.847</v>
      </c>
      <c r="U1234" s="7" t="n">
        <v>1</v>
      </c>
      <c r="V1234" s="7" t="s">
        <v>1156</v>
      </c>
      <c r="W1234" s="7"/>
      <c r="X1234" s="7"/>
      <c r="Y1234" s="7" t="s">
        <v>8773</v>
      </c>
      <c r="Z1234" s="7"/>
      <c r="AA1234" s="7"/>
      <c r="AB1234" s="7"/>
      <c r="AC1234" s="7" t="n">
        <v>0</v>
      </c>
      <c r="AD1234" s="7" t="s">
        <v>388</v>
      </c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 t="s">
        <v>127</v>
      </c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</row>
    <row r="1235" customFormat="false" ht="15" hidden="false" customHeight="false" outlineLevel="0" collapsed="false">
      <c r="A1235" s="7" t="s">
        <v>8774</v>
      </c>
      <c r="B1235" s="7" t="s">
        <v>8775</v>
      </c>
      <c r="C1235" s="9" t="s">
        <v>8776</v>
      </c>
      <c r="D1235" s="7" t="s">
        <v>8777</v>
      </c>
      <c r="E1235" s="7" t="s">
        <v>410</v>
      </c>
      <c r="F1235" s="7" t="s">
        <v>410</v>
      </c>
      <c r="G1235" s="7"/>
      <c r="H1235" s="7" t="s">
        <v>207</v>
      </c>
      <c r="I1235" s="7" t="s">
        <v>158</v>
      </c>
      <c r="J1235" s="7" t="s">
        <v>104</v>
      </c>
      <c r="K1235" s="7" t="s">
        <v>105</v>
      </c>
      <c r="L1235" s="7" t="s">
        <v>106</v>
      </c>
      <c r="M1235" s="7"/>
      <c r="N1235" s="7" t="s">
        <v>8778</v>
      </c>
      <c r="O1235" s="7"/>
      <c r="P1235" s="7" t="s">
        <v>84</v>
      </c>
      <c r="Q1235" s="7"/>
      <c r="R1235" s="7"/>
      <c r="S1235" s="7"/>
      <c r="T1235" s="7" t="n">
        <v>0.301</v>
      </c>
      <c r="U1235" s="7" t="n">
        <v>2</v>
      </c>
      <c r="V1235" s="7" t="s">
        <v>111</v>
      </c>
      <c r="W1235" s="7"/>
      <c r="X1235" s="7"/>
      <c r="Y1235" s="7" t="s">
        <v>8778</v>
      </c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 t="s">
        <v>1861</v>
      </c>
      <c r="BE1235" s="7" t="s">
        <v>127</v>
      </c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8"/>
      <c r="BS1235" s="8"/>
    </row>
    <row r="1236" customFormat="false" ht="15" hidden="false" customHeight="false" outlineLevel="0" collapsed="false">
      <c r="A1236" s="7" t="s">
        <v>8779</v>
      </c>
      <c r="B1236" s="7" t="s">
        <v>8780</v>
      </c>
      <c r="C1236" s="7" t="s">
        <v>8781</v>
      </c>
      <c r="D1236" s="7" t="s">
        <v>8782</v>
      </c>
      <c r="E1236" s="7" t="s">
        <v>737</v>
      </c>
      <c r="F1236" s="7" t="s">
        <v>737</v>
      </c>
      <c r="G1236" s="7" t="s">
        <v>4658</v>
      </c>
      <c r="H1236" s="7" t="s">
        <v>207</v>
      </c>
      <c r="I1236" s="7" t="s">
        <v>132</v>
      </c>
      <c r="J1236" s="7" t="s">
        <v>104</v>
      </c>
      <c r="K1236" s="7" t="s">
        <v>105</v>
      </c>
      <c r="L1236" s="7" t="s">
        <v>106</v>
      </c>
      <c r="M1236" s="7"/>
      <c r="N1236" s="7" t="s">
        <v>8783</v>
      </c>
      <c r="O1236" s="7" t="s">
        <v>8783</v>
      </c>
      <c r="P1236" s="7" t="s">
        <v>135</v>
      </c>
      <c r="Q1236" s="7"/>
      <c r="R1236" s="7" t="s">
        <v>109</v>
      </c>
      <c r="S1236" s="7" t="s">
        <v>110</v>
      </c>
      <c r="T1236" s="7" t="n">
        <v>0.472</v>
      </c>
      <c r="U1236" s="7" t="n">
        <v>1</v>
      </c>
      <c r="V1236" s="7" t="s">
        <v>90</v>
      </c>
      <c r="W1236" s="7"/>
      <c r="X1236" s="7"/>
      <c r="Y1236" s="7" t="s">
        <v>8783</v>
      </c>
      <c r="Z1236" s="7"/>
      <c r="AA1236" s="7"/>
      <c r="AB1236" s="7"/>
      <c r="AC1236" s="7" t="n">
        <v>0</v>
      </c>
      <c r="AD1236" s="7" t="s">
        <v>388</v>
      </c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 t="s">
        <v>440</v>
      </c>
      <c r="BE1236" s="7" t="s">
        <v>127</v>
      </c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</row>
    <row r="1237" customFormat="false" ht="15" hidden="false" customHeight="false" outlineLevel="0" collapsed="false">
      <c r="A1237" s="7" t="s">
        <v>8784</v>
      </c>
      <c r="B1237" s="7" t="s">
        <v>8785</v>
      </c>
      <c r="C1237" s="7" t="s">
        <v>8786</v>
      </c>
      <c r="D1237" s="7" t="s">
        <v>8787</v>
      </c>
      <c r="E1237" s="7" t="s">
        <v>507</v>
      </c>
      <c r="F1237" s="7" t="s">
        <v>507</v>
      </c>
      <c r="G1237" s="7"/>
      <c r="H1237" s="7" t="s">
        <v>207</v>
      </c>
      <c r="I1237" s="7" t="s">
        <v>132</v>
      </c>
      <c r="J1237" s="7" t="s">
        <v>104</v>
      </c>
      <c r="K1237" s="7" t="s">
        <v>105</v>
      </c>
      <c r="L1237" s="7" t="s">
        <v>106</v>
      </c>
      <c r="M1237" s="7"/>
      <c r="N1237" s="7" t="s">
        <v>8788</v>
      </c>
      <c r="O1237" s="7" t="s">
        <v>8788</v>
      </c>
      <c r="P1237" s="7" t="s">
        <v>109</v>
      </c>
      <c r="Q1237" s="7"/>
      <c r="R1237" s="7" t="s">
        <v>109</v>
      </c>
      <c r="S1237" s="7" t="s">
        <v>110</v>
      </c>
      <c r="T1237" s="7" t="n">
        <v>0.78</v>
      </c>
      <c r="U1237" s="7" t="n">
        <v>1</v>
      </c>
      <c r="V1237" s="7" t="s">
        <v>1156</v>
      </c>
      <c r="W1237" s="7"/>
      <c r="X1237" s="7"/>
      <c r="Y1237" s="7" t="s">
        <v>8788</v>
      </c>
      <c r="Z1237" s="7"/>
      <c r="AA1237" s="7"/>
      <c r="AB1237" s="7"/>
      <c r="AC1237" s="7" t="n">
        <v>0</v>
      </c>
      <c r="AD1237" s="7" t="s">
        <v>388</v>
      </c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 t="s">
        <v>127</v>
      </c>
      <c r="BF1237" s="8"/>
      <c r="BG1237" s="8"/>
      <c r="BH1237" s="8"/>
      <c r="BI1237" s="8"/>
      <c r="BJ1237" s="8"/>
      <c r="BK1237" s="8"/>
      <c r="BL1237" s="8"/>
      <c r="BM1237" s="8"/>
      <c r="BN1237" s="8"/>
      <c r="BO1237" s="8"/>
      <c r="BP1237" s="8"/>
      <c r="BQ1237" s="8"/>
      <c r="BR1237" s="8"/>
      <c r="BS1237" s="8"/>
    </row>
    <row r="1238" customFormat="false" ht="15" hidden="false" customHeight="false" outlineLevel="0" collapsed="false">
      <c r="A1238" s="7" t="s">
        <v>8789</v>
      </c>
      <c r="B1238" s="7" t="s">
        <v>8790</v>
      </c>
      <c r="C1238" s="7" t="s">
        <v>8791</v>
      </c>
      <c r="D1238" s="7" t="s">
        <v>8792</v>
      </c>
      <c r="E1238" s="7" t="s">
        <v>819</v>
      </c>
      <c r="F1238" s="7" t="s">
        <v>819</v>
      </c>
      <c r="G1238" s="7"/>
      <c r="H1238" s="7" t="s">
        <v>207</v>
      </c>
      <c r="I1238" s="7" t="s">
        <v>158</v>
      </c>
      <c r="J1238" s="7" t="s">
        <v>104</v>
      </c>
      <c r="K1238" s="7" t="s">
        <v>105</v>
      </c>
      <c r="L1238" s="7" t="s">
        <v>106</v>
      </c>
      <c r="M1238" s="7"/>
      <c r="N1238" s="7" t="s">
        <v>8793</v>
      </c>
      <c r="O1238" s="7" t="s">
        <v>8793</v>
      </c>
      <c r="P1238" s="7" t="s">
        <v>109</v>
      </c>
      <c r="Q1238" s="7"/>
      <c r="R1238" s="7" t="s">
        <v>109</v>
      </c>
      <c r="S1238" s="7" t="s">
        <v>110</v>
      </c>
      <c r="T1238" s="7" t="n">
        <v>0.557</v>
      </c>
      <c r="U1238" s="7" t="n">
        <v>1</v>
      </c>
      <c r="V1238" s="7" t="s">
        <v>1156</v>
      </c>
      <c r="W1238" s="7"/>
      <c r="X1238" s="7"/>
      <c r="Y1238" s="7" t="s">
        <v>8793</v>
      </c>
      <c r="Z1238" s="7"/>
      <c r="AA1238" s="7"/>
      <c r="AB1238" s="7"/>
      <c r="AC1238" s="7" t="n">
        <v>0</v>
      </c>
      <c r="AD1238" s="7" t="s">
        <v>388</v>
      </c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 t="s">
        <v>127</v>
      </c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</row>
    <row r="1239" customFormat="false" ht="15" hidden="false" customHeight="false" outlineLevel="0" collapsed="false">
      <c r="A1239" s="7" t="s">
        <v>8794</v>
      </c>
      <c r="B1239" s="7" t="s">
        <v>8795</v>
      </c>
      <c r="C1239" s="7" t="s">
        <v>8796</v>
      </c>
      <c r="D1239" s="7" t="s">
        <v>8797</v>
      </c>
      <c r="E1239" s="7" t="s">
        <v>819</v>
      </c>
      <c r="F1239" s="7" t="s">
        <v>819</v>
      </c>
      <c r="G1239" s="7"/>
      <c r="H1239" s="7" t="s">
        <v>207</v>
      </c>
      <c r="I1239" s="7" t="s">
        <v>208</v>
      </c>
      <c r="J1239" s="7" t="s">
        <v>104</v>
      </c>
      <c r="K1239" s="7" t="s">
        <v>105</v>
      </c>
      <c r="L1239" s="7" t="s">
        <v>106</v>
      </c>
      <c r="M1239" s="7"/>
      <c r="N1239" s="7" t="s">
        <v>8798</v>
      </c>
      <c r="O1239" s="7" t="s">
        <v>8798</v>
      </c>
      <c r="P1239" s="7" t="s">
        <v>135</v>
      </c>
      <c r="Q1239" s="7"/>
      <c r="R1239" s="7" t="s">
        <v>109</v>
      </c>
      <c r="S1239" s="7" t="s">
        <v>110</v>
      </c>
      <c r="T1239" s="7" t="n">
        <v>0.452</v>
      </c>
      <c r="U1239" s="7" t="n">
        <v>1</v>
      </c>
      <c r="V1239" s="7" t="s">
        <v>90</v>
      </c>
      <c r="W1239" s="7"/>
      <c r="X1239" s="7"/>
      <c r="Y1239" s="7" t="s">
        <v>8798</v>
      </c>
      <c r="Z1239" s="7"/>
      <c r="AA1239" s="7"/>
      <c r="AB1239" s="7"/>
      <c r="AC1239" s="7" t="n">
        <v>0</v>
      </c>
      <c r="AD1239" s="7" t="s">
        <v>388</v>
      </c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 t="s">
        <v>440</v>
      </c>
      <c r="BE1239" s="7" t="s">
        <v>127</v>
      </c>
      <c r="BF1239" s="8"/>
      <c r="BG1239" s="8"/>
      <c r="BH1239" s="8"/>
      <c r="BI1239" s="8"/>
      <c r="BJ1239" s="8"/>
      <c r="BK1239" s="8"/>
      <c r="BL1239" s="8"/>
      <c r="BM1239" s="8"/>
      <c r="BN1239" s="8"/>
      <c r="BO1239" s="8"/>
      <c r="BP1239" s="8"/>
      <c r="BQ1239" s="8"/>
      <c r="BR1239" s="8"/>
      <c r="BS1239" s="8"/>
    </row>
    <row r="1240" customFormat="false" ht="15" hidden="false" customHeight="false" outlineLevel="0" collapsed="false">
      <c r="A1240" s="7" t="s">
        <v>8799</v>
      </c>
      <c r="B1240" s="7" t="s">
        <v>8800</v>
      </c>
      <c r="C1240" s="7" t="s">
        <v>8801</v>
      </c>
      <c r="D1240" s="7" t="s">
        <v>8802</v>
      </c>
      <c r="E1240" s="7" t="s">
        <v>410</v>
      </c>
      <c r="F1240" s="7" t="s">
        <v>410</v>
      </c>
      <c r="G1240" s="7"/>
      <c r="H1240" s="7" t="s">
        <v>207</v>
      </c>
      <c r="I1240" s="7" t="s">
        <v>208</v>
      </c>
      <c r="J1240" s="7" t="s">
        <v>104</v>
      </c>
      <c r="K1240" s="7" t="s">
        <v>105</v>
      </c>
      <c r="L1240" s="7" t="s">
        <v>106</v>
      </c>
      <c r="M1240" s="7"/>
      <c r="N1240" s="7" t="s">
        <v>8803</v>
      </c>
      <c r="O1240" s="7"/>
      <c r="P1240" s="7" t="s">
        <v>84</v>
      </c>
      <c r="Q1240" s="7"/>
      <c r="R1240" s="7"/>
      <c r="S1240" s="7"/>
      <c r="T1240" s="7" t="n">
        <v>0.303</v>
      </c>
      <c r="U1240" s="7" t="n">
        <v>2</v>
      </c>
      <c r="V1240" s="7" t="s">
        <v>479</v>
      </c>
      <c r="W1240" s="7"/>
      <c r="X1240" s="7"/>
      <c r="Y1240" s="7" t="s">
        <v>8803</v>
      </c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 t="s">
        <v>1861</v>
      </c>
      <c r="BE1240" s="7" t="s">
        <v>127</v>
      </c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8"/>
      <c r="BS1240" s="8"/>
    </row>
    <row r="1241" customFormat="false" ht="15" hidden="false" customHeight="false" outlineLevel="0" collapsed="false">
      <c r="A1241" s="7" t="s">
        <v>8804</v>
      </c>
      <c r="B1241" s="7" t="s">
        <v>8805</v>
      </c>
      <c r="C1241" s="7" t="s">
        <v>8806</v>
      </c>
      <c r="D1241" s="7" t="s">
        <v>8807</v>
      </c>
      <c r="E1241" s="7" t="s">
        <v>431</v>
      </c>
      <c r="F1241" s="7" t="s">
        <v>431</v>
      </c>
      <c r="G1241" s="7"/>
      <c r="H1241" s="7" t="s">
        <v>207</v>
      </c>
      <c r="I1241" s="7" t="s">
        <v>132</v>
      </c>
      <c r="J1241" s="7" t="s">
        <v>104</v>
      </c>
      <c r="K1241" s="7" t="s">
        <v>105</v>
      </c>
      <c r="L1241" s="7" t="s">
        <v>106</v>
      </c>
      <c r="M1241" s="7"/>
      <c r="N1241" s="7" t="s">
        <v>8808</v>
      </c>
      <c r="O1241" s="7"/>
      <c r="P1241" s="7" t="s">
        <v>135</v>
      </c>
      <c r="Q1241" s="7"/>
      <c r="R1241" s="7"/>
      <c r="S1241" s="7"/>
      <c r="T1241" s="7" t="n">
        <v>0.353</v>
      </c>
      <c r="U1241" s="7" t="n">
        <v>1</v>
      </c>
      <c r="V1241" s="7" t="s">
        <v>90</v>
      </c>
      <c r="W1241" s="7"/>
      <c r="X1241" s="7"/>
      <c r="Y1241" s="7" t="s">
        <v>8808</v>
      </c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 t="s">
        <v>2797</v>
      </c>
      <c r="BE1241" s="7" t="s">
        <v>127</v>
      </c>
      <c r="BF1241" s="8"/>
      <c r="BG1241" s="8"/>
      <c r="BH1241" s="8"/>
      <c r="BI1241" s="8"/>
      <c r="BJ1241" s="8"/>
      <c r="BK1241" s="8"/>
      <c r="BL1241" s="8"/>
      <c r="BM1241" s="8"/>
      <c r="BN1241" s="8"/>
      <c r="BO1241" s="8"/>
      <c r="BP1241" s="8"/>
      <c r="BQ1241" s="8"/>
      <c r="BR1241" s="8"/>
      <c r="BS1241" s="8"/>
    </row>
    <row r="1242" customFormat="false" ht="15" hidden="false" customHeight="false" outlineLevel="0" collapsed="false">
      <c r="A1242" s="7" t="s">
        <v>8809</v>
      </c>
      <c r="B1242" s="7" t="s">
        <v>8810</v>
      </c>
      <c r="C1242" s="7" t="s">
        <v>8811</v>
      </c>
      <c r="D1242" s="7" t="s">
        <v>8812</v>
      </c>
      <c r="E1242" s="7" t="s">
        <v>819</v>
      </c>
      <c r="F1242" s="7" t="s">
        <v>819</v>
      </c>
      <c r="G1242" s="7"/>
      <c r="H1242" s="7" t="s">
        <v>207</v>
      </c>
      <c r="I1242" s="7" t="s">
        <v>158</v>
      </c>
      <c r="J1242" s="7" t="s">
        <v>104</v>
      </c>
      <c r="K1242" s="7" t="s">
        <v>105</v>
      </c>
      <c r="L1242" s="7" t="s">
        <v>5147</v>
      </c>
      <c r="M1242" s="7"/>
      <c r="N1242" s="7" t="s">
        <v>8813</v>
      </c>
      <c r="O1242" s="7" t="s">
        <v>8813</v>
      </c>
      <c r="P1242" s="7" t="s">
        <v>109</v>
      </c>
      <c r="Q1242" s="7"/>
      <c r="R1242" s="7" t="s">
        <v>109</v>
      </c>
      <c r="S1242" s="7" t="s">
        <v>110</v>
      </c>
      <c r="T1242" s="7" t="n">
        <v>0.345</v>
      </c>
      <c r="U1242" s="7" t="n">
        <v>1</v>
      </c>
      <c r="V1242" s="7" t="s">
        <v>86</v>
      </c>
      <c r="W1242" s="7"/>
      <c r="X1242" s="7"/>
      <c r="Y1242" s="7" t="s">
        <v>8813</v>
      </c>
      <c r="Z1242" s="7"/>
      <c r="AA1242" s="7"/>
      <c r="AB1242" s="7"/>
      <c r="AC1242" s="7" t="n">
        <v>0</v>
      </c>
      <c r="AD1242" s="7" t="s">
        <v>388</v>
      </c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 t="s">
        <v>127</v>
      </c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8"/>
      <c r="BS1242" s="8"/>
    </row>
    <row r="1243" customFormat="false" ht="15" hidden="false" customHeight="false" outlineLevel="0" collapsed="false">
      <c r="A1243" s="7" t="s">
        <v>8814</v>
      </c>
      <c r="B1243" s="7" t="s">
        <v>8815</v>
      </c>
      <c r="C1243" s="7" t="s">
        <v>8816</v>
      </c>
      <c r="D1243" s="7" t="s">
        <v>8817</v>
      </c>
      <c r="E1243" s="7" t="s">
        <v>819</v>
      </c>
      <c r="F1243" s="7" t="s">
        <v>819</v>
      </c>
      <c r="G1243" s="7"/>
      <c r="H1243" s="7" t="s">
        <v>207</v>
      </c>
      <c r="I1243" s="7" t="s">
        <v>208</v>
      </c>
      <c r="J1243" s="7" t="s">
        <v>104</v>
      </c>
      <c r="K1243" s="7" t="s">
        <v>105</v>
      </c>
      <c r="L1243" s="7" t="s">
        <v>235</v>
      </c>
      <c r="M1243" s="7"/>
      <c r="N1243" s="7" t="s">
        <v>8818</v>
      </c>
      <c r="O1243" s="7" t="s">
        <v>8818</v>
      </c>
      <c r="P1243" s="7" t="s">
        <v>135</v>
      </c>
      <c r="Q1243" s="7"/>
      <c r="R1243" s="7" t="s">
        <v>109</v>
      </c>
      <c r="S1243" s="7" t="s">
        <v>110</v>
      </c>
      <c r="T1243" s="7" t="n">
        <v>0.216</v>
      </c>
      <c r="U1243" s="7" t="n">
        <v>1</v>
      </c>
      <c r="V1243" s="7" t="s">
        <v>90</v>
      </c>
      <c r="W1243" s="7"/>
      <c r="X1243" s="7"/>
      <c r="Y1243" s="7" t="s">
        <v>8818</v>
      </c>
      <c r="Z1243" s="7"/>
      <c r="AA1243" s="7"/>
      <c r="AB1243" s="7"/>
      <c r="AC1243" s="7" t="n">
        <v>0</v>
      </c>
      <c r="AD1243" s="7" t="s">
        <v>388</v>
      </c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 t="s">
        <v>440</v>
      </c>
      <c r="BE1243" s="7" t="s">
        <v>127</v>
      </c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8"/>
      <c r="BS1243" s="8"/>
    </row>
    <row r="1244" customFormat="false" ht="15" hidden="false" customHeight="false" outlineLevel="0" collapsed="false">
      <c r="A1244" s="7" t="s">
        <v>8819</v>
      </c>
      <c r="B1244" s="7" t="s">
        <v>8820</v>
      </c>
      <c r="C1244" s="7" t="s">
        <v>8821</v>
      </c>
      <c r="D1244" s="7" t="s">
        <v>8822</v>
      </c>
      <c r="E1244" s="7" t="s">
        <v>1966</v>
      </c>
      <c r="F1244" s="7" t="s">
        <v>1966</v>
      </c>
      <c r="G1244" s="7"/>
      <c r="H1244" s="7" t="s">
        <v>207</v>
      </c>
      <c r="I1244" s="7" t="s">
        <v>158</v>
      </c>
      <c r="J1244" s="7" t="s">
        <v>104</v>
      </c>
      <c r="K1244" s="7" t="s">
        <v>105</v>
      </c>
      <c r="L1244" s="7" t="s">
        <v>106</v>
      </c>
      <c r="M1244" s="7"/>
      <c r="N1244" s="7" t="s">
        <v>8823</v>
      </c>
      <c r="O1244" s="7"/>
      <c r="P1244" s="7" t="s">
        <v>109</v>
      </c>
      <c r="Q1244" s="7"/>
      <c r="R1244" s="7"/>
      <c r="S1244" s="7"/>
      <c r="T1244" s="7" t="n">
        <v>0.355</v>
      </c>
      <c r="U1244" s="7" t="n">
        <v>1</v>
      </c>
      <c r="V1244" s="7" t="s">
        <v>1156</v>
      </c>
      <c r="W1244" s="7"/>
      <c r="X1244" s="7"/>
      <c r="Y1244" s="7" t="s">
        <v>8823</v>
      </c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 t="s">
        <v>127</v>
      </c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8"/>
      <c r="BS1244" s="8"/>
    </row>
    <row r="1245" customFormat="false" ht="15" hidden="false" customHeight="false" outlineLevel="0" collapsed="false">
      <c r="A1245" s="7" t="s">
        <v>8824</v>
      </c>
      <c r="B1245" s="7" t="s">
        <v>8825</v>
      </c>
      <c r="C1245" s="7" t="s">
        <v>8826</v>
      </c>
      <c r="D1245" s="7" t="s">
        <v>8020</v>
      </c>
      <c r="E1245" s="7" t="s">
        <v>819</v>
      </c>
      <c r="F1245" s="7" t="s">
        <v>819</v>
      </c>
      <c r="G1245" s="7"/>
      <c r="H1245" s="7" t="s">
        <v>207</v>
      </c>
      <c r="I1245" s="7" t="s">
        <v>132</v>
      </c>
      <c r="J1245" s="7" t="s">
        <v>104</v>
      </c>
      <c r="K1245" s="7" t="s">
        <v>105</v>
      </c>
      <c r="L1245" s="7" t="s">
        <v>106</v>
      </c>
      <c r="M1245" s="7"/>
      <c r="N1245" s="7" t="s">
        <v>8827</v>
      </c>
      <c r="O1245" s="7" t="s">
        <v>8827</v>
      </c>
      <c r="P1245" s="7" t="s">
        <v>135</v>
      </c>
      <c r="Q1245" s="7"/>
      <c r="R1245" s="7" t="s">
        <v>109</v>
      </c>
      <c r="S1245" s="7" t="s">
        <v>110</v>
      </c>
      <c r="T1245" s="7" t="n">
        <v>0.364</v>
      </c>
      <c r="U1245" s="7" t="n">
        <v>1</v>
      </c>
      <c r="V1245" s="7" t="s">
        <v>90</v>
      </c>
      <c r="W1245" s="7"/>
      <c r="X1245" s="7"/>
      <c r="Y1245" s="7" t="s">
        <v>8827</v>
      </c>
      <c r="Z1245" s="7"/>
      <c r="AA1245" s="7"/>
      <c r="AB1245" s="7"/>
      <c r="AC1245" s="7" t="n">
        <v>0</v>
      </c>
      <c r="AD1245" s="7" t="s">
        <v>388</v>
      </c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 t="s">
        <v>440</v>
      </c>
      <c r="BE1245" s="7" t="s">
        <v>127</v>
      </c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</row>
    <row r="1246" customFormat="false" ht="15" hidden="false" customHeight="false" outlineLevel="0" collapsed="false">
      <c r="A1246" s="7" t="s">
        <v>8828</v>
      </c>
      <c r="B1246" s="7" t="s">
        <v>8829</v>
      </c>
      <c r="C1246" s="7" t="s">
        <v>8830</v>
      </c>
      <c r="D1246" s="7" t="s">
        <v>8429</v>
      </c>
      <c r="E1246" s="7" t="s">
        <v>410</v>
      </c>
      <c r="F1246" s="7" t="s">
        <v>410</v>
      </c>
      <c r="G1246" s="7"/>
      <c r="H1246" s="7" t="s">
        <v>207</v>
      </c>
      <c r="I1246" s="7" t="s">
        <v>132</v>
      </c>
      <c r="J1246" s="7" t="s">
        <v>104</v>
      </c>
      <c r="K1246" s="7" t="s">
        <v>105</v>
      </c>
      <c r="L1246" s="7" t="s">
        <v>106</v>
      </c>
      <c r="M1246" s="7"/>
      <c r="N1246" s="7" t="s">
        <v>8831</v>
      </c>
      <c r="O1246" s="7" t="s">
        <v>8831</v>
      </c>
      <c r="P1246" s="7" t="s">
        <v>135</v>
      </c>
      <c r="Q1246" s="7"/>
      <c r="R1246" s="7" t="s">
        <v>109</v>
      </c>
      <c r="S1246" s="7" t="s">
        <v>110</v>
      </c>
      <c r="T1246" s="7" t="n">
        <v>0.216</v>
      </c>
      <c r="U1246" s="7" t="n">
        <v>1</v>
      </c>
      <c r="V1246" s="7" t="s">
        <v>90</v>
      </c>
      <c r="W1246" s="7"/>
      <c r="X1246" s="7"/>
      <c r="Y1246" s="7" t="s">
        <v>8831</v>
      </c>
      <c r="Z1246" s="7"/>
      <c r="AA1246" s="7"/>
      <c r="AB1246" s="7"/>
      <c r="AC1246" s="7" t="n">
        <v>0</v>
      </c>
      <c r="AD1246" s="7" t="s">
        <v>388</v>
      </c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 t="s">
        <v>440</v>
      </c>
      <c r="BE1246" s="7" t="s">
        <v>127</v>
      </c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8"/>
      <c r="BS1246" s="8"/>
    </row>
    <row r="1247" customFormat="false" ht="15" hidden="false" customHeight="false" outlineLevel="0" collapsed="false">
      <c r="A1247" s="7" t="s">
        <v>8832</v>
      </c>
      <c r="B1247" s="7" t="s">
        <v>8833</v>
      </c>
      <c r="C1247" s="7" t="s">
        <v>8834</v>
      </c>
      <c r="D1247" s="7" t="s">
        <v>8835</v>
      </c>
      <c r="E1247" s="7" t="s">
        <v>4473</v>
      </c>
      <c r="F1247" s="7" t="s">
        <v>4473</v>
      </c>
      <c r="G1247" s="7"/>
      <c r="H1247" s="7" t="s">
        <v>207</v>
      </c>
      <c r="I1247" s="7" t="s">
        <v>208</v>
      </c>
      <c r="J1247" s="7" t="s">
        <v>104</v>
      </c>
      <c r="K1247" s="7" t="s">
        <v>105</v>
      </c>
      <c r="L1247" s="7" t="s">
        <v>106</v>
      </c>
      <c r="M1247" s="7"/>
      <c r="N1247" s="7" t="s">
        <v>8836</v>
      </c>
      <c r="O1247" s="7" t="s">
        <v>8836</v>
      </c>
      <c r="P1247" s="7" t="s">
        <v>135</v>
      </c>
      <c r="Q1247" s="7"/>
      <c r="R1247" s="7" t="s">
        <v>109</v>
      </c>
      <c r="S1247" s="7" t="s">
        <v>110</v>
      </c>
      <c r="T1247" s="7" t="n">
        <v>0.273</v>
      </c>
      <c r="U1247" s="7" t="n">
        <v>1</v>
      </c>
      <c r="V1247" s="7" t="s">
        <v>90</v>
      </c>
      <c r="W1247" s="7"/>
      <c r="X1247" s="7"/>
      <c r="Y1247" s="7" t="s">
        <v>8836</v>
      </c>
      <c r="Z1247" s="7"/>
      <c r="AA1247" s="7"/>
      <c r="AB1247" s="7"/>
      <c r="AC1247" s="7" t="n">
        <v>0</v>
      </c>
      <c r="AD1247" s="7" t="s">
        <v>388</v>
      </c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 t="s">
        <v>440</v>
      </c>
      <c r="BE1247" s="7" t="s">
        <v>127</v>
      </c>
      <c r="BF1247" s="8"/>
      <c r="BG1247" s="8"/>
      <c r="BH1247" s="8"/>
      <c r="BI1247" s="8"/>
      <c r="BJ1247" s="8"/>
      <c r="BK1247" s="8"/>
      <c r="BL1247" s="8"/>
      <c r="BM1247" s="8"/>
      <c r="BN1247" s="8"/>
      <c r="BO1247" s="8"/>
      <c r="BP1247" s="8"/>
      <c r="BQ1247" s="8"/>
      <c r="BR1247" s="8"/>
      <c r="BS1247" s="8"/>
    </row>
    <row r="1248" customFormat="false" ht="15" hidden="false" customHeight="false" outlineLevel="0" collapsed="false">
      <c r="A1248" s="7" t="s">
        <v>8837</v>
      </c>
      <c r="B1248" s="7" t="s">
        <v>8838</v>
      </c>
      <c r="C1248" s="7" t="s">
        <v>8839</v>
      </c>
      <c r="D1248" s="7" t="s">
        <v>8840</v>
      </c>
      <c r="E1248" s="7" t="s">
        <v>410</v>
      </c>
      <c r="F1248" s="7" t="s">
        <v>410</v>
      </c>
      <c r="G1248" s="7"/>
      <c r="H1248" s="7" t="s">
        <v>207</v>
      </c>
      <c r="I1248" s="7" t="s">
        <v>1639</v>
      </c>
      <c r="J1248" s="7" t="s">
        <v>104</v>
      </c>
      <c r="K1248" s="7" t="s">
        <v>105</v>
      </c>
      <c r="L1248" s="7" t="s">
        <v>106</v>
      </c>
      <c r="M1248" s="7"/>
      <c r="N1248" s="7" t="s">
        <v>8841</v>
      </c>
      <c r="O1248" s="7" t="s">
        <v>8841</v>
      </c>
      <c r="P1248" s="7" t="s">
        <v>135</v>
      </c>
      <c r="Q1248" s="7"/>
      <c r="R1248" s="7" t="s">
        <v>109</v>
      </c>
      <c r="S1248" s="7" t="s">
        <v>110</v>
      </c>
      <c r="T1248" s="7" t="n">
        <v>0.231</v>
      </c>
      <c r="U1248" s="7" t="n">
        <v>1</v>
      </c>
      <c r="V1248" s="7" t="s">
        <v>90</v>
      </c>
      <c r="W1248" s="7"/>
      <c r="X1248" s="7"/>
      <c r="Y1248" s="7" t="s">
        <v>8841</v>
      </c>
      <c r="Z1248" s="7"/>
      <c r="AA1248" s="7"/>
      <c r="AB1248" s="7"/>
      <c r="AC1248" s="7" t="n">
        <v>0</v>
      </c>
      <c r="AD1248" s="7" t="s">
        <v>388</v>
      </c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 t="s">
        <v>440</v>
      </c>
      <c r="BE1248" s="7" t="s">
        <v>127</v>
      </c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8"/>
      <c r="BS1248" s="8"/>
    </row>
    <row r="1249" customFormat="false" ht="15" hidden="false" customHeight="false" outlineLevel="0" collapsed="false">
      <c r="A1249" s="7" t="s">
        <v>8842</v>
      </c>
      <c r="B1249" s="7" t="s">
        <v>8843</v>
      </c>
      <c r="C1249" s="7" t="s">
        <v>8844</v>
      </c>
      <c r="D1249" s="7" t="s">
        <v>8845</v>
      </c>
      <c r="E1249" s="7" t="s">
        <v>741</v>
      </c>
      <c r="F1249" s="7" t="s">
        <v>741</v>
      </c>
      <c r="G1249" s="7"/>
      <c r="H1249" s="7" t="s">
        <v>207</v>
      </c>
      <c r="I1249" s="7" t="s">
        <v>103</v>
      </c>
      <c r="J1249" s="7" t="s">
        <v>104</v>
      </c>
      <c r="K1249" s="7" t="s">
        <v>105</v>
      </c>
      <c r="L1249" s="7" t="s">
        <v>106</v>
      </c>
      <c r="M1249" s="7"/>
      <c r="N1249" s="7" t="s">
        <v>8846</v>
      </c>
      <c r="O1249" s="7" t="s">
        <v>8846</v>
      </c>
      <c r="P1249" s="7" t="s">
        <v>135</v>
      </c>
      <c r="Q1249" s="7"/>
      <c r="R1249" s="7" t="s">
        <v>109</v>
      </c>
      <c r="S1249" s="7" t="s">
        <v>110</v>
      </c>
      <c r="T1249" s="7" t="n">
        <v>0.386</v>
      </c>
      <c r="U1249" s="7" t="n">
        <v>1</v>
      </c>
      <c r="V1249" s="7" t="s">
        <v>90</v>
      </c>
      <c r="W1249" s="7"/>
      <c r="X1249" s="7"/>
      <c r="Y1249" s="7" t="s">
        <v>8846</v>
      </c>
      <c r="Z1249" s="7"/>
      <c r="AA1249" s="7"/>
      <c r="AB1249" s="7"/>
      <c r="AC1249" s="7" t="n">
        <v>0</v>
      </c>
      <c r="AD1249" s="7" t="s">
        <v>388</v>
      </c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 t="s">
        <v>440</v>
      </c>
      <c r="BE1249" s="7" t="s">
        <v>127</v>
      </c>
      <c r="BF1249" s="8"/>
      <c r="BG1249" s="8"/>
      <c r="BH1249" s="8"/>
      <c r="BI1249" s="8"/>
      <c r="BJ1249" s="8"/>
      <c r="BK1249" s="8"/>
      <c r="BL1249" s="8"/>
      <c r="BM1249" s="8"/>
      <c r="BN1249" s="8"/>
      <c r="BO1249" s="8"/>
      <c r="BP1249" s="8"/>
      <c r="BQ1249" s="8"/>
      <c r="BR1249" s="8"/>
      <c r="BS1249" s="8"/>
    </row>
    <row r="1250" customFormat="false" ht="15" hidden="false" customHeight="false" outlineLevel="0" collapsed="false">
      <c r="A1250" s="7" t="s">
        <v>8847</v>
      </c>
      <c r="B1250" s="7" t="s">
        <v>8848</v>
      </c>
      <c r="C1250" s="7" t="s">
        <v>8849</v>
      </c>
      <c r="D1250" s="7" t="s">
        <v>8850</v>
      </c>
      <c r="E1250" s="7" t="s">
        <v>444</v>
      </c>
      <c r="F1250" s="7" t="s">
        <v>444</v>
      </c>
      <c r="G1250" s="7"/>
      <c r="H1250" s="7" t="s">
        <v>207</v>
      </c>
      <c r="I1250" s="7" t="s">
        <v>132</v>
      </c>
      <c r="J1250" s="7" t="s">
        <v>104</v>
      </c>
      <c r="K1250" s="7" t="s">
        <v>105</v>
      </c>
      <c r="L1250" s="7" t="s">
        <v>106</v>
      </c>
      <c r="M1250" s="7"/>
      <c r="N1250" s="7" t="s">
        <v>8851</v>
      </c>
      <c r="O1250" s="7" t="s">
        <v>8851</v>
      </c>
      <c r="P1250" s="7" t="s">
        <v>135</v>
      </c>
      <c r="Q1250" s="7"/>
      <c r="R1250" s="7" t="s">
        <v>109</v>
      </c>
      <c r="S1250" s="7" t="s">
        <v>110</v>
      </c>
      <c r="T1250" s="7" t="n">
        <v>0.106</v>
      </c>
      <c r="U1250" s="7" t="n">
        <v>1</v>
      </c>
      <c r="V1250" s="7" t="s">
        <v>90</v>
      </c>
      <c r="W1250" s="7"/>
      <c r="X1250" s="7"/>
      <c r="Y1250" s="7" t="s">
        <v>8851</v>
      </c>
      <c r="Z1250" s="7"/>
      <c r="AA1250" s="7"/>
      <c r="AB1250" s="7"/>
      <c r="AC1250" s="7" t="n">
        <v>0</v>
      </c>
      <c r="AD1250" s="7" t="s">
        <v>388</v>
      </c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 t="s">
        <v>2797</v>
      </c>
      <c r="BE1250" s="7" t="s">
        <v>127</v>
      </c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</row>
    <row r="1251" customFormat="false" ht="15" hidden="false" customHeight="false" outlineLevel="0" collapsed="false">
      <c r="A1251" s="7" t="s">
        <v>8852</v>
      </c>
      <c r="B1251" s="7" t="s">
        <v>8853</v>
      </c>
      <c r="C1251" s="7" t="s">
        <v>8854</v>
      </c>
      <c r="D1251" s="7" t="s">
        <v>8855</v>
      </c>
      <c r="E1251" s="7" t="s">
        <v>410</v>
      </c>
      <c r="F1251" s="7" t="s">
        <v>410</v>
      </c>
      <c r="G1251" s="7"/>
      <c r="H1251" s="7" t="s">
        <v>207</v>
      </c>
      <c r="I1251" s="7" t="s">
        <v>132</v>
      </c>
      <c r="J1251" s="7" t="s">
        <v>104</v>
      </c>
      <c r="K1251" s="7" t="s">
        <v>105</v>
      </c>
      <c r="L1251" s="7" t="s">
        <v>106</v>
      </c>
      <c r="M1251" s="7"/>
      <c r="N1251" s="7" t="s">
        <v>8856</v>
      </c>
      <c r="O1251" s="7" t="s">
        <v>8856</v>
      </c>
      <c r="P1251" s="7" t="s">
        <v>135</v>
      </c>
      <c r="Q1251" s="7"/>
      <c r="R1251" s="7" t="s">
        <v>109</v>
      </c>
      <c r="S1251" s="7" t="s">
        <v>110</v>
      </c>
      <c r="T1251" s="7" t="n">
        <v>0.258</v>
      </c>
      <c r="U1251" s="7" t="n">
        <v>1</v>
      </c>
      <c r="V1251" s="7" t="s">
        <v>90</v>
      </c>
      <c r="W1251" s="7"/>
      <c r="X1251" s="7"/>
      <c r="Y1251" s="7" t="s">
        <v>8856</v>
      </c>
      <c r="Z1251" s="7"/>
      <c r="AA1251" s="7"/>
      <c r="AB1251" s="7"/>
      <c r="AC1251" s="7" t="n">
        <v>0</v>
      </c>
      <c r="AD1251" s="7" t="s">
        <v>388</v>
      </c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 t="s">
        <v>440</v>
      </c>
      <c r="BE1251" s="7" t="s">
        <v>127</v>
      </c>
      <c r="BF1251" s="8"/>
      <c r="BG1251" s="8"/>
      <c r="BH1251" s="8"/>
      <c r="BI1251" s="8"/>
      <c r="BJ1251" s="8"/>
      <c r="BK1251" s="8"/>
      <c r="BL1251" s="8"/>
      <c r="BM1251" s="8"/>
      <c r="BN1251" s="8"/>
      <c r="BO1251" s="8"/>
      <c r="BP1251" s="8"/>
      <c r="BQ1251" s="8"/>
      <c r="BR1251" s="8"/>
      <c r="BS1251" s="8"/>
    </row>
    <row r="1252" customFormat="false" ht="15" hidden="false" customHeight="false" outlineLevel="0" collapsed="false">
      <c r="A1252" s="7" t="s">
        <v>8857</v>
      </c>
      <c r="B1252" s="7" t="s">
        <v>8858</v>
      </c>
      <c r="C1252" s="7" t="s">
        <v>8859</v>
      </c>
      <c r="D1252" s="7" t="s">
        <v>8860</v>
      </c>
      <c r="E1252" s="7" t="s">
        <v>6724</v>
      </c>
      <c r="F1252" s="7" t="s">
        <v>6724</v>
      </c>
      <c r="G1252" s="7"/>
      <c r="H1252" s="7" t="s">
        <v>207</v>
      </c>
      <c r="I1252" s="7" t="s">
        <v>158</v>
      </c>
      <c r="J1252" s="7" t="s">
        <v>104</v>
      </c>
      <c r="K1252" s="7" t="s">
        <v>105</v>
      </c>
      <c r="L1252" s="7" t="s">
        <v>353</v>
      </c>
      <c r="M1252" s="7"/>
      <c r="N1252" s="7" t="s">
        <v>8861</v>
      </c>
      <c r="O1252" s="7" t="s">
        <v>8861</v>
      </c>
      <c r="P1252" s="7" t="s">
        <v>109</v>
      </c>
      <c r="Q1252" s="7"/>
      <c r="R1252" s="7" t="s">
        <v>109</v>
      </c>
      <c r="S1252" s="7" t="s">
        <v>110</v>
      </c>
      <c r="T1252" s="7" t="n">
        <v>0.547</v>
      </c>
      <c r="U1252" s="7" t="n">
        <v>1</v>
      </c>
      <c r="V1252" s="7" t="s">
        <v>86</v>
      </c>
      <c r="W1252" s="7"/>
      <c r="X1252" s="7"/>
      <c r="Y1252" s="7" t="s">
        <v>8861</v>
      </c>
      <c r="Z1252" s="7"/>
      <c r="AA1252" s="7"/>
      <c r="AB1252" s="7"/>
      <c r="AC1252" s="7" t="n">
        <v>0</v>
      </c>
      <c r="AD1252" s="7" t="s">
        <v>388</v>
      </c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 t="s">
        <v>127</v>
      </c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8"/>
      <c r="BQ1252" s="8"/>
      <c r="BR1252" s="8"/>
      <c r="BS1252" s="8"/>
    </row>
    <row r="1253" customFormat="false" ht="15" hidden="false" customHeight="false" outlineLevel="0" collapsed="false">
      <c r="A1253" s="7" t="s">
        <v>8862</v>
      </c>
      <c r="B1253" s="7" t="s">
        <v>8863</v>
      </c>
      <c r="C1253" s="7" t="s">
        <v>8864</v>
      </c>
      <c r="D1253" s="7" t="s">
        <v>8341</v>
      </c>
      <c r="E1253" s="7" t="s">
        <v>737</v>
      </c>
      <c r="F1253" s="7" t="s">
        <v>737</v>
      </c>
      <c r="G1253" s="7"/>
      <c r="H1253" s="7" t="s">
        <v>207</v>
      </c>
      <c r="I1253" s="7" t="s">
        <v>158</v>
      </c>
      <c r="J1253" s="7" t="s">
        <v>104</v>
      </c>
      <c r="K1253" s="7" t="s">
        <v>105</v>
      </c>
      <c r="L1253" s="7" t="s">
        <v>106</v>
      </c>
      <c r="M1253" s="7"/>
      <c r="N1253" s="7" t="s">
        <v>8865</v>
      </c>
      <c r="O1253" s="7" t="s">
        <v>8865</v>
      </c>
      <c r="P1253" s="7" t="s">
        <v>109</v>
      </c>
      <c r="Q1253" s="7"/>
      <c r="R1253" s="7" t="s">
        <v>109</v>
      </c>
      <c r="S1253" s="7" t="s">
        <v>110</v>
      </c>
      <c r="T1253" s="7" t="n">
        <v>0.669</v>
      </c>
      <c r="U1253" s="7" t="n">
        <v>1</v>
      </c>
      <c r="V1253" s="7" t="s">
        <v>86</v>
      </c>
      <c r="W1253" s="7"/>
      <c r="X1253" s="7"/>
      <c r="Y1253" s="7" t="s">
        <v>8865</v>
      </c>
      <c r="Z1253" s="7"/>
      <c r="AA1253" s="7"/>
      <c r="AB1253" s="7"/>
      <c r="AC1253" s="7" t="n">
        <v>0</v>
      </c>
      <c r="AD1253" s="7" t="s">
        <v>388</v>
      </c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 t="s">
        <v>127</v>
      </c>
      <c r="BF1253" s="8"/>
      <c r="BG1253" s="8"/>
      <c r="BH1253" s="8"/>
      <c r="BI1253" s="8"/>
      <c r="BJ1253" s="8"/>
      <c r="BK1253" s="8"/>
      <c r="BL1253" s="8"/>
      <c r="BM1253" s="8"/>
      <c r="BN1253" s="8"/>
      <c r="BO1253" s="8"/>
      <c r="BP1253" s="8"/>
      <c r="BQ1253" s="8"/>
      <c r="BR1253" s="8"/>
      <c r="BS1253" s="8"/>
    </row>
    <row r="1254" customFormat="false" ht="15" hidden="false" customHeight="false" outlineLevel="0" collapsed="false">
      <c r="A1254" s="7" t="s">
        <v>8866</v>
      </c>
      <c r="B1254" s="7" t="s">
        <v>8867</v>
      </c>
      <c r="C1254" s="7" t="s">
        <v>8868</v>
      </c>
      <c r="D1254" s="7" t="s">
        <v>8869</v>
      </c>
      <c r="E1254" s="7" t="s">
        <v>431</v>
      </c>
      <c r="F1254" s="7" t="s">
        <v>431</v>
      </c>
      <c r="G1254" s="7"/>
      <c r="H1254" s="7" t="s">
        <v>207</v>
      </c>
      <c r="I1254" s="7" t="s">
        <v>132</v>
      </c>
      <c r="J1254" s="7" t="s">
        <v>104</v>
      </c>
      <c r="K1254" s="7" t="s">
        <v>105</v>
      </c>
      <c r="L1254" s="7" t="s">
        <v>106</v>
      </c>
      <c r="M1254" s="7"/>
      <c r="N1254" s="7" t="s">
        <v>8870</v>
      </c>
      <c r="O1254" s="7" t="s">
        <v>8870</v>
      </c>
      <c r="P1254" s="7" t="s">
        <v>135</v>
      </c>
      <c r="Q1254" s="7"/>
      <c r="R1254" s="7" t="s">
        <v>109</v>
      </c>
      <c r="S1254" s="7" t="s">
        <v>110</v>
      </c>
      <c r="T1254" s="7" t="n">
        <v>0.379</v>
      </c>
      <c r="U1254" s="7" t="n">
        <v>1</v>
      </c>
      <c r="V1254" s="7" t="s">
        <v>90</v>
      </c>
      <c r="W1254" s="7"/>
      <c r="X1254" s="7"/>
      <c r="Y1254" s="7" t="s">
        <v>8870</v>
      </c>
      <c r="Z1254" s="7"/>
      <c r="AA1254" s="7"/>
      <c r="AB1254" s="7"/>
      <c r="AC1254" s="7" t="n">
        <v>0</v>
      </c>
      <c r="AD1254" s="7" t="s">
        <v>388</v>
      </c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 t="s">
        <v>2797</v>
      </c>
      <c r="BE1254" s="7" t="s">
        <v>127</v>
      </c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</row>
    <row r="1255" customFormat="false" ht="15" hidden="false" customHeight="false" outlineLevel="0" collapsed="false">
      <c r="A1255" s="7" t="s">
        <v>8871</v>
      </c>
      <c r="B1255" s="7" t="s">
        <v>8872</v>
      </c>
      <c r="C1255" s="7" t="s">
        <v>8873</v>
      </c>
      <c r="D1255" s="7" t="s">
        <v>8874</v>
      </c>
      <c r="E1255" s="7" t="s">
        <v>431</v>
      </c>
      <c r="F1255" s="7" t="s">
        <v>431</v>
      </c>
      <c r="G1255" s="7"/>
      <c r="H1255" s="7" t="s">
        <v>207</v>
      </c>
      <c r="I1255" s="7" t="s">
        <v>132</v>
      </c>
      <c r="J1255" s="7" t="s">
        <v>104</v>
      </c>
      <c r="K1255" s="7" t="s">
        <v>105</v>
      </c>
      <c r="L1255" s="7" t="s">
        <v>106</v>
      </c>
      <c r="M1255" s="7"/>
      <c r="N1255" s="7" t="s">
        <v>8875</v>
      </c>
      <c r="O1255" s="7" t="s">
        <v>8875</v>
      </c>
      <c r="P1255" s="7" t="s">
        <v>109</v>
      </c>
      <c r="Q1255" s="7"/>
      <c r="R1255" s="7" t="s">
        <v>109</v>
      </c>
      <c r="S1255" s="7" t="s">
        <v>110</v>
      </c>
      <c r="T1255" s="7" t="n">
        <v>0.826</v>
      </c>
      <c r="U1255" s="7" t="n">
        <v>1</v>
      </c>
      <c r="V1255" s="7" t="s">
        <v>1156</v>
      </c>
      <c r="W1255" s="7"/>
      <c r="X1255" s="7"/>
      <c r="Y1255" s="7" t="s">
        <v>8875</v>
      </c>
      <c r="Z1255" s="7"/>
      <c r="AA1255" s="7"/>
      <c r="AB1255" s="7"/>
      <c r="AC1255" s="7" t="n">
        <v>0</v>
      </c>
      <c r="AD1255" s="7" t="s">
        <v>388</v>
      </c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 t="s">
        <v>127</v>
      </c>
      <c r="BF1255" s="8"/>
      <c r="BG1255" s="8"/>
      <c r="BH1255" s="8"/>
      <c r="BI1255" s="8"/>
      <c r="BJ1255" s="8"/>
      <c r="BK1255" s="8"/>
      <c r="BL1255" s="8"/>
      <c r="BM1255" s="8"/>
      <c r="BN1255" s="8"/>
      <c r="BO1255" s="8"/>
      <c r="BP1255" s="8"/>
      <c r="BQ1255" s="8"/>
      <c r="BR1255" s="8"/>
      <c r="BS1255" s="8"/>
    </row>
    <row r="1256" customFormat="false" ht="15" hidden="false" customHeight="false" outlineLevel="0" collapsed="false">
      <c r="A1256" s="7" t="s">
        <v>8876</v>
      </c>
      <c r="B1256" s="7" t="s">
        <v>8877</v>
      </c>
      <c r="C1256" s="7" t="s">
        <v>8878</v>
      </c>
      <c r="D1256" s="7" t="s">
        <v>8879</v>
      </c>
      <c r="E1256" s="7" t="s">
        <v>888</v>
      </c>
      <c r="F1256" s="7" t="s">
        <v>888</v>
      </c>
      <c r="G1256" s="7"/>
      <c r="H1256" s="7" t="s">
        <v>207</v>
      </c>
      <c r="I1256" s="7" t="s">
        <v>132</v>
      </c>
      <c r="J1256" s="7" t="s">
        <v>104</v>
      </c>
      <c r="K1256" s="7" t="s">
        <v>105</v>
      </c>
      <c r="L1256" s="7" t="s">
        <v>106</v>
      </c>
      <c r="M1256" s="7"/>
      <c r="N1256" s="7" t="s">
        <v>8880</v>
      </c>
      <c r="O1256" s="7" t="s">
        <v>8880</v>
      </c>
      <c r="P1256" s="7" t="s">
        <v>135</v>
      </c>
      <c r="Q1256" s="7"/>
      <c r="R1256" s="7" t="s">
        <v>109</v>
      </c>
      <c r="S1256" s="7" t="s">
        <v>110</v>
      </c>
      <c r="T1256" s="7" t="n">
        <v>0.303</v>
      </c>
      <c r="U1256" s="7" t="n">
        <v>1</v>
      </c>
      <c r="V1256" s="7" t="s">
        <v>90</v>
      </c>
      <c r="W1256" s="7"/>
      <c r="X1256" s="7"/>
      <c r="Y1256" s="7" t="s">
        <v>8880</v>
      </c>
      <c r="Z1256" s="7"/>
      <c r="AA1256" s="7"/>
      <c r="AB1256" s="7"/>
      <c r="AC1256" s="7" t="n">
        <v>0</v>
      </c>
      <c r="AD1256" s="7" t="s">
        <v>388</v>
      </c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 t="s">
        <v>440</v>
      </c>
      <c r="BE1256" s="7" t="s">
        <v>127</v>
      </c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8"/>
      <c r="BS1256" s="8"/>
    </row>
    <row r="1257" customFormat="false" ht="15" hidden="false" customHeight="false" outlineLevel="0" collapsed="false">
      <c r="A1257" s="7" t="s">
        <v>8881</v>
      </c>
      <c r="B1257" s="7" t="s">
        <v>8882</v>
      </c>
      <c r="C1257" s="7" t="s">
        <v>8883</v>
      </c>
      <c r="D1257" s="7" t="s">
        <v>8385</v>
      </c>
      <c r="E1257" s="7" t="s">
        <v>444</v>
      </c>
      <c r="F1257" s="7" t="s">
        <v>444</v>
      </c>
      <c r="G1257" s="7"/>
      <c r="H1257" s="7" t="s">
        <v>207</v>
      </c>
      <c r="I1257" s="7" t="s">
        <v>132</v>
      </c>
      <c r="J1257" s="7" t="s">
        <v>104</v>
      </c>
      <c r="K1257" s="7" t="s">
        <v>105</v>
      </c>
      <c r="L1257" s="7" t="s">
        <v>106</v>
      </c>
      <c r="M1257" s="7"/>
      <c r="N1257" s="7" t="s">
        <v>8884</v>
      </c>
      <c r="O1257" s="7" t="s">
        <v>8884</v>
      </c>
      <c r="P1257" s="7" t="s">
        <v>135</v>
      </c>
      <c r="Q1257" s="7"/>
      <c r="R1257" s="7" t="s">
        <v>109</v>
      </c>
      <c r="S1257" s="7" t="s">
        <v>110</v>
      </c>
      <c r="T1257" s="7" t="n">
        <v>0.263</v>
      </c>
      <c r="U1257" s="7" t="n">
        <v>1</v>
      </c>
      <c r="V1257" s="7" t="s">
        <v>90</v>
      </c>
      <c r="W1257" s="7"/>
      <c r="X1257" s="7"/>
      <c r="Y1257" s="7" t="s">
        <v>8884</v>
      </c>
      <c r="Z1257" s="7"/>
      <c r="AA1257" s="7"/>
      <c r="AB1257" s="7"/>
      <c r="AC1257" s="7" t="n">
        <v>0</v>
      </c>
      <c r="AD1257" s="7" t="s">
        <v>388</v>
      </c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 t="s">
        <v>440</v>
      </c>
      <c r="BE1257" s="7" t="s">
        <v>127</v>
      </c>
      <c r="BF1257" s="8"/>
      <c r="BG1257" s="8"/>
      <c r="BH1257" s="8"/>
      <c r="BI1257" s="8"/>
      <c r="BJ1257" s="8"/>
      <c r="BK1257" s="8"/>
      <c r="BL1257" s="8"/>
      <c r="BM1257" s="8"/>
      <c r="BN1257" s="8"/>
      <c r="BO1257" s="8"/>
      <c r="BP1257" s="8"/>
      <c r="BQ1257" s="8"/>
      <c r="BR1257" s="8"/>
      <c r="BS1257" s="8"/>
    </row>
    <row r="1258" customFormat="false" ht="15" hidden="false" customHeight="false" outlineLevel="0" collapsed="false">
      <c r="A1258" s="7" t="s">
        <v>8885</v>
      </c>
      <c r="B1258" s="7" t="s">
        <v>8886</v>
      </c>
      <c r="C1258" s="7" t="s">
        <v>8887</v>
      </c>
      <c r="D1258" s="7" t="s">
        <v>8888</v>
      </c>
      <c r="E1258" s="7" t="s">
        <v>444</v>
      </c>
      <c r="F1258" s="7" t="s">
        <v>444</v>
      </c>
      <c r="G1258" s="7"/>
      <c r="H1258" s="7" t="s">
        <v>207</v>
      </c>
      <c r="I1258" s="7" t="s">
        <v>132</v>
      </c>
      <c r="J1258" s="7" t="s">
        <v>104</v>
      </c>
      <c r="K1258" s="7" t="s">
        <v>105</v>
      </c>
      <c r="L1258" s="7" t="s">
        <v>106</v>
      </c>
      <c r="M1258" s="7"/>
      <c r="N1258" s="7" t="s">
        <v>8889</v>
      </c>
      <c r="O1258" s="7" t="s">
        <v>8889</v>
      </c>
      <c r="P1258" s="7" t="s">
        <v>109</v>
      </c>
      <c r="Q1258" s="7"/>
      <c r="R1258" s="7" t="s">
        <v>109</v>
      </c>
      <c r="S1258" s="7" t="s">
        <v>110</v>
      </c>
      <c r="T1258" s="7" t="n">
        <v>0.353</v>
      </c>
      <c r="U1258" s="7" t="n">
        <v>1</v>
      </c>
      <c r="V1258" s="7" t="s">
        <v>86</v>
      </c>
      <c r="W1258" s="7"/>
      <c r="X1258" s="7"/>
      <c r="Y1258" s="7" t="s">
        <v>8889</v>
      </c>
      <c r="Z1258" s="7"/>
      <c r="AA1258" s="7"/>
      <c r="AB1258" s="7"/>
      <c r="AC1258" s="7" t="n">
        <v>0</v>
      </c>
      <c r="AD1258" s="7" t="s">
        <v>388</v>
      </c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 t="s">
        <v>127</v>
      </c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</row>
    <row r="1259" customFormat="false" ht="15" hidden="false" customHeight="false" outlineLevel="0" collapsed="false">
      <c r="A1259" s="7" t="s">
        <v>8890</v>
      </c>
      <c r="B1259" s="7" t="s">
        <v>8891</v>
      </c>
      <c r="C1259" s="7" t="s">
        <v>8892</v>
      </c>
      <c r="D1259" s="7" t="s">
        <v>8893</v>
      </c>
      <c r="E1259" s="7" t="s">
        <v>410</v>
      </c>
      <c r="F1259" s="7" t="s">
        <v>410</v>
      </c>
      <c r="G1259" s="7"/>
      <c r="H1259" s="7" t="s">
        <v>207</v>
      </c>
      <c r="I1259" s="7" t="s">
        <v>158</v>
      </c>
      <c r="J1259" s="7" t="s">
        <v>104</v>
      </c>
      <c r="K1259" s="7" t="s">
        <v>105</v>
      </c>
      <c r="L1259" s="7" t="s">
        <v>353</v>
      </c>
      <c r="M1259" s="7"/>
      <c r="N1259" s="7" t="s">
        <v>8894</v>
      </c>
      <c r="O1259" s="7" t="s">
        <v>8894</v>
      </c>
      <c r="P1259" s="7" t="s">
        <v>109</v>
      </c>
      <c r="Q1259" s="7"/>
      <c r="R1259" s="7" t="s">
        <v>109</v>
      </c>
      <c r="S1259" s="7" t="s">
        <v>110</v>
      </c>
      <c r="T1259" s="7" t="n">
        <v>0.743</v>
      </c>
      <c r="U1259" s="7" t="n">
        <v>1</v>
      </c>
      <c r="V1259" s="7" t="s">
        <v>1156</v>
      </c>
      <c r="W1259" s="7"/>
      <c r="X1259" s="7"/>
      <c r="Y1259" s="7" t="s">
        <v>8894</v>
      </c>
      <c r="Z1259" s="7"/>
      <c r="AA1259" s="7"/>
      <c r="AB1259" s="7"/>
      <c r="AC1259" s="7" t="n">
        <v>0</v>
      </c>
      <c r="AD1259" s="7" t="s">
        <v>388</v>
      </c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 t="s">
        <v>127</v>
      </c>
      <c r="BF1259" s="8"/>
      <c r="BG1259" s="8"/>
      <c r="BH1259" s="8"/>
      <c r="BI1259" s="8"/>
      <c r="BJ1259" s="8"/>
      <c r="BK1259" s="8"/>
      <c r="BL1259" s="8"/>
      <c r="BM1259" s="8"/>
      <c r="BN1259" s="8"/>
      <c r="BO1259" s="8"/>
      <c r="BP1259" s="8"/>
      <c r="BQ1259" s="8"/>
      <c r="BR1259" s="8"/>
      <c r="BS1259" s="8"/>
    </row>
    <row r="1260" customFormat="false" ht="15" hidden="false" customHeight="false" outlineLevel="0" collapsed="false">
      <c r="A1260" s="7" t="s">
        <v>8895</v>
      </c>
      <c r="B1260" s="7" t="s">
        <v>8896</v>
      </c>
      <c r="C1260" s="7" t="s">
        <v>8897</v>
      </c>
      <c r="D1260" s="7" t="s">
        <v>8898</v>
      </c>
      <c r="E1260" s="7" t="s">
        <v>410</v>
      </c>
      <c r="F1260" s="7" t="s">
        <v>410</v>
      </c>
      <c r="G1260" s="7"/>
      <c r="H1260" s="7" t="s">
        <v>207</v>
      </c>
      <c r="I1260" s="7" t="s">
        <v>158</v>
      </c>
      <c r="J1260" s="7" t="s">
        <v>104</v>
      </c>
      <c r="K1260" s="7" t="s">
        <v>105</v>
      </c>
      <c r="L1260" s="7" t="s">
        <v>106</v>
      </c>
      <c r="M1260" s="7"/>
      <c r="N1260" s="7" t="s">
        <v>8899</v>
      </c>
      <c r="O1260" s="7" t="s">
        <v>8899</v>
      </c>
      <c r="P1260" s="7" t="s">
        <v>135</v>
      </c>
      <c r="Q1260" s="7"/>
      <c r="R1260" s="7" t="s">
        <v>109</v>
      </c>
      <c r="S1260" s="7" t="s">
        <v>110</v>
      </c>
      <c r="T1260" s="7" t="n">
        <v>0.894</v>
      </c>
      <c r="U1260" s="7" t="n">
        <v>1</v>
      </c>
      <c r="V1260" s="7" t="s">
        <v>90</v>
      </c>
      <c r="W1260" s="7"/>
      <c r="X1260" s="7"/>
      <c r="Y1260" s="7" t="s">
        <v>8899</v>
      </c>
      <c r="Z1260" s="7"/>
      <c r="AA1260" s="7"/>
      <c r="AB1260" s="7"/>
      <c r="AC1260" s="7" t="n">
        <v>0</v>
      </c>
      <c r="AD1260" s="7" t="s">
        <v>388</v>
      </c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 t="s">
        <v>2797</v>
      </c>
      <c r="BE1260" s="7" t="s">
        <v>127</v>
      </c>
      <c r="BF1260" s="8"/>
      <c r="BG1260" s="8"/>
      <c r="BH1260" s="8"/>
      <c r="BI1260" s="8"/>
      <c r="BJ1260" s="8"/>
      <c r="BK1260" s="8"/>
      <c r="BL1260" s="8"/>
      <c r="BM1260" s="8"/>
      <c r="BN1260" s="8"/>
      <c r="BO1260" s="8"/>
      <c r="BP1260" s="8"/>
      <c r="BQ1260" s="8"/>
      <c r="BR1260" s="8"/>
      <c r="BS1260" s="8"/>
    </row>
    <row r="1261" customFormat="false" ht="15" hidden="false" customHeight="false" outlineLevel="0" collapsed="false">
      <c r="A1261" s="7" t="s">
        <v>8900</v>
      </c>
      <c r="B1261" s="7" t="s">
        <v>8901</v>
      </c>
      <c r="C1261" s="7" t="s">
        <v>8902</v>
      </c>
      <c r="D1261" s="7" t="s">
        <v>8903</v>
      </c>
      <c r="E1261" s="7" t="s">
        <v>431</v>
      </c>
      <c r="F1261" s="7" t="s">
        <v>431</v>
      </c>
      <c r="G1261" s="7"/>
      <c r="H1261" s="7" t="s">
        <v>207</v>
      </c>
      <c r="I1261" s="7" t="s">
        <v>132</v>
      </c>
      <c r="J1261" s="7" t="s">
        <v>104</v>
      </c>
      <c r="K1261" s="7" t="s">
        <v>105</v>
      </c>
      <c r="L1261" s="7" t="s">
        <v>106</v>
      </c>
      <c r="M1261" s="7"/>
      <c r="N1261" s="7" t="s">
        <v>8904</v>
      </c>
      <c r="O1261" s="7" t="s">
        <v>8904</v>
      </c>
      <c r="P1261" s="7" t="s">
        <v>135</v>
      </c>
      <c r="Q1261" s="7"/>
      <c r="R1261" s="7" t="s">
        <v>109</v>
      </c>
      <c r="S1261" s="7" t="s">
        <v>110</v>
      </c>
      <c r="T1261" s="7" t="n">
        <v>0.391</v>
      </c>
      <c r="U1261" s="7" t="n">
        <v>1</v>
      </c>
      <c r="V1261" s="7" t="s">
        <v>90</v>
      </c>
      <c r="W1261" s="7"/>
      <c r="X1261" s="7"/>
      <c r="Y1261" s="7" t="s">
        <v>8904</v>
      </c>
      <c r="Z1261" s="7"/>
      <c r="AA1261" s="7"/>
      <c r="AB1261" s="7"/>
      <c r="AC1261" s="7" t="n">
        <v>0</v>
      </c>
      <c r="AD1261" s="7" t="s">
        <v>388</v>
      </c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 t="s">
        <v>2797</v>
      </c>
      <c r="BE1261" s="7" t="s">
        <v>127</v>
      </c>
      <c r="BF1261" s="8"/>
      <c r="BG1261" s="8"/>
      <c r="BH1261" s="8"/>
      <c r="BI1261" s="8"/>
      <c r="BJ1261" s="8"/>
      <c r="BK1261" s="8"/>
      <c r="BL1261" s="8"/>
      <c r="BM1261" s="8"/>
      <c r="BN1261" s="8"/>
      <c r="BO1261" s="8"/>
      <c r="BP1261" s="8"/>
      <c r="BQ1261" s="8"/>
      <c r="BR1261" s="8"/>
      <c r="BS1261" s="8"/>
    </row>
    <row r="1262" customFormat="false" ht="15" hidden="false" customHeight="false" outlineLevel="0" collapsed="false">
      <c r="A1262" s="7" t="s">
        <v>8905</v>
      </c>
      <c r="B1262" s="7" t="s">
        <v>8906</v>
      </c>
      <c r="C1262" s="7" t="s">
        <v>8907</v>
      </c>
      <c r="D1262" s="7" t="s">
        <v>7954</v>
      </c>
      <c r="E1262" s="7" t="s">
        <v>819</v>
      </c>
      <c r="F1262" s="7" t="s">
        <v>819</v>
      </c>
      <c r="G1262" s="7"/>
      <c r="H1262" s="7" t="s">
        <v>207</v>
      </c>
      <c r="I1262" s="7" t="s">
        <v>374</v>
      </c>
      <c r="J1262" s="7" t="s">
        <v>104</v>
      </c>
      <c r="K1262" s="7" t="s">
        <v>105</v>
      </c>
      <c r="L1262" s="7" t="s">
        <v>5133</v>
      </c>
      <c r="M1262" s="7"/>
      <c r="N1262" s="7" t="s">
        <v>8908</v>
      </c>
      <c r="O1262" s="7"/>
      <c r="P1262" s="7" t="s">
        <v>135</v>
      </c>
      <c r="Q1262" s="7"/>
      <c r="R1262" s="7"/>
      <c r="S1262" s="7"/>
      <c r="T1262" s="7" t="n">
        <v>0.686</v>
      </c>
      <c r="U1262" s="7" t="n">
        <v>1</v>
      </c>
      <c r="V1262" s="7" t="s">
        <v>90</v>
      </c>
      <c r="W1262" s="7"/>
      <c r="X1262" s="7"/>
      <c r="Y1262" s="7" t="s">
        <v>8908</v>
      </c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 t="s">
        <v>2797</v>
      </c>
      <c r="BE1262" s="7" t="s">
        <v>127</v>
      </c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</row>
    <row r="1263" customFormat="false" ht="15" hidden="false" customHeight="false" outlineLevel="0" collapsed="false">
      <c r="A1263" s="7" t="s">
        <v>8909</v>
      </c>
      <c r="B1263" s="7" t="s">
        <v>8910</v>
      </c>
      <c r="C1263" s="7" t="s">
        <v>8911</v>
      </c>
      <c r="D1263" s="7" t="s">
        <v>8912</v>
      </c>
      <c r="E1263" s="7" t="s">
        <v>741</v>
      </c>
      <c r="F1263" s="7" t="s">
        <v>741</v>
      </c>
      <c r="G1263" s="7"/>
      <c r="H1263" s="7" t="s">
        <v>207</v>
      </c>
      <c r="I1263" s="7" t="s">
        <v>103</v>
      </c>
      <c r="J1263" s="7" t="s">
        <v>104</v>
      </c>
      <c r="K1263" s="7" t="s">
        <v>105</v>
      </c>
      <c r="L1263" s="7" t="s">
        <v>106</v>
      </c>
      <c r="M1263" s="7"/>
      <c r="N1263" s="7" t="s">
        <v>8913</v>
      </c>
      <c r="O1263" s="7" t="s">
        <v>8913</v>
      </c>
      <c r="P1263" s="7" t="s">
        <v>109</v>
      </c>
      <c r="Q1263" s="7"/>
      <c r="R1263" s="7" t="s">
        <v>109</v>
      </c>
      <c r="S1263" s="7" t="s">
        <v>110</v>
      </c>
      <c r="T1263" s="7" t="n">
        <v>0.673</v>
      </c>
      <c r="U1263" s="7" t="n">
        <v>1</v>
      </c>
      <c r="V1263" s="7" t="s">
        <v>86</v>
      </c>
      <c r="W1263" s="7"/>
      <c r="X1263" s="7"/>
      <c r="Y1263" s="7" t="s">
        <v>8913</v>
      </c>
      <c r="Z1263" s="7"/>
      <c r="AA1263" s="7"/>
      <c r="AB1263" s="7"/>
      <c r="AC1263" s="7" t="n">
        <v>0</v>
      </c>
      <c r="AD1263" s="7" t="s">
        <v>388</v>
      </c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 t="s">
        <v>127</v>
      </c>
      <c r="BF1263" s="8"/>
      <c r="BG1263" s="8"/>
      <c r="BH1263" s="8"/>
      <c r="BI1263" s="8"/>
      <c r="BJ1263" s="8"/>
      <c r="BK1263" s="8"/>
      <c r="BL1263" s="8"/>
      <c r="BM1263" s="8"/>
      <c r="BN1263" s="8"/>
      <c r="BO1263" s="8"/>
      <c r="BP1263" s="8"/>
      <c r="BQ1263" s="8"/>
      <c r="BR1263" s="8"/>
      <c r="BS1263" s="8"/>
    </row>
    <row r="1264" customFormat="false" ht="15" hidden="false" customHeight="false" outlineLevel="0" collapsed="false">
      <c r="A1264" s="7" t="s">
        <v>8914</v>
      </c>
      <c r="B1264" s="7" t="s">
        <v>8915</v>
      </c>
      <c r="C1264" s="7" t="s">
        <v>8916</v>
      </c>
      <c r="D1264" s="7" t="s">
        <v>8917</v>
      </c>
      <c r="E1264" s="7" t="s">
        <v>410</v>
      </c>
      <c r="F1264" s="7" t="s">
        <v>410</v>
      </c>
      <c r="G1264" s="7"/>
      <c r="H1264" s="7" t="s">
        <v>207</v>
      </c>
      <c r="I1264" s="7" t="s">
        <v>132</v>
      </c>
      <c r="J1264" s="7" t="s">
        <v>104</v>
      </c>
      <c r="K1264" s="7" t="s">
        <v>105</v>
      </c>
      <c r="L1264" s="7" t="s">
        <v>106</v>
      </c>
      <c r="M1264" s="7"/>
      <c r="N1264" s="7" t="s">
        <v>8918</v>
      </c>
      <c r="O1264" s="7" t="s">
        <v>8918</v>
      </c>
      <c r="P1264" s="7" t="s">
        <v>135</v>
      </c>
      <c r="Q1264" s="7"/>
      <c r="R1264" s="7" t="s">
        <v>109</v>
      </c>
      <c r="S1264" s="7" t="s">
        <v>110</v>
      </c>
      <c r="T1264" s="7" t="n">
        <v>0.338</v>
      </c>
      <c r="U1264" s="7" t="n">
        <v>1</v>
      </c>
      <c r="V1264" s="7" t="s">
        <v>90</v>
      </c>
      <c r="W1264" s="7"/>
      <c r="X1264" s="7"/>
      <c r="Y1264" s="7" t="s">
        <v>8918</v>
      </c>
      <c r="Z1264" s="7"/>
      <c r="AA1264" s="7"/>
      <c r="AB1264" s="7"/>
      <c r="AC1264" s="7" t="n">
        <v>0</v>
      </c>
      <c r="AD1264" s="7" t="s">
        <v>388</v>
      </c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 t="s">
        <v>2797</v>
      </c>
      <c r="BE1264" s="7" t="s">
        <v>127</v>
      </c>
      <c r="BF1264" s="8"/>
      <c r="BG1264" s="8"/>
      <c r="BH1264" s="8"/>
      <c r="BI1264" s="8"/>
      <c r="BJ1264" s="8"/>
      <c r="BK1264" s="8"/>
      <c r="BL1264" s="8"/>
      <c r="BM1264" s="8"/>
      <c r="BN1264" s="8"/>
      <c r="BO1264" s="8"/>
      <c r="BP1264" s="8"/>
      <c r="BQ1264" s="8"/>
      <c r="BR1264" s="8"/>
      <c r="BS1264" s="8"/>
    </row>
    <row r="1265" customFormat="false" ht="15" hidden="false" customHeight="false" outlineLevel="0" collapsed="false">
      <c r="A1265" s="7" t="s">
        <v>8919</v>
      </c>
      <c r="B1265" s="7" t="s">
        <v>8920</v>
      </c>
      <c r="C1265" s="7" t="s">
        <v>8921</v>
      </c>
      <c r="D1265" s="7" t="s">
        <v>8375</v>
      </c>
      <c r="E1265" s="7" t="s">
        <v>431</v>
      </c>
      <c r="F1265" s="7" t="s">
        <v>431</v>
      </c>
      <c r="G1265" s="7"/>
      <c r="H1265" s="7" t="s">
        <v>207</v>
      </c>
      <c r="I1265" s="7" t="s">
        <v>234</v>
      </c>
      <c r="J1265" s="7" t="s">
        <v>104</v>
      </c>
      <c r="K1265" s="7" t="s">
        <v>105</v>
      </c>
      <c r="L1265" s="7" t="s">
        <v>259</v>
      </c>
      <c r="M1265" s="7"/>
      <c r="N1265" s="7" t="s">
        <v>8922</v>
      </c>
      <c r="O1265" s="7" t="s">
        <v>8922</v>
      </c>
      <c r="P1265" s="7" t="s">
        <v>109</v>
      </c>
      <c r="Q1265" s="7"/>
      <c r="R1265" s="7" t="s">
        <v>109</v>
      </c>
      <c r="S1265" s="7" t="s">
        <v>110</v>
      </c>
      <c r="T1265" s="7" t="n">
        <v>0.344</v>
      </c>
      <c r="U1265" s="7" t="n">
        <v>1</v>
      </c>
      <c r="V1265" s="7" t="s">
        <v>86</v>
      </c>
      <c r="W1265" s="7"/>
      <c r="X1265" s="7"/>
      <c r="Y1265" s="7" t="s">
        <v>8922</v>
      </c>
      <c r="Z1265" s="7"/>
      <c r="AA1265" s="7"/>
      <c r="AB1265" s="7"/>
      <c r="AC1265" s="7" t="n">
        <v>0</v>
      </c>
      <c r="AD1265" s="7" t="s">
        <v>388</v>
      </c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 t="s">
        <v>127</v>
      </c>
      <c r="BF1265" s="8"/>
      <c r="BG1265" s="8"/>
      <c r="BH1265" s="8"/>
      <c r="BI1265" s="8"/>
      <c r="BJ1265" s="8"/>
      <c r="BK1265" s="8"/>
      <c r="BL1265" s="8"/>
      <c r="BM1265" s="8"/>
      <c r="BN1265" s="8"/>
      <c r="BO1265" s="8"/>
      <c r="BP1265" s="8"/>
      <c r="BQ1265" s="8"/>
      <c r="BR1265" s="8"/>
      <c r="BS1265" s="8"/>
    </row>
    <row r="1266" customFormat="false" ht="15" hidden="false" customHeight="false" outlineLevel="0" collapsed="false">
      <c r="A1266" s="7" t="s">
        <v>8923</v>
      </c>
      <c r="B1266" s="7" t="s">
        <v>8924</v>
      </c>
      <c r="C1266" s="7" t="s">
        <v>8925</v>
      </c>
      <c r="D1266" s="7" t="s">
        <v>8926</v>
      </c>
      <c r="E1266" s="7" t="s">
        <v>3127</v>
      </c>
      <c r="F1266" s="7" t="s">
        <v>3127</v>
      </c>
      <c r="G1266" s="7"/>
      <c r="H1266" s="7" t="s">
        <v>207</v>
      </c>
      <c r="I1266" s="7" t="s">
        <v>132</v>
      </c>
      <c r="J1266" s="7" t="s">
        <v>104</v>
      </c>
      <c r="K1266" s="7" t="s">
        <v>105</v>
      </c>
      <c r="L1266" s="7" t="s">
        <v>106</v>
      </c>
      <c r="M1266" s="7"/>
      <c r="N1266" s="7" t="s">
        <v>8927</v>
      </c>
      <c r="O1266" s="7" t="s">
        <v>8927</v>
      </c>
      <c r="P1266" s="7" t="s">
        <v>109</v>
      </c>
      <c r="Q1266" s="7"/>
      <c r="R1266" s="7" t="s">
        <v>109</v>
      </c>
      <c r="S1266" s="7" t="s">
        <v>110</v>
      </c>
      <c r="T1266" s="7" t="n">
        <v>0.797</v>
      </c>
      <c r="U1266" s="7" t="n">
        <v>1</v>
      </c>
      <c r="V1266" s="7" t="s">
        <v>86</v>
      </c>
      <c r="W1266" s="7"/>
      <c r="X1266" s="7"/>
      <c r="Y1266" s="7" t="s">
        <v>8927</v>
      </c>
      <c r="Z1266" s="7"/>
      <c r="AA1266" s="7"/>
      <c r="AB1266" s="7"/>
      <c r="AC1266" s="7" t="n">
        <v>0</v>
      </c>
      <c r="AD1266" s="7" t="s">
        <v>388</v>
      </c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 t="s">
        <v>127</v>
      </c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</row>
    <row r="1267" customFormat="false" ht="15" hidden="false" customHeight="false" outlineLevel="0" collapsed="false">
      <c r="A1267" s="7" t="s">
        <v>8928</v>
      </c>
      <c r="B1267" s="7" t="s">
        <v>8929</v>
      </c>
      <c r="C1267" s="7" t="s">
        <v>8930</v>
      </c>
      <c r="D1267" s="7" t="s">
        <v>8931</v>
      </c>
      <c r="E1267" s="7" t="s">
        <v>444</v>
      </c>
      <c r="F1267" s="7" t="s">
        <v>444</v>
      </c>
      <c r="G1267" s="7"/>
      <c r="H1267" s="7" t="s">
        <v>207</v>
      </c>
      <c r="I1267" s="7" t="s">
        <v>132</v>
      </c>
      <c r="J1267" s="7" t="s">
        <v>104</v>
      </c>
      <c r="K1267" s="7" t="s">
        <v>105</v>
      </c>
      <c r="L1267" s="7" t="s">
        <v>106</v>
      </c>
      <c r="M1267" s="7"/>
      <c r="N1267" s="7" t="s">
        <v>8932</v>
      </c>
      <c r="O1267" s="7" t="s">
        <v>8932</v>
      </c>
      <c r="P1267" s="7" t="s">
        <v>135</v>
      </c>
      <c r="Q1267" s="7"/>
      <c r="R1267" s="7" t="s">
        <v>109</v>
      </c>
      <c r="S1267" s="7" t="s">
        <v>110</v>
      </c>
      <c r="T1267" s="7" t="n">
        <v>0.138</v>
      </c>
      <c r="U1267" s="7" t="n">
        <v>1</v>
      </c>
      <c r="V1267" s="7" t="s">
        <v>90</v>
      </c>
      <c r="W1267" s="7"/>
      <c r="X1267" s="7"/>
      <c r="Y1267" s="7" t="s">
        <v>8932</v>
      </c>
      <c r="Z1267" s="7"/>
      <c r="AA1267" s="7"/>
      <c r="AB1267" s="7"/>
      <c r="AC1267" s="7" t="n">
        <v>0</v>
      </c>
      <c r="AD1267" s="7" t="s">
        <v>388</v>
      </c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 t="s">
        <v>440</v>
      </c>
      <c r="BE1267" s="7" t="s">
        <v>127</v>
      </c>
      <c r="BF1267" s="8"/>
      <c r="BG1267" s="8"/>
      <c r="BH1267" s="8"/>
      <c r="BI1267" s="8"/>
      <c r="BJ1267" s="8"/>
      <c r="BK1267" s="8"/>
      <c r="BL1267" s="8"/>
      <c r="BM1267" s="8"/>
      <c r="BN1267" s="8"/>
      <c r="BO1267" s="8"/>
      <c r="BP1267" s="8"/>
      <c r="BQ1267" s="8"/>
      <c r="BR1267" s="8"/>
      <c r="BS1267" s="8"/>
    </row>
    <row r="1268" customFormat="false" ht="15" hidden="false" customHeight="false" outlineLevel="0" collapsed="false">
      <c r="A1268" s="7" t="s">
        <v>8933</v>
      </c>
      <c r="B1268" s="7" t="s">
        <v>8934</v>
      </c>
      <c r="C1268" s="7" t="s">
        <v>8935</v>
      </c>
      <c r="D1268" s="7" t="s">
        <v>8936</v>
      </c>
      <c r="E1268" s="7" t="s">
        <v>1966</v>
      </c>
      <c r="F1268" s="7" t="s">
        <v>1966</v>
      </c>
      <c r="G1268" s="7"/>
      <c r="H1268" s="7" t="s">
        <v>207</v>
      </c>
      <c r="I1268" s="7" t="s">
        <v>208</v>
      </c>
      <c r="J1268" s="7" t="s">
        <v>104</v>
      </c>
      <c r="K1268" s="7" t="s">
        <v>105</v>
      </c>
      <c r="L1268" s="7" t="s">
        <v>106</v>
      </c>
      <c r="M1268" s="7"/>
      <c r="N1268" s="7" t="s">
        <v>8937</v>
      </c>
      <c r="O1268" s="7"/>
      <c r="P1268" s="7" t="s">
        <v>135</v>
      </c>
      <c r="Q1268" s="7"/>
      <c r="R1268" s="7"/>
      <c r="S1268" s="7"/>
      <c r="T1268" s="7"/>
      <c r="U1268" s="7" t="n">
        <v>1</v>
      </c>
      <c r="V1268" s="7" t="s">
        <v>90</v>
      </c>
      <c r="W1268" s="7"/>
      <c r="X1268" s="7"/>
      <c r="Y1268" s="7" t="s">
        <v>8937</v>
      </c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 t="s">
        <v>440</v>
      </c>
      <c r="BE1268" s="7" t="s">
        <v>127</v>
      </c>
      <c r="BF1268" s="8"/>
      <c r="BG1268" s="8"/>
      <c r="BH1268" s="8"/>
      <c r="BI1268" s="8"/>
      <c r="BJ1268" s="8"/>
      <c r="BK1268" s="8"/>
      <c r="BL1268" s="8"/>
      <c r="BM1268" s="8"/>
      <c r="BN1268" s="8"/>
      <c r="BO1268" s="8"/>
      <c r="BP1268" s="8"/>
      <c r="BQ1268" s="8"/>
      <c r="BR1268" s="8"/>
      <c r="BS1268" s="8"/>
    </row>
    <row r="1269" customFormat="false" ht="15" hidden="false" customHeight="false" outlineLevel="0" collapsed="false">
      <c r="A1269" s="7" t="s">
        <v>8938</v>
      </c>
      <c r="B1269" s="7" t="s">
        <v>8939</v>
      </c>
      <c r="C1269" s="7" t="s">
        <v>8940</v>
      </c>
      <c r="D1269" s="7" t="s">
        <v>8941</v>
      </c>
      <c r="E1269" s="7" t="s">
        <v>819</v>
      </c>
      <c r="F1269" s="7" t="s">
        <v>819</v>
      </c>
      <c r="G1269" s="7"/>
      <c r="H1269" s="7" t="s">
        <v>207</v>
      </c>
      <c r="I1269" s="7" t="s">
        <v>158</v>
      </c>
      <c r="J1269" s="7" t="s">
        <v>104</v>
      </c>
      <c r="K1269" s="7" t="s">
        <v>105</v>
      </c>
      <c r="L1269" s="7" t="s">
        <v>106</v>
      </c>
      <c r="M1269" s="7"/>
      <c r="N1269" s="7" t="s">
        <v>8942</v>
      </c>
      <c r="O1269" s="7" t="s">
        <v>8942</v>
      </c>
      <c r="P1269" s="7" t="s">
        <v>135</v>
      </c>
      <c r="Q1269" s="7"/>
      <c r="R1269" s="7" t="s">
        <v>109</v>
      </c>
      <c r="S1269" s="7" t="s">
        <v>110</v>
      </c>
      <c r="T1269" s="7" t="n">
        <v>0.639</v>
      </c>
      <c r="U1269" s="7" t="n">
        <v>1</v>
      </c>
      <c r="V1269" s="7" t="s">
        <v>90</v>
      </c>
      <c r="W1269" s="7"/>
      <c r="X1269" s="7"/>
      <c r="Y1269" s="7" t="s">
        <v>8942</v>
      </c>
      <c r="Z1269" s="7"/>
      <c r="AA1269" s="7"/>
      <c r="AB1269" s="7"/>
      <c r="AC1269" s="7" t="n">
        <v>0</v>
      </c>
      <c r="AD1269" s="7" t="s">
        <v>388</v>
      </c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 t="s">
        <v>440</v>
      </c>
      <c r="BE1269" s="7" t="s">
        <v>127</v>
      </c>
      <c r="BF1269" s="8"/>
      <c r="BG1269" s="8"/>
      <c r="BH1269" s="8"/>
      <c r="BI1269" s="8"/>
      <c r="BJ1269" s="8"/>
      <c r="BK1269" s="8"/>
      <c r="BL1269" s="8"/>
      <c r="BM1269" s="8"/>
      <c r="BN1269" s="8"/>
      <c r="BO1269" s="8"/>
      <c r="BP1269" s="8"/>
      <c r="BQ1269" s="8"/>
      <c r="BR1269" s="8"/>
      <c r="BS1269" s="8"/>
    </row>
    <row r="1270" customFormat="false" ht="15" hidden="false" customHeight="false" outlineLevel="0" collapsed="false">
      <c r="A1270" s="7" t="s">
        <v>8943</v>
      </c>
      <c r="B1270" s="7" t="s">
        <v>8944</v>
      </c>
      <c r="C1270" s="7" t="s">
        <v>8945</v>
      </c>
      <c r="D1270" s="7" t="s">
        <v>8946</v>
      </c>
      <c r="E1270" s="7" t="s">
        <v>737</v>
      </c>
      <c r="F1270" s="7" t="s">
        <v>737</v>
      </c>
      <c r="G1270" s="7" t="s">
        <v>4658</v>
      </c>
      <c r="H1270" s="7" t="s">
        <v>207</v>
      </c>
      <c r="I1270" s="7" t="s">
        <v>374</v>
      </c>
      <c r="J1270" s="7" t="s">
        <v>104</v>
      </c>
      <c r="K1270" s="7" t="s">
        <v>105</v>
      </c>
      <c r="L1270" s="7" t="s">
        <v>106</v>
      </c>
      <c r="M1270" s="7"/>
      <c r="N1270" s="7" t="s">
        <v>8947</v>
      </c>
      <c r="O1270" s="7" t="s">
        <v>8947</v>
      </c>
      <c r="P1270" s="7" t="s">
        <v>135</v>
      </c>
      <c r="Q1270" s="7"/>
      <c r="R1270" s="7" t="s">
        <v>109</v>
      </c>
      <c r="S1270" s="7" t="s">
        <v>110</v>
      </c>
      <c r="T1270" s="7" t="n">
        <v>0.408</v>
      </c>
      <c r="U1270" s="7" t="n">
        <v>1</v>
      </c>
      <c r="V1270" s="7" t="s">
        <v>90</v>
      </c>
      <c r="W1270" s="7"/>
      <c r="X1270" s="7"/>
      <c r="Y1270" s="7" t="s">
        <v>8947</v>
      </c>
      <c r="Z1270" s="7"/>
      <c r="AA1270" s="7"/>
      <c r="AB1270" s="7"/>
      <c r="AC1270" s="7" t="n">
        <v>0</v>
      </c>
      <c r="AD1270" s="7" t="s">
        <v>388</v>
      </c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 t="s">
        <v>440</v>
      </c>
      <c r="BE1270" s="7" t="s">
        <v>127</v>
      </c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</row>
    <row r="1271" customFormat="false" ht="15" hidden="false" customHeight="false" outlineLevel="0" collapsed="false">
      <c r="A1271" s="7" t="s">
        <v>8948</v>
      </c>
      <c r="B1271" s="7" t="s">
        <v>8949</v>
      </c>
      <c r="C1271" s="7" t="s">
        <v>8950</v>
      </c>
      <c r="D1271" s="7" t="s">
        <v>8951</v>
      </c>
      <c r="E1271" s="7" t="s">
        <v>444</v>
      </c>
      <c r="F1271" s="7" t="s">
        <v>444</v>
      </c>
      <c r="G1271" s="7"/>
      <c r="H1271" s="7" t="s">
        <v>207</v>
      </c>
      <c r="I1271" s="7" t="s">
        <v>132</v>
      </c>
      <c r="J1271" s="7" t="s">
        <v>104</v>
      </c>
      <c r="K1271" s="7" t="s">
        <v>105</v>
      </c>
      <c r="L1271" s="7" t="s">
        <v>106</v>
      </c>
      <c r="M1271" s="7"/>
      <c r="N1271" s="7" t="s">
        <v>8952</v>
      </c>
      <c r="O1271" s="7" t="s">
        <v>8952</v>
      </c>
      <c r="P1271" s="7" t="s">
        <v>135</v>
      </c>
      <c r="Q1271" s="7"/>
      <c r="R1271" s="7" t="s">
        <v>109</v>
      </c>
      <c r="S1271" s="7" t="s">
        <v>110</v>
      </c>
      <c r="T1271" s="7" t="n">
        <v>0.214</v>
      </c>
      <c r="U1271" s="7" t="n">
        <v>1</v>
      </c>
      <c r="V1271" s="7" t="s">
        <v>90</v>
      </c>
      <c r="W1271" s="7"/>
      <c r="X1271" s="7"/>
      <c r="Y1271" s="7" t="s">
        <v>8952</v>
      </c>
      <c r="Z1271" s="7"/>
      <c r="AA1271" s="7"/>
      <c r="AB1271" s="7"/>
      <c r="AC1271" s="7" t="n">
        <v>0</v>
      </c>
      <c r="AD1271" s="7" t="s">
        <v>388</v>
      </c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 t="s">
        <v>440</v>
      </c>
      <c r="BE1271" s="7" t="s">
        <v>127</v>
      </c>
      <c r="BF1271" s="8"/>
      <c r="BG1271" s="8"/>
      <c r="BH1271" s="8"/>
      <c r="BI1271" s="8"/>
      <c r="BJ1271" s="8"/>
      <c r="BK1271" s="8"/>
      <c r="BL1271" s="8"/>
      <c r="BM1271" s="8"/>
      <c r="BN1271" s="8"/>
      <c r="BO1271" s="8"/>
      <c r="BP1271" s="8"/>
      <c r="BQ1271" s="8"/>
      <c r="BR1271" s="8"/>
      <c r="BS1271" s="8"/>
    </row>
    <row r="1272" customFormat="false" ht="15" hidden="false" customHeight="false" outlineLevel="0" collapsed="false">
      <c r="A1272" s="7" t="s">
        <v>8953</v>
      </c>
      <c r="B1272" s="7" t="s">
        <v>8954</v>
      </c>
      <c r="C1272" s="7" t="s">
        <v>8955</v>
      </c>
      <c r="D1272" s="7" t="s">
        <v>8931</v>
      </c>
      <c r="E1272" s="7" t="s">
        <v>444</v>
      </c>
      <c r="F1272" s="7" t="s">
        <v>444</v>
      </c>
      <c r="G1272" s="7"/>
      <c r="H1272" s="7" t="s">
        <v>207</v>
      </c>
      <c r="I1272" s="7" t="s">
        <v>132</v>
      </c>
      <c r="J1272" s="7" t="s">
        <v>104</v>
      </c>
      <c r="K1272" s="7" t="s">
        <v>105</v>
      </c>
      <c r="L1272" s="7" t="s">
        <v>106</v>
      </c>
      <c r="M1272" s="7"/>
      <c r="N1272" s="7" t="s">
        <v>8956</v>
      </c>
      <c r="O1272" s="7" t="s">
        <v>8956</v>
      </c>
      <c r="P1272" s="7" t="s">
        <v>135</v>
      </c>
      <c r="Q1272" s="7"/>
      <c r="R1272" s="7" t="s">
        <v>109</v>
      </c>
      <c r="S1272" s="7" t="s">
        <v>110</v>
      </c>
      <c r="T1272" s="7" t="n">
        <v>0.362</v>
      </c>
      <c r="U1272" s="7" t="n">
        <v>1</v>
      </c>
      <c r="V1272" s="7" t="s">
        <v>90</v>
      </c>
      <c r="W1272" s="7"/>
      <c r="X1272" s="7"/>
      <c r="Y1272" s="7" t="s">
        <v>8956</v>
      </c>
      <c r="Z1272" s="7"/>
      <c r="AA1272" s="7"/>
      <c r="AB1272" s="7"/>
      <c r="AC1272" s="7" t="n">
        <v>0</v>
      </c>
      <c r="AD1272" s="7" t="s">
        <v>388</v>
      </c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 t="s">
        <v>440</v>
      </c>
      <c r="BE1272" s="7" t="s">
        <v>127</v>
      </c>
      <c r="BF1272" s="8"/>
      <c r="BG1272" s="8"/>
      <c r="BH1272" s="8"/>
      <c r="BI1272" s="8"/>
      <c r="BJ1272" s="8"/>
      <c r="BK1272" s="8"/>
      <c r="BL1272" s="8"/>
      <c r="BM1272" s="8"/>
      <c r="BN1272" s="8"/>
      <c r="BO1272" s="8"/>
      <c r="BP1272" s="8"/>
      <c r="BQ1272" s="8"/>
      <c r="BR1272" s="8"/>
      <c r="BS1272" s="8"/>
    </row>
    <row r="1273" customFormat="false" ht="15" hidden="false" customHeight="false" outlineLevel="0" collapsed="false">
      <c r="A1273" s="7" t="s">
        <v>8957</v>
      </c>
      <c r="B1273" s="7" t="s">
        <v>8958</v>
      </c>
      <c r="C1273" s="7" t="s">
        <v>8959</v>
      </c>
      <c r="D1273" s="7" t="s">
        <v>8960</v>
      </c>
      <c r="E1273" s="7" t="s">
        <v>8961</v>
      </c>
      <c r="F1273" s="7" t="s">
        <v>8961</v>
      </c>
      <c r="G1273" s="7"/>
      <c r="H1273" s="7" t="s">
        <v>207</v>
      </c>
      <c r="I1273" s="7" t="s">
        <v>158</v>
      </c>
      <c r="J1273" s="7" t="s">
        <v>104</v>
      </c>
      <c r="K1273" s="7" t="s">
        <v>105</v>
      </c>
      <c r="L1273" s="7" t="s">
        <v>353</v>
      </c>
      <c r="M1273" s="7"/>
      <c r="N1273" s="7" t="s">
        <v>8962</v>
      </c>
      <c r="O1273" s="7"/>
      <c r="P1273" s="7" t="s">
        <v>135</v>
      </c>
      <c r="Q1273" s="7"/>
      <c r="R1273" s="7"/>
      <c r="S1273" s="7"/>
      <c r="T1273" s="7" t="n">
        <v>0.658</v>
      </c>
      <c r="U1273" s="7" t="n">
        <v>1</v>
      </c>
      <c r="V1273" s="7" t="s">
        <v>90</v>
      </c>
      <c r="W1273" s="7"/>
      <c r="X1273" s="7"/>
      <c r="Y1273" s="7" t="s">
        <v>8962</v>
      </c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 t="s">
        <v>440</v>
      </c>
      <c r="BE1273" s="7" t="s">
        <v>127</v>
      </c>
      <c r="BF1273" s="8"/>
      <c r="BG1273" s="8"/>
      <c r="BH1273" s="8"/>
      <c r="BI1273" s="8"/>
      <c r="BJ1273" s="8"/>
      <c r="BK1273" s="8"/>
      <c r="BL1273" s="8"/>
      <c r="BM1273" s="8"/>
      <c r="BN1273" s="8"/>
      <c r="BO1273" s="8"/>
      <c r="BP1273" s="8"/>
      <c r="BQ1273" s="8"/>
      <c r="BR1273" s="8"/>
      <c r="BS1273" s="8"/>
    </row>
    <row r="1274" customFormat="false" ht="15" hidden="false" customHeight="false" outlineLevel="0" collapsed="false">
      <c r="A1274" s="7" t="s">
        <v>8963</v>
      </c>
      <c r="B1274" s="7" t="s">
        <v>8964</v>
      </c>
      <c r="C1274" s="7" t="s">
        <v>8965</v>
      </c>
      <c r="D1274" s="7" t="s">
        <v>8966</v>
      </c>
      <c r="E1274" s="7" t="s">
        <v>431</v>
      </c>
      <c r="F1274" s="7" t="s">
        <v>431</v>
      </c>
      <c r="G1274" s="7"/>
      <c r="H1274" s="7" t="s">
        <v>207</v>
      </c>
      <c r="I1274" s="7" t="s">
        <v>374</v>
      </c>
      <c r="J1274" s="7" t="s">
        <v>104</v>
      </c>
      <c r="K1274" s="7" t="s">
        <v>105</v>
      </c>
      <c r="L1274" s="7" t="s">
        <v>106</v>
      </c>
      <c r="M1274" s="7"/>
      <c r="N1274" s="7" t="s">
        <v>8967</v>
      </c>
      <c r="O1274" s="7" t="s">
        <v>8967</v>
      </c>
      <c r="P1274" s="7" t="s">
        <v>109</v>
      </c>
      <c r="Q1274" s="7"/>
      <c r="R1274" s="7" t="s">
        <v>109</v>
      </c>
      <c r="S1274" s="7" t="s">
        <v>110</v>
      </c>
      <c r="T1274" s="7" t="n">
        <v>0.744</v>
      </c>
      <c r="U1274" s="7" t="n">
        <v>1</v>
      </c>
      <c r="V1274" s="7" t="s">
        <v>1156</v>
      </c>
      <c r="W1274" s="7"/>
      <c r="X1274" s="7"/>
      <c r="Y1274" s="7" t="s">
        <v>8967</v>
      </c>
      <c r="Z1274" s="7"/>
      <c r="AA1274" s="7"/>
      <c r="AB1274" s="7"/>
      <c r="AC1274" s="7" t="n">
        <v>0</v>
      </c>
      <c r="AD1274" s="7" t="s">
        <v>388</v>
      </c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 t="s">
        <v>127</v>
      </c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</row>
    <row r="1275" customFormat="false" ht="15" hidden="false" customHeight="false" outlineLevel="0" collapsed="false">
      <c r="A1275" s="7" t="s">
        <v>8968</v>
      </c>
      <c r="B1275" s="7" t="s">
        <v>8969</v>
      </c>
      <c r="C1275" s="7" t="s">
        <v>8970</v>
      </c>
      <c r="D1275" s="7" t="s">
        <v>1139</v>
      </c>
      <c r="E1275" s="7" t="s">
        <v>82</v>
      </c>
      <c r="F1275" s="7" t="s">
        <v>82</v>
      </c>
      <c r="G1275" s="7"/>
      <c r="H1275" s="7" t="s">
        <v>207</v>
      </c>
      <c r="I1275" s="7" t="s">
        <v>1140</v>
      </c>
      <c r="J1275" s="7" t="s">
        <v>475</v>
      </c>
      <c r="K1275" s="7" t="s">
        <v>1147</v>
      </c>
      <c r="L1275" s="7" t="s">
        <v>5147</v>
      </c>
      <c r="M1275" s="7"/>
      <c r="N1275" s="7" t="s">
        <v>1141</v>
      </c>
      <c r="O1275" s="7" t="s">
        <v>1141</v>
      </c>
      <c r="P1275" s="7" t="s">
        <v>109</v>
      </c>
      <c r="Q1275" s="7"/>
      <c r="R1275" s="7" t="s">
        <v>109</v>
      </c>
      <c r="S1275" s="7" t="s">
        <v>110</v>
      </c>
      <c r="T1275" s="7" t="n">
        <v>0.316</v>
      </c>
      <c r="U1275" s="7" t="n">
        <v>1</v>
      </c>
      <c r="V1275" s="7" t="s">
        <v>86</v>
      </c>
      <c r="W1275" s="7" t="s">
        <v>8971</v>
      </c>
      <c r="X1275" s="7" t="s">
        <v>2358</v>
      </c>
      <c r="Y1275" s="7" t="s">
        <v>8972</v>
      </c>
      <c r="Z1275" s="7"/>
      <c r="AA1275" s="7" t="s">
        <v>572</v>
      </c>
      <c r="AB1275" s="7" t="s">
        <v>573</v>
      </c>
      <c r="AC1275" s="7" t="n">
        <v>0</v>
      </c>
      <c r="AD1275" s="7" t="s">
        <v>388</v>
      </c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 t="s">
        <v>8973</v>
      </c>
      <c r="BE1275" s="7" t="s">
        <v>575</v>
      </c>
      <c r="BF1275" s="8"/>
      <c r="BG1275" s="8"/>
      <c r="BH1275" s="8"/>
      <c r="BI1275" s="8"/>
      <c r="BJ1275" s="8"/>
      <c r="BK1275" s="8"/>
      <c r="BL1275" s="8"/>
      <c r="BM1275" s="8"/>
      <c r="BN1275" s="8"/>
      <c r="BO1275" s="8"/>
      <c r="BP1275" s="8"/>
      <c r="BQ1275" s="8"/>
      <c r="BR1275" s="8"/>
      <c r="BS1275" s="8"/>
    </row>
    <row r="1276" customFormat="false" ht="15" hidden="false" customHeight="false" outlineLevel="0" collapsed="false">
      <c r="A1276" s="7" t="s">
        <v>8974</v>
      </c>
      <c r="B1276" s="7" t="s">
        <v>8975</v>
      </c>
      <c r="C1276" s="7" t="s">
        <v>8976</v>
      </c>
      <c r="D1276" s="7" t="s">
        <v>8069</v>
      </c>
      <c r="E1276" s="7" t="s">
        <v>101</v>
      </c>
      <c r="F1276" s="7" t="s">
        <v>101</v>
      </c>
      <c r="G1276" s="7"/>
      <c r="H1276" s="7" t="s">
        <v>102</v>
      </c>
      <c r="I1276" s="7" t="s">
        <v>208</v>
      </c>
      <c r="J1276" s="7" t="s">
        <v>1646</v>
      </c>
      <c r="K1276" s="7" t="s">
        <v>1111</v>
      </c>
      <c r="L1276" s="7" t="s">
        <v>1785</v>
      </c>
      <c r="M1276" s="7"/>
      <c r="N1276" s="7" t="s">
        <v>8977</v>
      </c>
      <c r="O1276" s="7" t="s">
        <v>8977</v>
      </c>
      <c r="P1276" s="7" t="s">
        <v>109</v>
      </c>
      <c r="Q1276" s="7"/>
      <c r="R1276" s="7" t="s">
        <v>109</v>
      </c>
      <c r="S1276" s="7" t="s">
        <v>110</v>
      </c>
      <c r="T1276" s="7" t="n">
        <v>0.277</v>
      </c>
      <c r="U1276" s="7" t="n">
        <v>1</v>
      </c>
      <c r="V1276" s="7" t="s">
        <v>86</v>
      </c>
      <c r="W1276" s="7" t="s">
        <v>8978</v>
      </c>
      <c r="X1276" s="7" t="s">
        <v>2358</v>
      </c>
      <c r="Y1276" s="7" t="s">
        <v>7684</v>
      </c>
      <c r="Z1276" s="7"/>
      <c r="AA1276" s="7" t="s">
        <v>572</v>
      </c>
      <c r="AB1276" s="7" t="s">
        <v>573</v>
      </c>
      <c r="AC1276" s="7" t="n">
        <v>0</v>
      </c>
      <c r="AD1276" s="7" t="s">
        <v>388</v>
      </c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 t="s">
        <v>8979</v>
      </c>
      <c r="BE1276" s="7" t="s">
        <v>575</v>
      </c>
      <c r="BF1276" s="8"/>
      <c r="BG1276" s="8"/>
      <c r="BH1276" s="8"/>
      <c r="BI1276" s="8"/>
      <c r="BJ1276" s="8"/>
      <c r="BK1276" s="8"/>
      <c r="BL1276" s="8"/>
      <c r="BM1276" s="8"/>
      <c r="BN1276" s="8"/>
      <c r="BO1276" s="8"/>
      <c r="BP1276" s="8"/>
      <c r="BQ1276" s="8"/>
      <c r="BR1276" s="8"/>
      <c r="BS1276" s="8"/>
    </row>
    <row r="1277" customFormat="false" ht="15" hidden="false" customHeight="false" outlineLevel="0" collapsed="false">
      <c r="A1277" s="7" t="s">
        <v>8980</v>
      </c>
      <c r="B1277" s="7" t="s">
        <v>8981</v>
      </c>
      <c r="C1277" s="7" t="s">
        <v>8982</v>
      </c>
      <c r="D1277" s="7" t="s">
        <v>8069</v>
      </c>
      <c r="E1277" s="7" t="s">
        <v>101</v>
      </c>
      <c r="F1277" s="7" t="s">
        <v>101</v>
      </c>
      <c r="G1277" s="7"/>
      <c r="H1277" s="7" t="s">
        <v>102</v>
      </c>
      <c r="I1277" s="7" t="s">
        <v>208</v>
      </c>
      <c r="J1277" s="7" t="s">
        <v>1646</v>
      </c>
      <c r="K1277" s="7" t="s">
        <v>1111</v>
      </c>
      <c r="L1277" s="7" t="s">
        <v>106</v>
      </c>
      <c r="M1277" s="7"/>
      <c r="N1277" s="7" t="s">
        <v>8977</v>
      </c>
      <c r="O1277" s="7" t="s">
        <v>8977</v>
      </c>
      <c r="P1277" s="7" t="s">
        <v>109</v>
      </c>
      <c r="Q1277" s="7"/>
      <c r="R1277" s="7" t="s">
        <v>109</v>
      </c>
      <c r="S1277" s="7" t="s">
        <v>110</v>
      </c>
      <c r="T1277" s="7" t="n">
        <v>0.437</v>
      </c>
      <c r="U1277" s="7" t="n">
        <v>1</v>
      </c>
      <c r="V1277" s="7" t="s">
        <v>86</v>
      </c>
      <c r="W1277" s="7" t="s">
        <v>8978</v>
      </c>
      <c r="X1277" s="7" t="s">
        <v>7691</v>
      </c>
      <c r="Y1277" s="7" t="s">
        <v>7690</v>
      </c>
      <c r="Z1277" s="7"/>
      <c r="AA1277" s="7" t="s">
        <v>572</v>
      </c>
      <c r="AB1277" s="7" t="s">
        <v>573</v>
      </c>
      <c r="AC1277" s="7" t="n">
        <v>0</v>
      </c>
      <c r="AD1277" s="7" t="s">
        <v>388</v>
      </c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 t="s">
        <v>8979</v>
      </c>
      <c r="BE1277" s="7" t="s">
        <v>575</v>
      </c>
      <c r="BF1277" s="8"/>
      <c r="BG1277" s="8"/>
      <c r="BH1277" s="8"/>
      <c r="BI1277" s="8"/>
      <c r="BJ1277" s="8"/>
      <c r="BK1277" s="8"/>
      <c r="BL1277" s="8"/>
      <c r="BM1277" s="8"/>
      <c r="BN1277" s="8"/>
      <c r="BO1277" s="8"/>
      <c r="BP1277" s="8"/>
      <c r="BQ1277" s="8"/>
      <c r="BR1277" s="8"/>
      <c r="BS1277" s="8"/>
    </row>
    <row r="1278" customFormat="false" ht="15" hidden="false" customHeight="false" outlineLevel="0" collapsed="false">
      <c r="A1278" s="7" t="s">
        <v>8983</v>
      </c>
      <c r="B1278" s="7" t="s">
        <v>8984</v>
      </c>
      <c r="C1278" s="7" t="s">
        <v>8985</v>
      </c>
      <c r="D1278" s="7" t="s">
        <v>686</v>
      </c>
      <c r="E1278" s="7" t="s">
        <v>101</v>
      </c>
      <c r="F1278" s="7" t="s">
        <v>156</v>
      </c>
      <c r="G1278" s="7"/>
      <c r="H1278" s="7" t="s">
        <v>157</v>
      </c>
      <c r="I1278" s="7" t="s">
        <v>132</v>
      </c>
      <c r="J1278" s="7" t="s">
        <v>159</v>
      </c>
      <c r="K1278" s="7" t="s">
        <v>476</v>
      </c>
      <c r="L1278" s="7" t="s">
        <v>106</v>
      </c>
      <c r="M1278" s="7"/>
      <c r="N1278" s="7" t="s">
        <v>8986</v>
      </c>
      <c r="O1278" s="7"/>
      <c r="P1278" s="7" t="s">
        <v>135</v>
      </c>
      <c r="Q1278" s="7"/>
      <c r="R1278" s="7" t="s">
        <v>135</v>
      </c>
      <c r="S1278" s="7" t="s">
        <v>136</v>
      </c>
      <c r="T1278" s="7" t="n">
        <v>0.628</v>
      </c>
      <c r="U1278" s="7" t="n">
        <v>0</v>
      </c>
      <c r="V1278" s="7"/>
      <c r="W1278" s="7"/>
      <c r="X1278" s="7"/>
      <c r="Y1278" s="7"/>
      <c r="Z1278" s="7"/>
      <c r="AA1278" s="7"/>
      <c r="AB1278" s="7"/>
      <c r="AC1278" s="7" t="n">
        <v>10</v>
      </c>
      <c r="AD1278" s="7" t="s">
        <v>8987</v>
      </c>
      <c r="AE1278" s="7" t="s">
        <v>115</v>
      </c>
      <c r="AF1278" s="7"/>
      <c r="AG1278" s="7" t="s">
        <v>115</v>
      </c>
      <c r="AH1278" s="7"/>
      <c r="AI1278" s="7" t="s">
        <v>115</v>
      </c>
      <c r="AJ1278" s="7"/>
      <c r="AK1278" s="7" t="s">
        <v>115</v>
      </c>
      <c r="AL1278" s="7"/>
      <c r="AM1278" s="7"/>
      <c r="AN1278" s="7"/>
      <c r="AO1278" s="7"/>
      <c r="AP1278" s="7"/>
      <c r="AQ1278" s="7" t="s">
        <v>115</v>
      </c>
      <c r="AR1278" s="7"/>
      <c r="AS1278" s="7" t="s">
        <v>115</v>
      </c>
      <c r="AT1278" s="7"/>
      <c r="AU1278" s="7" t="s">
        <v>115</v>
      </c>
      <c r="AV1278" s="7"/>
      <c r="AW1278" s="7" t="s">
        <v>115</v>
      </c>
      <c r="AX1278" s="7"/>
      <c r="AY1278" s="7" t="s">
        <v>115</v>
      </c>
      <c r="AZ1278" s="7"/>
      <c r="BA1278" s="7" t="s">
        <v>115</v>
      </c>
      <c r="BB1278" s="7"/>
      <c r="BC1278" s="7" t="s">
        <v>707</v>
      </c>
      <c r="BD1278" s="7" t="s">
        <v>8988</v>
      </c>
      <c r="BE1278" s="7" t="s">
        <v>127</v>
      </c>
      <c r="BF1278" s="8"/>
      <c r="BG1278" s="8"/>
      <c r="BH1278" s="8"/>
      <c r="BI1278" s="8"/>
      <c r="BJ1278" s="8"/>
      <c r="BK1278" s="8"/>
      <c r="BL1278" s="8"/>
      <c r="BM1278" s="8"/>
      <c r="BN1278" s="8"/>
      <c r="BO1278" s="8"/>
      <c r="BP1278" s="8"/>
      <c r="BQ1278" s="8"/>
      <c r="BR1278" s="8"/>
      <c r="BS1278" s="8"/>
    </row>
    <row r="1279" customFormat="false" ht="15" hidden="false" customHeight="false" outlineLevel="0" collapsed="false">
      <c r="A1279" s="7" t="s">
        <v>8989</v>
      </c>
      <c r="B1279" s="7" t="s">
        <v>8990</v>
      </c>
      <c r="C1279" s="7" t="s">
        <v>7896</v>
      </c>
      <c r="D1279" s="7" t="s">
        <v>8991</v>
      </c>
      <c r="E1279" s="7" t="s">
        <v>101</v>
      </c>
      <c r="F1279" s="7" t="s">
        <v>101</v>
      </c>
      <c r="G1279" s="7"/>
      <c r="H1279" s="7" t="s">
        <v>102</v>
      </c>
      <c r="I1279" s="7" t="s">
        <v>1140</v>
      </c>
      <c r="J1279" s="7" t="s">
        <v>475</v>
      </c>
      <c r="K1279" s="7" t="s">
        <v>1111</v>
      </c>
      <c r="L1279" s="7" t="s">
        <v>106</v>
      </c>
      <c r="M1279" s="7"/>
      <c r="N1279" s="7" t="s">
        <v>8992</v>
      </c>
      <c r="O1279" s="7" t="s">
        <v>8992</v>
      </c>
      <c r="P1279" s="7" t="s">
        <v>84</v>
      </c>
      <c r="Q1279" s="7"/>
      <c r="R1279" s="7" t="s">
        <v>109</v>
      </c>
      <c r="S1279" s="7" t="s">
        <v>110</v>
      </c>
      <c r="T1279" s="7" t="n">
        <v>0.468</v>
      </c>
      <c r="U1279" s="7" t="n">
        <v>5</v>
      </c>
      <c r="V1279" s="7" t="s">
        <v>161</v>
      </c>
      <c r="W1279" s="7"/>
      <c r="X1279" s="7" t="s">
        <v>163</v>
      </c>
      <c r="Y1279" s="7" t="s">
        <v>8992</v>
      </c>
      <c r="Z1279" s="7"/>
      <c r="AA1279" s="7" t="s">
        <v>572</v>
      </c>
      <c r="AB1279" s="7" t="s">
        <v>573</v>
      </c>
      <c r="AC1279" s="7" t="n">
        <v>6</v>
      </c>
      <c r="AD1279" s="7" t="s">
        <v>1235</v>
      </c>
      <c r="AE1279" s="7" t="s">
        <v>189</v>
      </c>
      <c r="AF1279" s="7" t="s">
        <v>8993</v>
      </c>
      <c r="AG1279" s="7" t="s">
        <v>189</v>
      </c>
      <c r="AH1279" s="7" t="s">
        <v>163</v>
      </c>
      <c r="AI1279" s="7"/>
      <c r="AJ1279" s="7"/>
      <c r="AK1279" s="7"/>
      <c r="AL1279" s="7"/>
      <c r="AM1279" s="7" t="s">
        <v>189</v>
      </c>
      <c r="AN1279" s="7" t="s">
        <v>8994</v>
      </c>
      <c r="AO1279" s="7" t="s">
        <v>189</v>
      </c>
      <c r="AP1279" s="7" t="s">
        <v>8995</v>
      </c>
      <c r="AQ1279" s="7" t="s">
        <v>189</v>
      </c>
      <c r="AR1279" s="7" t="s">
        <v>8996</v>
      </c>
      <c r="AS1279" s="7"/>
      <c r="AT1279" s="7"/>
      <c r="AU1279" s="7"/>
      <c r="AV1279" s="7"/>
      <c r="AW1279" s="7" t="s">
        <v>189</v>
      </c>
      <c r="AX1279" s="7" t="s">
        <v>8992</v>
      </c>
      <c r="AY1279" s="7"/>
      <c r="AZ1279" s="7"/>
      <c r="BA1279" s="7"/>
      <c r="BB1279" s="7"/>
      <c r="BC1279" s="7"/>
      <c r="BD1279" s="7" t="s">
        <v>1495</v>
      </c>
      <c r="BE1279" s="7" t="s">
        <v>575</v>
      </c>
      <c r="BF1279" s="8"/>
      <c r="BG1279" s="8"/>
      <c r="BH1279" s="8"/>
      <c r="BI1279" s="8"/>
      <c r="BJ1279" s="8"/>
      <c r="BK1279" s="8"/>
      <c r="BL1279" s="8"/>
      <c r="BM1279" s="8"/>
      <c r="BN1279" s="8"/>
      <c r="BO1279" s="8"/>
      <c r="BP1279" s="8"/>
      <c r="BQ1279" s="8"/>
      <c r="BR1279" s="8"/>
      <c r="BS1279" s="8"/>
    </row>
    <row r="1280" customFormat="false" ht="15" hidden="false" customHeight="false" outlineLevel="0" collapsed="false">
      <c r="A1280" s="7" t="s">
        <v>8997</v>
      </c>
      <c r="B1280" s="7" t="s">
        <v>8998</v>
      </c>
      <c r="C1280" s="7" t="s">
        <v>8999</v>
      </c>
      <c r="D1280" s="7" t="s">
        <v>1092</v>
      </c>
      <c r="E1280" s="7" t="s">
        <v>101</v>
      </c>
      <c r="F1280" s="7" t="s">
        <v>101</v>
      </c>
      <c r="G1280" s="7"/>
      <c r="H1280" s="7" t="s">
        <v>102</v>
      </c>
      <c r="I1280" s="7" t="s">
        <v>234</v>
      </c>
      <c r="J1280" s="7" t="s">
        <v>475</v>
      </c>
      <c r="K1280" s="7" t="s">
        <v>1094</v>
      </c>
      <c r="L1280" s="7" t="s">
        <v>106</v>
      </c>
      <c r="M1280" s="7"/>
      <c r="N1280" s="7" t="s">
        <v>1095</v>
      </c>
      <c r="O1280" s="7" t="s">
        <v>1095</v>
      </c>
      <c r="P1280" s="7" t="s">
        <v>109</v>
      </c>
      <c r="Q1280" s="7"/>
      <c r="R1280" s="7" t="s">
        <v>109</v>
      </c>
      <c r="S1280" s="7" t="s">
        <v>110</v>
      </c>
      <c r="T1280" s="7" t="n">
        <v>0.321</v>
      </c>
      <c r="U1280" s="7" t="n">
        <v>1</v>
      </c>
      <c r="V1280" s="7" t="s">
        <v>1717</v>
      </c>
      <c r="W1280" s="7" t="s">
        <v>1718</v>
      </c>
      <c r="X1280" s="7" t="s">
        <v>1719</v>
      </c>
      <c r="Y1280" s="7" t="s">
        <v>1720</v>
      </c>
      <c r="Z1280" s="7"/>
      <c r="AA1280" s="7" t="s">
        <v>572</v>
      </c>
      <c r="AB1280" s="7" t="s">
        <v>573</v>
      </c>
      <c r="AC1280" s="7" t="n">
        <v>0</v>
      </c>
      <c r="AD1280" s="7" t="s">
        <v>388</v>
      </c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 t="s">
        <v>1721</v>
      </c>
      <c r="BE1280" s="7" t="s">
        <v>575</v>
      </c>
      <c r="BF1280" s="8"/>
      <c r="BG1280" s="8"/>
      <c r="BH1280" s="8"/>
      <c r="BI1280" s="8"/>
      <c r="BJ1280" s="8"/>
      <c r="BK1280" s="8"/>
      <c r="BL1280" s="8"/>
      <c r="BM1280" s="8"/>
      <c r="BN1280" s="8"/>
      <c r="BO1280" s="8"/>
      <c r="BP1280" s="8"/>
      <c r="BQ1280" s="8"/>
      <c r="BR1280" s="8"/>
      <c r="BS1280" s="8"/>
    </row>
    <row r="1281" customFormat="false" ht="15" hidden="false" customHeight="false" outlineLevel="0" collapsed="false">
      <c r="A1281" s="7" t="s">
        <v>9000</v>
      </c>
      <c r="B1281" s="7" t="s">
        <v>9001</v>
      </c>
      <c r="C1281" s="7" t="s">
        <v>9002</v>
      </c>
      <c r="D1281" s="7" t="s">
        <v>1092</v>
      </c>
      <c r="E1281" s="7" t="s">
        <v>101</v>
      </c>
      <c r="F1281" s="7" t="s">
        <v>101</v>
      </c>
      <c r="G1281" s="7"/>
      <c r="H1281" s="7" t="s">
        <v>102</v>
      </c>
      <c r="I1281" s="7" t="s">
        <v>234</v>
      </c>
      <c r="J1281" s="7" t="s">
        <v>475</v>
      </c>
      <c r="K1281" s="7" t="s">
        <v>1094</v>
      </c>
      <c r="L1281" s="7" t="s">
        <v>106</v>
      </c>
      <c r="M1281" s="7"/>
      <c r="N1281" s="7" t="s">
        <v>1095</v>
      </c>
      <c r="O1281" s="7" t="s">
        <v>1095</v>
      </c>
      <c r="P1281" s="7" t="s">
        <v>109</v>
      </c>
      <c r="Q1281" s="7"/>
      <c r="R1281" s="7" t="s">
        <v>109</v>
      </c>
      <c r="S1281" s="7" t="s">
        <v>110</v>
      </c>
      <c r="T1281" s="7" t="n">
        <v>0.311</v>
      </c>
      <c r="U1281" s="7" t="n">
        <v>1</v>
      </c>
      <c r="V1281" s="7" t="s">
        <v>1717</v>
      </c>
      <c r="W1281" s="7" t="s">
        <v>1718</v>
      </c>
      <c r="X1281" s="7" t="s">
        <v>1719</v>
      </c>
      <c r="Y1281" s="7" t="s">
        <v>1720</v>
      </c>
      <c r="Z1281" s="7"/>
      <c r="AA1281" s="7" t="s">
        <v>572</v>
      </c>
      <c r="AB1281" s="7" t="s">
        <v>573</v>
      </c>
      <c r="AC1281" s="7" t="n">
        <v>0</v>
      </c>
      <c r="AD1281" s="7" t="s">
        <v>388</v>
      </c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 t="s">
        <v>1721</v>
      </c>
      <c r="BE1281" s="7" t="s">
        <v>575</v>
      </c>
      <c r="BF1281" s="8"/>
      <c r="BG1281" s="8"/>
      <c r="BH1281" s="8"/>
      <c r="BI1281" s="8"/>
      <c r="BJ1281" s="8"/>
      <c r="BK1281" s="8"/>
      <c r="BL1281" s="8"/>
      <c r="BM1281" s="8"/>
      <c r="BN1281" s="8"/>
      <c r="BO1281" s="8"/>
      <c r="BP1281" s="8"/>
      <c r="BQ1281" s="8"/>
      <c r="BR1281" s="8"/>
      <c r="BS1281" s="8"/>
    </row>
    <row r="1282" customFormat="false" ht="15" hidden="false" customHeight="false" outlineLevel="0" collapsed="false">
      <c r="A1282" s="7" t="s">
        <v>9003</v>
      </c>
      <c r="B1282" s="7" t="s">
        <v>9004</v>
      </c>
      <c r="C1282" s="7" t="s">
        <v>9005</v>
      </c>
      <c r="D1282" s="7" t="s">
        <v>1092</v>
      </c>
      <c r="E1282" s="7" t="s">
        <v>101</v>
      </c>
      <c r="F1282" s="7" t="s">
        <v>101</v>
      </c>
      <c r="G1282" s="7"/>
      <c r="H1282" s="7" t="s">
        <v>102</v>
      </c>
      <c r="I1282" s="7" t="s">
        <v>234</v>
      </c>
      <c r="J1282" s="7" t="s">
        <v>475</v>
      </c>
      <c r="K1282" s="7" t="s">
        <v>1094</v>
      </c>
      <c r="L1282" s="7" t="s">
        <v>353</v>
      </c>
      <c r="M1282" s="7"/>
      <c r="N1282" s="7" t="s">
        <v>1095</v>
      </c>
      <c r="O1282" s="7" t="s">
        <v>1095</v>
      </c>
      <c r="P1282" s="7" t="s">
        <v>109</v>
      </c>
      <c r="Q1282" s="7"/>
      <c r="R1282" s="7" t="s">
        <v>109</v>
      </c>
      <c r="S1282" s="7" t="s">
        <v>110</v>
      </c>
      <c r="T1282" s="7" t="n">
        <v>0.335</v>
      </c>
      <c r="U1282" s="7" t="n">
        <v>1</v>
      </c>
      <c r="V1282" s="7" t="s">
        <v>1717</v>
      </c>
      <c r="W1282" s="7" t="s">
        <v>1718</v>
      </c>
      <c r="X1282" s="7" t="s">
        <v>1719</v>
      </c>
      <c r="Y1282" s="7" t="s">
        <v>1720</v>
      </c>
      <c r="Z1282" s="7"/>
      <c r="AA1282" s="7" t="s">
        <v>572</v>
      </c>
      <c r="AB1282" s="7" t="s">
        <v>573</v>
      </c>
      <c r="AC1282" s="7" t="n">
        <v>0</v>
      </c>
      <c r="AD1282" s="7" t="s">
        <v>388</v>
      </c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 t="s">
        <v>1721</v>
      </c>
      <c r="BE1282" s="7" t="s">
        <v>575</v>
      </c>
      <c r="BF1282" s="8"/>
      <c r="BG1282" s="8"/>
      <c r="BH1282" s="8"/>
      <c r="BI1282" s="8"/>
      <c r="BJ1282" s="8"/>
      <c r="BK1282" s="8"/>
      <c r="BL1282" s="8"/>
      <c r="BM1282" s="8"/>
      <c r="BN1282" s="8"/>
      <c r="BO1282" s="8"/>
      <c r="BP1282" s="8"/>
      <c r="BQ1282" s="8"/>
      <c r="BR1282" s="8"/>
      <c r="BS1282" s="8"/>
    </row>
    <row r="1283" customFormat="false" ht="15" hidden="false" customHeight="false" outlineLevel="0" collapsed="false">
      <c r="A1283" s="7" t="s">
        <v>9006</v>
      </c>
      <c r="B1283" s="7" t="s">
        <v>9007</v>
      </c>
      <c r="C1283" s="7" t="s">
        <v>9008</v>
      </c>
      <c r="D1283" s="7" t="s">
        <v>9009</v>
      </c>
      <c r="E1283" s="7" t="s">
        <v>101</v>
      </c>
      <c r="F1283" s="7" t="s">
        <v>101</v>
      </c>
      <c r="G1283" s="7"/>
      <c r="H1283" s="7" t="s">
        <v>102</v>
      </c>
      <c r="I1283" s="7" t="s">
        <v>234</v>
      </c>
      <c r="J1283" s="7" t="s">
        <v>475</v>
      </c>
      <c r="K1283" s="7" t="s">
        <v>569</v>
      </c>
      <c r="L1283" s="7" t="s">
        <v>106</v>
      </c>
      <c r="M1283" s="7"/>
      <c r="N1283" s="7" t="s">
        <v>9010</v>
      </c>
      <c r="O1283" s="7" t="s">
        <v>9010</v>
      </c>
      <c r="P1283" s="7" t="s">
        <v>84</v>
      </c>
      <c r="Q1283" s="7"/>
      <c r="R1283" s="7" t="s">
        <v>109</v>
      </c>
      <c r="S1283" s="7" t="s">
        <v>110</v>
      </c>
      <c r="T1283" s="7" t="n">
        <v>0.628</v>
      </c>
      <c r="U1283" s="7" t="n">
        <v>4</v>
      </c>
      <c r="V1283" s="7" t="s">
        <v>1728</v>
      </c>
      <c r="W1283" s="7" t="s">
        <v>496</v>
      </c>
      <c r="X1283" s="7" t="s">
        <v>1729</v>
      </c>
      <c r="Y1283" s="7" t="s">
        <v>1730</v>
      </c>
      <c r="Z1283" s="7"/>
      <c r="AA1283" s="7" t="s">
        <v>572</v>
      </c>
      <c r="AB1283" s="7" t="s">
        <v>573</v>
      </c>
      <c r="AC1283" s="7" t="n">
        <v>0</v>
      </c>
      <c r="AD1283" s="7" t="s">
        <v>388</v>
      </c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 t="s">
        <v>1080</v>
      </c>
      <c r="BE1283" s="7" t="s">
        <v>1088</v>
      </c>
      <c r="BF1283" s="8"/>
      <c r="BG1283" s="8"/>
      <c r="BH1283" s="8"/>
      <c r="BI1283" s="8"/>
      <c r="BJ1283" s="8"/>
      <c r="BK1283" s="8"/>
      <c r="BL1283" s="8"/>
      <c r="BM1283" s="8"/>
      <c r="BN1283" s="8"/>
      <c r="BO1283" s="8"/>
      <c r="BP1283" s="8"/>
      <c r="BQ1283" s="8"/>
      <c r="BR1283" s="8"/>
      <c r="BS1283" s="8"/>
    </row>
    <row r="1284" customFormat="false" ht="15" hidden="false" customHeight="false" outlineLevel="0" collapsed="false">
      <c r="A1284" s="7" t="s">
        <v>9011</v>
      </c>
      <c r="B1284" s="7" t="s">
        <v>9012</v>
      </c>
      <c r="C1284" s="7" t="s">
        <v>9013</v>
      </c>
      <c r="D1284" s="7" t="s">
        <v>1092</v>
      </c>
      <c r="E1284" s="7"/>
      <c r="F1284" s="7" t="s">
        <v>101</v>
      </c>
      <c r="G1284" s="7"/>
      <c r="H1284" s="7" t="s">
        <v>102</v>
      </c>
      <c r="I1284" s="7" t="s">
        <v>158</v>
      </c>
      <c r="J1284" s="7" t="s">
        <v>475</v>
      </c>
      <c r="K1284" s="7" t="s">
        <v>1147</v>
      </c>
      <c r="L1284" s="7" t="s">
        <v>106</v>
      </c>
      <c r="M1284" s="7"/>
      <c r="N1284" s="7" t="s">
        <v>1095</v>
      </c>
      <c r="O1284" s="7" t="s">
        <v>1095</v>
      </c>
      <c r="P1284" s="7" t="s">
        <v>109</v>
      </c>
      <c r="Q1284" s="7"/>
      <c r="R1284" s="7" t="s">
        <v>109</v>
      </c>
      <c r="S1284" s="7" t="s">
        <v>110</v>
      </c>
      <c r="T1284" s="7" t="n">
        <v>0.31</v>
      </c>
      <c r="U1284" s="7" t="n">
        <v>1</v>
      </c>
      <c r="V1284" s="7" t="s">
        <v>1717</v>
      </c>
      <c r="W1284" s="7" t="s">
        <v>1718</v>
      </c>
      <c r="X1284" s="7" t="s">
        <v>1719</v>
      </c>
      <c r="Y1284" s="7" t="s">
        <v>1720</v>
      </c>
      <c r="Z1284" s="7"/>
      <c r="AA1284" s="7" t="s">
        <v>572</v>
      </c>
      <c r="AB1284" s="7" t="s">
        <v>573</v>
      </c>
      <c r="AC1284" s="7" t="n">
        <v>0</v>
      </c>
      <c r="AD1284" s="7" t="s">
        <v>388</v>
      </c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 t="s">
        <v>1721</v>
      </c>
      <c r="BE1284" s="7" t="s">
        <v>575</v>
      </c>
      <c r="BF1284" s="8"/>
      <c r="BG1284" s="8"/>
      <c r="BH1284" s="8"/>
      <c r="BI1284" s="8"/>
      <c r="BJ1284" s="8"/>
      <c r="BK1284" s="8"/>
      <c r="BL1284" s="8"/>
      <c r="BM1284" s="8"/>
      <c r="BN1284" s="8"/>
      <c r="BO1284" s="8"/>
      <c r="BP1284" s="8"/>
      <c r="BQ1284" s="8"/>
      <c r="BR1284" s="8"/>
      <c r="BS1284" s="8"/>
    </row>
    <row r="1285" customFormat="false" ht="15" hidden="false" customHeight="false" outlineLevel="0" collapsed="false">
      <c r="A1285" s="7" t="s">
        <v>9014</v>
      </c>
      <c r="B1285" s="7" t="s">
        <v>9015</v>
      </c>
      <c r="C1285" s="7" t="s">
        <v>9016</v>
      </c>
      <c r="D1285" s="7" t="s">
        <v>1092</v>
      </c>
      <c r="E1285" s="7"/>
      <c r="F1285" s="7" t="s">
        <v>101</v>
      </c>
      <c r="G1285" s="7"/>
      <c r="H1285" s="7" t="s">
        <v>102</v>
      </c>
      <c r="I1285" s="7" t="s">
        <v>234</v>
      </c>
      <c r="J1285" s="7" t="s">
        <v>475</v>
      </c>
      <c r="K1285" s="7" t="s">
        <v>1147</v>
      </c>
      <c r="L1285" s="7" t="s">
        <v>106</v>
      </c>
      <c r="M1285" s="7"/>
      <c r="N1285" s="7" t="s">
        <v>1095</v>
      </c>
      <c r="O1285" s="7" t="s">
        <v>1095</v>
      </c>
      <c r="P1285" s="7" t="s">
        <v>109</v>
      </c>
      <c r="Q1285" s="7"/>
      <c r="R1285" s="7" t="s">
        <v>109</v>
      </c>
      <c r="S1285" s="7" t="s">
        <v>110</v>
      </c>
      <c r="T1285" s="7" t="n">
        <v>0.362</v>
      </c>
      <c r="U1285" s="7" t="n">
        <v>1</v>
      </c>
      <c r="V1285" s="7" t="s">
        <v>1717</v>
      </c>
      <c r="W1285" s="7" t="s">
        <v>1718</v>
      </c>
      <c r="X1285" s="7" t="s">
        <v>1719</v>
      </c>
      <c r="Y1285" s="7" t="s">
        <v>1720</v>
      </c>
      <c r="Z1285" s="7"/>
      <c r="AA1285" s="7" t="s">
        <v>572</v>
      </c>
      <c r="AB1285" s="7" t="s">
        <v>573</v>
      </c>
      <c r="AC1285" s="7" t="n">
        <v>0</v>
      </c>
      <c r="AD1285" s="7" t="s">
        <v>388</v>
      </c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 t="s">
        <v>1721</v>
      </c>
      <c r="BE1285" s="7" t="s">
        <v>575</v>
      </c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</row>
    <row r="1286" customFormat="false" ht="15" hidden="false" customHeight="false" outlineLevel="0" collapsed="false">
      <c r="A1286" s="7" t="s">
        <v>9017</v>
      </c>
      <c r="B1286" s="7" t="s">
        <v>9018</v>
      </c>
      <c r="C1286" s="7" t="s">
        <v>9019</v>
      </c>
      <c r="D1286" s="7" t="s">
        <v>1092</v>
      </c>
      <c r="E1286" s="7" t="s">
        <v>101</v>
      </c>
      <c r="F1286" s="7" t="s">
        <v>101</v>
      </c>
      <c r="G1286" s="7"/>
      <c r="H1286" s="7" t="s">
        <v>102</v>
      </c>
      <c r="I1286" s="7" t="s">
        <v>158</v>
      </c>
      <c r="J1286" s="7" t="s">
        <v>9020</v>
      </c>
      <c r="K1286" s="7" t="s">
        <v>569</v>
      </c>
      <c r="L1286" s="7" t="s">
        <v>106</v>
      </c>
      <c r="M1286" s="7"/>
      <c r="N1286" s="7" t="s">
        <v>1095</v>
      </c>
      <c r="O1286" s="7" t="s">
        <v>1095</v>
      </c>
      <c r="P1286" s="7" t="s">
        <v>109</v>
      </c>
      <c r="Q1286" s="7"/>
      <c r="R1286" s="7" t="s">
        <v>109</v>
      </c>
      <c r="S1286" s="7" t="s">
        <v>110</v>
      </c>
      <c r="T1286" s="7" t="n">
        <v>0.422</v>
      </c>
      <c r="U1286" s="7" t="n">
        <v>1</v>
      </c>
      <c r="V1286" s="7" t="s">
        <v>1717</v>
      </c>
      <c r="W1286" s="7" t="s">
        <v>1718</v>
      </c>
      <c r="X1286" s="7" t="s">
        <v>1719</v>
      </c>
      <c r="Y1286" s="7" t="s">
        <v>1720</v>
      </c>
      <c r="Z1286" s="7"/>
      <c r="AA1286" s="7" t="s">
        <v>572</v>
      </c>
      <c r="AB1286" s="7" t="s">
        <v>573</v>
      </c>
      <c r="AC1286" s="7" t="n">
        <v>0</v>
      </c>
      <c r="AD1286" s="7" t="s">
        <v>388</v>
      </c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 t="s">
        <v>1721</v>
      </c>
      <c r="BE1286" s="7" t="s">
        <v>575</v>
      </c>
      <c r="BF1286" s="8"/>
      <c r="BG1286" s="8"/>
      <c r="BH1286" s="8"/>
      <c r="BI1286" s="8"/>
      <c r="BJ1286" s="8"/>
      <c r="BK1286" s="8"/>
      <c r="BL1286" s="8"/>
      <c r="BM1286" s="8"/>
      <c r="BN1286" s="8"/>
      <c r="BO1286" s="8"/>
      <c r="BP1286" s="8"/>
      <c r="BQ1286" s="8"/>
      <c r="BR1286" s="8"/>
      <c r="BS1286" s="8"/>
    </row>
    <row r="1287" customFormat="false" ht="15" hidden="false" customHeight="false" outlineLevel="0" collapsed="false">
      <c r="A1287" s="7" t="s">
        <v>9021</v>
      </c>
      <c r="B1287" s="7" t="s">
        <v>9022</v>
      </c>
      <c r="C1287" s="7" t="s">
        <v>9023</v>
      </c>
      <c r="D1287" s="7" t="s">
        <v>8069</v>
      </c>
      <c r="E1287" s="7" t="s">
        <v>101</v>
      </c>
      <c r="F1287" s="7" t="s">
        <v>101</v>
      </c>
      <c r="G1287" s="7"/>
      <c r="H1287" s="7" t="s">
        <v>102</v>
      </c>
      <c r="I1287" s="7" t="s">
        <v>208</v>
      </c>
      <c r="J1287" s="7" t="s">
        <v>9020</v>
      </c>
      <c r="K1287" s="7" t="s">
        <v>1111</v>
      </c>
      <c r="L1287" s="7" t="s">
        <v>1785</v>
      </c>
      <c r="M1287" s="7"/>
      <c r="N1287" s="7" t="s">
        <v>8977</v>
      </c>
      <c r="O1287" s="7" t="s">
        <v>8977</v>
      </c>
      <c r="P1287" s="7" t="s">
        <v>109</v>
      </c>
      <c r="Q1287" s="7"/>
      <c r="R1287" s="7" t="s">
        <v>109</v>
      </c>
      <c r="S1287" s="7" t="s">
        <v>110</v>
      </c>
      <c r="T1287" s="7" t="n">
        <v>0.25</v>
      </c>
      <c r="U1287" s="7" t="n">
        <v>1</v>
      </c>
      <c r="V1287" s="7" t="s">
        <v>86</v>
      </c>
      <c r="W1287" s="7" t="s">
        <v>8978</v>
      </c>
      <c r="X1287" s="7" t="s">
        <v>2358</v>
      </c>
      <c r="Y1287" s="7" t="s">
        <v>7684</v>
      </c>
      <c r="Z1287" s="7"/>
      <c r="AA1287" s="7" t="s">
        <v>572</v>
      </c>
      <c r="AB1287" s="7" t="s">
        <v>573</v>
      </c>
      <c r="AC1287" s="7" t="n">
        <v>0</v>
      </c>
      <c r="AD1287" s="7" t="s">
        <v>388</v>
      </c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 t="s">
        <v>8979</v>
      </c>
      <c r="BE1287" s="7" t="s">
        <v>575</v>
      </c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</row>
    <row r="1288" customFormat="false" ht="15" hidden="false" customHeight="false" outlineLevel="0" collapsed="false">
      <c r="A1288" s="7" t="s">
        <v>9024</v>
      </c>
      <c r="B1288" s="7" t="s">
        <v>9025</v>
      </c>
      <c r="C1288" s="7" t="s">
        <v>9026</v>
      </c>
      <c r="D1288" s="7" t="s">
        <v>8069</v>
      </c>
      <c r="E1288" s="7" t="s">
        <v>101</v>
      </c>
      <c r="F1288" s="7" t="s">
        <v>101</v>
      </c>
      <c r="G1288" s="7"/>
      <c r="H1288" s="7" t="s">
        <v>102</v>
      </c>
      <c r="I1288" s="7" t="s">
        <v>208</v>
      </c>
      <c r="J1288" s="7" t="s">
        <v>9020</v>
      </c>
      <c r="K1288" s="7" t="s">
        <v>1111</v>
      </c>
      <c r="L1288" s="7" t="s">
        <v>1785</v>
      </c>
      <c r="M1288" s="7"/>
      <c r="N1288" s="7" t="s">
        <v>8977</v>
      </c>
      <c r="O1288" s="7" t="s">
        <v>8977</v>
      </c>
      <c r="P1288" s="7" t="s">
        <v>109</v>
      </c>
      <c r="Q1288" s="7"/>
      <c r="R1288" s="7" t="s">
        <v>109</v>
      </c>
      <c r="S1288" s="7" t="s">
        <v>110</v>
      </c>
      <c r="T1288" s="7" t="n">
        <v>0.326</v>
      </c>
      <c r="U1288" s="7" t="n">
        <v>1</v>
      </c>
      <c r="V1288" s="7" t="s">
        <v>86</v>
      </c>
      <c r="W1288" s="7" t="s">
        <v>8978</v>
      </c>
      <c r="X1288" s="7" t="s">
        <v>2358</v>
      </c>
      <c r="Y1288" s="7" t="s">
        <v>7684</v>
      </c>
      <c r="Z1288" s="7"/>
      <c r="AA1288" s="7" t="s">
        <v>572</v>
      </c>
      <c r="AB1288" s="7" t="s">
        <v>573</v>
      </c>
      <c r="AC1288" s="7" t="n">
        <v>0</v>
      </c>
      <c r="AD1288" s="7" t="s">
        <v>388</v>
      </c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 t="s">
        <v>8979</v>
      </c>
      <c r="BE1288" s="7" t="s">
        <v>575</v>
      </c>
      <c r="BF1288" s="8"/>
      <c r="BG1288" s="8"/>
      <c r="BH1288" s="8"/>
      <c r="BI1288" s="8"/>
      <c r="BJ1288" s="8"/>
      <c r="BK1288" s="8"/>
      <c r="BL1288" s="8"/>
      <c r="BM1288" s="8"/>
      <c r="BN1288" s="8"/>
      <c r="BO1288" s="8"/>
      <c r="BP1288" s="8"/>
      <c r="BQ1288" s="8"/>
      <c r="BR1288" s="8"/>
      <c r="BS1288" s="8"/>
    </row>
    <row r="1289" customFormat="false" ht="15" hidden="false" customHeight="false" outlineLevel="0" collapsed="false">
      <c r="A1289" s="7" t="s">
        <v>9027</v>
      </c>
      <c r="B1289" s="7" t="s">
        <v>9028</v>
      </c>
      <c r="C1289" s="7" t="s">
        <v>9029</v>
      </c>
      <c r="D1289" s="7" t="s">
        <v>8069</v>
      </c>
      <c r="E1289" s="7" t="s">
        <v>101</v>
      </c>
      <c r="F1289" s="7" t="s">
        <v>101</v>
      </c>
      <c r="G1289" s="7"/>
      <c r="H1289" s="7" t="s">
        <v>102</v>
      </c>
      <c r="I1289" s="7" t="s">
        <v>208</v>
      </c>
      <c r="J1289" s="7" t="s">
        <v>9020</v>
      </c>
      <c r="K1289" s="7" t="s">
        <v>1111</v>
      </c>
      <c r="L1289" s="7" t="s">
        <v>106</v>
      </c>
      <c r="M1289" s="7"/>
      <c r="N1289" s="7" t="s">
        <v>8977</v>
      </c>
      <c r="O1289" s="7" t="s">
        <v>8977</v>
      </c>
      <c r="P1289" s="7" t="s">
        <v>109</v>
      </c>
      <c r="Q1289" s="7"/>
      <c r="R1289" s="7" t="s">
        <v>109</v>
      </c>
      <c r="S1289" s="7" t="s">
        <v>110</v>
      </c>
      <c r="T1289" s="7" t="n">
        <v>0.435</v>
      </c>
      <c r="U1289" s="7" t="n">
        <v>1</v>
      </c>
      <c r="V1289" s="7" t="s">
        <v>86</v>
      </c>
      <c r="W1289" s="7" t="s">
        <v>8978</v>
      </c>
      <c r="X1289" s="7" t="s">
        <v>7691</v>
      </c>
      <c r="Y1289" s="7" t="s">
        <v>7690</v>
      </c>
      <c r="Z1289" s="7"/>
      <c r="AA1289" s="7" t="s">
        <v>572</v>
      </c>
      <c r="AB1289" s="7" t="s">
        <v>573</v>
      </c>
      <c r="AC1289" s="7" t="n">
        <v>0</v>
      </c>
      <c r="AD1289" s="7" t="s">
        <v>388</v>
      </c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 t="s">
        <v>8979</v>
      </c>
      <c r="BE1289" s="7" t="s">
        <v>575</v>
      </c>
      <c r="BF1289" s="8"/>
      <c r="BG1289" s="8"/>
      <c r="BH1289" s="8"/>
      <c r="BI1289" s="8"/>
      <c r="BJ1289" s="8"/>
      <c r="BK1289" s="8"/>
      <c r="BL1289" s="8"/>
      <c r="BM1289" s="8"/>
      <c r="BN1289" s="8"/>
      <c r="BO1289" s="8"/>
      <c r="BP1289" s="8"/>
      <c r="BQ1289" s="8"/>
      <c r="BR1289" s="8"/>
      <c r="BS1289" s="8"/>
    </row>
    <row r="1290" customFormat="false" ht="15" hidden="false" customHeight="false" outlineLevel="0" collapsed="false">
      <c r="A1290" s="7" t="s">
        <v>9030</v>
      </c>
      <c r="B1290" s="7" t="s">
        <v>9031</v>
      </c>
      <c r="C1290" s="7" t="s">
        <v>9032</v>
      </c>
      <c r="D1290" s="7" t="s">
        <v>8069</v>
      </c>
      <c r="E1290" s="7" t="s">
        <v>101</v>
      </c>
      <c r="F1290" s="7" t="s">
        <v>101</v>
      </c>
      <c r="G1290" s="7"/>
      <c r="H1290" s="7" t="s">
        <v>102</v>
      </c>
      <c r="I1290" s="7" t="s">
        <v>208</v>
      </c>
      <c r="J1290" s="7" t="s">
        <v>9020</v>
      </c>
      <c r="K1290" s="7" t="s">
        <v>1111</v>
      </c>
      <c r="L1290" s="7" t="s">
        <v>106</v>
      </c>
      <c r="M1290" s="7"/>
      <c r="N1290" s="7" t="s">
        <v>8977</v>
      </c>
      <c r="O1290" s="7" t="s">
        <v>8977</v>
      </c>
      <c r="P1290" s="7" t="s">
        <v>109</v>
      </c>
      <c r="Q1290" s="7"/>
      <c r="R1290" s="7" t="s">
        <v>109</v>
      </c>
      <c r="S1290" s="7" t="s">
        <v>110</v>
      </c>
      <c r="T1290" s="7" t="n">
        <v>0.295</v>
      </c>
      <c r="U1290" s="7" t="n">
        <v>1</v>
      </c>
      <c r="V1290" s="7" t="s">
        <v>86</v>
      </c>
      <c r="W1290" s="7" t="s">
        <v>8978</v>
      </c>
      <c r="X1290" s="7" t="s">
        <v>7691</v>
      </c>
      <c r="Y1290" s="7" t="s">
        <v>7690</v>
      </c>
      <c r="Z1290" s="7"/>
      <c r="AA1290" s="7" t="s">
        <v>572</v>
      </c>
      <c r="AB1290" s="7" t="s">
        <v>573</v>
      </c>
      <c r="AC1290" s="7" t="n">
        <v>0</v>
      </c>
      <c r="AD1290" s="7" t="s">
        <v>388</v>
      </c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 t="s">
        <v>8979</v>
      </c>
      <c r="BE1290" s="7" t="s">
        <v>575</v>
      </c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8"/>
      <c r="BS1290" s="8"/>
    </row>
    <row r="1291" customFormat="false" ht="15" hidden="false" customHeight="false" outlineLevel="0" collapsed="false">
      <c r="A1291" s="7" t="s">
        <v>9033</v>
      </c>
      <c r="B1291" s="7" t="s">
        <v>9034</v>
      </c>
      <c r="C1291" s="7" t="s">
        <v>9035</v>
      </c>
      <c r="D1291" s="7" t="s">
        <v>9036</v>
      </c>
      <c r="E1291" s="7" t="s">
        <v>82</v>
      </c>
      <c r="F1291" s="7" t="s">
        <v>82</v>
      </c>
      <c r="G1291" s="7" t="s">
        <v>1878</v>
      </c>
      <c r="H1291" s="7" t="s">
        <v>207</v>
      </c>
      <c r="I1291" s="7" t="s">
        <v>158</v>
      </c>
      <c r="J1291" s="7" t="s">
        <v>475</v>
      </c>
      <c r="K1291" s="7" t="s">
        <v>476</v>
      </c>
      <c r="L1291" s="7" t="s">
        <v>353</v>
      </c>
      <c r="M1291" s="7"/>
      <c r="N1291" s="7" t="s">
        <v>9037</v>
      </c>
      <c r="O1291" s="7" t="s">
        <v>9037</v>
      </c>
      <c r="P1291" s="7" t="s">
        <v>135</v>
      </c>
      <c r="Q1291" s="7"/>
      <c r="R1291" s="7" t="s">
        <v>109</v>
      </c>
      <c r="S1291" s="7" t="s">
        <v>110</v>
      </c>
      <c r="T1291" s="7" t="n">
        <v>0.635</v>
      </c>
      <c r="U1291" s="7" t="n">
        <v>0</v>
      </c>
      <c r="V1291" s="7"/>
      <c r="W1291" s="7"/>
      <c r="X1291" s="7"/>
      <c r="Y1291" s="7"/>
      <c r="Z1291" s="7" t="s">
        <v>9038</v>
      </c>
      <c r="AA1291" s="7"/>
      <c r="AB1291" s="7"/>
      <c r="AC1291" s="7" t="n">
        <v>0</v>
      </c>
      <c r="AD1291" s="7" t="s">
        <v>388</v>
      </c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 t="s">
        <v>9039</v>
      </c>
      <c r="BE1291" s="7" t="s">
        <v>609</v>
      </c>
      <c r="BF1291" s="8"/>
      <c r="BG1291" s="8"/>
      <c r="BH1291" s="8"/>
      <c r="BI1291" s="8"/>
      <c r="BJ1291" s="8"/>
      <c r="BK1291" s="8"/>
      <c r="BL1291" s="8"/>
      <c r="BM1291" s="8"/>
      <c r="BN1291" s="8"/>
      <c r="BO1291" s="8"/>
      <c r="BP1291" s="8"/>
      <c r="BQ1291" s="8"/>
      <c r="BR1291" s="8"/>
      <c r="BS1291" s="8"/>
    </row>
    <row r="1292" customFormat="false" ht="15" hidden="false" customHeight="false" outlineLevel="0" collapsed="false">
      <c r="A1292" s="7" t="s">
        <v>9040</v>
      </c>
      <c r="B1292" s="7" t="s">
        <v>9041</v>
      </c>
      <c r="C1292" s="7" t="s">
        <v>9042</v>
      </c>
      <c r="D1292" s="7" t="s">
        <v>3730</v>
      </c>
      <c r="E1292" s="7" t="s">
        <v>410</v>
      </c>
      <c r="F1292" s="7" t="s">
        <v>410</v>
      </c>
      <c r="G1292" s="7"/>
      <c r="H1292" s="7" t="s">
        <v>207</v>
      </c>
      <c r="I1292" s="7" t="s">
        <v>158</v>
      </c>
      <c r="J1292" s="7" t="s">
        <v>475</v>
      </c>
      <c r="K1292" s="7" t="s">
        <v>476</v>
      </c>
      <c r="L1292" s="7" t="s">
        <v>353</v>
      </c>
      <c r="M1292" s="7"/>
      <c r="N1292" s="7" t="s">
        <v>9043</v>
      </c>
      <c r="O1292" s="7"/>
      <c r="P1292" s="7" t="s">
        <v>135</v>
      </c>
      <c r="Q1292" s="7"/>
      <c r="R1292" s="7"/>
      <c r="S1292" s="7"/>
      <c r="T1292" s="7" t="n">
        <v>0.692</v>
      </c>
      <c r="U1292" s="7" t="n">
        <v>0</v>
      </c>
      <c r="V1292" s="7"/>
      <c r="W1292" s="7"/>
      <c r="X1292" s="7"/>
      <c r="Y1292" s="7"/>
      <c r="Z1292" s="7" t="s">
        <v>9044</v>
      </c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 t="s">
        <v>440</v>
      </c>
      <c r="BE1292" s="7" t="s">
        <v>609</v>
      </c>
      <c r="BF1292" s="8"/>
      <c r="BG1292" s="8"/>
      <c r="BH1292" s="8"/>
      <c r="BI1292" s="8"/>
      <c r="BJ1292" s="8"/>
      <c r="BK1292" s="8"/>
      <c r="BL1292" s="8"/>
      <c r="BM1292" s="8"/>
      <c r="BN1292" s="8"/>
      <c r="BO1292" s="8"/>
      <c r="BP1292" s="8"/>
      <c r="BQ1292" s="8"/>
      <c r="BR1292" s="8"/>
      <c r="BS1292" s="8"/>
    </row>
    <row r="1293" customFormat="false" ht="15" hidden="false" customHeight="false" outlineLevel="0" collapsed="false">
      <c r="A1293" s="7" t="s">
        <v>9045</v>
      </c>
      <c r="B1293" s="7" t="s">
        <v>9046</v>
      </c>
      <c r="C1293" s="7" t="s">
        <v>9047</v>
      </c>
      <c r="D1293" s="7" t="s">
        <v>9048</v>
      </c>
      <c r="E1293" s="7" t="s">
        <v>410</v>
      </c>
      <c r="F1293" s="7" t="s">
        <v>410</v>
      </c>
      <c r="G1293" s="7"/>
      <c r="H1293" s="7" t="s">
        <v>207</v>
      </c>
      <c r="I1293" s="7" t="s">
        <v>158</v>
      </c>
      <c r="J1293" s="7" t="s">
        <v>475</v>
      </c>
      <c r="K1293" s="7" t="s">
        <v>476</v>
      </c>
      <c r="L1293" s="7" t="s">
        <v>106</v>
      </c>
      <c r="M1293" s="7"/>
      <c r="N1293" s="7" t="s">
        <v>9049</v>
      </c>
      <c r="O1293" s="7" t="s">
        <v>9049</v>
      </c>
      <c r="P1293" s="7" t="s">
        <v>135</v>
      </c>
      <c r="Q1293" s="7"/>
      <c r="R1293" s="7" t="s">
        <v>109</v>
      </c>
      <c r="S1293" s="7" t="s">
        <v>110</v>
      </c>
      <c r="T1293" s="7" t="n">
        <v>0.726</v>
      </c>
      <c r="U1293" s="7" t="n">
        <v>0</v>
      </c>
      <c r="V1293" s="7"/>
      <c r="W1293" s="7"/>
      <c r="X1293" s="7"/>
      <c r="Y1293" s="7"/>
      <c r="Z1293" s="7" t="s">
        <v>9050</v>
      </c>
      <c r="AA1293" s="7"/>
      <c r="AB1293" s="7"/>
      <c r="AC1293" s="7" t="n">
        <v>0</v>
      </c>
      <c r="AD1293" s="7" t="s">
        <v>388</v>
      </c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 t="s">
        <v>440</v>
      </c>
      <c r="BE1293" s="7" t="s">
        <v>609</v>
      </c>
      <c r="BF1293" s="8"/>
      <c r="BG1293" s="8"/>
      <c r="BH1293" s="8"/>
      <c r="BI1293" s="8"/>
      <c r="BJ1293" s="8"/>
      <c r="BK1293" s="8"/>
      <c r="BL1293" s="8"/>
      <c r="BM1293" s="8"/>
      <c r="BN1293" s="8"/>
      <c r="BO1293" s="8"/>
      <c r="BP1293" s="8"/>
      <c r="BQ1293" s="8"/>
      <c r="BR1293" s="8"/>
      <c r="BS1293" s="8"/>
    </row>
    <row r="1294" customFormat="false" ht="15" hidden="false" customHeight="false" outlineLevel="0" collapsed="false">
      <c r="A1294" s="7" t="s">
        <v>9051</v>
      </c>
      <c r="B1294" s="7" t="s">
        <v>9052</v>
      </c>
      <c r="C1294" s="7" t="s">
        <v>9053</v>
      </c>
      <c r="D1294" s="7" t="s">
        <v>9054</v>
      </c>
      <c r="E1294" s="7" t="s">
        <v>410</v>
      </c>
      <c r="F1294" s="7" t="s">
        <v>410</v>
      </c>
      <c r="G1294" s="7"/>
      <c r="H1294" s="7" t="s">
        <v>207</v>
      </c>
      <c r="I1294" s="7" t="s">
        <v>132</v>
      </c>
      <c r="J1294" s="7" t="s">
        <v>475</v>
      </c>
      <c r="K1294" s="7" t="s">
        <v>476</v>
      </c>
      <c r="L1294" s="7" t="s">
        <v>106</v>
      </c>
      <c r="M1294" s="7"/>
      <c r="N1294" s="7" t="s">
        <v>9055</v>
      </c>
      <c r="O1294" s="7" t="s">
        <v>9055</v>
      </c>
      <c r="P1294" s="7" t="s">
        <v>135</v>
      </c>
      <c r="Q1294" s="7"/>
      <c r="R1294" s="7" t="s">
        <v>109</v>
      </c>
      <c r="S1294" s="7" t="s">
        <v>110</v>
      </c>
      <c r="T1294" s="7" t="n">
        <v>0.789</v>
      </c>
      <c r="U1294" s="7" t="n">
        <v>0</v>
      </c>
      <c r="V1294" s="7"/>
      <c r="W1294" s="7"/>
      <c r="X1294" s="7"/>
      <c r="Y1294" s="7"/>
      <c r="Z1294" s="7" t="s">
        <v>9056</v>
      </c>
      <c r="AA1294" s="7"/>
      <c r="AB1294" s="7"/>
      <c r="AC1294" s="7" t="n">
        <v>0</v>
      </c>
      <c r="AD1294" s="7" t="s">
        <v>388</v>
      </c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 t="s">
        <v>440</v>
      </c>
      <c r="BE1294" s="7" t="s">
        <v>609</v>
      </c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</row>
    <row r="1295" customFormat="false" ht="15" hidden="false" customHeight="false" outlineLevel="0" collapsed="false">
      <c r="A1295" s="7" t="s">
        <v>9057</v>
      </c>
      <c r="B1295" s="7" t="s">
        <v>9058</v>
      </c>
      <c r="C1295" s="7" t="s">
        <v>9059</v>
      </c>
      <c r="D1295" s="7" t="s">
        <v>9060</v>
      </c>
      <c r="E1295" s="7" t="s">
        <v>410</v>
      </c>
      <c r="F1295" s="7" t="s">
        <v>410</v>
      </c>
      <c r="G1295" s="7"/>
      <c r="H1295" s="7" t="s">
        <v>207</v>
      </c>
      <c r="I1295" s="7" t="s">
        <v>132</v>
      </c>
      <c r="J1295" s="7" t="s">
        <v>475</v>
      </c>
      <c r="K1295" s="7" t="s">
        <v>476</v>
      </c>
      <c r="L1295" s="7" t="s">
        <v>106</v>
      </c>
      <c r="M1295" s="7"/>
      <c r="N1295" s="7" t="s">
        <v>9061</v>
      </c>
      <c r="O1295" s="7" t="s">
        <v>9061</v>
      </c>
      <c r="P1295" s="7" t="s">
        <v>135</v>
      </c>
      <c r="Q1295" s="7"/>
      <c r="R1295" s="7" t="s">
        <v>109</v>
      </c>
      <c r="S1295" s="7" t="s">
        <v>110</v>
      </c>
      <c r="T1295" s="7" t="n">
        <v>0.7</v>
      </c>
      <c r="U1295" s="7" t="n">
        <v>0</v>
      </c>
      <c r="V1295" s="7"/>
      <c r="W1295" s="7"/>
      <c r="X1295" s="7"/>
      <c r="Y1295" s="7"/>
      <c r="Z1295" s="7" t="s">
        <v>9062</v>
      </c>
      <c r="AA1295" s="7"/>
      <c r="AB1295" s="7"/>
      <c r="AC1295" s="7" t="n">
        <v>0</v>
      </c>
      <c r="AD1295" s="7" t="s">
        <v>388</v>
      </c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 t="s">
        <v>440</v>
      </c>
      <c r="BE1295" s="7" t="s">
        <v>609</v>
      </c>
      <c r="BF1295" s="8"/>
      <c r="BG1295" s="8"/>
      <c r="BH1295" s="8"/>
      <c r="BI1295" s="8"/>
      <c r="BJ1295" s="8"/>
      <c r="BK1295" s="8"/>
      <c r="BL1295" s="8"/>
      <c r="BM1295" s="8"/>
      <c r="BN1295" s="8"/>
      <c r="BO1295" s="8"/>
      <c r="BP1295" s="8"/>
      <c r="BQ1295" s="8"/>
      <c r="BR1295" s="8"/>
      <c r="BS1295" s="8"/>
    </row>
    <row r="1296" customFormat="false" ht="15" hidden="false" customHeight="false" outlineLevel="0" collapsed="false">
      <c r="A1296" s="7" t="s">
        <v>9063</v>
      </c>
      <c r="B1296" s="7" t="s">
        <v>9064</v>
      </c>
      <c r="C1296" s="7" t="s">
        <v>9065</v>
      </c>
      <c r="D1296" s="7" t="s">
        <v>9066</v>
      </c>
      <c r="E1296" s="7" t="s">
        <v>410</v>
      </c>
      <c r="F1296" s="7" t="s">
        <v>410</v>
      </c>
      <c r="G1296" s="7"/>
      <c r="H1296" s="7" t="s">
        <v>207</v>
      </c>
      <c r="I1296" s="7" t="s">
        <v>158</v>
      </c>
      <c r="J1296" s="7" t="s">
        <v>475</v>
      </c>
      <c r="K1296" s="7" t="s">
        <v>476</v>
      </c>
      <c r="L1296" s="7" t="s">
        <v>353</v>
      </c>
      <c r="M1296" s="7"/>
      <c r="N1296" s="7" t="s">
        <v>9067</v>
      </c>
      <c r="O1296" s="7" t="s">
        <v>9067</v>
      </c>
      <c r="P1296" s="7" t="s">
        <v>135</v>
      </c>
      <c r="Q1296" s="7"/>
      <c r="R1296" s="7" t="s">
        <v>109</v>
      </c>
      <c r="S1296" s="7" t="s">
        <v>110</v>
      </c>
      <c r="T1296" s="7" t="n">
        <v>0.505</v>
      </c>
      <c r="U1296" s="7" t="n">
        <v>0</v>
      </c>
      <c r="V1296" s="7"/>
      <c r="W1296" s="7"/>
      <c r="X1296" s="7"/>
      <c r="Y1296" s="7"/>
      <c r="Z1296" s="7" t="s">
        <v>9068</v>
      </c>
      <c r="AA1296" s="7"/>
      <c r="AB1296" s="7"/>
      <c r="AC1296" s="7" t="n">
        <v>0</v>
      </c>
      <c r="AD1296" s="7" t="s">
        <v>388</v>
      </c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 t="s">
        <v>440</v>
      </c>
      <c r="BE1296" s="7" t="s">
        <v>609</v>
      </c>
      <c r="BF1296" s="8"/>
      <c r="BG1296" s="8"/>
      <c r="BH1296" s="8"/>
      <c r="BI1296" s="8"/>
      <c r="BJ1296" s="8"/>
      <c r="BK1296" s="8"/>
      <c r="BL1296" s="8"/>
      <c r="BM1296" s="8"/>
      <c r="BN1296" s="8"/>
      <c r="BO1296" s="8"/>
      <c r="BP1296" s="8"/>
      <c r="BQ1296" s="8"/>
      <c r="BR1296" s="8"/>
      <c r="BS1296" s="8"/>
    </row>
    <row r="1297" customFormat="false" ht="15" hidden="false" customHeight="false" outlineLevel="0" collapsed="false">
      <c r="A1297" s="7" t="s">
        <v>9069</v>
      </c>
      <c r="B1297" s="7" t="s">
        <v>9070</v>
      </c>
      <c r="C1297" s="7" t="s">
        <v>9071</v>
      </c>
      <c r="D1297" s="7" t="s">
        <v>9072</v>
      </c>
      <c r="E1297" s="7" t="s">
        <v>410</v>
      </c>
      <c r="F1297" s="7" t="s">
        <v>410</v>
      </c>
      <c r="G1297" s="7"/>
      <c r="H1297" s="7" t="s">
        <v>207</v>
      </c>
      <c r="I1297" s="7" t="s">
        <v>158</v>
      </c>
      <c r="J1297" s="7" t="s">
        <v>475</v>
      </c>
      <c r="K1297" s="7" t="s">
        <v>476</v>
      </c>
      <c r="L1297" s="7" t="s">
        <v>353</v>
      </c>
      <c r="M1297" s="7"/>
      <c r="N1297" s="7" t="s">
        <v>9073</v>
      </c>
      <c r="O1297" s="7"/>
      <c r="P1297" s="7" t="s">
        <v>135</v>
      </c>
      <c r="Q1297" s="7"/>
      <c r="R1297" s="7"/>
      <c r="S1297" s="7"/>
      <c r="T1297" s="7" t="n">
        <v>0.783</v>
      </c>
      <c r="U1297" s="7" t="n">
        <v>0</v>
      </c>
      <c r="V1297" s="7"/>
      <c r="W1297" s="7"/>
      <c r="X1297" s="7"/>
      <c r="Y1297" s="7"/>
      <c r="Z1297" s="7" t="s">
        <v>9074</v>
      </c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 t="s">
        <v>440</v>
      </c>
      <c r="BE1297" s="7" t="s">
        <v>609</v>
      </c>
      <c r="BF1297" s="8"/>
      <c r="BG1297" s="8"/>
      <c r="BH1297" s="8"/>
      <c r="BI1297" s="8"/>
      <c r="BJ1297" s="8"/>
      <c r="BK1297" s="8"/>
      <c r="BL1297" s="8"/>
      <c r="BM1297" s="8"/>
      <c r="BN1297" s="8"/>
      <c r="BO1297" s="8"/>
      <c r="BP1297" s="8"/>
      <c r="BQ1297" s="8"/>
      <c r="BR1297" s="8"/>
      <c r="BS1297" s="8"/>
    </row>
    <row r="1298" customFormat="false" ht="15" hidden="false" customHeight="false" outlineLevel="0" collapsed="false">
      <c r="A1298" s="7" t="s">
        <v>9075</v>
      </c>
      <c r="B1298" s="7" t="s">
        <v>9076</v>
      </c>
      <c r="C1298" s="7" t="s">
        <v>9077</v>
      </c>
      <c r="D1298" s="7" t="s">
        <v>9078</v>
      </c>
      <c r="E1298" s="7" t="s">
        <v>410</v>
      </c>
      <c r="F1298" s="7" t="s">
        <v>410</v>
      </c>
      <c r="G1298" s="7"/>
      <c r="H1298" s="7" t="s">
        <v>207</v>
      </c>
      <c r="I1298" s="7" t="s">
        <v>158</v>
      </c>
      <c r="J1298" s="7" t="s">
        <v>475</v>
      </c>
      <c r="K1298" s="7" t="s">
        <v>476</v>
      </c>
      <c r="L1298" s="7" t="s">
        <v>353</v>
      </c>
      <c r="M1298" s="7"/>
      <c r="N1298" s="7" t="s">
        <v>9079</v>
      </c>
      <c r="O1298" s="7" t="s">
        <v>9079</v>
      </c>
      <c r="P1298" s="7" t="s">
        <v>135</v>
      </c>
      <c r="Q1298" s="7"/>
      <c r="R1298" s="7" t="s">
        <v>109</v>
      </c>
      <c r="S1298" s="7" t="s">
        <v>110</v>
      </c>
      <c r="T1298" s="7" t="n">
        <v>0.32</v>
      </c>
      <c r="U1298" s="7" t="n">
        <v>0</v>
      </c>
      <c r="V1298" s="7"/>
      <c r="W1298" s="7"/>
      <c r="X1298" s="7"/>
      <c r="Y1298" s="7"/>
      <c r="Z1298" s="7" t="s">
        <v>9080</v>
      </c>
      <c r="AA1298" s="7"/>
      <c r="AB1298" s="7"/>
      <c r="AC1298" s="7" t="n">
        <v>0</v>
      </c>
      <c r="AD1298" s="7" t="s">
        <v>388</v>
      </c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 t="s">
        <v>440</v>
      </c>
      <c r="BE1298" s="7" t="s">
        <v>609</v>
      </c>
      <c r="BF1298" s="8"/>
      <c r="BG1298" s="8"/>
      <c r="BH1298" s="8"/>
      <c r="BI1298" s="8"/>
      <c r="BJ1298" s="8"/>
      <c r="BK1298" s="8"/>
      <c r="BL1298" s="8"/>
      <c r="BM1298" s="8"/>
      <c r="BN1298" s="8"/>
      <c r="BO1298" s="8"/>
      <c r="BP1298" s="8"/>
      <c r="BQ1298" s="8"/>
      <c r="BR1298" s="8"/>
      <c r="BS1298" s="8"/>
    </row>
    <row r="1299" customFormat="false" ht="15" hidden="false" customHeight="false" outlineLevel="0" collapsed="false">
      <c r="A1299" s="7" t="s">
        <v>9081</v>
      </c>
      <c r="B1299" s="7" t="s">
        <v>9082</v>
      </c>
      <c r="C1299" s="7" t="s">
        <v>9083</v>
      </c>
      <c r="D1299" s="7" t="s">
        <v>9084</v>
      </c>
      <c r="E1299" s="7" t="s">
        <v>410</v>
      </c>
      <c r="F1299" s="7" t="s">
        <v>410</v>
      </c>
      <c r="G1299" s="7"/>
      <c r="H1299" s="7" t="s">
        <v>207</v>
      </c>
      <c r="I1299" s="7" t="s">
        <v>158</v>
      </c>
      <c r="J1299" s="7" t="s">
        <v>475</v>
      </c>
      <c r="K1299" s="7" t="s">
        <v>476</v>
      </c>
      <c r="L1299" s="7" t="s">
        <v>353</v>
      </c>
      <c r="M1299" s="7"/>
      <c r="N1299" s="7" t="s">
        <v>9085</v>
      </c>
      <c r="O1299" s="7" t="s">
        <v>9085</v>
      </c>
      <c r="P1299" s="7" t="s">
        <v>135</v>
      </c>
      <c r="Q1299" s="7"/>
      <c r="R1299" s="7" t="s">
        <v>109</v>
      </c>
      <c r="S1299" s="7" t="s">
        <v>110</v>
      </c>
      <c r="T1299" s="7" t="n">
        <v>0.4</v>
      </c>
      <c r="U1299" s="7" t="n">
        <v>0</v>
      </c>
      <c r="V1299" s="7"/>
      <c r="W1299" s="7"/>
      <c r="X1299" s="7"/>
      <c r="Y1299" s="7"/>
      <c r="Z1299" s="7" t="s">
        <v>9086</v>
      </c>
      <c r="AA1299" s="7"/>
      <c r="AB1299" s="7"/>
      <c r="AC1299" s="7" t="n">
        <v>0</v>
      </c>
      <c r="AD1299" s="7" t="s">
        <v>388</v>
      </c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 t="s">
        <v>440</v>
      </c>
      <c r="BE1299" s="7" t="s">
        <v>609</v>
      </c>
      <c r="BF1299" s="8"/>
      <c r="BG1299" s="8"/>
      <c r="BH1299" s="8"/>
      <c r="BI1299" s="8"/>
      <c r="BJ1299" s="8"/>
      <c r="BK1299" s="8"/>
      <c r="BL1299" s="8"/>
      <c r="BM1299" s="8"/>
      <c r="BN1299" s="8"/>
      <c r="BO1299" s="8"/>
      <c r="BP1299" s="8"/>
      <c r="BQ1299" s="8"/>
      <c r="BR1299" s="8"/>
      <c r="BS1299" s="8"/>
    </row>
    <row r="1300" customFormat="false" ht="15" hidden="false" customHeight="false" outlineLevel="0" collapsed="false">
      <c r="A1300" s="7" t="s">
        <v>9087</v>
      </c>
      <c r="B1300" s="7" t="s">
        <v>9088</v>
      </c>
      <c r="C1300" s="7" t="s">
        <v>9089</v>
      </c>
      <c r="D1300" s="7" t="s">
        <v>9090</v>
      </c>
      <c r="E1300" s="7" t="s">
        <v>410</v>
      </c>
      <c r="F1300" s="7" t="s">
        <v>410</v>
      </c>
      <c r="G1300" s="7" t="s">
        <v>9091</v>
      </c>
      <c r="H1300" s="7" t="s">
        <v>207</v>
      </c>
      <c r="I1300" s="7" t="s">
        <v>158</v>
      </c>
      <c r="J1300" s="7" t="s">
        <v>475</v>
      </c>
      <c r="K1300" s="7" t="s">
        <v>476</v>
      </c>
      <c r="L1300" s="7" t="s">
        <v>353</v>
      </c>
      <c r="M1300" s="7"/>
      <c r="N1300" s="7" t="s">
        <v>9092</v>
      </c>
      <c r="O1300" s="7" t="s">
        <v>9092</v>
      </c>
      <c r="P1300" s="7" t="s">
        <v>135</v>
      </c>
      <c r="Q1300" s="7"/>
      <c r="R1300" s="7" t="s">
        <v>109</v>
      </c>
      <c r="S1300" s="7" t="s">
        <v>110</v>
      </c>
      <c r="T1300" s="7" t="n">
        <v>0.79</v>
      </c>
      <c r="U1300" s="7" t="n">
        <v>0</v>
      </c>
      <c r="V1300" s="7"/>
      <c r="W1300" s="7"/>
      <c r="X1300" s="7"/>
      <c r="Y1300" s="7"/>
      <c r="Z1300" s="7" t="s">
        <v>9093</v>
      </c>
      <c r="AA1300" s="7"/>
      <c r="AB1300" s="7"/>
      <c r="AC1300" s="7" t="n">
        <v>0</v>
      </c>
      <c r="AD1300" s="7" t="s">
        <v>388</v>
      </c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 t="s">
        <v>440</v>
      </c>
      <c r="BE1300" s="7" t="s">
        <v>609</v>
      </c>
      <c r="BF1300" s="8"/>
      <c r="BG1300" s="8"/>
      <c r="BH1300" s="8"/>
      <c r="BI1300" s="8"/>
      <c r="BJ1300" s="8"/>
      <c r="BK1300" s="8"/>
      <c r="BL1300" s="8"/>
      <c r="BM1300" s="8"/>
      <c r="BN1300" s="8"/>
      <c r="BO1300" s="8"/>
      <c r="BP1300" s="8"/>
      <c r="BQ1300" s="8"/>
      <c r="BR1300" s="8"/>
      <c r="BS1300" s="8"/>
    </row>
    <row r="1301" customFormat="false" ht="15" hidden="false" customHeight="false" outlineLevel="0" collapsed="false">
      <c r="A1301" s="7" t="s">
        <v>9094</v>
      </c>
      <c r="B1301" s="7" t="s">
        <v>9095</v>
      </c>
      <c r="C1301" s="7" t="s">
        <v>9096</v>
      </c>
      <c r="D1301" s="7" t="s">
        <v>9097</v>
      </c>
      <c r="E1301" s="7" t="s">
        <v>410</v>
      </c>
      <c r="F1301" s="7" t="s">
        <v>410</v>
      </c>
      <c r="G1301" s="7" t="s">
        <v>9098</v>
      </c>
      <c r="H1301" s="7" t="s">
        <v>207</v>
      </c>
      <c r="I1301" s="7" t="s">
        <v>158</v>
      </c>
      <c r="J1301" s="7" t="s">
        <v>475</v>
      </c>
      <c r="K1301" s="7" t="s">
        <v>476</v>
      </c>
      <c r="L1301" s="7" t="s">
        <v>353</v>
      </c>
      <c r="M1301" s="7"/>
      <c r="N1301" s="7" t="s">
        <v>9099</v>
      </c>
      <c r="O1301" s="7" t="s">
        <v>9099</v>
      </c>
      <c r="P1301" s="7" t="s">
        <v>135</v>
      </c>
      <c r="Q1301" s="7"/>
      <c r="R1301" s="7" t="s">
        <v>109</v>
      </c>
      <c r="S1301" s="7" t="s">
        <v>110</v>
      </c>
      <c r="T1301" s="7" t="n">
        <v>0.798</v>
      </c>
      <c r="U1301" s="7" t="n">
        <v>0</v>
      </c>
      <c r="V1301" s="7"/>
      <c r="W1301" s="7"/>
      <c r="X1301" s="7"/>
      <c r="Y1301" s="7"/>
      <c r="Z1301" s="7" t="s">
        <v>9100</v>
      </c>
      <c r="AA1301" s="7"/>
      <c r="AB1301" s="7"/>
      <c r="AC1301" s="7" t="n">
        <v>0</v>
      </c>
      <c r="AD1301" s="7" t="s">
        <v>388</v>
      </c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 t="s">
        <v>440</v>
      </c>
      <c r="BE1301" s="7" t="s">
        <v>609</v>
      </c>
      <c r="BF1301" s="8"/>
      <c r="BG1301" s="8"/>
      <c r="BH1301" s="8"/>
      <c r="BI1301" s="8"/>
      <c r="BJ1301" s="8"/>
      <c r="BK1301" s="8"/>
      <c r="BL1301" s="8"/>
      <c r="BM1301" s="8"/>
      <c r="BN1301" s="8"/>
      <c r="BO1301" s="8"/>
      <c r="BP1301" s="8"/>
      <c r="BQ1301" s="8"/>
      <c r="BR1301" s="8"/>
      <c r="BS1301" s="8"/>
    </row>
    <row r="1302" customFormat="false" ht="15" hidden="false" customHeight="false" outlineLevel="0" collapsed="false">
      <c r="A1302" s="7" t="s">
        <v>9101</v>
      </c>
      <c r="B1302" s="7" t="s">
        <v>9102</v>
      </c>
      <c r="C1302" s="7" t="s">
        <v>9103</v>
      </c>
      <c r="D1302" s="7" t="s">
        <v>9104</v>
      </c>
      <c r="E1302" s="7" t="s">
        <v>410</v>
      </c>
      <c r="F1302" s="7" t="s">
        <v>410</v>
      </c>
      <c r="G1302" s="7" t="s">
        <v>9105</v>
      </c>
      <c r="H1302" s="7" t="s">
        <v>207</v>
      </c>
      <c r="I1302" s="7" t="s">
        <v>158</v>
      </c>
      <c r="J1302" s="7" t="s">
        <v>475</v>
      </c>
      <c r="K1302" s="7" t="s">
        <v>476</v>
      </c>
      <c r="L1302" s="7" t="s">
        <v>353</v>
      </c>
      <c r="M1302" s="7"/>
      <c r="N1302" s="7" t="s">
        <v>9106</v>
      </c>
      <c r="O1302" s="7" t="s">
        <v>9106</v>
      </c>
      <c r="P1302" s="7" t="s">
        <v>135</v>
      </c>
      <c r="Q1302" s="7"/>
      <c r="R1302" s="7" t="s">
        <v>109</v>
      </c>
      <c r="S1302" s="7" t="s">
        <v>110</v>
      </c>
      <c r="T1302" s="7" t="n">
        <v>0.836</v>
      </c>
      <c r="U1302" s="7" t="n">
        <v>0</v>
      </c>
      <c r="V1302" s="7"/>
      <c r="W1302" s="7"/>
      <c r="X1302" s="7"/>
      <c r="Y1302" s="7"/>
      <c r="Z1302" s="7" t="s">
        <v>9107</v>
      </c>
      <c r="AA1302" s="7"/>
      <c r="AB1302" s="7"/>
      <c r="AC1302" s="7" t="n">
        <v>0</v>
      </c>
      <c r="AD1302" s="7" t="s">
        <v>388</v>
      </c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 t="s">
        <v>440</v>
      </c>
      <c r="BE1302" s="7" t="s">
        <v>609</v>
      </c>
      <c r="BF1302" s="8"/>
      <c r="BG1302" s="8"/>
      <c r="BH1302" s="8"/>
      <c r="BI1302" s="8"/>
      <c r="BJ1302" s="8"/>
      <c r="BK1302" s="8"/>
      <c r="BL1302" s="8"/>
      <c r="BM1302" s="8"/>
      <c r="BN1302" s="8"/>
      <c r="BO1302" s="8"/>
      <c r="BP1302" s="8"/>
      <c r="BQ1302" s="8"/>
      <c r="BR1302" s="8"/>
      <c r="BS1302" s="8"/>
    </row>
    <row r="1303" customFormat="false" ht="15" hidden="false" customHeight="false" outlineLevel="0" collapsed="false">
      <c r="A1303" s="7" t="s">
        <v>9108</v>
      </c>
      <c r="B1303" s="7" t="s">
        <v>9109</v>
      </c>
      <c r="C1303" s="7" t="s">
        <v>9110</v>
      </c>
      <c r="D1303" s="7" t="s">
        <v>9111</v>
      </c>
      <c r="E1303" s="7" t="s">
        <v>82</v>
      </c>
      <c r="F1303" s="7" t="s">
        <v>82</v>
      </c>
      <c r="G1303" s="7" t="s">
        <v>9112</v>
      </c>
      <c r="H1303" s="7" t="s">
        <v>207</v>
      </c>
      <c r="I1303" s="7" t="s">
        <v>158</v>
      </c>
      <c r="J1303" s="7" t="s">
        <v>475</v>
      </c>
      <c r="K1303" s="7" t="s">
        <v>476</v>
      </c>
      <c r="L1303" s="7" t="s">
        <v>353</v>
      </c>
      <c r="M1303" s="7"/>
      <c r="N1303" s="7" t="s">
        <v>9113</v>
      </c>
      <c r="O1303" s="7" t="s">
        <v>9113</v>
      </c>
      <c r="P1303" s="7" t="s">
        <v>135</v>
      </c>
      <c r="Q1303" s="7"/>
      <c r="R1303" s="7" t="s">
        <v>109</v>
      </c>
      <c r="S1303" s="7" t="s">
        <v>110</v>
      </c>
      <c r="T1303" s="7" t="n">
        <v>0.647</v>
      </c>
      <c r="U1303" s="7" t="n">
        <v>0</v>
      </c>
      <c r="V1303" s="7"/>
      <c r="W1303" s="7"/>
      <c r="X1303" s="7"/>
      <c r="Y1303" s="7"/>
      <c r="Z1303" s="7" t="s">
        <v>9114</v>
      </c>
      <c r="AA1303" s="7"/>
      <c r="AB1303" s="7"/>
      <c r="AC1303" s="7" t="n">
        <v>0</v>
      </c>
      <c r="AD1303" s="7" t="s">
        <v>388</v>
      </c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 t="s">
        <v>220</v>
      </c>
      <c r="BE1303" s="7" t="s">
        <v>609</v>
      </c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/>
      <c r="BR1303" s="8"/>
      <c r="BS1303" s="8"/>
    </row>
    <row r="1304" customFormat="false" ht="15" hidden="false" customHeight="false" outlineLevel="0" collapsed="false">
      <c r="A1304" s="7" t="s">
        <v>9115</v>
      </c>
      <c r="B1304" s="7" t="s">
        <v>9116</v>
      </c>
      <c r="C1304" s="7" t="s">
        <v>9117</v>
      </c>
      <c r="D1304" s="7" t="s">
        <v>9118</v>
      </c>
      <c r="E1304" s="7"/>
      <c r="F1304" s="7" t="s">
        <v>101</v>
      </c>
      <c r="G1304" s="7"/>
      <c r="H1304" s="7"/>
      <c r="I1304" s="7" t="s">
        <v>300</v>
      </c>
      <c r="J1304" s="7" t="s">
        <v>104</v>
      </c>
      <c r="K1304" s="7" t="s">
        <v>105</v>
      </c>
      <c r="L1304" s="7" t="s">
        <v>106</v>
      </c>
      <c r="M1304" s="7"/>
      <c r="N1304" s="7" t="s">
        <v>9119</v>
      </c>
      <c r="O1304" s="7"/>
      <c r="P1304" s="7" t="s">
        <v>84</v>
      </c>
      <c r="Q1304" s="7"/>
      <c r="R1304" s="7" t="s">
        <v>135</v>
      </c>
      <c r="S1304" s="7" t="s">
        <v>136</v>
      </c>
      <c r="T1304" s="7" t="n">
        <v>0.343</v>
      </c>
      <c r="U1304" s="7" t="n">
        <v>13</v>
      </c>
      <c r="V1304" s="7" t="s">
        <v>161</v>
      </c>
      <c r="W1304" s="7" t="s">
        <v>980</v>
      </c>
      <c r="X1304" s="7" t="s">
        <v>1819</v>
      </c>
      <c r="Y1304" s="7" t="s">
        <v>1820</v>
      </c>
      <c r="Z1304" s="7"/>
      <c r="AA1304" s="7"/>
      <c r="AB1304" s="7"/>
      <c r="AC1304" s="7" t="n">
        <v>6</v>
      </c>
      <c r="AD1304" s="7" t="s">
        <v>1235</v>
      </c>
      <c r="AE1304" s="7" t="s">
        <v>744</v>
      </c>
      <c r="AF1304" s="7" t="s">
        <v>9120</v>
      </c>
      <c r="AG1304" s="7" t="s">
        <v>744</v>
      </c>
      <c r="AH1304" s="7" t="s">
        <v>7601</v>
      </c>
      <c r="AI1304" s="7"/>
      <c r="AJ1304" s="7"/>
      <c r="AK1304" s="7"/>
      <c r="AL1304" s="7"/>
      <c r="AM1304" s="7" t="s">
        <v>744</v>
      </c>
      <c r="AN1304" s="7" t="s">
        <v>9121</v>
      </c>
      <c r="AO1304" s="7" t="s">
        <v>744</v>
      </c>
      <c r="AP1304" s="7" t="s">
        <v>9122</v>
      </c>
      <c r="AQ1304" s="7" t="s">
        <v>744</v>
      </c>
      <c r="AR1304" s="7" t="s">
        <v>9123</v>
      </c>
      <c r="AS1304" s="7"/>
      <c r="AT1304" s="7"/>
      <c r="AU1304" s="7"/>
      <c r="AV1304" s="7"/>
      <c r="AW1304" s="7" t="s">
        <v>744</v>
      </c>
      <c r="AX1304" s="7" t="s">
        <v>9124</v>
      </c>
      <c r="AY1304" s="7"/>
      <c r="AZ1304" s="7"/>
      <c r="BA1304" s="7"/>
      <c r="BB1304" s="7"/>
      <c r="BC1304" s="7"/>
      <c r="BD1304" s="7" t="s">
        <v>9125</v>
      </c>
      <c r="BE1304" s="7" t="s">
        <v>127</v>
      </c>
      <c r="BF1304" s="8"/>
      <c r="BG1304" s="8"/>
      <c r="BH1304" s="8"/>
      <c r="BI1304" s="8"/>
      <c r="BJ1304" s="8"/>
      <c r="BK1304" s="8"/>
      <c r="BL1304" s="8"/>
      <c r="BM1304" s="8"/>
      <c r="BN1304" s="8"/>
      <c r="BO1304" s="8"/>
      <c r="BP1304" s="8"/>
      <c r="BQ1304" s="8"/>
      <c r="BR1304" s="8"/>
      <c r="BS1304" s="8"/>
    </row>
    <row r="1305" customFormat="false" ht="15" hidden="false" customHeight="false" outlineLevel="0" collapsed="false">
      <c r="A1305" s="7" t="s">
        <v>9126</v>
      </c>
      <c r="B1305" s="7" t="s">
        <v>9127</v>
      </c>
      <c r="C1305" s="7" t="s">
        <v>9128</v>
      </c>
      <c r="D1305" s="7" t="s">
        <v>9129</v>
      </c>
      <c r="E1305" s="7"/>
      <c r="F1305" s="7" t="s">
        <v>101</v>
      </c>
      <c r="G1305" s="7"/>
      <c r="H1305" s="7"/>
      <c r="I1305" s="7" t="s">
        <v>132</v>
      </c>
      <c r="J1305" s="7" t="s">
        <v>104</v>
      </c>
      <c r="K1305" s="7" t="s">
        <v>105</v>
      </c>
      <c r="L1305" s="7" t="s">
        <v>106</v>
      </c>
      <c r="M1305" s="7"/>
      <c r="N1305" s="7" t="s">
        <v>9130</v>
      </c>
      <c r="O1305" s="7"/>
      <c r="P1305" s="7" t="s">
        <v>84</v>
      </c>
      <c r="Q1305" s="7"/>
      <c r="R1305" s="7" t="s">
        <v>135</v>
      </c>
      <c r="S1305" s="7" t="s">
        <v>136</v>
      </c>
      <c r="T1305" s="7" t="n">
        <v>0.375</v>
      </c>
      <c r="U1305" s="7" t="n">
        <v>7</v>
      </c>
      <c r="V1305" s="7" t="s">
        <v>161</v>
      </c>
      <c r="W1305" s="7" t="s">
        <v>4647</v>
      </c>
      <c r="X1305" s="7" t="s">
        <v>5628</v>
      </c>
      <c r="Y1305" s="7" t="s">
        <v>9131</v>
      </c>
      <c r="Z1305" s="7"/>
      <c r="AA1305" s="7"/>
      <c r="AB1305" s="7"/>
      <c r="AC1305" s="7" t="n">
        <v>3</v>
      </c>
      <c r="AD1305" s="7" t="s">
        <v>1492</v>
      </c>
      <c r="AE1305" s="7" t="s">
        <v>4077</v>
      </c>
      <c r="AF1305" s="7" t="s">
        <v>9132</v>
      </c>
      <c r="AG1305" s="7"/>
      <c r="AH1305" s="7"/>
      <c r="AI1305" s="7"/>
      <c r="AJ1305" s="7"/>
      <c r="AK1305" s="7"/>
      <c r="AL1305" s="7"/>
      <c r="AM1305" s="7"/>
      <c r="AN1305" s="7"/>
      <c r="AO1305" s="7" t="s">
        <v>4077</v>
      </c>
      <c r="AP1305" s="7" t="s">
        <v>9129</v>
      </c>
      <c r="AQ1305" s="7"/>
      <c r="AR1305" s="7"/>
      <c r="AS1305" s="7"/>
      <c r="AT1305" s="7"/>
      <c r="AU1305" s="7"/>
      <c r="AV1305" s="7"/>
      <c r="AW1305" s="7" t="s">
        <v>4077</v>
      </c>
      <c r="AX1305" s="7" t="s">
        <v>9130</v>
      </c>
      <c r="AY1305" s="7"/>
      <c r="AZ1305" s="7"/>
      <c r="BA1305" s="7"/>
      <c r="BB1305" s="7"/>
      <c r="BC1305" s="7"/>
      <c r="BD1305" s="7" t="s">
        <v>9133</v>
      </c>
      <c r="BE1305" s="7" t="s">
        <v>127</v>
      </c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</row>
    <row r="1306" customFormat="false" ht="15" hidden="false" customHeight="false" outlineLevel="0" collapsed="false">
      <c r="A1306" s="7" t="s">
        <v>9134</v>
      </c>
      <c r="B1306" s="7" t="s">
        <v>9135</v>
      </c>
      <c r="C1306" s="7" t="s">
        <v>9136</v>
      </c>
      <c r="D1306" s="7"/>
      <c r="E1306" s="7"/>
      <c r="F1306" s="7" t="s">
        <v>101</v>
      </c>
      <c r="G1306" s="7"/>
      <c r="H1306" s="7"/>
      <c r="I1306" s="7" t="s">
        <v>132</v>
      </c>
      <c r="J1306" s="7" t="s">
        <v>104</v>
      </c>
      <c r="K1306" s="7" t="s">
        <v>105</v>
      </c>
      <c r="L1306" s="7" t="s">
        <v>106</v>
      </c>
      <c r="M1306" s="7"/>
      <c r="N1306" s="7" t="s">
        <v>9137</v>
      </c>
      <c r="O1306" s="7"/>
      <c r="P1306" s="7" t="s">
        <v>84</v>
      </c>
      <c r="Q1306" s="7"/>
      <c r="R1306" s="7" t="s">
        <v>135</v>
      </c>
      <c r="S1306" s="7" t="s">
        <v>136</v>
      </c>
      <c r="T1306" s="7" t="n">
        <v>0.584</v>
      </c>
      <c r="U1306" s="7" t="n">
        <v>7</v>
      </c>
      <c r="V1306" s="7" t="s">
        <v>161</v>
      </c>
      <c r="W1306" s="7" t="s">
        <v>4647</v>
      </c>
      <c r="X1306" s="7" t="s">
        <v>5628</v>
      </c>
      <c r="Y1306" s="7" t="s">
        <v>9131</v>
      </c>
      <c r="Z1306" s="7"/>
      <c r="AA1306" s="7"/>
      <c r="AB1306" s="7"/>
      <c r="AC1306" s="7" t="n">
        <v>5</v>
      </c>
      <c r="AD1306" s="7" t="s">
        <v>1897</v>
      </c>
      <c r="AE1306" s="7" t="s">
        <v>744</v>
      </c>
      <c r="AF1306" s="7" t="s">
        <v>9138</v>
      </c>
      <c r="AG1306" s="7" t="s">
        <v>744</v>
      </c>
      <c r="AH1306" s="7" t="s">
        <v>7309</v>
      </c>
      <c r="AI1306" s="7"/>
      <c r="AJ1306" s="7"/>
      <c r="AK1306" s="7"/>
      <c r="AL1306" s="7"/>
      <c r="AM1306" s="7" t="s">
        <v>744</v>
      </c>
      <c r="AN1306" s="7" t="s">
        <v>9139</v>
      </c>
      <c r="AO1306" s="7" t="s">
        <v>744</v>
      </c>
      <c r="AP1306" s="7" t="s">
        <v>9140</v>
      </c>
      <c r="AQ1306" s="7"/>
      <c r="AR1306" s="7"/>
      <c r="AS1306" s="7"/>
      <c r="AT1306" s="7"/>
      <c r="AU1306" s="7"/>
      <c r="AV1306" s="7"/>
      <c r="AW1306" s="7" t="s">
        <v>744</v>
      </c>
      <c r="AX1306" s="7" t="s">
        <v>9137</v>
      </c>
      <c r="AY1306" s="7"/>
      <c r="AZ1306" s="7"/>
      <c r="BA1306" s="7"/>
      <c r="BB1306" s="7"/>
      <c r="BC1306" s="7"/>
      <c r="BD1306" s="7" t="s">
        <v>1826</v>
      </c>
      <c r="BE1306" s="7" t="s">
        <v>127</v>
      </c>
      <c r="BF1306" s="8"/>
      <c r="BG1306" s="8"/>
      <c r="BH1306" s="8"/>
      <c r="BI1306" s="8"/>
      <c r="BJ1306" s="8"/>
      <c r="BK1306" s="8"/>
      <c r="BL1306" s="8"/>
      <c r="BM1306" s="8"/>
      <c r="BN1306" s="8"/>
      <c r="BO1306" s="8"/>
      <c r="BP1306" s="8"/>
      <c r="BQ1306" s="8"/>
      <c r="BR1306" s="8"/>
      <c r="BS1306" s="8"/>
    </row>
    <row r="1307" customFormat="false" ht="15" hidden="false" customHeight="false" outlineLevel="0" collapsed="false">
      <c r="A1307" s="7" t="s">
        <v>9141</v>
      </c>
      <c r="B1307" s="7" t="s">
        <v>9142</v>
      </c>
      <c r="C1307" s="7" t="s">
        <v>9143</v>
      </c>
      <c r="D1307" s="7"/>
      <c r="E1307" s="7"/>
      <c r="F1307" s="7" t="s">
        <v>101</v>
      </c>
      <c r="G1307" s="7"/>
      <c r="H1307" s="7"/>
      <c r="I1307" s="7" t="s">
        <v>132</v>
      </c>
      <c r="J1307" s="7" t="s">
        <v>104</v>
      </c>
      <c r="K1307" s="7" t="s">
        <v>105</v>
      </c>
      <c r="L1307" s="7" t="s">
        <v>106</v>
      </c>
      <c r="M1307" s="7"/>
      <c r="N1307" s="7" t="s">
        <v>9144</v>
      </c>
      <c r="O1307" s="7"/>
      <c r="P1307" s="7" t="s">
        <v>84</v>
      </c>
      <c r="Q1307" s="7"/>
      <c r="R1307" s="7" t="s">
        <v>135</v>
      </c>
      <c r="S1307" s="7" t="s">
        <v>136</v>
      </c>
      <c r="T1307" s="7" t="n">
        <v>0.461</v>
      </c>
      <c r="U1307" s="7" t="n">
        <v>7</v>
      </c>
      <c r="V1307" s="7" t="s">
        <v>161</v>
      </c>
      <c r="W1307" s="7" t="s">
        <v>4647</v>
      </c>
      <c r="X1307" s="7" t="s">
        <v>5628</v>
      </c>
      <c r="Y1307" s="7" t="s">
        <v>9131</v>
      </c>
      <c r="Z1307" s="7"/>
      <c r="AA1307" s="7"/>
      <c r="AB1307" s="7"/>
      <c r="AC1307" s="7" t="n">
        <v>6</v>
      </c>
      <c r="AD1307" s="7" t="s">
        <v>1235</v>
      </c>
      <c r="AE1307" s="7" t="s">
        <v>744</v>
      </c>
      <c r="AF1307" s="7" t="s">
        <v>9145</v>
      </c>
      <c r="AG1307" s="7" t="s">
        <v>744</v>
      </c>
      <c r="AH1307" s="7" t="s">
        <v>5167</v>
      </c>
      <c r="AI1307" s="7"/>
      <c r="AJ1307" s="7"/>
      <c r="AK1307" s="7"/>
      <c r="AL1307" s="7"/>
      <c r="AM1307" s="7" t="s">
        <v>744</v>
      </c>
      <c r="AN1307" s="7" t="s">
        <v>9146</v>
      </c>
      <c r="AO1307" s="7" t="s">
        <v>744</v>
      </c>
      <c r="AP1307" s="7" t="s">
        <v>9140</v>
      </c>
      <c r="AQ1307" s="7" t="s">
        <v>744</v>
      </c>
      <c r="AR1307" s="7" t="s">
        <v>9147</v>
      </c>
      <c r="AS1307" s="7"/>
      <c r="AT1307" s="7"/>
      <c r="AU1307" s="7"/>
      <c r="AV1307" s="7"/>
      <c r="AW1307" s="7" t="s">
        <v>4077</v>
      </c>
      <c r="AX1307" s="7" t="s">
        <v>9144</v>
      </c>
      <c r="AY1307" s="7"/>
      <c r="AZ1307" s="7"/>
      <c r="BA1307" s="7"/>
      <c r="BB1307" s="7"/>
      <c r="BC1307" s="7"/>
      <c r="BD1307" s="7" t="s">
        <v>9133</v>
      </c>
      <c r="BE1307" s="7" t="s">
        <v>127</v>
      </c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</row>
    <row r="1308" customFormat="false" ht="15" hidden="false" customHeight="false" outlineLevel="0" collapsed="false">
      <c r="A1308" s="7" t="s">
        <v>9148</v>
      </c>
      <c r="B1308" s="7" t="s">
        <v>9149</v>
      </c>
      <c r="C1308" s="7" t="s">
        <v>9150</v>
      </c>
      <c r="D1308" s="7" t="s">
        <v>9151</v>
      </c>
      <c r="E1308" s="7"/>
      <c r="F1308" s="7" t="s">
        <v>101</v>
      </c>
      <c r="G1308" s="7"/>
      <c r="H1308" s="7"/>
      <c r="I1308" s="7" t="s">
        <v>1726</v>
      </c>
      <c r="J1308" s="7" t="s">
        <v>104</v>
      </c>
      <c r="K1308" s="7" t="s">
        <v>105</v>
      </c>
      <c r="L1308" s="7" t="s">
        <v>106</v>
      </c>
      <c r="M1308" s="7"/>
      <c r="N1308" s="7" t="s">
        <v>9152</v>
      </c>
      <c r="O1308" s="7"/>
      <c r="P1308" s="7" t="s">
        <v>84</v>
      </c>
      <c r="Q1308" s="7"/>
      <c r="R1308" s="7" t="s">
        <v>135</v>
      </c>
      <c r="S1308" s="7" t="s">
        <v>136</v>
      </c>
      <c r="T1308" s="7" t="n">
        <v>0.243</v>
      </c>
      <c r="U1308" s="7" t="n">
        <v>7</v>
      </c>
      <c r="V1308" s="7" t="s">
        <v>161</v>
      </c>
      <c r="W1308" s="7"/>
      <c r="X1308" s="7" t="s">
        <v>162</v>
      </c>
      <c r="Y1308" s="7" t="s">
        <v>9153</v>
      </c>
      <c r="Z1308" s="7"/>
      <c r="AA1308" s="7"/>
      <c r="AB1308" s="7"/>
      <c r="AC1308" s="7" t="n">
        <v>5</v>
      </c>
      <c r="AD1308" s="7" t="s">
        <v>1897</v>
      </c>
      <c r="AE1308" s="7" t="s">
        <v>189</v>
      </c>
      <c r="AF1308" s="7" t="s">
        <v>9154</v>
      </c>
      <c r="AG1308" s="7" t="s">
        <v>189</v>
      </c>
      <c r="AH1308" s="7" t="s">
        <v>9155</v>
      </c>
      <c r="AI1308" s="7"/>
      <c r="AJ1308" s="7"/>
      <c r="AK1308" s="7"/>
      <c r="AL1308" s="7"/>
      <c r="AM1308" s="7" t="s">
        <v>189</v>
      </c>
      <c r="AN1308" s="7" t="s">
        <v>9156</v>
      </c>
      <c r="AO1308" s="7" t="s">
        <v>744</v>
      </c>
      <c r="AP1308" s="7" t="s">
        <v>9151</v>
      </c>
      <c r="AQ1308" s="7"/>
      <c r="AR1308" s="7"/>
      <c r="AS1308" s="7"/>
      <c r="AT1308" s="7"/>
      <c r="AU1308" s="7"/>
      <c r="AV1308" s="7"/>
      <c r="AW1308" s="7" t="s">
        <v>189</v>
      </c>
      <c r="AX1308" s="7" t="s">
        <v>9153</v>
      </c>
      <c r="AY1308" s="7"/>
      <c r="AZ1308" s="7"/>
      <c r="BA1308" s="7"/>
      <c r="BB1308" s="7"/>
      <c r="BC1308" s="7"/>
      <c r="BD1308" s="7" t="s">
        <v>9157</v>
      </c>
      <c r="BE1308" s="7" t="s">
        <v>127</v>
      </c>
      <c r="BF1308" s="8"/>
      <c r="BG1308" s="8"/>
      <c r="BH1308" s="8"/>
      <c r="BI1308" s="8"/>
      <c r="BJ1308" s="8"/>
      <c r="BK1308" s="8"/>
      <c r="BL1308" s="8"/>
      <c r="BM1308" s="8"/>
      <c r="BN1308" s="8"/>
      <c r="BO1308" s="8"/>
      <c r="BP1308" s="8"/>
      <c r="BQ1308" s="8"/>
      <c r="BR1308" s="8"/>
      <c r="BS1308" s="8"/>
    </row>
    <row r="1309" customFormat="false" ht="15" hidden="false" customHeight="false" outlineLevel="0" collapsed="false">
      <c r="A1309" s="7" t="s">
        <v>9158</v>
      </c>
      <c r="B1309" s="7" t="s">
        <v>9159</v>
      </c>
      <c r="C1309" s="7" t="s">
        <v>9160</v>
      </c>
      <c r="D1309" s="7" t="s">
        <v>9161</v>
      </c>
      <c r="E1309" s="7"/>
      <c r="F1309" s="7" t="s">
        <v>101</v>
      </c>
      <c r="G1309" s="7"/>
      <c r="H1309" s="7"/>
      <c r="I1309" s="7" t="s">
        <v>132</v>
      </c>
      <c r="J1309" s="7" t="s">
        <v>104</v>
      </c>
      <c r="K1309" s="7" t="s">
        <v>105</v>
      </c>
      <c r="L1309" s="7" t="s">
        <v>106</v>
      </c>
      <c r="M1309" s="7"/>
      <c r="N1309" s="7" t="s">
        <v>9162</v>
      </c>
      <c r="O1309" s="7"/>
      <c r="P1309" s="7" t="s">
        <v>84</v>
      </c>
      <c r="Q1309" s="7"/>
      <c r="R1309" s="7" t="s">
        <v>135</v>
      </c>
      <c r="S1309" s="7" t="s">
        <v>136</v>
      </c>
      <c r="T1309" s="7" t="n">
        <v>0.54</v>
      </c>
      <c r="U1309" s="7" t="n">
        <v>7</v>
      </c>
      <c r="V1309" s="7" t="s">
        <v>161</v>
      </c>
      <c r="W1309" s="7" t="s">
        <v>3789</v>
      </c>
      <c r="X1309" s="7" t="s">
        <v>9163</v>
      </c>
      <c r="Y1309" s="7" t="s">
        <v>9164</v>
      </c>
      <c r="Z1309" s="7"/>
      <c r="AA1309" s="7"/>
      <c r="AB1309" s="7"/>
      <c r="AC1309" s="7" t="n">
        <v>5</v>
      </c>
      <c r="AD1309" s="7" t="s">
        <v>1897</v>
      </c>
      <c r="AE1309" s="7" t="s">
        <v>744</v>
      </c>
      <c r="AF1309" s="7" t="s">
        <v>9160</v>
      </c>
      <c r="AG1309" s="7" t="s">
        <v>744</v>
      </c>
      <c r="AH1309" s="7" t="s">
        <v>9163</v>
      </c>
      <c r="AI1309" s="7"/>
      <c r="AJ1309" s="7"/>
      <c r="AK1309" s="7"/>
      <c r="AL1309" s="7"/>
      <c r="AM1309" s="7" t="s">
        <v>744</v>
      </c>
      <c r="AN1309" s="7" t="s">
        <v>9165</v>
      </c>
      <c r="AO1309" s="7" t="s">
        <v>744</v>
      </c>
      <c r="AP1309" s="7" t="s">
        <v>9161</v>
      </c>
      <c r="AQ1309" s="7"/>
      <c r="AR1309" s="7"/>
      <c r="AS1309" s="7"/>
      <c r="AT1309" s="7"/>
      <c r="AU1309" s="7"/>
      <c r="AV1309" s="7"/>
      <c r="AW1309" s="7" t="s">
        <v>744</v>
      </c>
      <c r="AX1309" s="7" t="s">
        <v>9162</v>
      </c>
      <c r="AY1309" s="7"/>
      <c r="AZ1309" s="7"/>
      <c r="BA1309" s="7"/>
      <c r="BB1309" s="7"/>
      <c r="BC1309" s="7"/>
      <c r="BD1309" s="7" t="s">
        <v>126</v>
      </c>
      <c r="BE1309" s="7" t="s">
        <v>127</v>
      </c>
      <c r="BF1309" s="8"/>
      <c r="BG1309" s="8"/>
      <c r="BH1309" s="8"/>
      <c r="BI1309" s="8"/>
      <c r="BJ1309" s="8"/>
      <c r="BK1309" s="8"/>
      <c r="BL1309" s="8"/>
      <c r="BM1309" s="8"/>
      <c r="BN1309" s="8"/>
      <c r="BO1309" s="8"/>
      <c r="BP1309" s="8"/>
      <c r="BQ1309" s="8"/>
      <c r="BR1309" s="8"/>
      <c r="BS1309" s="8"/>
    </row>
    <row r="1310" customFormat="false" ht="15" hidden="false" customHeight="false" outlineLevel="0" collapsed="false">
      <c r="A1310" s="7" t="s">
        <v>9166</v>
      </c>
      <c r="B1310" s="7" t="s">
        <v>9167</v>
      </c>
      <c r="C1310" s="7" t="s">
        <v>9168</v>
      </c>
      <c r="D1310" s="7" t="s">
        <v>397</v>
      </c>
      <c r="E1310" s="7"/>
      <c r="F1310" s="7" t="s">
        <v>101</v>
      </c>
      <c r="G1310" s="7"/>
      <c r="H1310" s="7"/>
      <c r="I1310" s="7" t="s">
        <v>1726</v>
      </c>
      <c r="J1310" s="7" t="s">
        <v>104</v>
      </c>
      <c r="K1310" s="7" t="s">
        <v>105</v>
      </c>
      <c r="L1310" s="7" t="s">
        <v>106</v>
      </c>
      <c r="M1310" s="7"/>
      <c r="N1310" s="7" t="s">
        <v>9169</v>
      </c>
      <c r="O1310" s="7"/>
      <c r="P1310" s="7" t="s">
        <v>84</v>
      </c>
      <c r="Q1310" s="7"/>
      <c r="R1310" s="7" t="s">
        <v>135</v>
      </c>
      <c r="S1310" s="7" t="s">
        <v>136</v>
      </c>
      <c r="T1310" s="7" t="n">
        <v>0.235</v>
      </c>
      <c r="U1310" s="7" t="n">
        <v>7</v>
      </c>
      <c r="V1310" s="7" t="s">
        <v>1465</v>
      </c>
      <c r="W1310" s="7" t="s">
        <v>9170</v>
      </c>
      <c r="X1310" s="7" t="s">
        <v>9171</v>
      </c>
      <c r="Y1310" s="7" t="s">
        <v>9172</v>
      </c>
      <c r="Z1310" s="7"/>
      <c r="AA1310" s="7"/>
      <c r="AB1310" s="7"/>
      <c r="AC1310" s="7" t="n">
        <v>5</v>
      </c>
      <c r="AD1310" s="7" t="s">
        <v>1897</v>
      </c>
      <c r="AE1310" s="7" t="s">
        <v>189</v>
      </c>
      <c r="AF1310" s="7" t="s">
        <v>9173</v>
      </c>
      <c r="AG1310" s="7" t="s">
        <v>189</v>
      </c>
      <c r="AH1310" s="7" t="s">
        <v>9174</v>
      </c>
      <c r="AI1310" s="7"/>
      <c r="AJ1310" s="7"/>
      <c r="AK1310" s="7"/>
      <c r="AL1310" s="7"/>
      <c r="AM1310" s="7" t="s">
        <v>744</v>
      </c>
      <c r="AN1310" s="7" t="s">
        <v>9175</v>
      </c>
      <c r="AO1310" s="7" t="s">
        <v>4077</v>
      </c>
      <c r="AP1310" s="7" t="s">
        <v>397</v>
      </c>
      <c r="AQ1310" s="7"/>
      <c r="AR1310" s="7"/>
      <c r="AS1310" s="7"/>
      <c r="AT1310" s="7"/>
      <c r="AU1310" s="7"/>
      <c r="AV1310" s="7"/>
      <c r="AW1310" s="7" t="s">
        <v>189</v>
      </c>
      <c r="AX1310" s="7" t="s">
        <v>9172</v>
      </c>
      <c r="AY1310" s="7"/>
      <c r="AZ1310" s="7"/>
      <c r="BA1310" s="7"/>
      <c r="BB1310" s="7"/>
      <c r="BC1310" s="7"/>
      <c r="BD1310" s="7" t="s">
        <v>9176</v>
      </c>
      <c r="BE1310" s="7" t="s">
        <v>127</v>
      </c>
      <c r="BF1310" s="8"/>
      <c r="BG1310" s="8"/>
      <c r="BH1310" s="8"/>
      <c r="BI1310" s="8"/>
      <c r="BJ1310" s="8"/>
      <c r="BK1310" s="8"/>
      <c r="BL1310" s="8"/>
      <c r="BM1310" s="8"/>
      <c r="BN1310" s="8"/>
      <c r="BO1310" s="8"/>
      <c r="BP1310" s="8"/>
      <c r="BQ1310" s="8"/>
      <c r="BR1310" s="8"/>
      <c r="BS1310" s="8"/>
    </row>
    <row r="1311" customFormat="false" ht="15" hidden="false" customHeight="false" outlineLevel="0" collapsed="false">
      <c r="A1311" s="7" t="s">
        <v>9177</v>
      </c>
      <c r="B1311" s="7" t="s">
        <v>9178</v>
      </c>
      <c r="C1311" s="7" t="s">
        <v>9179</v>
      </c>
      <c r="D1311" s="7" t="s">
        <v>397</v>
      </c>
      <c r="E1311" s="7"/>
      <c r="F1311" s="7" t="s">
        <v>101</v>
      </c>
      <c r="G1311" s="7"/>
      <c r="H1311" s="7"/>
      <c r="I1311" s="7" t="s">
        <v>1726</v>
      </c>
      <c r="J1311" s="7" t="s">
        <v>104</v>
      </c>
      <c r="K1311" s="7" t="s">
        <v>105</v>
      </c>
      <c r="L1311" s="7" t="s">
        <v>106</v>
      </c>
      <c r="M1311" s="7"/>
      <c r="N1311" s="7" t="s">
        <v>9180</v>
      </c>
      <c r="O1311" s="7"/>
      <c r="P1311" s="7" t="s">
        <v>84</v>
      </c>
      <c r="Q1311" s="7"/>
      <c r="R1311" s="7" t="s">
        <v>135</v>
      </c>
      <c r="S1311" s="7" t="s">
        <v>136</v>
      </c>
      <c r="T1311" s="7" t="n">
        <v>0.305</v>
      </c>
      <c r="U1311" s="7" t="n">
        <v>7</v>
      </c>
      <c r="V1311" s="7" t="s">
        <v>1465</v>
      </c>
      <c r="W1311" s="7" t="s">
        <v>9170</v>
      </c>
      <c r="X1311" s="7" t="s">
        <v>9171</v>
      </c>
      <c r="Y1311" s="7" t="s">
        <v>9172</v>
      </c>
      <c r="Z1311" s="7"/>
      <c r="AA1311" s="7"/>
      <c r="AB1311" s="7"/>
      <c r="AC1311" s="7" t="n">
        <v>5</v>
      </c>
      <c r="AD1311" s="7" t="s">
        <v>1897</v>
      </c>
      <c r="AE1311" s="7" t="s">
        <v>744</v>
      </c>
      <c r="AF1311" s="7" t="s">
        <v>9179</v>
      </c>
      <c r="AG1311" s="7" t="s">
        <v>744</v>
      </c>
      <c r="AH1311" s="7" t="s">
        <v>9181</v>
      </c>
      <c r="AI1311" s="7"/>
      <c r="AJ1311" s="7"/>
      <c r="AK1311" s="7"/>
      <c r="AL1311" s="7"/>
      <c r="AM1311" s="7" t="s">
        <v>744</v>
      </c>
      <c r="AN1311" s="7" t="s">
        <v>9182</v>
      </c>
      <c r="AO1311" s="7" t="s">
        <v>744</v>
      </c>
      <c r="AP1311" s="7" t="s">
        <v>397</v>
      </c>
      <c r="AQ1311" s="7"/>
      <c r="AR1311" s="7"/>
      <c r="AS1311" s="7"/>
      <c r="AT1311" s="7"/>
      <c r="AU1311" s="7"/>
      <c r="AV1311" s="7"/>
      <c r="AW1311" s="7" t="s">
        <v>744</v>
      </c>
      <c r="AX1311" s="7" t="s">
        <v>9180</v>
      </c>
      <c r="AY1311" s="7"/>
      <c r="AZ1311" s="7"/>
      <c r="BA1311" s="7"/>
      <c r="BB1311" s="7"/>
      <c r="BC1311" s="7"/>
      <c r="BD1311" s="7" t="s">
        <v>9176</v>
      </c>
      <c r="BE1311" s="7" t="s">
        <v>127</v>
      </c>
      <c r="BF1311" s="8"/>
      <c r="BG1311" s="8"/>
      <c r="BH1311" s="8"/>
      <c r="BI1311" s="8"/>
      <c r="BJ1311" s="8"/>
      <c r="BK1311" s="8"/>
      <c r="BL1311" s="8"/>
      <c r="BM1311" s="8"/>
      <c r="BN1311" s="8"/>
      <c r="BO1311" s="8"/>
      <c r="BP1311" s="8"/>
      <c r="BQ1311" s="8"/>
      <c r="BR1311" s="8"/>
      <c r="BS1311" s="8"/>
    </row>
    <row r="1312" customFormat="false" ht="15" hidden="false" customHeight="false" outlineLevel="0" collapsed="false">
      <c r="A1312" s="7" t="s">
        <v>9183</v>
      </c>
      <c r="B1312" s="7" t="s">
        <v>9184</v>
      </c>
      <c r="C1312" s="7" t="s">
        <v>9185</v>
      </c>
      <c r="D1312" s="7" t="s">
        <v>9186</v>
      </c>
      <c r="E1312" s="7"/>
      <c r="F1312" s="7" t="s">
        <v>101</v>
      </c>
      <c r="G1312" s="7"/>
      <c r="H1312" s="7"/>
      <c r="I1312" s="7" t="s">
        <v>1726</v>
      </c>
      <c r="J1312" s="7" t="s">
        <v>104</v>
      </c>
      <c r="K1312" s="7" t="s">
        <v>105</v>
      </c>
      <c r="L1312" s="7" t="s">
        <v>106</v>
      </c>
      <c r="M1312" s="7"/>
      <c r="N1312" s="7" t="s">
        <v>9172</v>
      </c>
      <c r="O1312" s="7"/>
      <c r="P1312" s="7" t="s">
        <v>84</v>
      </c>
      <c r="Q1312" s="7"/>
      <c r="R1312" s="7" t="s">
        <v>135</v>
      </c>
      <c r="S1312" s="7" t="s">
        <v>136</v>
      </c>
      <c r="T1312" s="7" t="n">
        <v>0.294</v>
      </c>
      <c r="U1312" s="7" t="n">
        <v>6</v>
      </c>
      <c r="V1312" s="7" t="s">
        <v>1465</v>
      </c>
      <c r="W1312" s="7" t="s">
        <v>9170</v>
      </c>
      <c r="X1312" s="7" t="s">
        <v>9171</v>
      </c>
      <c r="Y1312" s="7" t="s">
        <v>9172</v>
      </c>
      <c r="Z1312" s="7"/>
      <c r="AA1312" s="7"/>
      <c r="AB1312" s="7"/>
      <c r="AC1312" s="7" t="n">
        <v>5</v>
      </c>
      <c r="AD1312" s="7" t="s">
        <v>1897</v>
      </c>
      <c r="AE1312" s="7" t="s">
        <v>744</v>
      </c>
      <c r="AF1312" s="7" t="s">
        <v>9173</v>
      </c>
      <c r="AG1312" s="7" t="s">
        <v>744</v>
      </c>
      <c r="AH1312" s="7" t="s">
        <v>9174</v>
      </c>
      <c r="AI1312" s="7"/>
      <c r="AJ1312" s="7"/>
      <c r="AK1312" s="7"/>
      <c r="AL1312" s="7"/>
      <c r="AM1312" s="7" t="s">
        <v>744</v>
      </c>
      <c r="AN1312" s="7" t="s">
        <v>9175</v>
      </c>
      <c r="AO1312" s="7" t="s">
        <v>744</v>
      </c>
      <c r="AP1312" s="7" t="s">
        <v>397</v>
      </c>
      <c r="AQ1312" s="7"/>
      <c r="AR1312" s="7"/>
      <c r="AS1312" s="7"/>
      <c r="AT1312" s="7"/>
      <c r="AU1312" s="7"/>
      <c r="AV1312" s="7"/>
      <c r="AW1312" s="7" t="s">
        <v>744</v>
      </c>
      <c r="AX1312" s="7" t="s">
        <v>9172</v>
      </c>
      <c r="AY1312" s="7"/>
      <c r="AZ1312" s="7"/>
      <c r="BA1312" s="7"/>
      <c r="BB1312" s="7"/>
      <c r="BC1312" s="7"/>
      <c r="BD1312" s="7" t="s">
        <v>9176</v>
      </c>
      <c r="BE1312" s="7" t="s">
        <v>127</v>
      </c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8"/>
      <c r="BS1312" s="8"/>
    </row>
    <row r="1313" customFormat="false" ht="15" hidden="false" customHeight="false" outlineLevel="0" collapsed="false">
      <c r="A1313" s="7" t="s">
        <v>9187</v>
      </c>
      <c r="B1313" s="7" t="s">
        <v>9188</v>
      </c>
      <c r="C1313" s="7" t="s">
        <v>9189</v>
      </c>
      <c r="D1313" s="7" t="s">
        <v>1877</v>
      </c>
      <c r="E1313" s="7" t="s">
        <v>82</v>
      </c>
      <c r="F1313" s="7" t="s">
        <v>82</v>
      </c>
      <c r="G1313" s="7" t="s">
        <v>1878</v>
      </c>
      <c r="H1313" s="7"/>
      <c r="I1313" s="7" t="s">
        <v>158</v>
      </c>
      <c r="J1313" s="7" t="s">
        <v>104</v>
      </c>
      <c r="K1313" s="7" t="s">
        <v>105</v>
      </c>
      <c r="L1313" s="7" t="s">
        <v>353</v>
      </c>
      <c r="M1313" s="7"/>
      <c r="N1313" s="7" t="s">
        <v>9190</v>
      </c>
      <c r="O1313" s="7" t="s">
        <v>9190</v>
      </c>
      <c r="P1313" s="7" t="s">
        <v>135</v>
      </c>
      <c r="Q1313" s="7"/>
      <c r="R1313" s="7" t="s">
        <v>109</v>
      </c>
      <c r="S1313" s="7" t="s">
        <v>2188</v>
      </c>
      <c r="T1313" s="7" t="n">
        <v>0.451</v>
      </c>
      <c r="U1313" s="7" t="n">
        <v>5</v>
      </c>
      <c r="V1313" s="7" t="s">
        <v>90</v>
      </c>
      <c r="W1313" s="7" t="s">
        <v>9191</v>
      </c>
      <c r="X1313" s="7" t="s">
        <v>9192</v>
      </c>
      <c r="Y1313" s="7" t="s">
        <v>9190</v>
      </c>
      <c r="Z1313" s="7"/>
      <c r="AA1313" s="7"/>
      <c r="AB1313" s="7"/>
      <c r="AC1313" s="7" t="n">
        <v>4</v>
      </c>
      <c r="AD1313" s="7" t="s">
        <v>1376</v>
      </c>
      <c r="AE1313" s="7" t="s">
        <v>1809</v>
      </c>
      <c r="AF1313" s="7" t="s">
        <v>9189</v>
      </c>
      <c r="AG1313" s="7"/>
      <c r="AH1313" s="7"/>
      <c r="AI1313" s="7"/>
      <c r="AJ1313" s="7"/>
      <c r="AK1313" s="7"/>
      <c r="AL1313" s="7"/>
      <c r="AM1313" s="7"/>
      <c r="AN1313" s="7"/>
      <c r="AO1313" s="7" t="s">
        <v>1809</v>
      </c>
      <c r="AP1313" s="7" t="s">
        <v>1877</v>
      </c>
      <c r="AQ1313" s="7" t="s">
        <v>1809</v>
      </c>
      <c r="AR1313" s="7" t="s">
        <v>82</v>
      </c>
      <c r="AS1313" s="7"/>
      <c r="AT1313" s="7"/>
      <c r="AU1313" s="7"/>
      <c r="AV1313" s="7"/>
      <c r="AW1313" s="7" t="s">
        <v>1809</v>
      </c>
      <c r="AX1313" s="7" t="s">
        <v>9190</v>
      </c>
      <c r="AY1313" s="7"/>
      <c r="AZ1313" s="7"/>
      <c r="BA1313" s="7"/>
      <c r="BB1313" s="7"/>
      <c r="BC1313" s="7" t="s">
        <v>125</v>
      </c>
      <c r="BD1313" s="7" t="s">
        <v>220</v>
      </c>
      <c r="BE1313" s="7" t="s">
        <v>127</v>
      </c>
      <c r="BF1313" s="8"/>
      <c r="BG1313" s="8"/>
      <c r="BH1313" s="8"/>
      <c r="BI1313" s="8"/>
      <c r="BJ1313" s="8"/>
      <c r="BK1313" s="8"/>
      <c r="BL1313" s="8"/>
      <c r="BM1313" s="8"/>
      <c r="BN1313" s="8"/>
      <c r="BO1313" s="8"/>
      <c r="BP1313" s="8"/>
      <c r="BQ1313" s="8"/>
      <c r="BR1313" s="8"/>
      <c r="BS1313" s="8"/>
    </row>
    <row r="1314" customFormat="false" ht="15" hidden="false" customHeight="false" outlineLevel="0" collapsed="false">
      <c r="A1314" s="7" t="s">
        <v>9193</v>
      </c>
      <c r="B1314" s="7" t="s">
        <v>9194</v>
      </c>
      <c r="C1314" s="7" t="s">
        <v>9195</v>
      </c>
      <c r="D1314" s="7" t="s">
        <v>183</v>
      </c>
      <c r="E1314" s="7"/>
      <c r="F1314" s="7" t="s">
        <v>101</v>
      </c>
      <c r="G1314" s="7"/>
      <c r="H1314" s="7"/>
      <c r="I1314" s="7" t="s">
        <v>132</v>
      </c>
      <c r="J1314" s="7" t="s">
        <v>104</v>
      </c>
      <c r="K1314" s="7" t="s">
        <v>105</v>
      </c>
      <c r="L1314" s="7" t="s">
        <v>106</v>
      </c>
      <c r="M1314" s="7"/>
      <c r="N1314" s="7" t="s">
        <v>9196</v>
      </c>
      <c r="O1314" s="7"/>
      <c r="P1314" s="7" t="s">
        <v>84</v>
      </c>
      <c r="Q1314" s="7"/>
      <c r="R1314" s="7" t="s">
        <v>135</v>
      </c>
      <c r="S1314" s="7" t="s">
        <v>136</v>
      </c>
      <c r="T1314" s="7" t="n">
        <v>0.279</v>
      </c>
      <c r="U1314" s="7" t="n">
        <v>5</v>
      </c>
      <c r="V1314" s="7" t="s">
        <v>161</v>
      </c>
      <c r="W1314" s="7"/>
      <c r="X1314" s="7" t="s">
        <v>9197</v>
      </c>
      <c r="Y1314" s="7" t="s">
        <v>9196</v>
      </c>
      <c r="Z1314" s="7"/>
      <c r="AA1314" s="7"/>
      <c r="AB1314" s="7"/>
      <c r="AC1314" s="7" t="n">
        <v>5</v>
      </c>
      <c r="AD1314" s="7" t="s">
        <v>1897</v>
      </c>
      <c r="AE1314" s="7" t="s">
        <v>744</v>
      </c>
      <c r="AF1314" s="7" t="s">
        <v>9195</v>
      </c>
      <c r="AG1314" s="7" t="s">
        <v>744</v>
      </c>
      <c r="AH1314" s="7" t="s">
        <v>9197</v>
      </c>
      <c r="AI1314" s="7"/>
      <c r="AJ1314" s="7"/>
      <c r="AK1314" s="7"/>
      <c r="AL1314" s="7"/>
      <c r="AM1314" s="7" t="s">
        <v>744</v>
      </c>
      <c r="AN1314" s="7" t="s">
        <v>9198</v>
      </c>
      <c r="AO1314" s="7" t="s">
        <v>744</v>
      </c>
      <c r="AP1314" s="7" t="s">
        <v>183</v>
      </c>
      <c r="AQ1314" s="7"/>
      <c r="AR1314" s="7"/>
      <c r="AS1314" s="7"/>
      <c r="AT1314" s="7"/>
      <c r="AU1314" s="7"/>
      <c r="AV1314" s="7"/>
      <c r="AW1314" s="7" t="s">
        <v>744</v>
      </c>
      <c r="AX1314" s="7" t="s">
        <v>9196</v>
      </c>
      <c r="AY1314" s="7"/>
      <c r="AZ1314" s="7"/>
      <c r="BA1314" s="7"/>
      <c r="BB1314" s="7"/>
      <c r="BC1314" s="7"/>
      <c r="BD1314" s="7" t="s">
        <v>9157</v>
      </c>
      <c r="BE1314" s="7" t="s">
        <v>127</v>
      </c>
      <c r="BF1314" s="8"/>
      <c r="BG1314" s="8"/>
      <c r="BH1314" s="8"/>
      <c r="BI1314" s="8"/>
      <c r="BJ1314" s="8"/>
      <c r="BK1314" s="8"/>
      <c r="BL1314" s="8"/>
      <c r="BM1314" s="8"/>
      <c r="BN1314" s="8"/>
      <c r="BO1314" s="8"/>
      <c r="BP1314" s="8"/>
      <c r="BQ1314" s="8"/>
      <c r="BR1314" s="8"/>
      <c r="BS1314" s="8"/>
    </row>
    <row r="1315" customFormat="false" ht="15" hidden="false" customHeight="false" outlineLevel="0" collapsed="false">
      <c r="A1315" s="7" t="s">
        <v>9199</v>
      </c>
      <c r="B1315" s="7" t="s">
        <v>9200</v>
      </c>
      <c r="C1315" s="7" t="s">
        <v>9201</v>
      </c>
      <c r="D1315" s="7" t="s">
        <v>9202</v>
      </c>
      <c r="E1315" s="7"/>
      <c r="F1315" s="7" t="s">
        <v>101</v>
      </c>
      <c r="G1315" s="7"/>
      <c r="H1315" s="7"/>
      <c r="I1315" s="7" t="s">
        <v>374</v>
      </c>
      <c r="J1315" s="7" t="s">
        <v>104</v>
      </c>
      <c r="K1315" s="7" t="s">
        <v>105</v>
      </c>
      <c r="L1315" s="7" t="s">
        <v>106</v>
      </c>
      <c r="M1315" s="7"/>
      <c r="N1315" s="7" t="s">
        <v>9203</v>
      </c>
      <c r="O1315" s="7"/>
      <c r="P1315" s="7" t="s">
        <v>84</v>
      </c>
      <c r="Q1315" s="7"/>
      <c r="R1315" s="7" t="s">
        <v>135</v>
      </c>
      <c r="S1315" s="7" t="s">
        <v>136</v>
      </c>
      <c r="T1315" s="7" t="n">
        <v>0.405</v>
      </c>
      <c r="U1315" s="7" t="n">
        <v>5</v>
      </c>
      <c r="V1315" s="7" t="s">
        <v>111</v>
      </c>
      <c r="W1315" s="7"/>
      <c r="X1315" s="7" t="s">
        <v>5135</v>
      </c>
      <c r="Y1315" s="7" t="s">
        <v>9203</v>
      </c>
      <c r="Z1315" s="7"/>
      <c r="AA1315" s="7"/>
      <c r="AB1315" s="7"/>
      <c r="AC1315" s="7" t="n">
        <v>5</v>
      </c>
      <c r="AD1315" s="7" t="s">
        <v>1897</v>
      </c>
      <c r="AE1315" s="7" t="s">
        <v>744</v>
      </c>
      <c r="AF1315" s="7" t="s">
        <v>9201</v>
      </c>
      <c r="AG1315" s="7" t="s">
        <v>744</v>
      </c>
      <c r="AH1315" s="7" t="s">
        <v>5135</v>
      </c>
      <c r="AI1315" s="7"/>
      <c r="AJ1315" s="7"/>
      <c r="AK1315" s="7"/>
      <c r="AL1315" s="7"/>
      <c r="AM1315" s="7" t="s">
        <v>744</v>
      </c>
      <c r="AN1315" s="7" t="s">
        <v>9204</v>
      </c>
      <c r="AO1315" s="7" t="s">
        <v>744</v>
      </c>
      <c r="AP1315" s="7" t="s">
        <v>9202</v>
      </c>
      <c r="AQ1315" s="7"/>
      <c r="AR1315" s="7"/>
      <c r="AS1315" s="7"/>
      <c r="AT1315" s="7"/>
      <c r="AU1315" s="7"/>
      <c r="AV1315" s="7"/>
      <c r="AW1315" s="7" t="s">
        <v>744</v>
      </c>
      <c r="AX1315" s="7" t="s">
        <v>9203</v>
      </c>
      <c r="AY1315" s="7"/>
      <c r="AZ1315" s="7"/>
      <c r="BA1315" s="7"/>
      <c r="BB1315" s="7"/>
      <c r="BC1315" s="7"/>
      <c r="BD1315" s="7" t="s">
        <v>9157</v>
      </c>
      <c r="BE1315" s="7" t="s">
        <v>127</v>
      </c>
      <c r="BF1315" s="8"/>
      <c r="BG1315" s="8"/>
      <c r="BH1315" s="8"/>
      <c r="BI1315" s="8"/>
      <c r="BJ1315" s="8"/>
      <c r="BK1315" s="8"/>
      <c r="BL1315" s="8"/>
      <c r="BM1315" s="8"/>
      <c r="BN1315" s="8"/>
      <c r="BO1315" s="8"/>
      <c r="BP1315" s="8"/>
      <c r="BQ1315" s="8"/>
      <c r="BR1315" s="8"/>
      <c r="BS1315" s="8"/>
    </row>
    <row r="1316" customFormat="false" ht="15" hidden="false" customHeight="false" outlineLevel="0" collapsed="false">
      <c r="A1316" s="7" t="s">
        <v>9205</v>
      </c>
      <c r="B1316" s="7" t="s">
        <v>9206</v>
      </c>
      <c r="C1316" s="7" t="s">
        <v>9207</v>
      </c>
      <c r="D1316" s="7" t="s">
        <v>397</v>
      </c>
      <c r="E1316" s="7"/>
      <c r="F1316" s="7" t="s">
        <v>101</v>
      </c>
      <c r="G1316" s="7"/>
      <c r="H1316" s="7"/>
      <c r="I1316" s="7" t="s">
        <v>300</v>
      </c>
      <c r="J1316" s="7" t="s">
        <v>104</v>
      </c>
      <c r="K1316" s="7" t="s">
        <v>105</v>
      </c>
      <c r="L1316" s="7" t="s">
        <v>2470</v>
      </c>
      <c r="M1316" s="7"/>
      <c r="N1316" s="7" t="s">
        <v>9208</v>
      </c>
      <c r="O1316" s="7"/>
      <c r="P1316" s="7" t="s">
        <v>84</v>
      </c>
      <c r="Q1316" s="7"/>
      <c r="R1316" s="7" t="s">
        <v>135</v>
      </c>
      <c r="S1316" s="7" t="s">
        <v>136</v>
      </c>
      <c r="T1316" s="7" t="n">
        <v>0.618</v>
      </c>
      <c r="U1316" s="7" t="n">
        <v>5</v>
      </c>
      <c r="V1316" s="7" t="s">
        <v>161</v>
      </c>
      <c r="W1316" s="7"/>
      <c r="X1316" s="7" t="s">
        <v>1233</v>
      </c>
      <c r="Y1316" s="7" t="s">
        <v>9208</v>
      </c>
      <c r="Z1316" s="7"/>
      <c r="AA1316" s="7"/>
      <c r="AB1316" s="7"/>
      <c r="AC1316" s="7" t="n">
        <v>5</v>
      </c>
      <c r="AD1316" s="7" t="s">
        <v>1897</v>
      </c>
      <c r="AE1316" s="7" t="s">
        <v>744</v>
      </c>
      <c r="AF1316" s="7" t="s">
        <v>9207</v>
      </c>
      <c r="AG1316" s="7" t="s">
        <v>744</v>
      </c>
      <c r="AH1316" s="7" t="s">
        <v>395</v>
      </c>
      <c r="AI1316" s="7"/>
      <c r="AJ1316" s="7"/>
      <c r="AK1316" s="7"/>
      <c r="AL1316" s="7"/>
      <c r="AM1316" s="7" t="s">
        <v>744</v>
      </c>
      <c r="AN1316" s="7" t="s">
        <v>9209</v>
      </c>
      <c r="AO1316" s="7" t="s">
        <v>744</v>
      </c>
      <c r="AP1316" s="7" t="s">
        <v>397</v>
      </c>
      <c r="AQ1316" s="7"/>
      <c r="AR1316" s="7"/>
      <c r="AS1316" s="7"/>
      <c r="AT1316" s="7"/>
      <c r="AU1316" s="7"/>
      <c r="AV1316" s="7"/>
      <c r="AW1316" s="7" t="s">
        <v>744</v>
      </c>
      <c r="AX1316" s="7" t="s">
        <v>9208</v>
      </c>
      <c r="AY1316" s="7"/>
      <c r="AZ1316" s="7"/>
      <c r="BA1316" s="7"/>
      <c r="BB1316" s="7"/>
      <c r="BC1316" s="7"/>
      <c r="BD1316" s="7" t="s">
        <v>9176</v>
      </c>
      <c r="BE1316" s="7" t="s">
        <v>127</v>
      </c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8"/>
      <c r="BS1316" s="8"/>
    </row>
    <row r="1317" customFormat="false" ht="15" hidden="false" customHeight="false" outlineLevel="0" collapsed="false">
      <c r="A1317" s="7" t="s">
        <v>9210</v>
      </c>
      <c r="B1317" s="7" t="s">
        <v>9211</v>
      </c>
      <c r="C1317" s="7" t="s">
        <v>9212</v>
      </c>
      <c r="D1317" s="7" t="s">
        <v>746</v>
      </c>
      <c r="E1317" s="7" t="s">
        <v>741</v>
      </c>
      <c r="F1317" s="7" t="s">
        <v>741</v>
      </c>
      <c r="G1317" s="7"/>
      <c r="H1317" s="7"/>
      <c r="I1317" s="7" t="s">
        <v>158</v>
      </c>
      <c r="J1317" s="7" t="s">
        <v>104</v>
      </c>
      <c r="K1317" s="7" t="s">
        <v>105</v>
      </c>
      <c r="L1317" s="7" t="s">
        <v>106</v>
      </c>
      <c r="M1317" s="7"/>
      <c r="N1317" s="7" t="s">
        <v>9213</v>
      </c>
      <c r="O1317" s="7" t="s">
        <v>9213</v>
      </c>
      <c r="P1317" s="7" t="s">
        <v>135</v>
      </c>
      <c r="Q1317" s="7"/>
      <c r="R1317" s="7" t="s">
        <v>109</v>
      </c>
      <c r="S1317" s="7" t="s">
        <v>110</v>
      </c>
      <c r="T1317" s="7" t="n">
        <v>0.538</v>
      </c>
      <c r="U1317" s="7" t="n">
        <v>4</v>
      </c>
      <c r="V1317" s="7" t="s">
        <v>90</v>
      </c>
      <c r="W1317" s="7"/>
      <c r="X1317" s="7" t="s">
        <v>163</v>
      </c>
      <c r="Y1317" s="7" t="s">
        <v>9214</v>
      </c>
      <c r="Z1317" s="7"/>
      <c r="AA1317" s="7"/>
      <c r="AB1317" s="7"/>
      <c r="AC1317" s="7" t="n">
        <v>5</v>
      </c>
      <c r="AD1317" s="7" t="s">
        <v>743</v>
      </c>
      <c r="AE1317" s="7" t="s">
        <v>189</v>
      </c>
      <c r="AF1317" s="7" t="s">
        <v>9215</v>
      </c>
      <c r="AG1317" s="7" t="s">
        <v>744</v>
      </c>
      <c r="AH1317" s="7" t="s">
        <v>163</v>
      </c>
      <c r="AI1317" s="7"/>
      <c r="AJ1317" s="7"/>
      <c r="AK1317" s="7"/>
      <c r="AL1317" s="7"/>
      <c r="AM1317" s="7"/>
      <c r="AN1317" s="7"/>
      <c r="AO1317" s="7" t="s">
        <v>744</v>
      </c>
      <c r="AP1317" s="7" t="s">
        <v>746</v>
      </c>
      <c r="AQ1317" s="7" t="s">
        <v>744</v>
      </c>
      <c r="AR1317" s="7" t="s">
        <v>741</v>
      </c>
      <c r="AS1317" s="7"/>
      <c r="AT1317" s="7"/>
      <c r="AU1317" s="7"/>
      <c r="AV1317" s="7"/>
      <c r="AW1317" s="7" t="s">
        <v>189</v>
      </c>
      <c r="AX1317" s="7" t="s">
        <v>9214</v>
      </c>
      <c r="AY1317" s="7"/>
      <c r="AZ1317" s="7"/>
      <c r="BA1317" s="7"/>
      <c r="BB1317" s="7"/>
      <c r="BC1317" s="7"/>
      <c r="BD1317" s="7" t="s">
        <v>747</v>
      </c>
      <c r="BE1317" s="7" t="s">
        <v>127</v>
      </c>
      <c r="BF1317" s="8"/>
      <c r="BG1317" s="8"/>
      <c r="BH1317" s="8"/>
      <c r="BI1317" s="8"/>
      <c r="BJ1317" s="8"/>
      <c r="BK1317" s="8"/>
      <c r="BL1317" s="8"/>
      <c r="BM1317" s="8"/>
      <c r="BN1317" s="8"/>
      <c r="BO1317" s="8"/>
      <c r="BP1317" s="8"/>
      <c r="BQ1317" s="8"/>
      <c r="BR1317" s="8"/>
      <c r="BS1317" s="8"/>
    </row>
    <row r="1318" customFormat="false" ht="15" hidden="false" customHeight="false" outlineLevel="0" collapsed="false">
      <c r="A1318" s="7" t="s">
        <v>9216</v>
      </c>
      <c r="B1318" s="7" t="s">
        <v>1926</v>
      </c>
      <c r="C1318" s="7" t="s">
        <v>9217</v>
      </c>
      <c r="D1318" s="7"/>
      <c r="E1318" s="7"/>
      <c r="F1318" s="7" t="s">
        <v>82</v>
      </c>
      <c r="G1318" s="7"/>
      <c r="H1318" s="7"/>
      <c r="I1318" s="7" t="s">
        <v>132</v>
      </c>
      <c r="J1318" s="7" t="s">
        <v>104</v>
      </c>
      <c r="K1318" s="7" t="s">
        <v>105</v>
      </c>
      <c r="L1318" s="7" t="s">
        <v>106</v>
      </c>
      <c r="M1318" s="7"/>
      <c r="N1318" s="7" t="s">
        <v>9218</v>
      </c>
      <c r="O1318" s="7"/>
      <c r="P1318" s="7" t="s">
        <v>84</v>
      </c>
      <c r="Q1318" s="7"/>
      <c r="R1318" s="7"/>
      <c r="S1318" s="7"/>
      <c r="T1318" s="7" t="n">
        <v>0.298</v>
      </c>
      <c r="U1318" s="7" t="n">
        <v>4</v>
      </c>
      <c r="V1318" s="7" t="s">
        <v>2472</v>
      </c>
      <c r="W1318" s="7" t="s">
        <v>9219</v>
      </c>
      <c r="X1318" s="7"/>
      <c r="Y1318" s="7" t="s">
        <v>9220</v>
      </c>
      <c r="Z1318" s="7"/>
      <c r="AA1318" s="7"/>
      <c r="AB1318" s="7"/>
      <c r="AC1318" s="7"/>
      <c r="AD1318" s="7"/>
      <c r="AE1318" s="7" t="s">
        <v>522</v>
      </c>
      <c r="AF1318" s="7" t="s">
        <v>9217</v>
      </c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 t="s">
        <v>522</v>
      </c>
      <c r="AX1318" s="7" t="s">
        <v>9218</v>
      </c>
      <c r="AY1318" s="7"/>
      <c r="AZ1318" s="7"/>
      <c r="BA1318" s="7"/>
      <c r="BB1318" s="7"/>
      <c r="BC1318" s="7"/>
      <c r="BD1318" s="7" t="s">
        <v>1466</v>
      </c>
      <c r="BE1318" s="7" t="s">
        <v>127</v>
      </c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</row>
    <row r="1319" customFormat="false" ht="15" hidden="false" customHeight="false" outlineLevel="0" collapsed="false">
      <c r="A1319" s="7" t="s">
        <v>9221</v>
      </c>
      <c r="B1319" s="7" t="s">
        <v>9222</v>
      </c>
      <c r="C1319" s="7" t="s">
        <v>9223</v>
      </c>
      <c r="D1319" s="7" t="s">
        <v>183</v>
      </c>
      <c r="E1319" s="7"/>
      <c r="F1319" s="7" t="s">
        <v>101</v>
      </c>
      <c r="G1319" s="7"/>
      <c r="H1319" s="7"/>
      <c r="I1319" s="7" t="s">
        <v>132</v>
      </c>
      <c r="J1319" s="7" t="s">
        <v>104</v>
      </c>
      <c r="K1319" s="7" t="s">
        <v>105</v>
      </c>
      <c r="L1319" s="7" t="s">
        <v>106</v>
      </c>
      <c r="M1319" s="7"/>
      <c r="N1319" s="7" t="s">
        <v>9224</v>
      </c>
      <c r="O1319" s="7"/>
      <c r="P1319" s="7" t="s">
        <v>109</v>
      </c>
      <c r="Q1319" s="7"/>
      <c r="R1319" s="7" t="s">
        <v>135</v>
      </c>
      <c r="S1319" s="7" t="s">
        <v>136</v>
      </c>
      <c r="T1319" s="7" t="n">
        <v>0.966</v>
      </c>
      <c r="U1319" s="7" t="n">
        <v>4</v>
      </c>
      <c r="V1319" s="7" t="s">
        <v>86</v>
      </c>
      <c r="W1319" s="7" t="s">
        <v>9225</v>
      </c>
      <c r="X1319" s="7" t="s">
        <v>4573</v>
      </c>
      <c r="Y1319" s="7" t="s">
        <v>199</v>
      </c>
      <c r="Z1319" s="7"/>
      <c r="AA1319" s="7"/>
      <c r="AB1319" s="7"/>
      <c r="AC1319" s="7" t="n">
        <v>4</v>
      </c>
      <c r="AD1319" s="7" t="s">
        <v>7611</v>
      </c>
      <c r="AE1319" s="7" t="s">
        <v>4077</v>
      </c>
      <c r="AF1319" s="7" t="s">
        <v>9226</v>
      </c>
      <c r="AG1319" s="7" t="s">
        <v>4077</v>
      </c>
      <c r="AH1319" s="7" t="s">
        <v>187</v>
      </c>
      <c r="AI1319" s="7"/>
      <c r="AJ1319" s="7"/>
      <c r="AK1319" s="7"/>
      <c r="AL1319" s="7"/>
      <c r="AM1319" s="7"/>
      <c r="AN1319" s="7"/>
      <c r="AO1319" s="7" t="s">
        <v>4077</v>
      </c>
      <c r="AP1319" s="7" t="s">
        <v>183</v>
      </c>
      <c r="AQ1319" s="7"/>
      <c r="AR1319" s="7"/>
      <c r="AS1319" s="7"/>
      <c r="AT1319" s="7"/>
      <c r="AU1319" s="7"/>
      <c r="AV1319" s="7"/>
      <c r="AW1319" s="7" t="s">
        <v>4077</v>
      </c>
      <c r="AX1319" s="7" t="s">
        <v>9224</v>
      </c>
      <c r="AY1319" s="7"/>
      <c r="AZ1319" s="7"/>
      <c r="BA1319" s="7"/>
      <c r="BB1319" s="7"/>
      <c r="BC1319" s="7"/>
      <c r="BD1319" s="7" t="s">
        <v>9227</v>
      </c>
      <c r="BE1319" s="7" t="s">
        <v>127</v>
      </c>
      <c r="BF1319" s="8"/>
      <c r="BG1319" s="8"/>
      <c r="BH1319" s="8"/>
      <c r="BI1319" s="8"/>
      <c r="BJ1319" s="8"/>
      <c r="BK1319" s="8"/>
      <c r="BL1319" s="8"/>
      <c r="BM1319" s="8"/>
      <c r="BN1319" s="8"/>
      <c r="BO1319" s="8"/>
      <c r="BP1319" s="8"/>
      <c r="BQ1319" s="8"/>
      <c r="BR1319" s="8"/>
      <c r="BS1319" s="8"/>
    </row>
    <row r="1320" customFormat="false" ht="15" hidden="false" customHeight="false" outlineLevel="0" collapsed="false">
      <c r="A1320" s="7" t="s">
        <v>9228</v>
      </c>
      <c r="B1320" s="7" t="s">
        <v>9229</v>
      </c>
      <c r="C1320" s="7" t="s">
        <v>9230</v>
      </c>
      <c r="D1320" s="7" t="s">
        <v>1900</v>
      </c>
      <c r="E1320" s="7"/>
      <c r="F1320" s="7" t="s">
        <v>101</v>
      </c>
      <c r="G1320" s="7"/>
      <c r="H1320" s="7"/>
      <c r="I1320" s="7" t="s">
        <v>374</v>
      </c>
      <c r="J1320" s="7" t="s">
        <v>104</v>
      </c>
      <c r="K1320" s="7" t="s">
        <v>105</v>
      </c>
      <c r="L1320" s="7" t="s">
        <v>106</v>
      </c>
      <c r="M1320" s="7"/>
      <c r="N1320" s="7" t="s">
        <v>9231</v>
      </c>
      <c r="O1320" s="7"/>
      <c r="P1320" s="7" t="s">
        <v>109</v>
      </c>
      <c r="Q1320" s="7"/>
      <c r="R1320" s="7" t="s">
        <v>135</v>
      </c>
      <c r="S1320" s="7" t="s">
        <v>136</v>
      </c>
      <c r="T1320" s="7" t="n">
        <v>0.538</v>
      </c>
      <c r="U1320" s="7" t="n">
        <v>4</v>
      </c>
      <c r="V1320" s="7" t="s">
        <v>86</v>
      </c>
      <c r="W1320" s="7" t="s">
        <v>9225</v>
      </c>
      <c r="X1320" s="7" t="s">
        <v>4573</v>
      </c>
      <c r="Y1320" s="7" t="s">
        <v>199</v>
      </c>
      <c r="Z1320" s="7"/>
      <c r="AA1320" s="7"/>
      <c r="AB1320" s="7"/>
      <c r="AC1320" s="7" t="n">
        <v>5</v>
      </c>
      <c r="AD1320" s="7" t="s">
        <v>1897</v>
      </c>
      <c r="AE1320" s="7" t="s">
        <v>744</v>
      </c>
      <c r="AF1320" s="7" t="s">
        <v>9230</v>
      </c>
      <c r="AG1320" s="7" t="s">
        <v>744</v>
      </c>
      <c r="AH1320" s="7" t="s">
        <v>9232</v>
      </c>
      <c r="AI1320" s="7"/>
      <c r="AJ1320" s="7"/>
      <c r="AK1320" s="7"/>
      <c r="AL1320" s="7"/>
      <c r="AM1320" s="7" t="s">
        <v>744</v>
      </c>
      <c r="AN1320" s="7" t="s">
        <v>9233</v>
      </c>
      <c r="AO1320" s="7" t="s">
        <v>744</v>
      </c>
      <c r="AP1320" s="7" t="s">
        <v>1900</v>
      </c>
      <c r="AQ1320" s="7"/>
      <c r="AR1320" s="7"/>
      <c r="AS1320" s="7"/>
      <c r="AT1320" s="7"/>
      <c r="AU1320" s="7"/>
      <c r="AV1320" s="7"/>
      <c r="AW1320" s="7" t="s">
        <v>744</v>
      </c>
      <c r="AX1320" s="7" t="s">
        <v>9231</v>
      </c>
      <c r="AY1320" s="7"/>
      <c r="AZ1320" s="7"/>
      <c r="BA1320" s="7"/>
      <c r="BB1320" s="7"/>
      <c r="BC1320" s="7"/>
      <c r="BD1320" s="7" t="s">
        <v>9234</v>
      </c>
      <c r="BE1320" s="7" t="s">
        <v>127</v>
      </c>
      <c r="BF1320" s="8"/>
      <c r="BG1320" s="8"/>
      <c r="BH1320" s="8"/>
      <c r="BI1320" s="8"/>
      <c r="BJ1320" s="8"/>
      <c r="BK1320" s="8"/>
      <c r="BL1320" s="8"/>
      <c r="BM1320" s="8"/>
      <c r="BN1320" s="8"/>
      <c r="BO1320" s="8"/>
      <c r="BP1320" s="8"/>
      <c r="BQ1320" s="8"/>
      <c r="BR1320" s="8"/>
      <c r="BS1320" s="8"/>
    </row>
    <row r="1321" customFormat="false" ht="15" hidden="false" customHeight="false" outlineLevel="0" collapsed="false">
      <c r="A1321" s="7" t="s">
        <v>9235</v>
      </c>
      <c r="B1321" s="7" t="s">
        <v>2075</v>
      </c>
      <c r="C1321" s="7" t="s">
        <v>9236</v>
      </c>
      <c r="D1321" s="7"/>
      <c r="E1321" s="7"/>
      <c r="F1321" s="7" t="s">
        <v>82</v>
      </c>
      <c r="G1321" s="7"/>
      <c r="H1321" s="7"/>
      <c r="I1321" s="7" t="s">
        <v>132</v>
      </c>
      <c r="J1321" s="7" t="s">
        <v>104</v>
      </c>
      <c r="K1321" s="7" t="s">
        <v>105</v>
      </c>
      <c r="L1321" s="7" t="s">
        <v>106</v>
      </c>
      <c r="M1321" s="7"/>
      <c r="N1321" s="7" t="s">
        <v>9237</v>
      </c>
      <c r="O1321" s="7" t="s">
        <v>9237</v>
      </c>
      <c r="P1321" s="7" t="s">
        <v>84</v>
      </c>
      <c r="Q1321" s="7"/>
      <c r="R1321" s="7" t="s">
        <v>109</v>
      </c>
      <c r="S1321" s="7" t="s">
        <v>110</v>
      </c>
      <c r="T1321" s="7" t="n">
        <v>0.677</v>
      </c>
      <c r="U1321" s="7" t="n">
        <v>4</v>
      </c>
      <c r="V1321" s="7" t="s">
        <v>161</v>
      </c>
      <c r="W1321" s="7" t="s">
        <v>1974</v>
      </c>
      <c r="X1321" s="7"/>
      <c r="Y1321" s="7" t="s">
        <v>2079</v>
      </c>
      <c r="Z1321" s="7"/>
      <c r="AA1321" s="7"/>
      <c r="AB1321" s="7"/>
      <c r="AC1321" s="7" t="n">
        <v>2</v>
      </c>
      <c r="AD1321" s="7" t="s">
        <v>7546</v>
      </c>
      <c r="AE1321" s="7" t="s">
        <v>522</v>
      </c>
      <c r="AF1321" s="7" t="s">
        <v>9236</v>
      </c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 t="s">
        <v>522</v>
      </c>
      <c r="AX1321" s="7" t="s">
        <v>9237</v>
      </c>
      <c r="AY1321" s="7"/>
      <c r="AZ1321" s="7"/>
      <c r="BA1321" s="7"/>
      <c r="BB1321" s="7"/>
      <c r="BC1321" s="7"/>
      <c r="BD1321" s="7" t="s">
        <v>220</v>
      </c>
      <c r="BE1321" s="7" t="s">
        <v>127</v>
      </c>
      <c r="BF1321" s="8"/>
      <c r="BG1321" s="8"/>
      <c r="BH1321" s="8"/>
      <c r="BI1321" s="8"/>
      <c r="BJ1321" s="8"/>
      <c r="BK1321" s="8"/>
      <c r="BL1321" s="8"/>
      <c r="BM1321" s="8"/>
      <c r="BN1321" s="8"/>
      <c r="BO1321" s="8"/>
      <c r="BP1321" s="8"/>
      <c r="BQ1321" s="8"/>
      <c r="BR1321" s="8"/>
      <c r="BS1321" s="8"/>
    </row>
    <row r="1322" customFormat="false" ht="15" hidden="false" customHeight="false" outlineLevel="0" collapsed="false">
      <c r="A1322" s="7" t="s">
        <v>9238</v>
      </c>
      <c r="B1322" s="7" t="s">
        <v>9239</v>
      </c>
      <c r="C1322" s="7" t="s">
        <v>9240</v>
      </c>
      <c r="D1322" s="7" t="s">
        <v>258</v>
      </c>
      <c r="E1322" s="7" t="s">
        <v>82</v>
      </c>
      <c r="F1322" s="7" t="s">
        <v>82</v>
      </c>
      <c r="G1322" s="7"/>
      <c r="H1322" s="7"/>
      <c r="I1322" s="7" t="s">
        <v>132</v>
      </c>
      <c r="J1322" s="7" t="s">
        <v>104</v>
      </c>
      <c r="K1322" s="7" t="s">
        <v>105</v>
      </c>
      <c r="L1322" s="7" t="s">
        <v>106</v>
      </c>
      <c r="M1322" s="7"/>
      <c r="N1322" s="7" t="s">
        <v>9241</v>
      </c>
      <c r="O1322" s="7" t="s">
        <v>9241</v>
      </c>
      <c r="P1322" s="7" t="s">
        <v>84</v>
      </c>
      <c r="Q1322" s="7"/>
      <c r="R1322" s="7" t="s">
        <v>109</v>
      </c>
      <c r="S1322" s="7" t="s">
        <v>110</v>
      </c>
      <c r="T1322" s="7" t="n">
        <v>0.352</v>
      </c>
      <c r="U1322" s="7" t="n">
        <v>4</v>
      </c>
      <c r="V1322" s="7" t="s">
        <v>161</v>
      </c>
      <c r="W1322" s="7" t="s">
        <v>1974</v>
      </c>
      <c r="X1322" s="7"/>
      <c r="Y1322" s="7" t="s">
        <v>2079</v>
      </c>
      <c r="Z1322" s="7"/>
      <c r="AA1322" s="7"/>
      <c r="AB1322" s="7"/>
      <c r="AC1322" s="7" t="n">
        <v>4</v>
      </c>
      <c r="AD1322" s="7" t="s">
        <v>1376</v>
      </c>
      <c r="AE1322" s="7" t="s">
        <v>2181</v>
      </c>
      <c r="AF1322" s="7" t="s">
        <v>9242</v>
      </c>
      <c r="AG1322" s="7"/>
      <c r="AH1322" s="7"/>
      <c r="AI1322" s="7"/>
      <c r="AJ1322" s="7"/>
      <c r="AK1322" s="7"/>
      <c r="AL1322" s="7"/>
      <c r="AM1322" s="7"/>
      <c r="AN1322" s="7"/>
      <c r="AO1322" s="7" t="s">
        <v>2181</v>
      </c>
      <c r="AP1322" s="7" t="s">
        <v>1869</v>
      </c>
      <c r="AQ1322" s="7" t="s">
        <v>2032</v>
      </c>
      <c r="AR1322" s="7" t="s">
        <v>82</v>
      </c>
      <c r="AS1322" s="7"/>
      <c r="AT1322" s="7"/>
      <c r="AU1322" s="7"/>
      <c r="AV1322" s="7"/>
      <c r="AW1322" s="7" t="s">
        <v>2032</v>
      </c>
      <c r="AX1322" s="7" t="s">
        <v>9241</v>
      </c>
      <c r="AY1322" s="7"/>
      <c r="AZ1322" s="7"/>
      <c r="BA1322" s="7"/>
      <c r="BB1322" s="7"/>
      <c r="BC1322" s="7"/>
      <c r="BD1322" s="7" t="s">
        <v>220</v>
      </c>
      <c r="BE1322" s="7" t="s">
        <v>127</v>
      </c>
      <c r="BF1322" s="8"/>
      <c r="BG1322" s="8"/>
      <c r="BH1322" s="8"/>
      <c r="BI1322" s="8"/>
      <c r="BJ1322" s="8"/>
      <c r="BK1322" s="8"/>
      <c r="BL1322" s="8"/>
      <c r="BM1322" s="8"/>
      <c r="BN1322" s="8"/>
      <c r="BO1322" s="8"/>
      <c r="BP1322" s="8"/>
      <c r="BQ1322" s="8"/>
      <c r="BR1322" s="8"/>
      <c r="BS1322" s="8"/>
    </row>
    <row r="1323" customFormat="false" ht="15" hidden="false" customHeight="false" outlineLevel="0" collapsed="false">
      <c r="A1323" s="7" t="s">
        <v>9243</v>
      </c>
      <c r="B1323" s="7" t="s">
        <v>9244</v>
      </c>
      <c r="C1323" s="7" t="s">
        <v>9245</v>
      </c>
      <c r="D1323" s="7" t="s">
        <v>2028</v>
      </c>
      <c r="E1323" s="7" t="s">
        <v>82</v>
      </c>
      <c r="F1323" s="7" t="s">
        <v>82</v>
      </c>
      <c r="G1323" s="7"/>
      <c r="H1323" s="7"/>
      <c r="I1323" s="7" t="s">
        <v>158</v>
      </c>
      <c r="J1323" s="7" t="s">
        <v>104</v>
      </c>
      <c r="K1323" s="7" t="s">
        <v>105</v>
      </c>
      <c r="L1323" s="7" t="s">
        <v>106</v>
      </c>
      <c r="M1323" s="7"/>
      <c r="N1323" s="7" t="s">
        <v>9246</v>
      </c>
      <c r="O1323" s="7" t="s">
        <v>9246</v>
      </c>
      <c r="P1323" s="7" t="s">
        <v>84</v>
      </c>
      <c r="Q1323" s="7"/>
      <c r="R1323" s="7" t="s">
        <v>109</v>
      </c>
      <c r="S1323" s="7" t="s">
        <v>110</v>
      </c>
      <c r="T1323" s="7" t="n">
        <v>0.354</v>
      </c>
      <c r="U1323" s="7" t="n">
        <v>4</v>
      </c>
      <c r="V1323" s="7" t="s">
        <v>161</v>
      </c>
      <c r="W1323" s="7" t="s">
        <v>9247</v>
      </c>
      <c r="X1323" s="7"/>
      <c r="Y1323" s="7" t="s">
        <v>9248</v>
      </c>
      <c r="Z1323" s="7"/>
      <c r="AA1323" s="7"/>
      <c r="AB1323" s="7"/>
      <c r="AC1323" s="7" t="n">
        <v>4</v>
      </c>
      <c r="AD1323" s="7" t="s">
        <v>1376</v>
      </c>
      <c r="AE1323" s="7" t="s">
        <v>2032</v>
      </c>
      <c r="AF1323" s="7" t="s">
        <v>9245</v>
      </c>
      <c r="AG1323" s="7"/>
      <c r="AH1323" s="7"/>
      <c r="AI1323" s="7"/>
      <c r="AJ1323" s="7"/>
      <c r="AK1323" s="7"/>
      <c r="AL1323" s="7"/>
      <c r="AM1323" s="7"/>
      <c r="AN1323" s="7"/>
      <c r="AO1323" s="7" t="s">
        <v>2032</v>
      </c>
      <c r="AP1323" s="7" t="s">
        <v>2028</v>
      </c>
      <c r="AQ1323" s="7" t="s">
        <v>2032</v>
      </c>
      <c r="AR1323" s="7" t="s">
        <v>82</v>
      </c>
      <c r="AS1323" s="7"/>
      <c r="AT1323" s="7"/>
      <c r="AU1323" s="7"/>
      <c r="AV1323" s="7"/>
      <c r="AW1323" s="7" t="s">
        <v>2032</v>
      </c>
      <c r="AX1323" s="7" t="s">
        <v>9246</v>
      </c>
      <c r="AY1323" s="7"/>
      <c r="AZ1323" s="7"/>
      <c r="BA1323" s="7"/>
      <c r="BB1323" s="7"/>
      <c r="BC1323" s="7"/>
      <c r="BD1323" s="7" t="s">
        <v>220</v>
      </c>
      <c r="BE1323" s="7" t="s">
        <v>127</v>
      </c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</row>
    <row r="1324" customFormat="false" ht="15" hidden="false" customHeight="false" outlineLevel="0" collapsed="false">
      <c r="A1324" s="7" t="s">
        <v>9249</v>
      </c>
      <c r="B1324" s="7" t="s">
        <v>9250</v>
      </c>
      <c r="C1324" s="7" t="s">
        <v>9251</v>
      </c>
      <c r="D1324" s="7" t="s">
        <v>746</v>
      </c>
      <c r="E1324" s="7" t="s">
        <v>741</v>
      </c>
      <c r="F1324" s="7" t="s">
        <v>741</v>
      </c>
      <c r="G1324" s="7"/>
      <c r="H1324" s="7"/>
      <c r="I1324" s="7" t="s">
        <v>158</v>
      </c>
      <c r="J1324" s="7" t="s">
        <v>104</v>
      </c>
      <c r="K1324" s="7" t="s">
        <v>105</v>
      </c>
      <c r="L1324" s="7" t="s">
        <v>106</v>
      </c>
      <c r="M1324" s="7"/>
      <c r="N1324" s="7" t="s">
        <v>9252</v>
      </c>
      <c r="O1324" s="7" t="s">
        <v>9252</v>
      </c>
      <c r="P1324" s="7" t="s">
        <v>84</v>
      </c>
      <c r="Q1324" s="7"/>
      <c r="R1324" s="7" t="s">
        <v>109</v>
      </c>
      <c r="S1324" s="7" t="s">
        <v>110</v>
      </c>
      <c r="T1324" s="7" t="n">
        <v>0.545</v>
      </c>
      <c r="U1324" s="7" t="n">
        <v>4</v>
      </c>
      <c r="V1324" s="7" t="s">
        <v>1728</v>
      </c>
      <c r="W1324" s="7"/>
      <c r="X1324" s="7" t="s">
        <v>186</v>
      </c>
      <c r="Y1324" s="7" t="s">
        <v>9252</v>
      </c>
      <c r="Z1324" s="7"/>
      <c r="AA1324" s="7"/>
      <c r="AB1324" s="7"/>
      <c r="AC1324" s="7" t="n">
        <v>5</v>
      </c>
      <c r="AD1324" s="7" t="s">
        <v>743</v>
      </c>
      <c r="AE1324" s="7" t="s">
        <v>744</v>
      </c>
      <c r="AF1324" s="7" t="s">
        <v>9251</v>
      </c>
      <c r="AG1324" s="7" t="s">
        <v>744</v>
      </c>
      <c r="AH1324" s="7" t="s">
        <v>186</v>
      </c>
      <c r="AI1324" s="7"/>
      <c r="AJ1324" s="7"/>
      <c r="AK1324" s="7"/>
      <c r="AL1324" s="7"/>
      <c r="AM1324" s="7"/>
      <c r="AN1324" s="7"/>
      <c r="AO1324" s="7" t="s">
        <v>744</v>
      </c>
      <c r="AP1324" s="7" t="s">
        <v>746</v>
      </c>
      <c r="AQ1324" s="7" t="s">
        <v>744</v>
      </c>
      <c r="AR1324" s="7" t="s">
        <v>741</v>
      </c>
      <c r="AS1324" s="7"/>
      <c r="AT1324" s="7"/>
      <c r="AU1324" s="7"/>
      <c r="AV1324" s="7"/>
      <c r="AW1324" s="7" t="s">
        <v>744</v>
      </c>
      <c r="AX1324" s="7" t="s">
        <v>9252</v>
      </c>
      <c r="AY1324" s="7"/>
      <c r="AZ1324" s="7"/>
      <c r="BA1324" s="7"/>
      <c r="BB1324" s="7"/>
      <c r="BC1324" s="7"/>
      <c r="BD1324" s="7" t="s">
        <v>2372</v>
      </c>
      <c r="BE1324" s="7" t="s">
        <v>127</v>
      </c>
      <c r="BF1324" s="8"/>
      <c r="BG1324" s="8"/>
      <c r="BH1324" s="8"/>
      <c r="BI1324" s="8"/>
      <c r="BJ1324" s="8"/>
      <c r="BK1324" s="8"/>
      <c r="BL1324" s="8"/>
      <c r="BM1324" s="8"/>
      <c r="BN1324" s="8"/>
      <c r="BO1324" s="8"/>
      <c r="BP1324" s="8"/>
      <c r="BQ1324" s="8"/>
      <c r="BR1324" s="8"/>
      <c r="BS1324" s="8"/>
    </row>
    <row r="1325" customFormat="false" ht="15" hidden="false" customHeight="false" outlineLevel="0" collapsed="false">
      <c r="A1325" s="7" t="s">
        <v>9253</v>
      </c>
      <c r="B1325" s="7" t="s">
        <v>9254</v>
      </c>
      <c r="C1325" s="7" t="s">
        <v>9255</v>
      </c>
      <c r="D1325" s="7" t="s">
        <v>397</v>
      </c>
      <c r="E1325" s="7"/>
      <c r="F1325" s="7" t="s">
        <v>101</v>
      </c>
      <c r="G1325" s="7"/>
      <c r="H1325" s="7"/>
      <c r="I1325" s="7" t="s">
        <v>1726</v>
      </c>
      <c r="J1325" s="7" t="s">
        <v>104</v>
      </c>
      <c r="K1325" s="7" t="s">
        <v>105</v>
      </c>
      <c r="L1325" s="7" t="s">
        <v>106</v>
      </c>
      <c r="M1325" s="7"/>
      <c r="N1325" s="7" t="s">
        <v>9256</v>
      </c>
      <c r="O1325" s="7"/>
      <c r="P1325" s="7" t="s">
        <v>84</v>
      </c>
      <c r="Q1325" s="7"/>
      <c r="R1325" s="7" t="s">
        <v>135</v>
      </c>
      <c r="S1325" s="7" t="s">
        <v>136</v>
      </c>
      <c r="T1325" s="7" t="n">
        <v>0.394</v>
      </c>
      <c r="U1325" s="7" t="n">
        <v>3</v>
      </c>
      <c r="V1325" s="7" t="s">
        <v>161</v>
      </c>
      <c r="W1325" s="7"/>
      <c r="X1325" s="7" t="s">
        <v>9257</v>
      </c>
      <c r="Y1325" s="7" t="s">
        <v>9258</v>
      </c>
      <c r="Z1325" s="7"/>
      <c r="AA1325" s="7"/>
      <c r="AB1325" s="7"/>
      <c r="AC1325" s="7" t="n">
        <v>5</v>
      </c>
      <c r="AD1325" s="7" t="s">
        <v>1897</v>
      </c>
      <c r="AE1325" s="7" t="s">
        <v>189</v>
      </c>
      <c r="AF1325" s="7" t="s">
        <v>9259</v>
      </c>
      <c r="AG1325" s="7" t="s">
        <v>189</v>
      </c>
      <c r="AH1325" s="7" t="s">
        <v>9260</v>
      </c>
      <c r="AI1325" s="7"/>
      <c r="AJ1325" s="7"/>
      <c r="AK1325" s="7"/>
      <c r="AL1325" s="7"/>
      <c r="AM1325" s="7" t="s">
        <v>189</v>
      </c>
      <c r="AN1325" s="7" t="s">
        <v>9261</v>
      </c>
      <c r="AO1325" s="7" t="s">
        <v>744</v>
      </c>
      <c r="AP1325" s="7" t="s">
        <v>397</v>
      </c>
      <c r="AQ1325" s="7"/>
      <c r="AR1325" s="7"/>
      <c r="AS1325" s="7"/>
      <c r="AT1325" s="7"/>
      <c r="AU1325" s="7"/>
      <c r="AV1325" s="7"/>
      <c r="AW1325" s="7" t="s">
        <v>189</v>
      </c>
      <c r="AX1325" s="7" t="s">
        <v>9258</v>
      </c>
      <c r="AY1325" s="7"/>
      <c r="AZ1325" s="7"/>
      <c r="BA1325" s="7"/>
      <c r="BB1325" s="7"/>
      <c r="BC1325" s="7"/>
      <c r="BD1325" s="7" t="s">
        <v>1218</v>
      </c>
      <c r="BE1325" s="7" t="s">
        <v>127</v>
      </c>
      <c r="BF1325" s="8"/>
      <c r="BG1325" s="8"/>
      <c r="BH1325" s="8"/>
      <c r="BI1325" s="8"/>
      <c r="BJ1325" s="8"/>
      <c r="BK1325" s="8"/>
      <c r="BL1325" s="8"/>
      <c r="BM1325" s="8"/>
      <c r="BN1325" s="8"/>
      <c r="BO1325" s="8"/>
      <c r="BP1325" s="8"/>
      <c r="BQ1325" s="8"/>
      <c r="BR1325" s="8"/>
      <c r="BS1325" s="8"/>
    </row>
    <row r="1326" customFormat="false" ht="15" hidden="false" customHeight="false" outlineLevel="0" collapsed="false">
      <c r="A1326" s="7" t="s">
        <v>9262</v>
      </c>
      <c r="B1326" s="7" t="s">
        <v>9263</v>
      </c>
      <c r="C1326" s="7" t="s">
        <v>9264</v>
      </c>
      <c r="D1326" s="7" t="s">
        <v>746</v>
      </c>
      <c r="E1326" s="7" t="s">
        <v>741</v>
      </c>
      <c r="F1326" s="7" t="s">
        <v>741</v>
      </c>
      <c r="G1326" s="7"/>
      <c r="H1326" s="7"/>
      <c r="I1326" s="7" t="s">
        <v>158</v>
      </c>
      <c r="J1326" s="7" t="s">
        <v>104</v>
      </c>
      <c r="K1326" s="7" t="s">
        <v>105</v>
      </c>
      <c r="L1326" s="7" t="s">
        <v>106</v>
      </c>
      <c r="M1326" s="7"/>
      <c r="N1326" s="7" t="s">
        <v>9265</v>
      </c>
      <c r="O1326" s="7" t="s">
        <v>9265</v>
      </c>
      <c r="P1326" s="7" t="s">
        <v>135</v>
      </c>
      <c r="Q1326" s="7"/>
      <c r="R1326" s="7" t="s">
        <v>109</v>
      </c>
      <c r="S1326" s="7" t="s">
        <v>110</v>
      </c>
      <c r="T1326" s="7" t="n">
        <v>0.651</v>
      </c>
      <c r="U1326" s="7" t="n">
        <v>3</v>
      </c>
      <c r="V1326" s="7" t="s">
        <v>90</v>
      </c>
      <c r="W1326" s="7"/>
      <c r="X1326" s="7" t="s">
        <v>163</v>
      </c>
      <c r="Y1326" s="7" t="s">
        <v>9266</v>
      </c>
      <c r="Z1326" s="7"/>
      <c r="AA1326" s="7"/>
      <c r="AB1326" s="7"/>
      <c r="AC1326" s="7" t="n">
        <v>5</v>
      </c>
      <c r="AD1326" s="7" t="s">
        <v>743</v>
      </c>
      <c r="AE1326" s="7" t="s">
        <v>189</v>
      </c>
      <c r="AF1326" s="7" t="s">
        <v>9267</v>
      </c>
      <c r="AG1326" s="7" t="s">
        <v>189</v>
      </c>
      <c r="AH1326" s="7" t="s">
        <v>163</v>
      </c>
      <c r="AI1326" s="7"/>
      <c r="AJ1326" s="7"/>
      <c r="AK1326" s="7"/>
      <c r="AL1326" s="7"/>
      <c r="AM1326" s="7"/>
      <c r="AN1326" s="7"/>
      <c r="AO1326" s="7" t="s">
        <v>744</v>
      </c>
      <c r="AP1326" s="7" t="s">
        <v>746</v>
      </c>
      <c r="AQ1326" s="7" t="s">
        <v>744</v>
      </c>
      <c r="AR1326" s="7" t="s">
        <v>741</v>
      </c>
      <c r="AS1326" s="7"/>
      <c r="AT1326" s="7"/>
      <c r="AU1326" s="7"/>
      <c r="AV1326" s="7"/>
      <c r="AW1326" s="7" t="s">
        <v>189</v>
      </c>
      <c r="AX1326" s="7" t="s">
        <v>9266</v>
      </c>
      <c r="AY1326" s="7"/>
      <c r="AZ1326" s="7"/>
      <c r="BA1326" s="7"/>
      <c r="BB1326" s="7"/>
      <c r="BC1326" s="7"/>
      <c r="BD1326" s="7" t="s">
        <v>747</v>
      </c>
      <c r="BE1326" s="7" t="s">
        <v>127</v>
      </c>
      <c r="BF1326" s="8"/>
      <c r="BG1326" s="8"/>
      <c r="BH1326" s="8"/>
      <c r="BI1326" s="8"/>
      <c r="BJ1326" s="8"/>
      <c r="BK1326" s="8"/>
      <c r="BL1326" s="8"/>
      <c r="BM1326" s="8"/>
      <c r="BN1326" s="8"/>
      <c r="BO1326" s="8"/>
      <c r="BP1326" s="8"/>
      <c r="BQ1326" s="8"/>
      <c r="BR1326" s="8"/>
      <c r="BS1326" s="8"/>
    </row>
    <row r="1327" customFormat="false" ht="15" hidden="false" customHeight="false" outlineLevel="0" collapsed="false">
      <c r="A1327" s="7" t="s">
        <v>9268</v>
      </c>
      <c r="B1327" s="7" t="s">
        <v>9269</v>
      </c>
      <c r="C1327" s="7" t="s">
        <v>9270</v>
      </c>
      <c r="D1327" s="7" t="s">
        <v>2028</v>
      </c>
      <c r="E1327" s="7" t="s">
        <v>82</v>
      </c>
      <c r="F1327" s="7" t="s">
        <v>82</v>
      </c>
      <c r="G1327" s="7"/>
      <c r="H1327" s="7"/>
      <c r="I1327" s="7" t="s">
        <v>158</v>
      </c>
      <c r="J1327" s="7" t="s">
        <v>104</v>
      </c>
      <c r="K1327" s="7" t="s">
        <v>105</v>
      </c>
      <c r="L1327" s="7" t="s">
        <v>106</v>
      </c>
      <c r="M1327" s="7"/>
      <c r="N1327" s="7" t="s">
        <v>9271</v>
      </c>
      <c r="O1327" s="7" t="s">
        <v>9271</v>
      </c>
      <c r="P1327" s="7" t="s">
        <v>84</v>
      </c>
      <c r="Q1327" s="7"/>
      <c r="R1327" s="7" t="s">
        <v>109</v>
      </c>
      <c r="S1327" s="7" t="s">
        <v>110</v>
      </c>
      <c r="T1327" s="7" t="n">
        <v>0.638</v>
      </c>
      <c r="U1327" s="7" t="n">
        <v>3</v>
      </c>
      <c r="V1327" s="7" t="s">
        <v>161</v>
      </c>
      <c r="W1327" s="7"/>
      <c r="X1327" s="7" t="s">
        <v>5135</v>
      </c>
      <c r="Y1327" s="7" t="s">
        <v>9271</v>
      </c>
      <c r="Z1327" s="7"/>
      <c r="AA1327" s="7"/>
      <c r="AB1327" s="7"/>
      <c r="AC1327" s="7" t="n">
        <v>5</v>
      </c>
      <c r="AD1327" s="7" t="s">
        <v>743</v>
      </c>
      <c r="AE1327" s="7" t="s">
        <v>2032</v>
      </c>
      <c r="AF1327" s="7" t="s">
        <v>9270</v>
      </c>
      <c r="AG1327" s="7" t="s">
        <v>2032</v>
      </c>
      <c r="AH1327" s="7" t="s">
        <v>5135</v>
      </c>
      <c r="AI1327" s="7"/>
      <c r="AJ1327" s="7"/>
      <c r="AK1327" s="7"/>
      <c r="AL1327" s="7"/>
      <c r="AM1327" s="7"/>
      <c r="AN1327" s="7"/>
      <c r="AO1327" s="7" t="s">
        <v>2032</v>
      </c>
      <c r="AP1327" s="7" t="s">
        <v>2028</v>
      </c>
      <c r="AQ1327" s="7" t="s">
        <v>2032</v>
      </c>
      <c r="AR1327" s="7" t="s">
        <v>82</v>
      </c>
      <c r="AS1327" s="7"/>
      <c r="AT1327" s="7"/>
      <c r="AU1327" s="7"/>
      <c r="AV1327" s="7"/>
      <c r="AW1327" s="7" t="s">
        <v>2032</v>
      </c>
      <c r="AX1327" s="7" t="s">
        <v>9271</v>
      </c>
      <c r="AY1327" s="7"/>
      <c r="AZ1327" s="7"/>
      <c r="BA1327" s="7"/>
      <c r="BB1327" s="7"/>
      <c r="BC1327" s="7"/>
      <c r="BD1327" s="7" t="s">
        <v>1196</v>
      </c>
      <c r="BE1327" s="7" t="s">
        <v>127</v>
      </c>
      <c r="BF1327" s="8"/>
      <c r="BG1327" s="8"/>
      <c r="BH1327" s="8"/>
      <c r="BI1327" s="8"/>
      <c r="BJ1327" s="8"/>
      <c r="BK1327" s="8"/>
      <c r="BL1327" s="8"/>
      <c r="BM1327" s="8"/>
      <c r="BN1327" s="8"/>
      <c r="BO1327" s="8"/>
      <c r="BP1327" s="8"/>
      <c r="BQ1327" s="8"/>
      <c r="BR1327" s="8"/>
      <c r="BS1327" s="8"/>
    </row>
    <row r="1328" customFormat="false" ht="15" hidden="false" customHeight="false" outlineLevel="0" collapsed="false">
      <c r="A1328" s="7" t="s">
        <v>9272</v>
      </c>
      <c r="B1328" s="7" t="s">
        <v>9273</v>
      </c>
      <c r="C1328" s="7" t="s">
        <v>9274</v>
      </c>
      <c r="D1328" s="7" t="s">
        <v>2028</v>
      </c>
      <c r="E1328" s="7" t="s">
        <v>82</v>
      </c>
      <c r="F1328" s="7" t="s">
        <v>82</v>
      </c>
      <c r="G1328" s="7"/>
      <c r="H1328" s="7"/>
      <c r="I1328" s="7" t="s">
        <v>158</v>
      </c>
      <c r="J1328" s="7" t="s">
        <v>104</v>
      </c>
      <c r="K1328" s="7" t="s">
        <v>105</v>
      </c>
      <c r="L1328" s="7" t="s">
        <v>106</v>
      </c>
      <c r="M1328" s="7"/>
      <c r="N1328" s="7" t="s">
        <v>9275</v>
      </c>
      <c r="O1328" s="7" t="s">
        <v>9275</v>
      </c>
      <c r="P1328" s="7" t="s">
        <v>84</v>
      </c>
      <c r="Q1328" s="7"/>
      <c r="R1328" s="7" t="s">
        <v>109</v>
      </c>
      <c r="S1328" s="7" t="s">
        <v>110</v>
      </c>
      <c r="T1328" s="7" t="n">
        <v>0.692</v>
      </c>
      <c r="U1328" s="7" t="n">
        <v>3</v>
      </c>
      <c r="V1328" s="7" t="s">
        <v>9276</v>
      </c>
      <c r="W1328" s="7" t="s">
        <v>4674</v>
      </c>
      <c r="X1328" s="7" t="s">
        <v>2126</v>
      </c>
      <c r="Y1328" s="7" t="s">
        <v>2124</v>
      </c>
      <c r="Z1328" s="7"/>
      <c r="AA1328" s="7"/>
      <c r="AB1328" s="7"/>
      <c r="AC1328" s="7" t="n">
        <v>4</v>
      </c>
      <c r="AD1328" s="7" t="s">
        <v>1376</v>
      </c>
      <c r="AE1328" s="7" t="s">
        <v>2032</v>
      </c>
      <c r="AF1328" s="7" t="s">
        <v>9274</v>
      </c>
      <c r="AG1328" s="7"/>
      <c r="AH1328" s="7"/>
      <c r="AI1328" s="7"/>
      <c r="AJ1328" s="7"/>
      <c r="AK1328" s="7"/>
      <c r="AL1328" s="7"/>
      <c r="AM1328" s="7"/>
      <c r="AN1328" s="7"/>
      <c r="AO1328" s="7" t="s">
        <v>2032</v>
      </c>
      <c r="AP1328" s="7" t="s">
        <v>2028</v>
      </c>
      <c r="AQ1328" s="7" t="s">
        <v>2032</v>
      </c>
      <c r="AR1328" s="7" t="s">
        <v>82</v>
      </c>
      <c r="AS1328" s="7"/>
      <c r="AT1328" s="7"/>
      <c r="AU1328" s="7"/>
      <c r="AV1328" s="7"/>
      <c r="AW1328" s="7" t="s">
        <v>2032</v>
      </c>
      <c r="AX1328" s="7" t="s">
        <v>9275</v>
      </c>
      <c r="AY1328" s="7"/>
      <c r="AZ1328" s="7"/>
      <c r="BA1328" s="7"/>
      <c r="BB1328" s="7"/>
      <c r="BC1328" s="7"/>
      <c r="BD1328" s="7" t="s">
        <v>2033</v>
      </c>
      <c r="BE1328" s="7" t="s">
        <v>127</v>
      </c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</row>
    <row r="1329" customFormat="false" ht="15" hidden="false" customHeight="false" outlineLevel="0" collapsed="false">
      <c r="A1329" s="7" t="s">
        <v>9277</v>
      </c>
      <c r="B1329" s="7" t="s">
        <v>9278</v>
      </c>
      <c r="C1329" s="7" t="s">
        <v>9279</v>
      </c>
      <c r="D1329" s="7" t="s">
        <v>2028</v>
      </c>
      <c r="E1329" s="7" t="s">
        <v>82</v>
      </c>
      <c r="F1329" s="7" t="s">
        <v>82</v>
      </c>
      <c r="G1329" s="7"/>
      <c r="H1329" s="7"/>
      <c r="I1329" s="7" t="s">
        <v>158</v>
      </c>
      <c r="J1329" s="7" t="s">
        <v>104</v>
      </c>
      <c r="K1329" s="7" t="s">
        <v>105</v>
      </c>
      <c r="L1329" s="7" t="s">
        <v>106</v>
      </c>
      <c r="M1329" s="7"/>
      <c r="N1329" s="7" t="s">
        <v>9280</v>
      </c>
      <c r="O1329" s="7" t="s">
        <v>9280</v>
      </c>
      <c r="P1329" s="7" t="s">
        <v>84</v>
      </c>
      <c r="Q1329" s="7"/>
      <c r="R1329" s="7" t="s">
        <v>109</v>
      </c>
      <c r="S1329" s="7" t="s">
        <v>110</v>
      </c>
      <c r="T1329" s="7" t="n">
        <v>0.495</v>
      </c>
      <c r="U1329" s="7" t="n">
        <v>3</v>
      </c>
      <c r="V1329" s="7" t="s">
        <v>1112</v>
      </c>
      <c r="W1329" s="7" t="s">
        <v>9281</v>
      </c>
      <c r="X1329" s="7"/>
      <c r="Y1329" s="7" t="s">
        <v>9280</v>
      </c>
      <c r="Z1329" s="7"/>
      <c r="AA1329" s="7"/>
      <c r="AB1329" s="7"/>
      <c r="AC1329" s="7" t="n">
        <v>4</v>
      </c>
      <c r="AD1329" s="7" t="s">
        <v>1376</v>
      </c>
      <c r="AE1329" s="7" t="s">
        <v>2032</v>
      </c>
      <c r="AF1329" s="7" t="s">
        <v>9279</v>
      </c>
      <c r="AG1329" s="7"/>
      <c r="AH1329" s="7"/>
      <c r="AI1329" s="7"/>
      <c r="AJ1329" s="7"/>
      <c r="AK1329" s="7"/>
      <c r="AL1329" s="7"/>
      <c r="AM1329" s="7"/>
      <c r="AN1329" s="7"/>
      <c r="AO1329" s="7" t="s">
        <v>2032</v>
      </c>
      <c r="AP1329" s="7" t="s">
        <v>2028</v>
      </c>
      <c r="AQ1329" s="7" t="s">
        <v>2032</v>
      </c>
      <c r="AR1329" s="7" t="s">
        <v>82</v>
      </c>
      <c r="AS1329" s="7"/>
      <c r="AT1329" s="7"/>
      <c r="AU1329" s="7"/>
      <c r="AV1329" s="7"/>
      <c r="AW1329" s="7" t="s">
        <v>2032</v>
      </c>
      <c r="AX1329" s="7" t="s">
        <v>9280</v>
      </c>
      <c r="AY1329" s="7"/>
      <c r="AZ1329" s="7"/>
      <c r="BA1329" s="7"/>
      <c r="BB1329" s="7"/>
      <c r="BC1329" s="7"/>
      <c r="BD1329" s="7" t="s">
        <v>2135</v>
      </c>
      <c r="BE1329" s="7" t="s">
        <v>127</v>
      </c>
      <c r="BF1329" s="8"/>
      <c r="BG1329" s="8"/>
      <c r="BH1329" s="8"/>
      <c r="BI1329" s="8"/>
      <c r="BJ1329" s="8"/>
      <c r="BK1329" s="8"/>
      <c r="BL1329" s="8"/>
      <c r="BM1329" s="8"/>
      <c r="BN1329" s="8"/>
      <c r="BO1329" s="8"/>
      <c r="BP1329" s="8"/>
      <c r="BQ1329" s="8"/>
      <c r="BR1329" s="8"/>
      <c r="BS1329" s="8"/>
    </row>
    <row r="1330" customFormat="false" ht="15" hidden="false" customHeight="false" outlineLevel="0" collapsed="false">
      <c r="A1330" s="7" t="s">
        <v>9282</v>
      </c>
      <c r="B1330" s="7" t="s">
        <v>9283</v>
      </c>
      <c r="C1330" s="7" t="s">
        <v>9284</v>
      </c>
      <c r="D1330" s="7" t="s">
        <v>2028</v>
      </c>
      <c r="E1330" s="7" t="s">
        <v>82</v>
      </c>
      <c r="F1330" s="7" t="s">
        <v>82</v>
      </c>
      <c r="G1330" s="7"/>
      <c r="H1330" s="7"/>
      <c r="I1330" s="7" t="s">
        <v>158</v>
      </c>
      <c r="J1330" s="7" t="s">
        <v>104</v>
      </c>
      <c r="K1330" s="7" t="s">
        <v>105</v>
      </c>
      <c r="L1330" s="7" t="s">
        <v>106</v>
      </c>
      <c r="M1330" s="7"/>
      <c r="N1330" s="7" t="s">
        <v>9285</v>
      </c>
      <c r="O1330" s="7" t="s">
        <v>9285</v>
      </c>
      <c r="P1330" s="7" t="s">
        <v>84</v>
      </c>
      <c r="Q1330" s="7"/>
      <c r="R1330" s="7" t="s">
        <v>109</v>
      </c>
      <c r="S1330" s="7" t="s">
        <v>110</v>
      </c>
      <c r="T1330" s="7" t="n">
        <v>0.453</v>
      </c>
      <c r="U1330" s="7" t="n">
        <v>3</v>
      </c>
      <c r="V1330" s="7" t="s">
        <v>2472</v>
      </c>
      <c r="W1330" s="7" t="s">
        <v>4674</v>
      </c>
      <c r="X1330" s="7" t="s">
        <v>2126</v>
      </c>
      <c r="Y1330" s="7" t="s">
        <v>2124</v>
      </c>
      <c r="Z1330" s="7"/>
      <c r="AA1330" s="7"/>
      <c r="AB1330" s="7"/>
      <c r="AC1330" s="7" t="n">
        <v>5</v>
      </c>
      <c r="AD1330" s="7" t="s">
        <v>743</v>
      </c>
      <c r="AE1330" s="7" t="s">
        <v>2032</v>
      </c>
      <c r="AF1330" s="7" t="s">
        <v>9284</v>
      </c>
      <c r="AG1330" s="7" t="s">
        <v>2032</v>
      </c>
      <c r="AH1330" s="7" t="s">
        <v>2120</v>
      </c>
      <c r="AI1330" s="7"/>
      <c r="AJ1330" s="7"/>
      <c r="AK1330" s="7"/>
      <c r="AL1330" s="7"/>
      <c r="AM1330" s="7"/>
      <c r="AN1330" s="7"/>
      <c r="AO1330" s="7" t="s">
        <v>2032</v>
      </c>
      <c r="AP1330" s="7" t="s">
        <v>2028</v>
      </c>
      <c r="AQ1330" s="7" t="s">
        <v>2032</v>
      </c>
      <c r="AR1330" s="7" t="s">
        <v>82</v>
      </c>
      <c r="AS1330" s="7"/>
      <c r="AT1330" s="7"/>
      <c r="AU1330" s="7"/>
      <c r="AV1330" s="7"/>
      <c r="AW1330" s="7" t="s">
        <v>2032</v>
      </c>
      <c r="AX1330" s="7" t="s">
        <v>9285</v>
      </c>
      <c r="AY1330" s="7"/>
      <c r="AZ1330" s="7"/>
      <c r="BA1330" s="7"/>
      <c r="BB1330" s="7"/>
      <c r="BC1330" s="7"/>
      <c r="BD1330" s="7" t="s">
        <v>2033</v>
      </c>
      <c r="BE1330" s="7" t="s">
        <v>127</v>
      </c>
      <c r="BF1330" s="8"/>
      <c r="BG1330" s="8"/>
      <c r="BH1330" s="8"/>
      <c r="BI1330" s="8"/>
      <c r="BJ1330" s="8"/>
      <c r="BK1330" s="8"/>
      <c r="BL1330" s="8"/>
      <c r="BM1330" s="8"/>
      <c r="BN1330" s="8"/>
      <c r="BO1330" s="8"/>
      <c r="BP1330" s="8"/>
      <c r="BQ1330" s="8"/>
      <c r="BR1330" s="8"/>
      <c r="BS1330" s="8"/>
    </row>
    <row r="1331" customFormat="false" ht="15" hidden="false" customHeight="false" outlineLevel="0" collapsed="false">
      <c r="A1331" s="7" t="s">
        <v>9286</v>
      </c>
      <c r="B1331" s="7" t="s">
        <v>9287</v>
      </c>
      <c r="C1331" s="7" t="s">
        <v>9288</v>
      </c>
      <c r="D1331" s="7" t="s">
        <v>2028</v>
      </c>
      <c r="E1331" s="7" t="s">
        <v>82</v>
      </c>
      <c r="F1331" s="7" t="s">
        <v>82</v>
      </c>
      <c r="G1331" s="7"/>
      <c r="H1331" s="7"/>
      <c r="I1331" s="7" t="s">
        <v>158</v>
      </c>
      <c r="J1331" s="7" t="s">
        <v>104</v>
      </c>
      <c r="K1331" s="7" t="s">
        <v>105</v>
      </c>
      <c r="L1331" s="7" t="s">
        <v>106</v>
      </c>
      <c r="M1331" s="7"/>
      <c r="N1331" s="7" t="s">
        <v>9289</v>
      </c>
      <c r="O1331" s="7" t="s">
        <v>9289</v>
      </c>
      <c r="P1331" s="7" t="s">
        <v>84</v>
      </c>
      <c r="Q1331" s="7"/>
      <c r="R1331" s="7" t="s">
        <v>109</v>
      </c>
      <c r="S1331" s="7" t="s">
        <v>110</v>
      </c>
      <c r="T1331" s="7" t="n">
        <v>0.661</v>
      </c>
      <c r="U1331" s="7" t="n">
        <v>3</v>
      </c>
      <c r="V1331" s="7" t="s">
        <v>9276</v>
      </c>
      <c r="W1331" s="7" t="s">
        <v>4674</v>
      </c>
      <c r="X1331" s="7" t="s">
        <v>2126</v>
      </c>
      <c r="Y1331" s="7" t="s">
        <v>2124</v>
      </c>
      <c r="Z1331" s="7"/>
      <c r="AA1331" s="7"/>
      <c r="AB1331" s="7"/>
      <c r="AC1331" s="7" t="n">
        <v>4</v>
      </c>
      <c r="AD1331" s="7" t="s">
        <v>1376</v>
      </c>
      <c r="AE1331" s="7" t="s">
        <v>2032</v>
      </c>
      <c r="AF1331" s="7" t="s">
        <v>9288</v>
      </c>
      <c r="AG1331" s="7"/>
      <c r="AH1331" s="7"/>
      <c r="AI1331" s="7"/>
      <c r="AJ1331" s="7"/>
      <c r="AK1331" s="7"/>
      <c r="AL1331" s="7"/>
      <c r="AM1331" s="7"/>
      <c r="AN1331" s="7"/>
      <c r="AO1331" s="7" t="s">
        <v>2032</v>
      </c>
      <c r="AP1331" s="7" t="s">
        <v>2028</v>
      </c>
      <c r="AQ1331" s="7" t="s">
        <v>2032</v>
      </c>
      <c r="AR1331" s="7" t="s">
        <v>82</v>
      </c>
      <c r="AS1331" s="7"/>
      <c r="AT1331" s="7"/>
      <c r="AU1331" s="7"/>
      <c r="AV1331" s="7"/>
      <c r="AW1331" s="7" t="s">
        <v>2032</v>
      </c>
      <c r="AX1331" s="7" t="s">
        <v>9289</v>
      </c>
      <c r="AY1331" s="7"/>
      <c r="AZ1331" s="7"/>
      <c r="BA1331" s="7"/>
      <c r="BB1331" s="7"/>
      <c r="BC1331" s="7"/>
      <c r="BD1331" s="7" t="s">
        <v>2033</v>
      </c>
      <c r="BE1331" s="7" t="s">
        <v>127</v>
      </c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</row>
    <row r="1332" customFormat="false" ht="15" hidden="false" customHeight="false" outlineLevel="0" collapsed="false">
      <c r="A1332" s="7" t="s">
        <v>9290</v>
      </c>
      <c r="B1332" s="7" t="s">
        <v>9291</v>
      </c>
      <c r="C1332" s="7" t="s">
        <v>9292</v>
      </c>
      <c r="D1332" s="7" t="s">
        <v>3461</v>
      </c>
      <c r="E1332" s="7" t="s">
        <v>82</v>
      </c>
      <c r="F1332" s="7" t="s">
        <v>82</v>
      </c>
      <c r="G1332" s="7"/>
      <c r="H1332" s="7"/>
      <c r="I1332" s="7" t="s">
        <v>158</v>
      </c>
      <c r="J1332" s="7" t="s">
        <v>104</v>
      </c>
      <c r="K1332" s="7" t="s">
        <v>105</v>
      </c>
      <c r="L1332" s="7" t="s">
        <v>106</v>
      </c>
      <c r="M1332" s="7"/>
      <c r="N1332" s="7" t="s">
        <v>9293</v>
      </c>
      <c r="O1332" s="7" t="s">
        <v>9293</v>
      </c>
      <c r="P1332" s="7" t="s">
        <v>84</v>
      </c>
      <c r="Q1332" s="7"/>
      <c r="R1332" s="7" t="s">
        <v>109</v>
      </c>
      <c r="S1332" s="7" t="s">
        <v>110</v>
      </c>
      <c r="T1332" s="7" t="n">
        <v>0.483</v>
      </c>
      <c r="U1332" s="7" t="n">
        <v>3</v>
      </c>
      <c r="V1332" s="7" t="s">
        <v>1112</v>
      </c>
      <c r="W1332" s="7" t="s">
        <v>1113</v>
      </c>
      <c r="X1332" s="7" t="s">
        <v>1114</v>
      </c>
      <c r="Y1332" s="7" t="s">
        <v>1115</v>
      </c>
      <c r="Z1332" s="7"/>
      <c r="AA1332" s="7"/>
      <c r="AB1332" s="7"/>
      <c r="AC1332" s="7" t="n">
        <v>5</v>
      </c>
      <c r="AD1332" s="7" t="s">
        <v>743</v>
      </c>
      <c r="AE1332" s="7" t="s">
        <v>189</v>
      </c>
      <c r="AF1332" s="7" t="s">
        <v>9294</v>
      </c>
      <c r="AG1332" s="7" t="s">
        <v>189</v>
      </c>
      <c r="AH1332" s="7" t="s">
        <v>9295</v>
      </c>
      <c r="AI1332" s="7"/>
      <c r="AJ1332" s="7"/>
      <c r="AK1332" s="7"/>
      <c r="AL1332" s="7"/>
      <c r="AM1332" s="7"/>
      <c r="AN1332" s="7"/>
      <c r="AO1332" s="7" t="s">
        <v>744</v>
      </c>
      <c r="AP1332" s="7" t="s">
        <v>3461</v>
      </c>
      <c r="AQ1332" s="7" t="s">
        <v>744</v>
      </c>
      <c r="AR1332" s="7" t="s">
        <v>82</v>
      </c>
      <c r="AS1332" s="7"/>
      <c r="AT1332" s="7"/>
      <c r="AU1332" s="7"/>
      <c r="AV1332" s="7"/>
      <c r="AW1332" s="7" t="s">
        <v>744</v>
      </c>
      <c r="AX1332" s="7" t="s">
        <v>9293</v>
      </c>
      <c r="AY1332" s="7"/>
      <c r="AZ1332" s="7"/>
      <c r="BA1332" s="7"/>
      <c r="BB1332" s="7"/>
      <c r="BC1332" s="7"/>
      <c r="BD1332" s="7" t="s">
        <v>1119</v>
      </c>
      <c r="BE1332" s="7" t="s">
        <v>127</v>
      </c>
      <c r="BF1332" s="8"/>
      <c r="BG1332" s="8"/>
      <c r="BH1332" s="8"/>
      <c r="BI1332" s="8"/>
      <c r="BJ1332" s="8"/>
      <c r="BK1332" s="8"/>
      <c r="BL1332" s="8"/>
      <c r="BM1332" s="8"/>
      <c r="BN1332" s="8"/>
      <c r="BO1332" s="8"/>
      <c r="BP1332" s="8"/>
      <c r="BQ1332" s="8"/>
      <c r="BR1332" s="8"/>
      <c r="BS1332" s="8"/>
    </row>
    <row r="1333" customFormat="false" ht="15" hidden="false" customHeight="false" outlineLevel="0" collapsed="false">
      <c r="A1333" s="7" t="s">
        <v>9296</v>
      </c>
      <c r="B1333" s="7" t="s">
        <v>9297</v>
      </c>
      <c r="C1333" s="7" t="s">
        <v>9298</v>
      </c>
      <c r="D1333" s="7"/>
      <c r="E1333" s="7"/>
      <c r="F1333" s="7" t="s">
        <v>101</v>
      </c>
      <c r="G1333" s="7"/>
      <c r="H1333" s="7"/>
      <c r="I1333" s="7" t="s">
        <v>1726</v>
      </c>
      <c r="J1333" s="7" t="s">
        <v>104</v>
      </c>
      <c r="K1333" s="7" t="s">
        <v>105</v>
      </c>
      <c r="L1333" s="7" t="s">
        <v>106</v>
      </c>
      <c r="M1333" s="7"/>
      <c r="N1333" s="7" t="s">
        <v>9299</v>
      </c>
      <c r="O1333" s="7"/>
      <c r="P1333" s="7" t="s">
        <v>109</v>
      </c>
      <c r="Q1333" s="7"/>
      <c r="R1333" s="7" t="s">
        <v>135</v>
      </c>
      <c r="S1333" s="7" t="s">
        <v>136</v>
      </c>
      <c r="T1333" s="7" t="n">
        <v>0.372</v>
      </c>
      <c r="U1333" s="7" t="n">
        <v>3</v>
      </c>
      <c r="V1333" s="7" t="s">
        <v>86</v>
      </c>
      <c r="W1333" s="7" t="s">
        <v>9300</v>
      </c>
      <c r="X1333" s="7" t="s">
        <v>9301</v>
      </c>
      <c r="Y1333" s="7" t="s">
        <v>9302</v>
      </c>
      <c r="Z1333" s="7"/>
      <c r="AA1333" s="7"/>
      <c r="AB1333" s="7"/>
      <c r="AC1333" s="7" t="n">
        <v>3</v>
      </c>
      <c r="AD1333" s="7" t="s">
        <v>4076</v>
      </c>
      <c r="AE1333" s="7" t="s">
        <v>4077</v>
      </c>
      <c r="AF1333" s="7" t="s">
        <v>9303</v>
      </c>
      <c r="AG1333" s="7" t="s">
        <v>4077</v>
      </c>
      <c r="AH1333" s="7" t="s">
        <v>5534</v>
      </c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 t="s">
        <v>4077</v>
      </c>
      <c r="AX1333" s="7" t="s">
        <v>9299</v>
      </c>
      <c r="AY1333" s="7"/>
      <c r="AZ1333" s="7"/>
      <c r="BA1333" s="7"/>
      <c r="BB1333" s="7"/>
      <c r="BC1333" s="7"/>
      <c r="BD1333" s="7" t="s">
        <v>126</v>
      </c>
      <c r="BE1333" s="7" t="s">
        <v>127</v>
      </c>
      <c r="BF1333" s="8"/>
      <c r="BG1333" s="8"/>
      <c r="BH1333" s="8"/>
      <c r="BI1333" s="8"/>
      <c r="BJ1333" s="8"/>
      <c r="BK1333" s="8"/>
      <c r="BL1333" s="8"/>
      <c r="BM1333" s="8"/>
      <c r="BN1333" s="8"/>
      <c r="BO1333" s="8"/>
      <c r="BP1333" s="8"/>
      <c r="BQ1333" s="8"/>
      <c r="BR1333" s="8"/>
      <c r="BS1333" s="8"/>
    </row>
    <row r="1334" customFormat="false" ht="15" hidden="false" customHeight="false" outlineLevel="0" collapsed="false">
      <c r="A1334" s="7" t="s">
        <v>9304</v>
      </c>
      <c r="B1334" s="7" t="s">
        <v>9305</v>
      </c>
      <c r="C1334" s="7" t="s">
        <v>9306</v>
      </c>
      <c r="D1334" s="7" t="s">
        <v>746</v>
      </c>
      <c r="E1334" s="7" t="s">
        <v>741</v>
      </c>
      <c r="F1334" s="7" t="s">
        <v>741</v>
      </c>
      <c r="G1334" s="7"/>
      <c r="H1334" s="7"/>
      <c r="I1334" s="7" t="s">
        <v>158</v>
      </c>
      <c r="J1334" s="7" t="s">
        <v>104</v>
      </c>
      <c r="K1334" s="7" t="s">
        <v>105</v>
      </c>
      <c r="L1334" s="7" t="s">
        <v>353</v>
      </c>
      <c r="M1334" s="7"/>
      <c r="N1334" s="7" t="s">
        <v>9307</v>
      </c>
      <c r="O1334" s="7" t="s">
        <v>9307</v>
      </c>
      <c r="P1334" s="7" t="s">
        <v>84</v>
      </c>
      <c r="Q1334" s="7"/>
      <c r="R1334" s="7" t="s">
        <v>109</v>
      </c>
      <c r="S1334" s="7" t="s">
        <v>110</v>
      </c>
      <c r="T1334" s="7" t="n">
        <v>0.544</v>
      </c>
      <c r="U1334" s="7" t="n">
        <v>3</v>
      </c>
      <c r="V1334" s="7" t="s">
        <v>161</v>
      </c>
      <c r="W1334" s="7"/>
      <c r="X1334" s="7" t="s">
        <v>1258</v>
      </c>
      <c r="Y1334" s="7" t="s">
        <v>9307</v>
      </c>
      <c r="Z1334" s="7"/>
      <c r="AA1334" s="7"/>
      <c r="AB1334" s="7"/>
      <c r="AC1334" s="7" t="n">
        <v>5</v>
      </c>
      <c r="AD1334" s="7" t="s">
        <v>743</v>
      </c>
      <c r="AE1334" s="7" t="s">
        <v>744</v>
      </c>
      <c r="AF1334" s="7" t="s">
        <v>9306</v>
      </c>
      <c r="AG1334" s="7" t="s">
        <v>744</v>
      </c>
      <c r="AH1334" s="7" t="s">
        <v>1258</v>
      </c>
      <c r="AI1334" s="7"/>
      <c r="AJ1334" s="7"/>
      <c r="AK1334" s="7"/>
      <c r="AL1334" s="7"/>
      <c r="AM1334" s="7"/>
      <c r="AN1334" s="7"/>
      <c r="AO1334" s="7" t="s">
        <v>744</v>
      </c>
      <c r="AP1334" s="7" t="s">
        <v>746</v>
      </c>
      <c r="AQ1334" s="7" t="s">
        <v>744</v>
      </c>
      <c r="AR1334" s="7" t="s">
        <v>741</v>
      </c>
      <c r="AS1334" s="7"/>
      <c r="AT1334" s="7"/>
      <c r="AU1334" s="7"/>
      <c r="AV1334" s="7"/>
      <c r="AW1334" s="7" t="s">
        <v>744</v>
      </c>
      <c r="AX1334" s="7" t="s">
        <v>9307</v>
      </c>
      <c r="AY1334" s="7"/>
      <c r="AZ1334" s="7"/>
      <c r="BA1334" s="7"/>
      <c r="BB1334" s="7"/>
      <c r="BC1334" s="7"/>
      <c r="BD1334" s="7" t="s">
        <v>2372</v>
      </c>
      <c r="BE1334" s="7" t="s">
        <v>127</v>
      </c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8"/>
      <c r="BS1334" s="8"/>
    </row>
    <row r="1335" customFormat="false" ht="15" hidden="false" customHeight="false" outlineLevel="0" collapsed="false">
      <c r="A1335" s="7" t="s">
        <v>9308</v>
      </c>
      <c r="B1335" s="7" t="s">
        <v>9309</v>
      </c>
      <c r="C1335" s="7" t="s">
        <v>9310</v>
      </c>
      <c r="D1335" s="7" t="s">
        <v>746</v>
      </c>
      <c r="E1335" s="7" t="s">
        <v>741</v>
      </c>
      <c r="F1335" s="7" t="s">
        <v>741</v>
      </c>
      <c r="G1335" s="7"/>
      <c r="H1335" s="7"/>
      <c r="I1335" s="7" t="s">
        <v>158</v>
      </c>
      <c r="J1335" s="7" t="s">
        <v>104</v>
      </c>
      <c r="K1335" s="7" t="s">
        <v>105</v>
      </c>
      <c r="L1335" s="7" t="s">
        <v>353</v>
      </c>
      <c r="M1335" s="7"/>
      <c r="N1335" s="7" t="s">
        <v>9311</v>
      </c>
      <c r="O1335" s="7" t="s">
        <v>9311</v>
      </c>
      <c r="P1335" s="7" t="s">
        <v>84</v>
      </c>
      <c r="Q1335" s="7"/>
      <c r="R1335" s="7" t="s">
        <v>109</v>
      </c>
      <c r="S1335" s="7" t="s">
        <v>110</v>
      </c>
      <c r="T1335" s="7" t="n">
        <v>0.543</v>
      </c>
      <c r="U1335" s="7" t="n">
        <v>3</v>
      </c>
      <c r="V1335" s="7" t="s">
        <v>161</v>
      </c>
      <c r="W1335" s="7"/>
      <c r="X1335" s="7" t="s">
        <v>9312</v>
      </c>
      <c r="Y1335" s="7" t="s">
        <v>9311</v>
      </c>
      <c r="Z1335" s="7"/>
      <c r="AA1335" s="7"/>
      <c r="AB1335" s="7"/>
      <c r="AC1335" s="7" t="n">
        <v>5</v>
      </c>
      <c r="AD1335" s="7" t="s">
        <v>743</v>
      </c>
      <c r="AE1335" s="7" t="s">
        <v>744</v>
      </c>
      <c r="AF1335" s="7" t="s">
        <v>9310</v>
      </c>
      <c r="AG1335" s="7" t="s">
        <v>744</v>
      </c>
      <c r="AH1335" s="7" t="s">
        <v>9312</v>
      </c>
      <c r="AI1335" s="7"/>
      <c r="AJ1335" s="7"/>
      <c r="AK1335" s="7"/>
      <c r="AL1335" s="7"/>
      <c r="AM1335" s="7"/>
      <c r="AN1335" s="7"/>
      <c r="AO1335" s="7" t="s">
        <v>744</v>
      </c>
      <c r="AP1335" s="7" t="s">
        <v>746</v>
      </c>
      <c r="AQ1335" s="7" t="s">
        <v>744</v>
      </c>
      <c r="AR1335" s="7" t="s">
        <v>741</v>
      </c>
      <c r="AS1335" s="7"/>
      <c r="AT1335" s="7"/>
      <c r="AU1335" s="7"/>
      <c r="AV1335" s="7"/>
      <c r="AW1335" s="7" t="s">
        <v>744</v>
      </c>
      <c r="AX1335" s="7" t="s">
        <v>9311</v>
      </c>
      <c r="AY1335" s="7"/>
      <c r="AZ1335" s="7"/>
      <c r="BA1335" s="7"/>
      <c r="BB1335" s="7"/>
      <c r="BC1335" s="7"/>
      <c r="BD1335" s="7" t="s">
        <v>2372</v>
      </c>
      <c r="BE1335" s="7" t="s">
        <v>127</v>
      </c>
      <c r="BF1335" s="8"/>
      <c r="BG1335" s="8"/>
      <c r="BH1335" s="8"/>
      <c r="BI1335" s="8"/>
      <c r="BJ1335" s="8"/>
      <c r="BK1335" s="8"/>
      <c r="BL1335" s="8"/>
      <c r="BM1335" s="8"/>
      <c r="BN1335" s="8"/>
      <c r="BO1335" s="8"/>
      <c r="BP1335" s="8"/>
      <c r="BQ1335" s="8"/>
      <c r="BR1335" s="8"/>
      <c r="BS1335" s="8"/>
    </row>
    <row r="1336" customFormat="false" ht="15" hidden="false" customHeight="false" outlineLevel="0" collapsed="false">
      <c r="A1336" s="7" t="s">
        <v>9313</v>
      </c>
      <c r="B1336" s="7" t="s">
        <v>9314</v>
      </c>
      <c r="C1336" s="7" t="s">
        <v>9315</v>
      </c>
      <c r="D1336" s="7" t="s">
        <v>9316</v>
      </c>
      <c r="E1336" s="7" t="s">
        <v>737</v>
      </c>
      <c r="F1336" s="7" t="s">
        <v>737</v>
      </c>
      <c r="G1336" s="7"/>
      <c r="H1336" s="7"/>
      <c r="I1336" s="7" t="s">
        <v>132</v>
      </c>
      <c r="J1336" s="7" t="s">
        <v>104</v>
      </c>
      <c r="K1336" s="7" t="s">
        <v>105</v>
      </c>
      <c r="L1336" s="7" t="s">
        <v>106</v>
      </c>
      <c r="M1336" s="7"/>
      <c r="N1336" s="7" t="s">
        <v>9317</v>
      </c>
      <c r="O1336" s="7" t="s">
        <v>9317</v>
      </c>
      <c r="P1336" s="7" t="s">
        <v>84</v>
      </c>
      <c r="Q1336" s="7"/>
      <c r="R1336" s="7" t="s">
        <v>109</v>
      </c>
      <c r="S1336" s="7" t="s">
        <v>110</v>
      </c>
      <c r="T1336" s="7" t="n">
        <v>0.429</v>
      </c>
      <c r="U1336" s="7" t="n">
        <v>3</v>
      </c>
      <c r="V1336" s="7" t="s">
        <v>1728</v>
      </c>
      <c r="W1336" s="7"/>
      <c r="X1336" s="7" t="s">
        <v>9318</v>
      </c>
      <c r="Y1336" s="7" t="s">
        <v>9317</v>
      </c>
      <c r="Z1336" s="7"/>
      <c r="AA1336" s="7"/>
      <c r="AB1336" s="7"/>
      <c r="AC1336" s="7" t="n">
        <v>5</v>
      </c>
      <c r="AD1336" s="7" t="s">
        <v>743</v>
      </c>
      <c r="AE1336" s="7" t="s">
        <v>744</v>
      </c>
      <c r="AF1336" s="7" t="s">
        <v>9315</v>
      </c>
      <c r="AG1336" s="7" t="s">
        <v>744</v>
      </c>
      <c r="AH1336" s="7" t="s">
        <v>9318</v>
      </c>
      <c r="AI1336" s="7"/>
      <c r="AJ1336" s="7"/>
      <c r="AK1336" s="7"/>
      <c r="AL1336" s="7"/>
      <c r="AM1336" s="7"/>
      <c r="AN1336" s="7"/>
      <c r="AO1336" s="7" t="s">
        <v>744</v>
      </c>
      <c r="AP1336" s="7" t="s">
        <v>9316</v>
      </c>
      <c r="AQ1336" s="7" t="s">
        <v>744</v>
      </c>
      <c r="AR1336" s="7" t="s">
        <v>737</v>
      </c>
      <c r="AS1336" s="7"/>
      <c r="AT1336" s="7"/>
      <c r="AU1336" s="7"/>
      <c r="AV1336" s="7"/>
      <c r="AW1336" s="7" t="s">
        <v>744</v>
      </c>
      <c r="AX1336" s="7" t="s">
        <v>9317</v>
      </c>
      <c r="AY1336" s="7"/>
      <c r="AZ1336" s="7"/>
      <c r="BA1336" s="7"/>
      <c r="BB1336" s="7"/>
      <c r="BC1336" s="7"/>
      <c r="BD1336" s="7" t="s">
        <v>1861</v>
      </c>
      <c r="BE1336" s="7" t="s">
        <v>127</v>
      </c>
      <c r="BF1336" s="8"/>
      <c r="BG1336" s="8"/>
      <c r="BH1336" s="8"/>
      <c r="BI1336" s="8"/>
      <c r="BJ1336" s="8"/>
      <c r="BK1336" s="8"/>
      <c r="BL1336" s="8"/>
      <c r="BM1336" s="8"/>
      <c r="BN1336" s="8"/>
      <c r="BO1336" s="8"/>
      <c r="BP1336" s="8"/>
      <c r="BQ1336" s="8"/>
      <c r="BR1336" s="8"/>
      <c r="BS1336" s="8"/>
    </row>
    <row r="1337" customFormat="false" ht="15" hidden="false" customHeight="false" outlineLevel="0" collapsed="false">
      <c r="A1337" s="7" t="s">
        <v>9319</v>
      </c>
      <c r="B1337" s="7" t="s">
        <v>9320</v>
      </c>
      <c r="C1337" s="7" t="s">
        <v>9321</v>
      </c>
      <c r="D1337" s="7" t="s">
        <v>746</v>
      </c>
      <c r="E1337" s="7" t="s">
        <v>741</v>
      </c>
      <c r="F1337" s="7" t="s">
        <v>741</v>
      </c>
      <c r="G1337" s="7"/>
      <c r="H1337" s="7"/>
      <c r="I1337" s="7" t="s">
        <v>158</v>
      </c>
      <c r="J1337" s="7" t="s">
        <v>104</v>
      </c>
      <c r="K1337" s="7" t="s">
        <v>105</v>
      </c>
      <c r="L1337" s="7" t="s">
        <v>106</v>
      </c>
      <c r="M1337" s="7"/>
      <c r="N1337" s="7" t="s">
        <v>9322</v>
      </c>
      <c r="O1337" s="7" t="s">
        <v>9322</v>
      </c>
      <c r="P1337" s="7" t="s">
        <v>84</v>
      </c>
      <c r="Q1337" s="7"/>
      <c r="R1337" s="7" t="s">
        <v>109</v>
      </c>
      <c r="S1337" s="7" t="s">
        <v>110</v>
      </c>
      <c r="T1337" s="7" t="n">
        <v>0.412</v>
      </c>
      <c r="U1337" s="7" t="n">
        <v>3</v>
      </c>
      <c r="V1337" s="7" t="s">
        <v>1728</v>
      </c>
      <c r="W1337" s="7"/>
      <c r="X1337" s="7" t="s">
        <v>876</v>
      </c>
      <c r="Y1337" s="7" t="s">
        <v>9322</v>
      </c>
      <c r="Z1337" s="7"/>
      <c r="AA1337" s="7"/>
      <c r="AB1337" s="7"/>
      <c r="AC1337" s="7" t="n">
        <v>5</v>
      </c>
      <c r="AD1337" s="7" t="s">
        <v>743</v>
      </c>
      <c r="AE1337" s="7" t="s">
        <v>744</v>
      </c>
      <c r="AF1337" s="7" t="s">
        <v>9321</v>
      </c>
      <c r="AG1337" s="7" t="s">
        <v>744</v>
      </c>
      <c r="AH1337" s="7" t="s">
        <v>876</v>
      </c>
      <c r="AI1337" s="7"/>
      <c r="AJ1337" s="7"/>
      <c r="AK1337" s="7"/>
      <c r="AL1337" s="7"/>
      <c r="AM1337" s="7"/>
      <c r="AN1337" s="7"/>
      <c r="AO1337" s="7" t="s">
        <v>744</v>
      </c>
      <c r="AP1337" s="7" t="s">
        <v>746</v>
      </c>
      <c r="AQ1337" s="7" t="s">
        <v>744</v>
      </c>
      <c r="AR1337" s="7" t="s">
        <v>741</v>
      </c>
      <c r="AS1337" s="7"/>
      <c r="AT1337" s="7"/>
      <c r="AU1337" s="7"/>
      <c r="AV1337" s="7"/>
      <c r="AW1337" s="7" t="s">
        <v>744</v>
      </c>
      <c r="AX1337" s="7" t="s">
        <v>9322</v>
      </c>
      <c r="AY1337" s="7"/>
      <c r="AZ1337" s="7"/>
      <c r="BA1337" s="7"/>
      <c r="BB1337" s="7"/>
      <c r="BC1337" s="7"/>
      <c r="BD1337" s="7" t="s">
        <v>2372</v>
      </c>
      <c r="BE1337" s="7" t="s">
        <v>127</v>
      </c>
      <c r="BF1337" s="8"/>
      <c r="BG1337" s="8"/>
      <c r="BH1337" s="8"/>
      <c r="BI1337" s="8"/>
      <c r="BJ1337" s="8"/>
      <c r="BK1337" s="8"/>
      <c r="BL1337" s="8"/>
      <c r="BM1337" s="8"/>
      <c r="BN1337" s="8"/>
      <c r="BO1337" s="8"/>
      <c r="BP1337" s="8"/>
      <c r="BQ1337" s="8"/>
      <c r="BR1337" s="8"/>
      <c r="BS1337" s="8"/>
    </row>
    <row r="1338" customFormat="false" ht="15" hidden="false" customHeight="false" outlineLevel="0" collapsed="false">
      <c r="A1338" s="7" t="s">
        <v>9323</v>
      </c>
      <c r="B1338" s="7" t="s">
        <v>9324</v>
      </c>
      <c r="C1338" s="7" t="s">
        <v>9325</v>
      </c>
      <c r="D1338" s="7" t="s">
        <v>746</v>
      </c>
      <c r="E1338" s="7" t="s">
        <v>741</v>
      </c>
      <c r="F1338" s="7" t="s">
        <v>741</v>
      </c>
      <c r="G1338" s="7"/>
      <c r="H1338" s="7"/>
      <c r="I1338" s="7" t="s">
        <v>158</v>
      </c>
      <c r="J1338" s="7" t="s">
        <v>104</v>
      </c>
      <c r="K1338" s="7" t="s">
        <v>105</v>
      </c>
      <c r="L1338" s="7" t="s">
        <v>106</v>
      </c>
      <c r="M1338" s="7"/>
      <c r="N1338" s="7" t="s">
        <v>9326</v>
      </c>
      <c r="O1338" s="7" t="s">
        <v>9326</v>
      </c>
      <c r="P1338" s="7" t="s">
        <v>84</v>
      </c>
      <c r="Q1338" s="7"/>
      <c r="R1338" s="7" t="s">
        <v>109</v>
      </c>
      <c r="S1338" s="7" t="s">
        <v>110</v>
      </c>
      <c r="T1338" s="7" t="n">
        <v>0.304</v>
      </c>
      <c r="U1338" s="7" t="n">
        <v>3</v>
      </c>
      <c r="V1338" s="7" t="s">
        <v>1728</v>
      </c>
      <c r="W1338" s="7"/>
      <c r="X1338" s="7" t="s">
        <v>876</v>
      </c>
      <c r="Y1338" s="7" t="s">
        <v>9326</v>
      </c>
      <c r="Z1338" s="7"/>
      <c r="AA1338" s="7"/>
      <c r="AB1338" s="7"/>
      <c r="AC1338" s="7" t="n">
        <v>5</v>
      </c>
      <c r="AD1338" s="7" t="s">
        <v>743</v>
      </c>
      <c r="AE1338" s="7" t="s">
        <v>744</v>
      </c>
      <c r="AF1338" s="7" t="s">
        <v>9325</v>
      </c>
      <c r="AG1338" s="7" t="s">
        <v>744</v>
      </c>
      <c r="AH1338" s="7" t="s">
        <v>876</v>
      </c>
      <c r="AI1338" s="7"/>
      <c r="AJ1338" s="7"/>
      <c r="AK1338" s="7"/>
      <c r="AL1338" s="7"/>
      <c r="AM1338" s="7"/>
      <c r="AN1338" s="7"/>
      <c r="AO1338" s="7" t="s">
        <v>744</v>
      </c>
      <c r="AP1338" s="7" t="s">
        <v>746</v>
      </c>
      <c r="AQ1338" s="7" t="s">
        <v>744</v>
      </c>
      <c r="AR1338" s="7" t="s">
        <v>741</v>
      </c>
      <c r="AS1338" s="7"/>
      <c r="AT1338" s="7"/>
      <c r="AU1338" s="7"/>
      <c r="AV1338" s="7"/>
      <c r="AW1338" s="7" t="s">
        <v>744</v>
      </c>
      <c r="AX1338" s="7" t="s">
        <v>9326</v>
      </c>
      <c r="AY1338" s="7"/>
      <c r="AZ1338" s="7"/>
      <c r="BA1338" s="7"/>
      <c r="BB1338" s="7"/>
      <c r="BC1338" s="7"/>
      <c r="BD1338" s="7" t="s">
        <v>2372</v>
      </c>
      <c r="BE1338" s="7" t="s">
        <v>127</v>
      </c>
      <c r="BF1338" s="8"/>
      <c r="BG1338" s="8"/>
      <c r="BH1338" s="8"/>
      <c r="BI1338" s="8"/>
      <c r="BJ1338" s="8"/>
      <c r="BK1338" s="8"/>
      <c r="BL1338" s="8"/>
      <c r="BM1338" s="8"/>
      <c r="BN1338" s="8"/>
      <c r="BO1338" s="8"/>
      <c r="BP1338" s="8"/>
      <c r="BQ1338" s="8"/>
      <c r="BR1338" s="8"/>
      <c r="BS1338" s="8"/>
    </row>
    <row r="1339" customFormat="false" ht="15" hidden="false" customHeight="false" outlineLevel="0" collapsed="false">
      <c r="A1339" s="7" t="s">
        <v>9327</v>
      </c>
      <c r="B1339" s="7" t="s">
        <v>9328</v>
      </c>
      <c r="C1339" s="7" t="s">
        <v>9329</v>
      </c>
      <c r="D1339" s="7" t="s">
        <v>746</v>
      </c>
      <c r="E1339" s="7" t="s">
        <v>741</v>
      </c>
      <c r="F1339" s="7" t="s">
        <v>741</v>
      </c>
      <c r="G1339" s="7"/>
      <c r="H1339" s="7"/>
      <c r="I1339" s="7" t="s">
        <v>158</v>
      </c>
      <c r="J1339" s="7" t="s">
        <v>104</v>
      </c>
      <c r="K1339" s="7" t="s">
        <v>105</v>
      </c>
      <c r="L1339" s="7" t="s">
        <v>106</v>
      </c>
      <c r="M1339" s="7"/>
      <c r="N1339" s="7" t="s">
        <v>9330</v>
      </c>
      <c r="O1339" s="7" t="s">
        <v>9330</v>
      </c>
      <c r="P1339" s="7" t="s">
        <v>84</v>
      </c>
      <c r="Q1339" s="7"/>
      <c r="R1339" s="7" t="s">
        <v>109</v>
      </c>
      <c r="S1339" s="7" t="s">
        <v>110</v>
      </c>
      <c r="T1339" s="7" t="n">
        <v>0.538</v>
      </c>
      <c r="U1339" s="7" t="n">
        <v>3</v>
      </c>
      <c r="V1339" s="7" t="s">
        <v>1728</v>
      </c>
      <c r="W1339" s="7"/>
      <c r="X1339" s="7" t="s">
        <v>1591</v>
      </c>
      <c r="Y1339" s="7" t="s">
        <v>9330</v>
      </c>
      <c r="Z1339" s="7"/>
      <c r="AA1339" s="7"/>
      <c r="AB1339" s="7"/>
      <c r="AC1339" s="7" t="n">
        <v>5</v>
      </c>
      <c r="AD1339" s="7" t="s">
        <v>743</v>
      </c>
      <c r="AE1339" s="7" t="s">
        <v>744</v>
      </c>
      <c r="AF1339" s="7" t="s">
        <v>9329</v>
      </c>
      <c r="AG1339" s="7" t="s">
        <v>744</v>
      </c>
      <c r="AH1339" s="7" t="s">
        <v>1591</v>
      </c>
      <c r="AI1339" s="7"/>
      <c r="AJ1339" s="7"/>
      <c r="AK1339" s="7"/>
      <c r="AL1339" s="7"/>
      <c r="AM1339" s="7"/>
      <c r="AN1339" s="7"/>
      <c r="AO1339" s="7" t="s">
        <v>744</v>
      </c>
      <c r="AP1339" s="7" t="s">
        <v>746</v>
      </c>
      <c r="AQ1339" s="7" t="s">
        <v>744</v>
      </c>
      <c r="AR1339" s="7" t="s">
        <v>741</v>
      </c>
      <c r="AS1339" s="7"/>
      <c r="AT1339" s="7"/>
      <c r="AU1339" s="7"/>
      <c r="AV1339" s="7"/>
      <c r="AW1339" s="7" t="s">
        <v>744</v>
      </c>
      <c r="AX1339" s="7" t="s">
        <v>9330</v>
      </c>
      <c r="AY1339" s="7"/>
      <c r="AZ1339" s="7"/>
      <c r="BA1339" s="7"/>
      <c r="BB1339" s="7"/>
      <c r="BC1339" s="7"/>
      <c r="BD1339" s="7" t="s">
        <v>2372</v>
      </c>
      <c r="BE1339" s="7" t="s">
        <v>127</v>
      </c>
      <c r="BF1339" s="8"/>
      <c r="BG1339" s="8"/>
      <c r="BH1339" s="8"/>
      <c r="BI1339" s="8"/>
      <c r="BJ1339" s="8"/>
      <c r="BK1339" s="8"/>
      <c r="BL1339" s="8"/>
      <c r="BM1339" s="8"/>
      <c r="BN1339" s="8"/>
      <c r="BO1339" s="8"/>
      <c r="BP1339" s="8"/>
      <c r="BQ1339" s="8"/>
      <c r="BR1339" s="8"/>
      <c r="BS1339" s="8"/>
    </row>
    <row r="1340" customFormat="false" ht="15" hidden="false" customHeight="false" outlineLevel="0" collapsed="false">
      <c r="A1340" s="7" t="s">
        <v>9331</v>
      </c>
      <c r="B1340" s="7" t="s">
        <v>9332</v>
      </c>
      <c r="C1340" s="7" t="s">
        <v>9333</v>
      </c>
      <c r="D1340" s="7" t="s">
        <v>746</v>
      </c>
      <c r="E1340" s="7" t="s">
        <v>741</v>
      </c>
      <c r="F1340" s="7" t="s">
        <v>741</v>
      </c>
      <c r="G1340" s="7"/>
      <c r="H1340" s="7"/>
      <c r="I1340" s="7" t="s">
        <v>158</v>
      </c>
      <c r="J1340" s="7" t="s">
        <v>104</v>
      </c>
      <c r="K1340" s="7" t="s">
        <v>105</v>
      </c>
      <c r="L1340" s="7" t="s">
        <v>106</v>
      </c>
      <c r="M1340" s="7"/>
      <c r="N1340" s="7" t="s">
        <v>9334</v>
      </c>
      <c r="O1340" s="7" t="s">
        <v>9334</v>
      </c>
      <c r="P1340" s="7" t="s">
        <v>109</v>
      </c>
      <c r="Q1340" s="7"/>
      <c r="R1340" s="7" t="s">
        <v>109</v>
      </c>
      <c r="S1340" s="7" t="s">
        <v>110</v>
      </c>
      <c r="T1340" s="7" t="n">
        <v>0.244</v>
      </c>
      <c r="U1340" s="7" t="n">
        <v>3</v>
      </c>
      <c r="V1340" s="7" t="s">
        <v>479</v>
      </c>
      <c r="W1340" s="7"/>
      <c r="X1340" s="7" t="s">
        <v>1729</v>
      </c>
      <c r="Y1340" s="7" t="s">
        <v>9334</v>
      </c>
      <c r="Z1340" s="7"/>
      <c r="AA1340" s="7"/>
      <c r="AB1340" s="7"/>
      <c r="AC1340" s="7" t="n">
        <v>5</v>
      </c>
      <c r="AD1340" s="7" t="s">
        <v>743</v>
      </c>
      <c r="AE1340" s="7" t="s">
        <v>744</v>
      </c>
      <c r="AF1340" s="7" t="s">
        <v>9333</v>
      </c>
      <c r="AG1340" s="7" t="s">
        <v>744</v>
      </c>
      <c r="AH1340" s="7" t="s">
        <v>1729</v>
      </c>
      <c r="AI1340" s="7"/>
      <c r="AJ1340" s="7"/>
      <c r="AK1340" s="7"/>
      <c r="AL1340" s="7"/>
      <c r="AM1340" s="7"/>
      <c r="AN1340" s="7"/>
      <c r="AO1340" s="7" t="s">
        <v>744</v>
      </c>
      <c r="AP1340" s="7" t="s">
        <v>746</v>
      </c>
      <c r="AQ1340" s="7" t="s">
        <v>744</v>
      </c>
      <c r="AR1340" s="7" t="s">
        <v>741</v>
      </c>
      <c r="AS1340" s="7"/>
      <c r="AT1340" s="7"/>
      <c r="AU1340" s="7"/>
      <c r="AV1340" s="7"/>
      <c r="AW1340" s="7" t="s">
        <v>744</v>
      </c>
      <c r="AX1340" s="7" t="s">
        <v>9334</v>
      </c>
      <c r="AY1340" s="7"/>
      <c r="AZ1340" s="7"/>
      <c r="BA1340" s="7"/>
      <c r="BB1340" s="7"/>
      <c r="BC1340" s="7"/>
      <c r="BD1340" s="7" t="s">
        <v>2372</v>
      </c>
      <c r="BE1340" s="7" t="s">
        <v>127</v>
      </c>
      <c r="BF1340" s="8"/>
      <c r="BG1340" s="8"/>
      <c r="BH1340" s="8"/>
      <c r="BI1340" s="8"/>
      <c r="BJ1340" s="8"/>
      <c r="BK1340" s="8"/>
      <c r="BL1340" s="8"/>
      <c r="BM1340" s="8"/>
      <c r="BN1340" s="8"/>
      <c r="BO1340" s="8"/>
      <c r="BP1340" s="8"/>
      <c r="BQ1340" s="8"/>
      <c r="BR1340" s="8"/>
      <c r="BS1340" s="8"/>
    </row>
    <row r="1341" customFormat="false" ht="15" hidden="false" customHeight="false" outlineLevel="0" collapsed="false">
      <c r="A1341" s="7" t="s">
        <v>9335</v>
      </c>
      <c r="B1341" s="7" t="s">
        <v>9336</v>
      </c>
      <c r="C1341" s="7" t="s">
        <v>9337</v>
      </c>
      <c r="D1341" s="7" t="s">
        <v>9161</v>
      </c>
      <c r="E1341" s="7"/>
      <c r="F1341" s="7" t="s">
        <v>101</v>
      </c>
      <c r="G1341" s="7"/>
      <c r="H1341" s="7"/>
      <c r="I1341" s="7" t="s">
        <v>103</v>
      </c>
      <c r="J1341" s="7" t="s">
        <v>104</v>
      </c>
      <c r="K1341" s="7" t="s">
        <v>105</v>
      </c>
      <c r="L1341" s="7" t="s">
        <v>106</v>
      </c>
      <c r="M1341" s="7"/>
      <c r="N1341" s="7" t="s">
        <v>9338</v>
      </c>
      <c r="O1341" s="7"/>
      <c r="P1341" s="7" t="s">
        <v>84</v>
      </c>
      <c r="Q1341" s="7"/>
      <c r="R1341" s="7" t="s">
        <v>135</v>
      </c>
      <c r="S1341" s="7" t="s">
        <v>136</v>
      </c>
      <c r="T1341" s="7" t="n">
        <v>0.473</v>
      </c>
      <c r="U1341" s="7" t="n">
        <v>3</v>
      </c>
      <c r="V1341" s="7" t="s">
        <v>161</v>
      </c>
      <c r="W1341" s="7"/>
      <c r="X1341" s="7" t="s">
        <v>2041</v>
      </c>
      <c r="Y1341" s="7" t="s">
        <v>9338</v>
      </c>
      <c r="Z1341" s="7"/>
      <c r="AA1341" s="7"/>
      <c r="AB1341" s="7"/>
      <c r="AC1341" s="7" t="n">
        <v>4</v>
      </c>
      <c r="AD1341" s="7" t="s">
        <v>7611</v>
      </c>
      <c r="AE1341" s="7" t="s">
        <v>744</v>
      </c>
      <c r="AF1341" s="7" t="s">
        <v>9337</v>
      </c>
      <c r="AG1341" s="7" t="s">
        <v>744</v>
      </c>
      <c r="AH1341" s="7" t="s">
        <v>2041</v>
      </c>
      <c r="AI1341" s="7"/>
      <c r="AJ1341" s="7"/>
      <c r="AK1341" s="7"/>
      <c r="AL1341" s="7"/>
      <c r="AM1341" s="7"/>
      <c r="AN1341" s="7"/>
      <c r="AO1341" s="7" t="s">
        <v>744</v>
      </c>
      <c r="AP1341" s="7" t="s">
        <v>9161</v>
      </c>
      <c r="AQ1341" s="7"/>
      <c r="AR1341" s="7"/>
      <c r="AS1341" s="7"/>
      <c r="AT1341" s="7"/>
      <c r="AU1341" s="7"/>
      <c r="AV1341" s="7"/>
      <c r="AW1341" s="7" t="s">
        <v>744</v>
      </c>
      <c r="AX1341" s="7" t="s">
        <v>9338</v>
      </c>
      <c r="AY1341" s="7"/>
      <c r="AZ1341" s="7"/>
      <c r="BA1341" s="7"/>
      <c r="BB1341" s="7"/>
      <c r="BC1341" s="7"/>
      <c r="BD1341" s="7" t="s">
        <v>126</v>
      </c>
      <c r="BE1341" s="7" t="s">
        <v>127</v>
      </c>
      <c r="BF1341" s="8"/>
      <c r="BG1341" s="8"/>
      <c r="BH1341" s="8"/>
      <c r="BI1341" s="8"/>
      <c r="BJ1341" s="8"/>
      <c r="BK1341" s="8"/>
      <c r="BL1341" s="8"/>
      <c r="BM1341" s="8"/>
      <c r="BN1341" s="8"/>
      <c r="BO1341" s="8"/>
      <c r="BP1341" s="8"/>
      <c r="BQ1341" s="8"/>
      <c r="BR1341" s="8"/>
      <c r="BS1341" s="8"/>
    </row>
    <row r="1342" customFormat="false" ht="15" hidden="false" customHeight="false" outlineLevel="0" collapsed="false">
      <c r="A1342" s="7" t="s">
        <v>9339</v>
      </c>
      <c r="B1342" s="7" t="s">
        <v>9340</v>
      </c>
      <c r="C1342" s="7" t="s">
        <v>9341</v>
      </c>
      <c r="D1342" s="7" t="s">
        <v>9342</v>
      </c>
      <c r="E1342" s="7" t="s">
        <v>101</v>
      </c>
      <c r="F1342" s="7" t="s">
        <v>101</v>
      </c>
      <c r="G1342" s="7"/>
      <c r="H1342" s="7"/>
      <c r="I1342" s="7" t="s">
        <v>300</v>
      </c>
      <c r="J1342" s="7" t="s">
        <v>104</v>
      </c>
      <c r="K1342" s="7" t="s">
        <v>105</v>
      </c>
      <c r="L1342" s="7" t="s">
        <v>2470</v>
      </c>
      <c r="M1342" s="7"/>
      <c r="N1342" s="7" t="s">
        <v>9343</v>
      </c>
      <c r="O1342" s="7"/>
      <c r="P1342" s="7" t="s">
        <v>84</v>
      </c>
      <c r="Q1342" s="7"/>
      <c r="R1342" s="7" t="s">
        <v>135</v>
      </c>
      <c r="S1342" s="7" t="s">
        <v>136</v>
      </c>
      <c r="T1342" s="7" t="n">
        <v>0.266</v>
      </c>
      <c r="U1342" s="7" t="n">
        <v>3</v>
      </c>
      <c r="V1342" s="7" t="s">
        <v>111</v>
      </c>
      <c r="W1342" s="7"/>
      <c r="X1342" s="7" t="s">
        <v>2377</v>
      </c>
      <c r="Y1342" s="7" t="s">
        <v>9343</v>
      </c>
      <c r="Z1342" s="7"/>
      <c r="AA1342" s="7"/>
      <c r="AB1342" s="7"/>
      <c r="AC1342" s="7" t="n">
        <v>6</v>
      </c>
      <c r="AD1342" s="7" t="s">
        <v>1235</v>
      </c>
      <c r="AE1342" s="7" t="s">
        <v>744</v>
      </c>
      <c r="AF1342" s="7" t="s">
        <v>9341</v>
      </c>
      <c r="AG1342" s="7" t="s">
        <v>744</v>
      </c>
      <c r="AH1342" s="7" t="s">
        <v>9344</v>
      </c>
      <c r="AI1342" s="7"/>
      <c r="AJ1342" s="7"/>
      <c r="AK1342" s="7"/>
      <c r="AL1342" s="7"/>
      <c r="AM1342" s="7" t="s">
        <v>744</v>
      </c>
      <c r="AN1342" s="7" t="s">
        <v>9345</v>
      </c>
      <c r="AO1342" s="7" t="s">
        <v>744</v>
      </c>
      <c r="AP1342" s="7" t="s">
        <v>9342</v>
      </c>
      <c r="AQ1342" s="7" t="s">
        <v>744</v>
      </c>
      <c r="AR1342" s="7" t="s">
        <v>101</v>
      </c>
      <c r="AS1342" s="7"/>
      <c r="AT1342" s="7"/>
      <c r="AU1342" s="7"/>
      <c r="AV1342" s="7"/>
      <c r="AW1342" s="7" t="s">
        <v>744</v>
      </c>
      <c r="AX1342" s="7" t="s">
        <v>9343</v>
      </c>
      <c r="AY1342" s="7"/>
      <c r="AZ1342" s="7"/>
      <c r="BA1342" s="7"/>
      <c r="BB1342" s="7"/>
      <c r="BC1342" s="7"/>
      <c r="BD1342" s="7" t="s">
        <v>2479</v>
      </c>
      <c r="BE1342" s="7" t="s">
        <v>127</v>
      </c>
      <c r="BF1342" s="8"/>
      <c r="BG1342" s="8"/>
      <c r="BH1342" s="8"/>
      <c r="BI1342" s="8"/>
      <c r="BJ1342" s="8"/>
      <c r="BK1342" s="8"/>
      <c r="BL1342" s="8"/>
      <c r="BM1342" s="8"/>
      <c r="BN1342" s="8"/>
      <c r="BO1342" s="8"/>
      <c r="BP1342" s="8"/>
      <c r="BQ1342" s="8"/>
      <c r="BR1342" s="8"/>
      <c r="BS1342" s="8"/>
    </row>
    <row r="1343" customFormat="false" ht="15" hidden="false" customHeight="false" outlineLevel="0" collapsed="false">
      <c r="A1343" s="7" t="s">
        <v>9346</v>
      </c>
      <c r="B1343" s="7" t="s">
        <v>9347</v>
      </c>
      <c r="C1343" s="7" t="s">
        <v>9348</v>
      </c>
      <c r="D1343" s="7" t="s">
        <v>9349</v>
      </c>
      <c r="E1343" s="7" t="s">
        <v>82</v>
      </c>
      <c r="F1343" s="7" t="s">
        <v>82</v>
      </c>
      <c r="G1343" s="7" t="s">
        <v>83</v>
      </c>
      <c r="H1343" s="7"/>
      <c r="I1343" s="7" t="s">
        <v>158</v>
      </c>
      <c r="J1343" s="7" t="s">
        <v>104</v>
      </c>
      <c r="K1343" s="7" t="s">
        <v>105</v>
      </c>
      <c r="L1343" s="7" t="s">
        <v>106</v>
      </c>
      <c r="M1343" s="7"/>
      <c r="N1343" s="7" t="s">
        <v>9350</v>
      </c>
      <c r="O1343" s="7" t="s">
        <v>9350</v>
      </c>
      <c r="P1343" s="7" t="s">
        <v>84</v>
      </c>
      <c r="Q1343" s="7"/>
      <c r="R1343" s="7" t="s">
        <v>109</v>
      </c>
      <c r="S1343" s="7" t="s">
        <v>110</v>
      </c>
      <c r="T1343" s="7" t="n">
        <v>0.545</v>
      </c>
      <c r="U1343" s="7" t="n">
        <v>2</v>
      </c>
      <c r="V1343" s="7" t="s">
        <v>479</v>
      </c>
      <c r="W1343" s="7"/>
      <c r="X1343" s="7" t="s">
        <v>3973</v>
      </c>
      <c r="Y1343" s="7" t="s">
        <v>9350</v>
      </c>
      <c r="Z1343" s="7"/>
      <c r="AA1343" s="7"/>
      <c r="AB1343" s="7"/>
      <c r="AC1343" s="7" t="n">
        <v>6</v>
      </c>
      <c r="AD1343" s="7" t="s">
        <v>1235</v>
      </c>
      <c r="AE1343" s="7" t="s">
        <v>744</v>
      </c>
      <c r="AF1343" s="7" t="s">
        <v>9348</v>
      </c>
      <c r="AG1343" s="7" t="s">
        <v>744</v>
      </c>
      <c r="AH1343" s="7" t="s">
        <v>9351</v>
      </c>
      <c r="AI1343" s="7"/>
      <c r="AJ1343" s="7"/>
      <c r="AK1343" s="7"/>
      <c r="AL1343" s="7"/>
      <c r="AM1343" s="7" t="s">
        <v>744</v>
      </c>
      <c r="AN1343" s="7" t="s">
        <v>9352</v>
      </c>
      <c r="AO1343" s="7" t="s">
        <v>744</v>
      </c>
      <c r="AP1343" s="7" t="s">
        <v>9349</v>
      </c>
      <c r="AQ1343" s="7" t="s">
        <v>744</v>
      </c>
      <c r="AR1343" s="7" t="s">
        <v>82</v>
      </c>
      <c r="AS1343" s="7"/>
      <c r="AT1343" s="7"/>
      <c r="AU1343" s="7"/>
      <c r="AV1343" s="7"/>
      <c r="AW1343" s="7" t="s">
        <v>744</v>
      </c>
      <c r="AX1343" s="7" t="s">
        <v>9350</v>
      </c>
      <c r="AY1343" s="7"/>
      <c r="AZ1343" s="7"/>
      <c r="BA1343" s="7"/>
      <c r="BB1343" s="7"/>
      <c r="BC1343" s="7"/>
      <c r="BD1343" s="7" t="s">
        <v>9353</v>
      </c>
      <c r="BE1343" s="7" t="s">
        <v>127</v>
      </c>
      <c r="BF1343" s="8"/>
      <c r="BG1343" s="8"/>
      <c r="BH1343" s="8"/>
      <c r="BI1343" s="8"/>
      <c r="BJ1343" s="8"/>
      <c r="BK1343" s="8"/>
      <c r="BL1343" s="8"/>
      <c r="BM1343" s="8"/>
      <c r="BN1343" s="8"/>
      <c r="BO1343" s="8"/>
      <c r="BP1343" s="8"/>
      <c r="BQ1343" s="8"/>
      <c r="BR1343" s="8"/>
      <c r="BS1343" s="8"/>
    </row>
    <row r="1344" customFormat="false" ht="15" hidden="false" customHeight="false" outlineLevel="0" collapsed="false">
      <c r="A1344" s="7" t="s">
        <v>9354</v>
      </c>
      <c r="B1344" s="7" t="s">
        <v>9355</v>
      </c>
      <c r="C1344" s="7" t="s">
        <v>9356</v>
      </c>
      <c r="D1344" s="7" t="s">
        <v>9357</v>
      </c>
      <c r="E1344" s="7" t="s">
        <v>1966</v>
      </c>
      <c r="F1344" s="7" t="s">
        <v>1966</v>
      </c>
      <c r="G1344" s="7"/>
      <c r="H1344" s="7" t="s">
        <v>207</v>
      </c>
      <c r="I1344" s="7" t="s">
        <v>132</v>
      </c>
      <c r="J1344" s="7" t="s">
        <v>104</v>
      </c>
      <c r="K1344" s="7" t="s">
        <v>105</v>
      </c>
      <c r="L1344" s="7" t="s">
        <v>106</v>
      </c>
      <c r="M1344" s="7"/>
      <c r="N1344" s="7" t="s">
        <v>9358</v>
      </c>
      <c r="O1344" s="7" t="s">
        <v>9358</v>
      </c>
      <c r="P1344" s="7" t="s">
        <v>84</v>
      </c>
      <c r="Q1344" s="7"/>
      <c r="R1344" s="7" t="s">
        <v>109</v>
      </c>
      <c r="S1344" s="7" t="s">
        <v>110</v>
      </c>
      <c r="T1344" s="7" t="n">
        <v>0.296</v>
      </c>
      <c r="U1344" s="7" t="n">
        <v>2</v>
      </c>
      <c r="V1344" s="7" t="s">
        <v>111</v>
      </c>
      <c r="W1344" s="7"/>
      <c r="X1344" s="7"/>
      <c r="Y1344" s="7" t="s">
        <v>9358</v>
      </c>
      <c r="Z1344" s="7"/>
      <c r="AA1344" s="7"/>
      <c r="AB1344" s="7"/>
      <c r="AC1344" s="7" t="n">
        <v>0</v>
      </c>
      <c r="AD1344" s="7" t="s">
        <v>388</v>
      </c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 t="s">
        <v>127</v>
      </c>
      <c r="BF1344" s="8"/>
      <c r="BG1344" s="8"/>
      <c r="BH1344" s="8"/>
      <c r="BI1344" s="8"/>
      <c r="BJ1344" s="8"/>
      <c r="BK1344" s="8"/>
      <c r="BL1344" s="8"/>
      <c r="BM1344" s="8"/>
      <c r="BN1344" s="8"/>
      <c r="BO1344" s="8"/>
      <c r="BP1344" s="8"/>
      <c r="BQ1344" s="8"/>
      <c r="BR1344" s="8"/>
      <c r="BS1344" s="8"/>
    </row>
    <row r="1345" customFormat="false" ht="15" hidden="false" customHeight="false" outlineLevel="0" collapsed="false">
      <c r="A1345" s="7" t="s">
        <v>9359</v>
      </c>
      <c r="B1345" s="7" t="s">
        <v>9360</v>
      </c>
      <c r="C1345" s="7" t="s">
        <v>9361</v>
      </c>
      <c r="D1345" s="7" t="s">
        <v>258</v>
      </c>
      <c r="E1345" s="7" t="s">
        <v>82</v>
      </c>
      <c r="F1345" s="7" t="s">
        <v>82</v>
      </c>
      <c r="G1345" s="7"/>
      <c r="H1345" s="7"/>
      <c r="I1345" s="7" t="s">
        <v>132</v>
      </c>
      <c r="J1345" s="7" t="s">
        <v>104</v>
      </c>
      <c r="K1345" s="7" t="s">
        <v>105</v>
      </c>
      <c r="L1345" s="7" t="s">
        <v>106</v>
      </c>
      <c r="M1345" s="7"/>
      <c r="N1345" s="7" t="s">
        <v>9237</v>
      </c>
      <c r="O1345" s="7" t="s">
        <v>9237</v>
      </c>
      <c r="P1345" s="7" t="s">
        <v>84</v>
      </c>
      <c r="Q1345" s="7"/>
      <c r="R1345" s="7" t="s">
        <v>109</v>
      </c>
      <c r="S1345" s="7" t="s">
        <v>110</v>
      </c>
      <c r="T1345" s="7" t="n">
        <v>0.699</v>
      </c>
      <c r="U1345" s="7" t="n">
        <v>2</v>
      </c>
      <c r="V1345" s="7"/>
      <c r="W1345" s="7"/>
      <c r="X1345" s="7"/>
      <c r="Y1345" s="7" t="s">
        <v>9237</v>
      </c>
      <c r="Z1345" s="7"/>
      <c r="AA1345" s="7"/>
      <c r="AB1345" s="7"/>
      <c r="AC1345" s="7" t="n">
        <v>4</v>
      </c>
      <c r="AD1345" s="7" t="s">
        <v>1376</v>
      </c>
      <c r="AE1345" s="7" t="s">
        <v>2181</v>
      </c>
      <c r="AF1345" s="7" t="s">
        <v>9362</v>
      </c>
      <c r="AG1345" s="7"/>
      <c r="AH1345" s="7"/>
      <c r="AI1345" s="7"/>
      <c r="AJ1345" s="7"/>
      <c r="AK1345" s="7"/>
      <c r="AL1345" s="7"/>
      <c r="AM1345" s="7"/>
      <c r="AN1345" s="7"/>
      <c r="AO1345" s="7" t="s">
        <v>2181</v>
      </c>
      <c r="AP1345" s="7" t="s">
        <v>1869</v>
      </c>
      <c r="AQ1345" s="7" t="s">
        <v>2032</v>
      </c>
      <c r="AR1345" s="7" t="s">
        <v>82</v>
      </c>
      <c r="AS1345" s="7"/>
      <c r="AT1345" s="7"/>
      <c r="AU1345" s="7"/>
      <c r="AV1345" s="7"/>
      <c r="AW1345" s="7" t="s">
        <v>2181</v>
      </c>
      <c r="AX1345" s="7" t="s">
        <v>9237</v>
      </c>
      <c r="AY1345" s="7"/>
      <c r="AZ1345" s="7"/>
      <c r="BA1345" s="7"/>
      <c r="BB1345" s="7"/>
      <c r="BC1345" s="7"/>
      <c r="BD1345" s="7"/>
      <c r="BE1345" s="7" t="s">
        <v>127</v>
      </c>
      <c r="BF1345" s="8"/>
      <c r="BG1345" s="8"/>
      <c r="BH1345" s="8"/>
      <c r="BI1345" s="8"/>
      <c r="BJ1345" s="8"/>
      <c r="BK1345" s="8"/>
      <c r="BL1345" s="8"/>
      <c r="BM1345" s="8"/>
      <c r="BN1345" s="8"/>
      <c r="BO1345" s="8"/>
      <c r="BP1345" s="8"/>
      <c r="BQ1345" s="8"/>
      <c r="BR1345" s="8"/>
      <c r="BS1345" s="8"/>
    </row>
    <row r="1346" customFormat="false" ht="15" hidden="false" customHeight="false" outlineLevel="0" collapsed="false">
      <c r="A1346" s="7" t="s">
        <v>9363</v>
      </c>
      <c r="B1346" s="7" t="s">
        <v>9364</v>
      </c>
      <c r="C1346" s="7" t="s">
        <v>9365</v>
      </c>
      <c r="D1346" s="7" t="s">
        <v>2037</v>
      </c>
      <c r="E1346" s="7"/>
      <c r="F1346" s="7" t="s">
        <v>101</v>
      </c>
      <c r="G1346" s="7"/>
      <c r="H1346" s="7"/>
      <c r="I1346" s="7" t="s">
        <v>158</v>
      </c>
      <c r="J1346" s="7" t="s">
        <v>104</v>
      </c>
      <c r="K1346" s="7" t="s">
        <v>105</v>
      </c>
      <c r="L1346" s="7" t="s">
        <v>235</v>
      </c>
      <c r="M1346" s="7"/>
      <c r="N1346" s="7" t="s">
        <v>9366</v>
      </c>
      <c r="O1346" s="7" t="s">
        <v>9366</v>
      </c>
      <c r="P1346" s="7" t="s">
        <v>109</v>
      </c>
      <c r="Q1346" s="7"/>
      <c r="R1346" s="7" t="s">
        <v>109</v>
      </c>
      <c r="S1346" s="7" t="s">
        <v>110</v>
      </c>
      <c r="T1346" s="7" t="n">
        <v>0.195</v>
      </c>
      <c r="U1346" s="7" t="n">
        <v>2</v>
      </c>
      <c r="V1346" s="7" t="s">
        <v>86</v>
      </c>
      <c r="W1346" s="7"/>
      <c r="X1346" s="7" t="s">
        <v>9367</v>
      </c>
      <c r="Y1346" s="7" t="s">
        <v>9368</v>
      </c>
      <c r="Z1346" s="7"/>
      <c r="AA1346" s="7"/>
      <c r="AB1346" s="7"/>
      <c r="AC1346" s="7" t="n">
        <v>5</v>
      </c>
      <c r="AD1346" s="7" t="s">
        <v>1897</v>
      </c>
      <c r="AE1346" s="7" t="s">
        <v>189</v>
      </c>
      <c r="AF1346" s="7" t="s">
        <v>9369</v>
      </c>
      <c r="AG1346" s="7" t="s">
        <v>744</v>
      </c>
      <c r="AH1346" s="7" t="s">
        <v>9370</v>
      </c>
      <c r="AI1346" s="7"/>
      <c r="AJ1346" s="7"/>
      <c r="AK1346" s="7"/>
      <c r="AL1346" s="7"/>
      <c r="AM1346" s="7" t="s">
        <v>744</v>
      </c>
      <c r="AN1346" s="7" t="s">
        <v>9371</v>
      </c>
      <c r="AO1346" s="7" t="s">
        <v>744</v>
      </c>
      <c r="AP1346" s="7" t="s">
        <v>2037</v>
      </c>
      <c r="AQ1346" s="7"/>
      <c r="AR1346" s="7"/>
      <c r="AS1346" s="7"/>
      <c r="AT1346" s="7"/>
      <c r="AU1346" s="7"/>
      <c r="AV1346" s="7"/>
      <c r="AW1346" s="7" t="s">
        <v>189</v>
      </c>
      <c r="AX1346" s="7" t="s">
        <v>9368</v>
      </c>
      <c r="AY1346" s="7"/>
      <c r="AZ1346" s="7"/>
      <c r="BA1346" s="7"/>
      <c r="BB1346" s="7"/>
      <c r="BC1346" s="7"/>
      <c r="BD1346" s="7" t="s">
        <v>3272</v>
      </c>
      <c r="BE1346" s="7" t="s">
        <v>127</v>
      </c>
      <c r="BF1346" s="8"/>
      <c r="BG1346" s="8"/>
      <c r="BH1346" s="8"/>
      <c r="BI1346" s="8"/>
      <c r="BJ1346" s="8"/>
      <c r="BK1346" s="8"/>
      <c r="BL1346" s="8"/>
      <c r="BM1346" s="8"/>
      <c r="BN1346" s="8"/>
      <c r="BO1346" s="8"/>
      <c r="BP1346" s="8"/>
      <c r="BQ1346" s="8"/>
      <c r="BR1346" s="8"/>
      <c r="BS1346" s="8"/>
    </row>
    <row r="1347" customFormat="false" ht="15" hidden="false" customHeight="false" outlineLevel="0" collapsed="false">
      <c r="A1347" s="7" t="s">
        <v>9372</v>
      </c>
      <c r="B1347" s="7" t="s">
        <v>9373</v>
      </c>
      <c r="C1347" s="7" t="s">
        <v>9374</v>
      </c>
      <c r="D1347" s="7" t="s">
        <v>397</v>
      </c>
      <c r="E1347" s="7"/>
      <c r="F1347" s="7" t="s">
        <v>101</v>
      </c>
      <c r="G1347" s="7"/>
      <c r="H1347" s="7"/>
      <c r="I1347" s="7" t="s">
        <v>1726</v>
      </c>
      <c r="J1347" s="7" t="s">
        <v>104</v>
      </c>
      <c r="K1347" s="7" t="s">
        <v>105</v>
      </c>
      <c r="L1347" s="7" t="s">
        <v>106</v>
      </c>
      <c r="M1347" s="7"/>
      <c r="N1347" s="7" t="s">
        <v>9375</v>
      </c>
      <c r="O1347" s="7"/>
      <c r="P1347" s="7" t="s">
        <v>84</v>
      </c>
      <c r="Q1347" s="7"/>
      <c r="R1347" s="7" t="s">
        <v>135</v>
      </c>
      <c r="S1347" s="7" t="s">
        <v>136</v>
      </c>
      <c r="T1347" s="7" t="n">
        <v>0.43</v>
      </c>
      <c r="U1347" s="7" t="n">
        <v>2</v>
      </c>
      <c r="V1347" s="7" t="s">
        <v>1112</v>
      </c>
      <c r="W1347" s="7"/>
      <c r="X1347" s="7" t="s">
        <v>3900</v>
      </c>
      <c r="Y1347" s="7" t="s">
        <v>9376</v>
      </c>
      <c r="Z1347" s="7"/>
      <c r="AA1347" s="7"/>
      <c r="AB1347" s="7"/>
      <c r="AC1347" s="7" t="n">
        <v>5</v>
      </c>
      <c r="AD1347" s="7" t="s">
        <v>1897</v>
      </c>
      <c r="AE1347" s="7" t="s">
        <v>189</v>
      </c>
      <c r="AF1347" s="7" t="s">
        <v>9377</v>
      </c>
      <c r="AG1347" s="7" t="s">
        <v>189</v>
      </c>
      <c r="AH1347" s="7" t="s">
        <v>9378</v>
      </c>
      <c r="AI1347" s="7"/>
      <c r="AJ1347" s="7"/>
      <c r="AK1347" s="7"/>
      <c r="AL1347" s="7"/>
      <c r="AM1347" s="7" t="s">
        <v>189</v>
      </c>
      <c r="AN1347" s="7" t="s">
        <v>9175</v>
      </c>
      <c r="AO1347" s="7" t="s">
        <v>744</v>
      </c>
      <c r="AP1347" s="7" t="s">
        <v>397</v>
      </c>
      <c r="AQ1347" s="7"/>
      <c r="AR1347" s="7"/>
      <c r="AS1347" s="7"/>
      <c r="AT1347" s="7"/>
      <c r="AU1347" s="7"/>
      <c r="AV1347" s="7"/>
      <c r="AW1347" s="7" t="s">
        <v>189</v>
      </c>
      <c r="AX1347" s="7" t="s">
        <v>9376</v>
      </c>
      <c r="AY1347" s="7"/>
      <c r="AZ1347" s="7"/>
      <c r="BA1347" s="7"/>
      <c r="BB1347" s="7"/>
      <c r="BC1347" s="7"/>
      <c r="BD1347" s="7" t="s">
        <v>1218</v>
      </c>
      <c r="BE1347" s="7" t="s">
        <v>127</v>
      </c>
      <c r="BF1347" s="8"/>
      <c r="BG1347" s="8"/>
      <c r="BH1347" s="8"/>
      <c r="BI1347" s="8"/>
      <c r="BJ1347" s="8"/>
      <c r="BK1347" s="8"/>
      <c r="BL1347" s="8"/>
      <c r="BM1347" s="8"/>
      <c r="BN1347" s="8"/>
      <c r="BO1347" s="8"/>
      <c r="BP1347" s="8"/>
      <c r="BQ1347" s="8"/>
      <c r="BR1347" s="8"/>
      <c r="BS1347" s="8"/>
    </row>
    <row r="1348" customFormat="false" ht="15" hidden="false" customHeight="false" outlineLevel="0" collapsed="false">
      <c r="A1348" s="7" t="s">
        <v>9379</v>
      </c>
      <c r="B1348" s="7" t="s">
        <v>9380</v>
      </c>
      <c r="C1348" s="7" t="s">
        <v>9381</v>
      </c>
      <c r="D1348" s="7" t="s">
        <v>397</v>
      </c>
      <c r="E1348" s="7" t="s">
        <v>9382</v>
      </c>
      <c r="F1348" s="7" t="s">
        <v>101</v>
      </c>
      <c r="G1348" s="7"/>
      <c r="H1348" s="7"/>
      <c r="I1348" s="7" t="s">
        <v>1726</v>
      </c>
      <c r="J1348" s="7" t="s">
        <v>104</v>
      </c>
      <c r="K1348" s="7" t="s">
        <v>105</v>
      </c>
      <c r="L1348" s="7" t="s">
        <v>106</v>
      </c>
      <c r="M1348" s="7"/>
      <c r="N1348" s="7" t="s">
        <v>9383</v>
      </c>
      <c r="O1348" s="7"/>
      <c r="P1348" s="7" t="s">
        <v>84</v>
      </c>
      <c r="Q1348" s="7"/>
      <c r="R1348" s="7" t="s">
        <v>135</v>
      </c>
      <c r="S1348" s="7" t="s">
        <v>136</v>
      </c>
      <c r="T1348" s="7" t="n">
        <v>0.354</v>
      </c>
      <c r="U1348" s="7" t="n">
        <v>2</v>
      </c>
      <c r="V1348" s="7" t="s">
        <v>1112</v>
      </c>
      <c r="W1348" s="7"/>
      <c r="X1348" s="7" t="s">
        <v>9384</v>
      </c>
      <c r="Y1348" s="7" t="s">
        <v>9385</v>
      </c>
      <c r="Z1348" s="7"/>
      <c r="AA1348" s="7"/>
      <c r="AB1348" s="7"/>
      <c r="AC1348" s="7" t="n">
        <v>6</v>
      </c>
      <c r="AD1348" s="7" t="s">
        <v>1235</v>
      </c>
      <c r="AE1348" s="7" t="s">
        <v>189</v>
      </c>
      <c r="AF1348" s="7" t="s">
        <v>9386</v>
      </c>
      <c r="AG1348" s="7" t="s">
        <v>189</v>
      </c>
      <c r="AH1348" s="7" t="s">
        <v>9387</v>
      </c>
      <c r="AI1348" s="7"/>
      <c r="AJ1348" s="7"/>
      <c r="AK1348" s="7"/>
      <c r="AL1348" s="7"/>
      <c r="AM1348" s="7" t="s">
        <v>189</v>
      </c>
      <c r="AN1348" s="7" t="s">
        <v>9388</v>
      </c>
      <c r="AO1348" s="7" t="s">
        <v>744</v>
      </c>
      <c r="AP1348" s="7" t="s">
        <v>397</v>
      </c>
      <c r="AQ1348" s="7" t="s">
        <v>744</v>
      </c>
      <c r="AR1348" s="7" t="s">
        <v>9382</v>
      </c>
      <c r="AS1348" s="7"/>
      <c r="AT1348" s="7"/>
      <c r="AU1348" s="7"/>
      <c r="AV1348" s="7"/>
      <c r="AW1348" s="7" t="s">
        <v>189</v>
      </c>
      <c r="AX1348" s="7" t="s">
        <v>9385</v>
      </c>
      <c r="AY1348" s="7"/>
      <c r="AZ1348" s="7"/>
      <c r="BA1348" s="7"/>
      <c r="BB1348" s="7"/>
      <c r="BC1348" s="7"/>
      <c r="BD1348" s="7"/>
      <c r="BE1348" s="7" t="s">
        <v>127</v>
      </c>
      <c r="BF1348" s="8"/>
      <c r="BG1348" s="8"/>
      <c r="BH1348" s="8"/>
      <c r="BI1348" s="8"/>
      <c r="BJ1348" s="8"/>
      <c r="BK1348" s="8"/>
      <c r="BL1348" s="8"/>
      <c r="BM1348" s="8"/>
      <c r="BN1348" s="8"/>
      <c r="BO1348" s="8"/>
      <c r="BP1348" s="8"/>
      <c r="BQ1348" s="8"/>
      <c r="BR1348" s="8"/>
      <c r="BS1348" s="8"/>
    </row>
    <row r="1349" customFormat="false" ht="15" hidden="false" customHeight="false" outlineLevel="0" collapsed="false">
      <c r="A1349" s="7" t="s">
        <v>9389</v>
      </c>
      <c r="B1349" s="7" t="s">
        <v>9390</v>
      </c>
      <c r="C1349" s="7" t="s">
        <v>9391</v>
      </c>
      <c r="D1349" s="7" t="s">
        <v>9392</v>
      </c>
      <c r="E1349" s="7"/>
      <c r="F1349" s="7" t="s">
        <v>101</v>
      </c>
      <c r="G1349" s="7"/>
      <c r="H1349" s="7"/>
      <c r="I1349" s="7" t="s">
        <v>300</v>
      </c>
      <c r="J1349" s="7" t="s">
        <v>104</v>
      </c>
      <c r="K1349" s="7" t="s">
        <v>105</v>
      </c>
      <c r="L1349" s="7" t="s">
        <v>106</v>
      </c>
      <c r="M1349" s="7"/>
      <c r="N1349" s="7" t="s">
        <v>9393</v>
      </c>
      <c r="O1349" s="7"/>
      <c r="P1349" s="7" t="s">
        <v>84</v>
      </c>
      <c r="Q1349" s="7"/>
      <c r="R1349" s="7" t="s">
        <v>135</v>
      </c>
      <c r="S1349" s="7" t="s">
        <v>136</v>
      </c>
      <c r="T1349" s="7" t="n">
        <v>0.472</v>
      </c>
      <c r="U1349" s="7" t="n">
        <v>2</v>
      </c>
      <c r="V1349" s="7" t="s">
        <v>111</v>
      </c>
      <c r="W1349" s="7"/>
      <c r="X1349" s="7" t="s">
        <v>6896</v>
      </c>
      <c r="Y1349" s="7" t="s">
        <v>9394</v>
      </c>
      <c r="Z1349" s="7"/>
      <c r="AA1349" s="7"/>
      <c r="AB1349" s="7"/>
      <c r="AC1349" s="7" t="n">
        <v>5</v>
      </c>
      <c r="AD1349" s="7" t="s">
        <v>1897</v>
      </c>
      <c r="AE1349" s="7" t="s">
        <v>189</v>
      </c>
      <c r="AF1349" s="7" t="s">
        <v>9395</v>
      </c>
      <c r="AG1349" s="7" t="s">
        <v>189</v>
      </c>
      <c r="AH1349" s="7" t="s">
        <v>9396</v>
      </c>
      <c r="AI1349" s="7"/>
      <c r="AJ1349" s="7"/>
      <c r="AK1349" s="7"/>
      <c r="AL1349" s="7"/>
      <c r="AM1349" s="7" t="s">
        <v>189</v>
      </c>
      <c r="AN1349" s="7" t="s">
        <v>9397</v>
      </c>
      <c r="AO1349" s="7" t="s">
        <v>189</v>
      </c>
      <c r="AP1349" s="7" t="s">
        <v>9398</v>
      </c>
      <c r="AQ1349" s="7"/>
      <c r="AR1349" s="7"/>
      <c r="AS1349" s="7"/>
      <c r="AT1349" s="7"/>
      <c r="AU1349" s="7"/>
      <c r="AV1349" s="7"/>
      <c r="AW1349" s="7" t="s">
        <v>189</v>
      </c>
      <c r="AX1349" s="7" t="s">
        <v>9394</v>
      </c>
      <c r="AY1349" s="7"/>
      <c r="AZ1349" s="7"/>
      <c r="BA1349" s="7"/>
      <c r="BB1349" s="7"/>
      <c r="BC1349" s="7"/>
      <c r="BD1349" s="7"/>
      <c r="BE1349" s="7" t="s">
        <v>127</v>
      </c>
      <c r="BF1349" s="8"/>
      <c r="BG1349" s="8"/>
      <c r="BH1349" s="8"/>
      <c r="BI1349" s="8"/>
      <c r="BJ1349" s="8"/>
      <c r="BK1349" s="8"/>
      <c r="BL1349" s="8"/>
      <c r="BM1349" s="8"/>
      <c r="BN1349" s="8"/>
      <c r="BO1349" s="8"/>
      <c r="BP1349" s="8"/>
      <c r="BQ1349" s="8"/>
      <c r="BR1349" s="8"/>
      <c r="BS1349" s="8"/>
    </row>
    <row r="1350" customFormat="false" ht="15" hidden="false" customHeight="false" outlineLevel="0" collapsed="false">
      <c r="A1350" s="7" t="s">
        <v>9399</v>
      </c>
      <c r="B1350" s="7" t="s">
        <v>7868</v>
      </c>
      <c r="C1350" s="7" t="s">
        <v>9400</v>
      </c>
      <c r="D1350" s="7" t="s">
        <v>9401</v>
      </c>
      <c r="E1350" s="7" t="s">
        <v>82</v>
      </c>
      <c r="F1350" s="7" t="s">
        <v>82</v>
      </c>
      <c r="G1350" s="7" t="s">
        <v>2237</v>
      </c>
      <c r="H1350" s="7"/>
      <c r="I1350" s="7" t="s">
        <v>374</v>
      </c>
      <c r="J1350" s="7" t="s">
        <v>104</v>
      </c>
      <c r="K1350" s="7" t="s">
        <v>105</v>
      </c>
      <c r="L1350" s="7" t="s">
        <v>106</v>
      </c>
      <c r="M1350" s="7"/>
      <c r="N1350" s="7" t="s">
        <v>9402</v>
      </c>
      <c r="O1350" s="7" t="s">
        <v>9402</v>
      </c>
      <c r="P1350" s="7" t="s">
        <v>135</v>
      </c>
      <c r="Q1350" s="7"/>
      <c r="R1350" s="7" t="s">
        <v>109</v>
      </c>
      <c r="S1350" s="7" t="s">
        <v>110</v>
      </c>
      <c r="T1350" s="7" t="n">
        <v>0.459</v>
      </c>
      <c r="U1350" s="7" t="n">
        <v>2</v>
      </c>
      <c r="V1350" s="7" t="s">
        <v>90</v>
      </c>
      <c r="W1350" s="7"/>
      <c r="X1350" s="7" t="s">
        <v>356</v>
      </c>
      <c r="Y1350" s="7" t="s">
        <v>9403</v>
      </c>
      <c r="Z1350" s="7"/>
      <c r="AA1350" s="7"/>
      <c r="AB1350" s="7"/>
      <c r="AC1350" s="7" t="n">
        <v>5</v>
      </c>
      <c r="AD1350" s="7" t="s">
        <v>743</v>
      </c>
      <c r="AE1350" s="7" t="s">
        <v>744</v>
      </c>
      <c r="AF1350" s="7" t="s">
        <v>9400</v>
      </c>
      <c r="AG1350" s="7" t="s">
        <v>744</v>
      </c>
      <c r="AH1350" s="7" t="s">
        <v>356</v>
      </c>
      <c r="AI1350" s="7"/>
      <c r="AJ1350" s="7"/>
      <c r="AK1350" s="7"/>
      <c r="AL1350" s="7"/>
      <c r="AM1350" s="7"/>
      <c r="AN1350" s="7"/>
      <c r="AO1350" s="7" t="s">
        <v>744</v>
      </c>
      <c r="AP1350" s="7" t="s">
        <v>9401</v>
      </c>
      <c r="AQ1350" s="7" t="s">
        <v>744</v>
      </c>
      <c r="AR1350" s="7" t="s">
        <v>82</v>
      </c>
      <c r="AS1350" s="7"/>
      <c r="AT1350" s="7"/>
      <c r="AU1350" s="7"/>
      <c r="AV1350" s="7"/>
      <c r="AW1350" s="7" t="s">
        <v>744</v>
      </c>
      <c r="AX1350" s="7" t="s">
        <v>9402</v>
      </c>
      <c r="AY1350" s="7"/>
      <c r="AZ1350" s="7"/>
      <c r="BA1350" s="7"/>
      <c r="BB1350" s="7"/>
      <c r="BC1350" s="7"/>
      <c r="BD1350" s="7" t="s">
        <v>220</v>
      </c>
      <c r="BE1350" s="7" t="s">
        <v>127</v>
      </c>
      <c r="BF1350" s="8"/>
      <c r="BG1350" s="8"/>
      <c r="BH1350" s="8"/>
      <c r="BI1350" s="8"/>
      <c r="BJ1350" s="8"/>
      <c r="BK1350" s="8"/>
      <c r="BL1350" s="8"/>
      <c r="BM1350" s="8"/>
      <c r="BN1350" s="8"/>
      <c r="BO1350" s="8"/>
      <c r="BP1350" s="8"/>
      <c r="BQ1350" s="8"/>
      <c r="BR1350" s="8"/>
      <c r="BS1350" s="8"/>
    </row>
    <row r="1351" customFormat="false" ht="15" hidden="false" customHeight="false" outlineLevel="0" collapsed="false">
      <c r="A1351" s="7" t="s">
        <v>9404</v>
      </c>
      <c r="B1351" s="7" t="s">
        <v>9405</v>
      </c>
      <c r="C1351" s="7" t="s">
        <v>9406</v>
      </c>
      <c r="D1351" s="7" t="s">
        <v>746</v>
      </c>
      <c r="E1351" s="7" t="s">
        <v>507</v>
      </c>
      <c r="F1351" s="7" t="s">
        <v>507</v>
      </c>
      <c r="G1351" s="7"/>
      <c r="H1351" s="7"/>
      <c r="I1351" s="7" t="s">
        <v>158</v>
      </c>
      <c r="J1351" s="7" t="s">
        <v>104</v>
      </c>
      <c r="K1351" s="7" t="s">
        <v>105</v>
      </c>
      <c r="L1351" s="7" t="s">
        <v>106</v>
      </c>
      <c r="M1351" s="7"/>
      <c r="N1351" s="7" t="s">
        <v>9407</v>
      </c>
      <c r="O1351" s="7" t="s">
        <v>9407</v>
      </c>
      <c r="P1351" s="7" t="s">
        <v>135</v>
      </c>
      <c r="Q1351" s="7"/>
      <c r="R1351" s="7" t="s">
        <v>109</v>
      </c>
      <c r="S1351" s="7" t="s">
        <v>110</v>
      </c>
      <c r="T1351" s="7" t="n">
        <v>0.665</v>
      </c>
      <c r="U1351" s="7" t="n">
        <v>2</v>
      </c>
      <c r="V1351" s="7" t="s">
        <v>90</v>
      </c>
      <c r="W1351" s="7"/>
      <c r="X1351" s="7" t="s">
        <v>163</v>
      </c>
      <c r="Y1351" s="7" t="s">
        <v>9408</v>
      </c>
      <c r="Z1351" s="7"/>
      <c r="AA1351" s="7"/>
      <c r="AB1351" s="7"/>
      <c r="AC1351" s="7" t="n">
        <v>5</v>
      </c>
      <c r="AD1351" s="7" t="s">
        <v>743</v>
      </c>
      <c r="AE1351" s="7" t="s">
        <v>189</v>
      </c>
      <c r="AF1351" s="7" t="s">
        <v>9409</v>
      </c>
      <c r="AG1351" s="7" t="s">
        <v>189</v>
      </c>
      <c r="AH1351" s="7" t="s">
        <v>163</v>
      </c>
      <c r="AI1351" s="7"/>
      <c r="AJ1351" s="7"/>
      <c r="AK1351" s="7"/>
      <c r="AL1351" s="7"/>
      <c r="AM1351" s="7"/>
      <c r="AN1351" s="7"/>
      <c r="AO1351" s="7" t="s">
        <v>744</v>
      </c>
      <c r="AP1351" s="7" t="s">
        <v>746</v>
      </c>
      <c r="AQ1351" s="7" t="s">
        <v>744</v>
      </c>
      <c r="AR1351" s="7" t="s">
        <v>507</v>
      </c>
      <c r="AS1351" s="7"/>
      <c r="AT1351" s="7"/>
      <c r="AU1351" s="7"/>
      <c r="AV1351" s="7"/>
      <c r="AW1351" s="7" t="s">
        <v>189</v>
      </c>
      <c r="AX1351" s="7" t="s">
        <v>9408</v>
      </c>
      <c r="AY1351" s="7"/>
      <c r="AZ1351" s="7"/>
      <c r="BA1351" s="7"/>
      <c r="BB1351" s="7"/>
      <c r="BC1351" s="7"/>
      <c r="BD1351" s="7" t="s">
        <v>747</v>
      </c>
      <c r="BE1351" s="7" t="s">
        <v>127</v>
      </c>
      <c r="BF1351" s="8"/>
      <c r="BG1351" s="8"/>
      <c r="BH1351" s="8"/>
      <c r="BI1351" s="8"/>
      <c r="BJ1351" s="8"/>
      <c r="BK1351" s="8"/>
      <c r="BL1351" s="8"/>
      <c r="BM1351" s="8"/>
      <c r="BN1351" s="8"/>
      <c r="BO1351" s="8"/>
      <c r="BP1351" s="8"/>
      <c r="BQ1351" s="8"/>
      <c r="BR1351" s="8"/>
      <c r="BS1351" s="8"/>
    </row>
    <row r="1352" customFormat="false" ht="15" hidden="false" customHeight="false" outlineLevel="0" collapsed="false">
      <c r="A1352" s="7" t="s">
        <v>9410</v>
      </c>
      <c r="B1352" s="7" t="s">
        <v>9411</v>
      </c>
      <c r="C1352" s="7" t="s">
        <v>9412</v>
      </c>
      <c r="D1352" s="7" t="s">
        <v>746</v>
      </c>
      <c r="E1352" s="7" t="s">
        <v>741</v>
      </c>
      <c r="F1352" s="7" t="s">
        <v>741</v>
      </c>
      <c r="G1352" s="7"/>
      <c r="H1352" s="7"/>
      <c r="I1352" s="7" t="s">
        <v>158</v>
      </c>
      <c r="J1352" s="7" t="s">
        <v>104</v>
      </c>
      <c r="K1352" s="7" t="s">
        <v>105</v>
      </c>
      <c r="L1352" s="7" t="s">
        <v>106</v>
      </c>
      <c r="M1352" s="7"/>
      <c r="N1352" s="7" t="s">
        <v>9413</v>
      </c>
      <c r="O1352" s="7" t="s">
        <v>9413</v>
      </c>
      <c r="P1352" s="7" t="s">
        <v>135</v>
      </c>
      <c r="Q1352" s="7"/>
      <c r="R1352" s="7" t="s">
        <v>109</v>
      </c>
      <c r="S1352" s="7" t="s">
        <v>110</v>
      </c>
      <c r="T1352" s="7" t="n">
        <v>0.769</v>
      </c>
      <c r="U1352" s="7" t="n">
        <v>2</v>
      </c>
      <c r="V1352" s="7" t="s">
        <v>90</v>
      </c>
      <c r="W1352" s="7"/>
      <c r="X1352" s="7" t="s">
        <v>6939</v>
      </c>
      <c r="Y1352" s="7" t="s">
        <v>9414</v>
      </c>
      <c r="Z1352" s="7"/>
      <c r="AA1352" s="7"/>
      <c r="AB1352" s="7"/>
      <c r="AC1352" s="7" t="n">
        <v>5</v>
      </c>
      <c r="AD1352" s="7" t="s">
        <v>743</v>
      </c>
      <c r="AE1352" s="7" t="s">
        <v>189</v>
      </c>
      <c r="AF1352" s="7" t="s">
        <v>9415</v>
      </c>
      <c r="AG1352" s="7" t="s">
        <v>744</v>
      </c>
      <c r="AH1352" s="7" t="s">
        <v>6939</v>
      </c>
      <c r="AI1352" s="7"/>
      <c r="AJ1352" s="7"/>
      <c r="AK1352" s="7"/>
      <c r="AL1352" s="7"/>
      <c r="AM1352" s="7"/>
      <c r="AN1352" s="7"/>
      <c r="AO1352" s="7" t="s">
        <v>744</v>
      </c>
      <c r="AP1352" s="7" t="s">
        <v>746</v>
      </c>
      <c r="AQ1352" s="7" t="s">
        <v>744</v>
      </c>
      <c r="AR1352" s="7" t="s">
        <v>741</v>
      </c>
      <c r="AS1352" s="7"/>
      <c r="AT1352" s="7"/>
      <c r="AU1352" s="7"/>
      <c r="AV1352" s="7"/>
      <c r="AW1352" s="7" t="s">
        <v>189</v>
      </c>
      <c r="AX1352" s="7" t="s">
        <v>9414</v>
      </c>
      <c r="AY1352" s="7"/>
      <c r="AZ1352" s="7"/>
      <c r="BA1352" s="7"/>
      <c r="BB1352" s="7"/>
      <c r="BC1352" s="7"/>
      <c r="BD1352" s="7" t="s">
        <v>747</v>
      </c>
      <c r="BE1352" s="7" t="s">
        <v>127</v>
      </c>
      <c r="BF1352" s="8"/>
      <c r="BG1352" s="8"/>
      <c r="BH1352" s="8"/>
      <c r="BI1352" s="8"/>
      <c r="BJ1352" s="8"/>
      <c r="BK1352" s="8"/>
      <c r="BL1352" s="8"/>
      <c r="BM1352" s="8"/>
      <c r="BN1352" s="8"/>
      <c r="BO1352" s="8"/>
      <c r="BP1352" s="8"/>
      <c r="BQ1352" s="8"/>
      <c r="BR1352" s="8"/>
      <c r="BS1352" s="8"/>
    </row>
    <row r="1353" customFormat="false" ht="15" hidden="false" customHeight="false" outlineLevel="0" collapsed="false">
      <c r="A1353" s="7" t="s">
        <v>9416</v>
      </c>
      <c r="B1353" s="7" t="s">
        <v>9417</v>
      </c>
      <c r="C1353" s="7" t="s">
        <v>9418</v>
      </c>
      <c r="D1353" s="7" t="s">
        <v>746</v>
      </c>
      <c r="E1353" s="7" t="s">
        <v>741</v>
      </c>
      <c r="F1353" s="7" t="s">
        <v>741</v>
      </c>
      <c r="G1353" s="7"/>
      <c r="H1353" s="7"/>
      <c r="I1353" s="7" t="s">
        <v>158</v>
      </c>
      <c r="J1353" s="7" t="s">
        <v>104</v>
      </c>
      <c r="K1353" s="7" t="s">
        <v>105</v>
      </c>
      <c r="L1353" s="7" t="s">
        <v>106</v>
      </c>
      <c r="M1353" s="7"/>
      <c r="N1353" s="7" t="s">
        <v>9419</v>
      </c>
      <c r="O1353" s="7" t="s">
        <v>9419</v>
      </c>
      <c r="P1353" s="7" t="s">
        <v>135</v>
      </c>
      <c r="Q1353" s="7"/>
      <c r="R1353" s="7" t="s">
        <v>109</v>
      </c>
      <c r="S1353" s="7" t="s">
        <v>110</v>
      </c>
      <c r="T1353" s="7" t="n">
        <v>0.691</v>
      </c>
      <c r="U1353" s="7" t="n">
        <v>2</v>
      </c>
      <c r="V1353" s="7" t="s">
        <v>90</v>
      </c>
      <c r="W1353" s="7"/>
      <c r="X1353" s="7" t="s">
        <v>9420</v>
      </c>
      <c r="Y1353" s="7" t="s">
        <v>9421</v>
      </c>
      <c r="Z1353" s="7"/>
      <c r="AA1353" s="7"/>
      <c r="AB1353" s="7"/>
      <c r="AC1353" s="7" t="n">
        <v>5</v>
      </c>
      <c r="AD1353" s="7" t="s">
        <v>743</v>
      </c>
      <c r="AE1353" s="7" t="s">
        <v>189</v>
      </c>
      <c r="AF1353" s="7" t="s">
        <v>9422</v>
      </c>
      <c r="AG1353" s="7" t="s">
        <v>744</v>
      </c>
      <c r="AH1353" s="7" t="s">
        <v>9420</v>
      </c>
      <c r="AI1353" s="7"/>
      <c r="AJ1353" s="7"/>
      <c r="AK1353" s="7"/>
      <c r="AL1353" s="7"/>
      <c r="AM1353" s="7"/>
      <c r="AN1353" s="7"/>
      <c r="AO1353" s="7" t="s">
        <v>744</v>
      </c>
      <c r="AP1353" s="7" t="s">
        <v>746</v>
      </c>
      <c r="AQ1353" s="7" t="s">
        <v>744</v>
      </c>
      <c r="AR1353" s="7" t="s">
        <v>741</v>
      </c>
      <c r="AS1353" s="7"/>
      <c r="AT1353" s="7"/>
      <c r="AU1353" s="7"/>
      <c r="AV1353" s="7"/>
      <c r="AW1353" s="7" t="s">
        <v>189</v>
      </c>
      <c r="AX1353" s="7" t="s">
        <v>9421</v>
      </c>
      <c r="AY1353" s="7"/>
      <c r="AZ1353" s="7"/>
      <c r="BA1353" s="7"/>
      <c r="BB1353" s="7"/>
      <c r="BC1353" s="7"/>
      <c r="BD1353" s="7" t="s">
        <v>747</v>
      </c>
      <c r="BE1353" s="7" t="s">
        <v>127</v>
      </c>
      <c r="BF1353" s="8"/>
      <c r="BG1353" s="8"/>
      <c r="BH1353" s="8"/>
      <c r="BI1353" s="8"/>
      <c r="BJ1353" s="8"/>
      <c r="BK1353" s="8"/>
      <c r="BL1353" s="8"/>
      <c r="BM1353" s="8"/>
      <c r="BN1353" s="8"/>
      <c r="BO1353" s="8"/>
      <c r="BP1353" s="8"/>
      <c r="BQ1353" s="8"/>
      <c r="BR1353" s="8"/>
      <c r="BS1353" s="8"/>
    </row>
    <row r="1354" customFormat="false" ht="15" hidden="false" customHeight="false" outlineLevel="0" collapsed="false">
      <c r="A1354" s="7" t="s">
        <v>9423</v>
      </c>
      <c r="B1354" s="7" t="s">
        <v>9424</v>
      </c>
      <c r="C1354" s="7" t="s">
        <v>9425</v>
      </c>
      <c r="D1354" s="7" t="s">
        <v>9426</v>
      </c>
      <c r="E1354" s="7"/>
      <c r="F1354" s="7" t="s">
        <v>101</v>
      </c>
      <c r="G1354" s="7"/>
      <c r="H1354" s="7"/>
      <c r="I1354" s="7" t="s">
        <v>374</v>
      </c>
      <c r="J1354" s="7" t="s">
        <v>104</v>
      </c>
      <c r="K1354" s="7" t="s">
        <v>105</v>
      </c>
      <c r="L1354" s="7" t="s">
        <v>106</v>
      </c>
      <c r="M1354" s="7"/>
      <c r="N1354" s="7" t="s">
        <v>9427</v>
      </c>
      <c r="O1354" s="7"/>
      <c r="P1354" s="7" t="s">
        <v>135</v>
      </c>
      <c r="Q1354" s="7"/>
      <c r="R1354" s="7" t="s">
        <v>135</v>
      </c>
      <c r="S1354" s="7" t="s">
        <v>136</v>
      </c>
      <c r="T1354" s="7" t="n">
        <v>0.582</v>
      </c>
      <c r="U1354" s="7" t="n">
        <v>2</v>
      </c>
      <c r="V1354" s="7" t="s">
        <v>90</v>
      </c>
      <c r="W1354" s="7"/>
      <c r="X1354" s="7" t="s">
        <v>92</v>
      </c>
      <c r="Y1354" s="7" t="s">
        <v>9428</v>
      </c>
      <c r="Z1354" s="7"/>
      <c r="AA1354" s="7"/>
      <c r="AB1354" s="7"/>
      <c r="AC1354" s="7" t="n">
        <v>5</v>
      </c>
      <c r="AD1354" s="7" t="s">
        <v>1897</v>
      </c>
      <c r="AE1354" s="7" t="s">
        <v>744</v>
      </c>
      <c r="AF1354" s="7" t="s">
        <v>9425</v>
      </c>
      <c r="AG1354" s="7" t="s">
        <v>189</v>
      </c>
      <c r="AH1354" s="7" t="s">
        <v>92</v>
      </c>
      <c r="AI1354" s="7"/>
      <c r="AJ1354" s="7"/>
      <c r="AK1354" s="7"/>
      <c r="AL1354" s="7"/>
      <c r="AM1354" s="7" t="s">
        <v>744</v>
      </c>
      <c r="AN1354" s="7" t="s">
        <v>9429</v>
      </c>
      <c r="AO1354" s="7" t="s">
        <v>189</v>
      </c>
      <c r="AP1354" s="7" t="s">
        <v>9430</v>
      </c>
      <c r="AQ1354" s="7"/>
      <c r="AR1354" s="7"/>
      <c r="AS1354" s="7"/>
      <c r="AT1354" s="7"/>
      <c r="AU1354" s="7"/>
      <c r="AV1354" s="7"/>
      <c r="AW1354" s="7" t="s">
        <v>189</v>
      </c>
      <c r="AX1354" s="7" t="s">
        <v>9428</v>
      </c>
      <c r="AY1354" s="7"/>
      <c r="AZ1354" s="7"/>
      <c r="BA1354" s="7"/>
      <c r="BB1354" s="7"/>
      <c r="BC1354" s="7"/>
      <c r="BD1354" s="7"/>
      <c r="BE1354" s="7" t="s">
        <v>127</v>
      </c>
      <c r="BF1354" s="8"/>
      <c r="BG1354" s="8"/>
      <c r="BH1354" s="8"/>
      <c r="BI1354" s="8"/>
      <c r="BJ1354" s="8"/>
      <c r="BK1354" s="8"/>
      <c r="BL1354" s="8"/>
      <c r="BM1354" s="8"/>
      <c r="BN1354" s="8"/>
      <c r="BO1354" s="8"/>
      <c r="BP1354" s="8"/>
      <c r="BQ1354" s="8"/>
      <c r="BR1354" s="8"/>
      <c r="BS1354" s="8"/>
    </row>
    <row r="1355" customFormat="false" ht="15" hidden="false" customHeight="false" outlineLevel="0" collapsed="false">
      <c r="A1355" s="7" t="s">
        <v>9431</v>
      </c>
      <c r="B1355" s="7" t="s">
        <v>9432</v>
      </c>
      <c r="C1355" s="7" t="s">
        <v>9433</v>
      </c>
      <c r="D1355" s="7" t="s">
        <v>2478</v>
      </c>
      <c r="E1355" s="7"/>
      <c r="F1355" s="7" t="s">
        <v>101</v>
      </c>
      <c r="G1355" s="7"/>
      <c r="H1355" s="7"/>
      <c r="I1355" s="7" t="s">
        <v>300</v>
      </c>
      <c r="J1355" s="7" t="s">
        <v>104</v>
      </c>
      <c r="K1355" s="7" t="s">
        <v>105</v>
      </c>
      <c r="L1355" s="7" t="s">
        <v>106</v>
      </c>
      <c r="M1355" s="7"/>
      <c r="N1355" s="7" t="s">
        <v>9434</v>
      </c>
      <c r="O1355" s="7"/>
      <c r="P1355" s="7" t="s">
        <v>84</v>
      </c>
      <c r="Q1355" s="7"/>
      <c r="R1355" s="7" t="s">
        <v>135</v>
      </c>
      <c r="S1355" s="7" t="s">
        <v>136</v>
      </c>
      <c r="T1355" s="7" t="n">
        <v>0.346</v>
      </c>
      <c r="U1355" s="7" t="n">
        <v>2</v>
      </c>
      <c r="V1355" s="7" t="s">
        <v>1112</v>
      </c>
      <c r="W1355" s="7"/>
      <c r="X1355" s="7" t="s">
        <v>9435</v>
      </c>
      <c r="Y1355" s="7" t="s">
        <v>2474</v>
      </c>
      <c r="Z1355" s="7"/>
      <c r="AA1355" s="7"/>
      <c r="AB1355" s="7"/>
      <c r="AC1355" s="7" t="n">
        <v>5</v>
      </c>
      <c r="AD1355" s="7" t="s">
        <v>1897</v>
      </c>
      <c r="AE1355" s="7" t="s">
        <v>744</v>
      </c>
      <c r="AF1355" s="7" t="s">
        <v>9433</v>
      </c>
      <c r="AG1355" s="7" t="s">
        <v>744</v>
      </c>
      <c r="AH1355" s="7" t="s">
        <v>9436</v>
      </c>
      <c r="AI1355" s="7"/>
      <c r="AJ1355" s="7"/>
      <c r="AK1355" s="7"/>
      <c r="AL1355" s="7"/>
      <c r="AM1355" s="7" t="s">
        <v>744</v>
      </c>
      <c r="AN1355" s="7" t="s">
        <v>9437</v>
      </c>
      <c r="AO1355" s="7" t="s">
        <v>744</v>
      </c>
      <c r="AP1355" s="7" t="s">
        <v>2478</v>
      </c>
      <c r="AQ1355" s="7"/>
      <c r="AR1355" s="7"/>
      <c r="AS1355" s="7"/>
      <c r="AT1355" s="7"/>
      <c r="AU1355" s="7"/>
      <c r="AV1355" s="7"/>
      <c r="AW1355" s="7" t="s">
        <v>744</v>
      </c>
      <c r="AX1355" s="7" t="s">
        <v>9434</v>
      </c>
      <c r="AY1355" s="7"/>
      <c r="AZ1355" s="7"/>
      <c r="BA1355" s="7"/>
      <c r="BB1355" s="7"/>
      <c r="BC1355" s="7"/>
      <c r="BD1355" s="7"/>
      <c r="BE1355" s="7" t="s">
        <v>127</v>
      </c>
      <c r="BF1355" s="8"/>
      <c r="BG1355" s="8"/>
      <c r="BH1355" s="8"/>
      <c r="BI1355" s="8"/>
      <c r="BJ1355" s="8"/>
      <c r="BK1355" s="8"/>
      <c r="BL1355" s="8"/>
      <c r="BM1355" s="8"/>
      <c r="BN1355" s="8"/>
      <c r="BO1355" s="8"/>
      <c r="BP1355" s="8"/>
      <c r="BQ1355" s="8"/>
      <c r="BR1355" s="8"/>
      <c r="BS1355" s="8"/>
    </row>
    <row r="1356" customFormat="false" ht="15" hidden="false" customHeight="false" outlineLevel="0" collapsed="false">
      <c r="A1356" s="7" t="s">
        <v>9438</v>
      </c>
      <c r="B1356" s="7" t="s">
        <v>9439</v>
      </c>
      <c r="C1356" s="7" t="s">
        <v>9440</v>
      </c>
      <c r="D1356" s="7" t="s">
        <v>9441</v>
      </c>
      <c r="E1356" s="7" t="s">
        <v>431</v>
      </c>
      <c r="F1356" s="7" t="s">
        <v>431</v>
      </c>
      <c r="G1356" s="7"/>
      <c r="H1356" s="7"/>
      <c r="I1356" s="7" t="s">
        <v>300</v>
      </c>
      <c r="J1356" s="7" t="s">
        <v>104</v>
      </c>
      <c r="K1356" s="7" t="s">
        <v>105</v>
      </c>
      <c r="L1356" s="7" t="s">
        <v>106</v>
      </c>
      <c r="M1356" s="7"/>
      <c r="N1356" s="7" t="s">
        <v>9442</v>
      </c>
      <c r="O1356" s="7"/>
      <c r="P1356" s="7" t="s">
        <v>84</v>
      </c>
      <c r="Q1356" s="7"/>
      <c r="R1356" s="7" t="s">
        <v>135</v>
      </c>
      <c r="S1356" s="7" t="s">
        <v>136</v>
      </c>
      <c r="T1356" s="7" t="n">
        <v>0.599</v>
      </c>
      <c r="U1356" s="7" t="n">
        <v>2</v>
      </c>
      <c r="V1356" s="7" t="s">
        <v>1112</v>
      </c>
      <c r="W1356" s="7"/>
      <c r="X1356" s="7" t="s">
        <v>9443</v>
      </c>
      <c r="Y1356" s="7" t="s">
        <v>9442</v>
      </c>
      <c r="Z1356" s="7"/>
      <c r="AA1356" s="7"/>
      <c r="AB1356" s="7"/>
      <c r="AC1356" s="7" t="n">
        <v>6</v>
      </c>
      <c r="AD1356" s="7" t="s">
        <v>1235</v>
      </c>
      <c r="AE1356" s="7" t="s">
        <v>189</v>
      </c>
      <c r="AF1356" s="7" t="s">
        <v>9440</v>
      </c>
      <c r="AG1356" s="7" t="s">
        <v>189</v>
      </c>
      <c r="AH1356" s="7" t="s">
        <v>9444</v>
      </c>
      <c r="AI1356" s="7"/>
      <c r="AJ1356" s="7"/>
      <c r="AK1356" s="7"/>
      <c r="AL1356" s="7"/>
      <c r="AM1356" s="7" t="s">
        <v>189</v>
      </c>
      <c r="AN1356" s="7" t="s">
        <v>9445</v>
      </c>
      <c r="AO1356" s="7" t="s">
        <v>189</v>
      </c>
      <c r="AP1356" s="7" t="s">
        <v>9441</v>
      </c>
      <c r="AQ1356" s="7" t="s">
        <v>744</v>
      </c>
      <c r="AR1356" s="7" t="s">
        <v>431</v>
      </c>
      <c r="AS1356" s="7"/>
      <c r="AT1356" s="7"/>
      <c r="AU1356" s="7"/>
      <c r="AV1356" s="7"/>
      <c r="AW1356" s="7" t="s">
        <v>189</v>
      </c>
      <c r="AX1356" s="7" t="s">
        <v>9442</v>
      </c>
      <c r="AY1356" s="7"/>
      <c r="AZ1356" s="7"/>
      <c r="BA1356" s="7"/>
      <c r="BB1356" s="7"/>
      <c r="BC1356" s="7"/>
      <c r="BD1356" s="7"/>
      <c r="BE1356" s="7" t="s">
        <v>127</v>
      </c>
      <c r="BF1356" s="8"/>
      <c r="BG1356" s="8"/>
      <c r="BH1356" s="8"/>
      <c r="BI1356" s="8"/>
      <c r="BJ1356" s="8"/>
      <c r="BK1356" s="8"/>
      <c r="BL1356" s="8"/>
      <c r="BM1356" s="8"/>
      <c r="BN1356" s="8"/>
      <c r="BO1356" s="8"/>
      <c r="BP1356" s="8"/>
      <c r="BQ1356" s="8"/>
      <c r="BR1356" s="8"/>
      <c r="BS1356" s="8"/>
    </row>
    <row r="1357" customFormat="false" ht="15" hidden="false" customHeight="false" outlineLevel="0" collapsed="false">
      <c r="A1357" s="7" t="s">
        <v>9446</v>
      </c>
      <c r="B1357" s="7" t="s">
        <v>9447</v>
      </c>
      <c r="C1357" s="7" t="s">
        <v>9448</v>
      </c>
      <c r="D1357" s="7" t="s">
        <v>2193</v>
      </c>
      <c r="E1357" s="7" t="s">
        <v>82</v>
      </c>
      <c r="F1357" s="7" t="s">
        <v>82</v>
      </c>
      <c r="G1357" s="7"/>
      <c r="H1357" s="7"/>
      <c r="I1357" s="7" t="s">
        <v>132</v>
      </c>
      <c r="J1357" s="7" t="s">
        <v>104</v>
      </c>
      <c r="K1357" s="7" t="s">
        <v>105</v>
      </c>
      <c r="L1357" s="7" t="s">
        <v>106</v>
      </c>
      <c r="M1357" s="7"/>
      <c r="N1357" s="7" t="s">
        <v>9449</v>
      </c>
      <c r="O1357" s="7" t="s">
        <v>9449</v>
      </c>
      <c r="P1357" s="7" t="s">
        <v>84</v>
      </c>
      <c r="Q1357" s="7"/>
      <c r="R1357" s="7" t="s">
        <v>109</v>
      </c>
      <c r="S1357" s="7" t="s">
        <v>110</v>
      </c>
      <c r="T1357" s="7" t="n">
        <v>0.533</v>
      </c>
      <c r="U1357" s="7" t="n">
        <v>2</v>
      </c>
      <c r="V1357" s="7"/>
      <c r="W1357" s="7"/>
      <c r="X1357" s="7"/>
      <c r="Y1357" s="7" t="s">
        <v>9449</v>
      </c>
      <c r="Z1357" s="7"/>
      <c r="AA1357" s="7"/>
      <c r="AB1357" s="7"/>
      <c r="AC1357" s="7" t="n">
        <v>4</v>
      </c>
      <c r="AD1357" s="7" t="s">
        <v>1376</v>
      </c>
      <c r="AE1357" s="7" t="s">
        <v>1809</v>
      </c>
      <c r="AF1357" s="7" t="s">
        <v>9450</v>
      </c>
      <c r="AG1357" s="7"/>
      <c r="AH1357" s="7"/>
      <c r="AI1357" s="7"/>
      <c r="AJ1357" s="7"/>
      <c r="AK1357" s="7"/>
      <c r="AL1357" s="7"/>
      <c r="AM1357" s="7"/>
      <c r="AN1357" s="7"/>
      <c r="AO1357" s="7" t="s">
        <v>1809</v>
      </c>
      <c r="AP1357" s="7" t="s">
        <v>2193</v>
      </c>
      <c r="AQ1357" s="7" t="s">
        <v>1809</v>
      </c>
      <c r="AR1357" s="7" t="s">
        <v>82</v>
      </c>
      <c r="AS1357" s="7"/>
      <c r="AT1357" s="7"/>
      <c r="AU1357" s="7"/>
      <c r="AV1357" s="7"/>
      <c r="AW1357" s="7" t="s">
        <v>1809</v>
      </c>
      <c r="AX1357" s="7" t="s">
        <v>9451</v>
      </c>
      <c r="AY1357" s="7"/>
      <c r="AZ1357" s="7"/>
      <c r="BA1357" s="7"/>
      <c r="BB1357" s="7"/>
      <c r="BC1357" s="7"/>
      <c r="BD1357" s="7"/>
      <c r="BE1357" s="7" t="s">
        <v>127</v>
      </c>
      <c r="BF1357" s="8"/>
      <c r="BG1357" s="8"/>
      <c r="BH1357" s="8"/>
      <c r="BI1357" s="8"/>
      <c r="BJ1357" s="8"/>
      <c r="BK1357" s="8"/>
      <c r="BL1357" s="8"/>
      <c r="BM1357" s="8"/>
      <c r="BN1357" s="8"/>
      <c r="BO1357" s="8"/>
      <c r="BP1357" s="8"/>
      <c r="BQ1357" s="8"/>
      <c r="BR1357" s="8"/>
      <c r="BS1357" s="8"/>
    </row>
    <row r="1358" customFormat="false" ht="15" hidden="false" customHeight="false" outlineLevel="0" collapsed="false">
      <c r="A1358" s="7" t="s">
        <v>9452</v>
      </c>
      <c r="B1358" s="7" t="s">
        <v>9453</v>
      </c>
      <c r="C1358" s="7" t="s">
        <v>9454</v>
      </c>
      <c r="D1358" s="7" t="s">
        <v>2028</v>
      </c>
      <c r="E1358" s="7" t="s">
        <v>82</v>
      </c>
      <c r="F1358" s="7" t="s">
        <v>82</v>
      </c>
      <c r="G1358" s="7"/>
      <c r="H1358" s="7"/>
      <c r="I1358" s="7" t="s">
        <v>158</v>
      </c>
      <c r="J1358" s="7" t="s">
        <v>104</v>
      </c>
      <c r="K1358" s="7" t="s">
        <v>105</v>
      </c>
      <c r="L1358" s="7" t="s">
        <v>106</v>
      </c>
      <c r="M1358" s="7"/>
      <c r="N1358" s="7" t="s">
        <v>9455</v>
      </c>
      <c r="O1358" s="7" t="s">
        <v>9455</v>
      </c>
      <c r="P1358" s="7" t="s">
        <v>109</v>
      </c>
      <c r="Q1358" s="7"/>
      <c r="R1358" s="7" t="s">
        <v>109</v>
      </c>
      <c r="S1358" s="7" t="s">
        <v>110</v>
      </c>
      <c r="T1358" s="7" t="n">
        <v>0.529</v>
      </c>
      <c r="U1358" s="7" t="n">
        <v>2</v>
      </c>
      <c r="V1358" s="7" t="s">
        <v>86</v>
      </c>
      <c r="W1358" s="7" t="s">
        <v>9456</v>
      </c>
      <c r="X1358" s="7" t="s">
        <v>9457</v>
      </c>
      <c r="Y1358" s="7" t="s">
        <v>9458</v>
      </c>
      <c r="Z1358" s="7"/>
      <c r="AA1358" s="7"/>
      <c r="AB1358" s="7"/>
      <c r="AC1358" s="7" t="n">
        <v>4</v>
      </c>
      <c r="AD1358" s="7" t="s">
        <v>1376</v>
      </c>
      <c r="AE1358" s="7" t="s">
        <v>2032</v>
      </c>
      <c r="AF1358" s="7" t="s">
        <v>9454</v>
      </c>
      <c r="AG1358" s="7"/>
      <c r="AH1358" s="7"/>
      <c r="AI1358" s="7"/>
      <c r="AJ1358" s="7"/>
      <c r="AK1358" s="7"/>
      <c r="AL1358" s="7"/>
      <c r="AM1358" s="7"/>
      <c r="AN1358" s="7"/>
      <c r="AO1358" s="7" t="s">
        <v>2032</v>
      </c>
      <c r="AP1358" s="7" t="s">
        <v>2028</v>
      </c>
      <c r="AQ1358" s="7" t="s">
        <v>2032</v>
      </c>
      <c r="AR1358" s="7" t="s">
        <v>82</v>
      </c>
      <c r="AS1358" s="7"/>
      <c r="AT1358" s="7"/>
      <c r="AU1358" s="7"/>
      <c r="AV1358" s="7"/>
      <c r="AW1358" s="7" t="s">
        <v>2032</v>
      </c>
      <c r="AX1358" s="7" t="s">
        <v>9455</v>
      </c>
      <c r="AY1358" s="7"/>
      <c r="AZ1358" s="7"/>
      <c r="BA1358" s="7"/>
      <c r="BB1358" s="7"/>
      <c r="BC1358" s="7"/>
      <c r="BD1358" s="7" t="s">
        <v>9459</v>
      </c>
      <c r="BE1358" s="7" t="s">
        <v>127</v>
      </c>
      <c r="BF1358" s="8"/>
      <c r="BG1358" s="8"/>
      <c r="BH1358" s="8"/>
      <c r="BI1358" s="8"/>
      <c r="BJ1358" s="8"/>
      <c r="BK1358" s="8"/>
      <c r="BL1358" s="8"/>
      <c r="BM1358" s="8"/>
      <c r="BN1358" s="8"/>
      <c r="BO1358" s="8"/>
      <c r="BP1358" s="8"/>
      <c r="BQ1358" s="8"/>
      <c r="BR1358" s="8"/>
      <c r="BS1358" s="8"/>
    </row>
    <row r="1359" customFormat="false" ht="15" hidden="false" customHeight="false" outlineLevel="0" collapsed="false">
      <c r="A1359" s="7" t="s">
        <v>9460</v>
      </c>
      <c r="B1359" s="7" t="s">
        <v>9461</v>
      </c>
      <c r="C1359" s="7" t="s">
        <v>9462</v>
      </c>
      <c r="D1359" s="7" t="s">
        <v>2028</v>
      </c>
      <c r="E1359" s="7" t="s">
        <v>82</v>
      </c>
      <c r="F1359" s="7" t="s">
        <v>82</v>
      </c>
      <c r="G1359" s="7"/>
      <c r="H1359" s="7"/>
      <c r="I1359" s="7" t="s">
        <v>158</v>
      </c>
      <c r="J1359" s="7" t="s">
        <v>104</v>
      </c>
      <c r="K1359" s="7" t="s">
        <v>105</v>
      </c>
      <c r="L1359" s="7" t="s">
        <v>106</v>
      </c>
      <c r="M1359" s="7"/>
      <c r="N1359" s="7" t="s">
        <v>9463</v>
      </c>
      <c r="O1359" s="7" t="s">
        <v>9463</v>
      </c>
      <c r="P1359" s="7" t="s">
        <v>109</v>
      </c>
      <c r="Q1359" s="7"/>
      <c r="R1359" s="7" t="s">
        <v>109</v>
      </c>
      <c r="S1359" s="7" t="s">
        <v>110</v>
      </c>
      <c r="T1359" s="7" t="n">
        <v>0.483</v>
      </c>
      <c r="U1359" s="7" t="n">
        <v>2</v>
      </c>
      <c r="V1359" s="7" t="s">
        <v>86</v>
      </c>
      <c r="W1359" s="7" t="s">
        <v>9456</v>
      </c>
      <c r="X1359" s="7" t="s">
        <v>9457</v>
      </c>
      <c r="Y1359" s="7" t="s">
        <v>9458</v>
      </c>
      <c r="Z1359" s="7"/>
      <c r="AA1359" s="7"/>
      <c r="AB1359" s="7"/>
      <c r="AC1359" s="7" t="n">
        <v>4</v>
      </c>
      <c r="AD1359" s="7" t="s">
        <v>1376</v>
      </c>
      <c r="AE1359" s="7" t="s">
        <v>2032</v>
      </c>
      <c r="AF1359" s="7" t="s">
        <v>9462</v>
      </c>
      <c r="AG1359" s="7"/>
      <c r="AH1359" s="7"/>
      <c r="AI1359" s="7"/>
      <c r="AJ1359" s="7"/>
      <c r="AK1359" s="7"/>
      <c r="AL1359" s="7"/>
      <c r="AM1359" s="7"/>
      <c r="AN1359" s="7"/>
      <c r="AO1359" s="7" t="s">
        <v>2032</v>
      </c>
      <c r="AP1359" s="7" t="s">
        <v>2028</v>
      </c>
      <c r="AQ1359" s="7" t="s">
        <v>2032</v>
      </c>
      <c r="AR1359" s="7" t="s">
        <v>82</v>
      </c>
      <c r="AS1359" s="7"/>
      <c r="AT1359" s="7"/>
      <c r="AU1359" s="7"/>
      <c r="AV1359" s="7"/>
      <c r="AW1359" s="7" t="s">
        <v>2032</v>
      </c>
      <c r="AX1359" s="7" t="s">
        <v>9463</v>
      </c>
      <c r="AY1359" s="7"/>
      <c r="AZ1359" s="7"/>
      <c r="BA1359" s="7"/>
      <c r="BB1359" s="7"/>
      <c r="BC1359" s="7"/>
      <c r="BD1359" s="7" t="s">
        <v>9459</v>
      </c>
      <c r="BE1359" s="7" t="s">
        <v>127</v>
      </c>
      <c r="BF1359" s="8"/>
      <c r="BG1359" s="8"/>
      <c r="BH1359" s="8"/>
      <c r="BI1359" s="8"/>
      <c r="BJ1359" s="8"/>
      <c r="BK1359" s="8"/>
      <c r="BL1359" s="8"/>
      <c r="BM1359" s="8"/>
      <c r="BN1359" s="8"/>
      <c r="BO1359" s="8"/>
      <c r="BP1359" s="8"/>
      <c r="BQ1359" s="8"/>
      <c r="BR1359" s="8"/>
      <c r="BS1359" s="8"/>
    </row>
    <row r="1360" customFormat="false" ht="15" hidden="false" customHeight="false" outlineLevel="0" collapsed="false">
      <c r="A1360" s="7" t="s">
        <v>9464</v>
      </c>
      <c r="B1360" s="7" t="s">
        <v>9465</v>
      </c>
      <c r="C1360" s="7" t="s">
        <v>9466</v>
      </c>
      <c r="D1360" s="7" t="s">
        <v>2028</v>
      </c>
      <c r="E1360" s="7" t="s">
        <v>82</v>
      </c>
      <c r="F1360" s="7" t="s">
        <v>82</v>
      </c>
      <c r="G1360" s="7"/>
      <c r="H1360" s="7"/>
      <c r="I1360" s="7" t="s">
        <v>158</v>
      </c>
      <c r="J1360" s="7" t="s">
        <v>104</v>
      </c>
      <c r="K1360" s="7" t="s">
        <v>105</v>
      </c>
      <c r="L1360" s="7" t="s">
        <v>106</v>
      </c>
      <c r="M1360" s="7"/>
      <c r="N1360" s="7" t="s">
        <v>9458</v>
      </c>
      <c r="O1360" s="7" t="s">
        <v>9458</v>
      </c>
      <c r="P1360" s="7" t="s">
        <v>109</v>
      </c>
      <c r="Q1360" s="7"/>
      <c r="R1360" s="7" t="s">
        <v>109</v>
      </c>
      <c r="S1360" s="7" t="s">
        <v>110</v>
      </c>
      <c r="T1360" s="7" t="n">
        <v>0.558</v>
      </c>
      <c r="U1360" s="7" t="n">
        <v>2</v>
      </c>
      <c r="V1360" s="7" t="s">
        <v>86</v>
      </c>
      <c r="W1360" s="7" t="s">
        <v>9456</v>
      </c>
      <c r="X1360" s="7" t="s">
        <v>9457</v>
      </c>
      <c r="Y1360" s="7" t="s">
        <v>9458</v>
      </c>
      <c r="Z1360" s="7"/>
      <c r="AA1360" s="7"/>
      <c r="AB1360" s="7"/>
      <c r="AC1360" s="7" t="n">
        <v>5</v>
      </c>
      <c r="AD1360" s="7" t="s">
        <v>743</v>
      </c>
      <c r="AE1360" s="7" t="s">
        <v>2032</v>
      </c>
      <c r="AF1360" s="7" t="s">
        <v>9466</v>
      </c>
      <c r="AG1360" s="7" t="s">
        <v>2032</v>
      </c>
      <c r="AH1360" s="7" t="s">
        <v>9457</v>
      </c>
      <c r="AI1360" s="7"/>
      <c r="AJ1360" s="7"/>
      <c r="AK1360" s="7"/>
      <c r="AL1360" s="7"/>
      <c r="AM1360" s="7"/>
      <c r="AN1360" s="7"/>
      <c r="AO1360" s="7" t="s">
        <v>2032</v>
      </c>
      <c r="AP1360" s="7" t="s">
        <v>2028</v>
      </c>
      <c r="AQ1360" s="7" t="s">
        <v>2032</v>
      </c>
      <c r="AR1360" s="7" t="s">
        <v>82</v>
      </c>
      <c r="AS1360" s="7"/>
      <c r="AT1360" s="7"/>
      <c r="AU1360" s="7"/>
      <c r="AV1360" s="7"/>
      <c r="AW1360" s="7" t="s">
        <v>2032</v>
      </c>
      <c r="AX1360" s="7" t="s">
        <v>9458</v>
      </c>
      <c r="AY1360" s="7"/>
      <c r="AZ1360" s="7"/>
      <c r="BA1360" s="7"/>
      <c r="BB1360" s="7"/>
      <c r="BC1360" s="7"/>
      <c r="BD1360" s="7" t="s">
        <v>9459</v>
      </c>
      <c r="BE1360" s="7" t="s">
        <v>127</v>
      </c>
      <c r="BF1360" s="8"/>
      <c r="BG1360" s="8"/>
      <c r="BH1360" s="8"/>
      <c r="BI1360" s="8"/>
      <c r="BJ1360" s="8"/>
      <c r="BK1360" s="8"/>
      <c r="BL1360" s="8"/>
      <c r="BM1360" s="8"/>
      <c r="BN1360" s="8"/>
      <c r="BO1360" s="8"/>
      <c r="BP1360" s="8"/>
      <c r="BQ1360" s="8"/>
      <c r="BR1360" s="8"/>
      <c r="BS1360" s="8"/>
    </row>
    <row r="1361" customFormat="false" ht="15" hidden="false" customHeight="false" outlineLevel="0" collapsed="false">
      <c r="A1361" s="7" t="s">
        <v>9467</v>
      </c>
      <c r="B1361" s="7" t="s">
        <v>9468</v>
      </c>
      <c r="C1361" s="7" t="s">
        <v>9469</v>
      </c>
      <c r="D1361" s="7" t="s">
        <v>2028</v>
      </c>
      <c r="E1361" s="7" t="s">
        <v>82</v>
      </c>
      <c r="F1361" s="7" t="s">
        <v>82</v>
      </c>
      <c r="G1361" s="7"/>
      <c r="H1361" s="7"/>
      <c r="I1361" s="7" t="s">
        <v>158</v>
      </c>
      <c r="J1361" s="7" t="s">
        <v>104</v>
      </c>
      <c r="K1361" s="7" t="s">
        <v>105</v>
      </c>
      <c r="L1361" s="7" t="s">
        <v>106</v>
      </c>
      <c r="M1361" s="7"/>
      <c r="N1361" s="7" t="s">
        <v>9470</v>
      </c>
      <c r="O1361" s="7" t="s">
        <v>9470</v>
      </c>
      <c r="P1361" s="7" t="s">
        <v>109</v>
      </c>
      <c r="Q1361" s="7"/>
      <c r="R1361" s="7" t="s">
        <v>109</v>
      </c>
      <c r="S1361" s="7" t="s">
        <v>110</v>
      </c>
      <c r="T1361" s="7" t="n">
        <v>0.445</v>
      </c>
      <c r="U1361" s="7" t="n">
        <v>2</v>
      </c>
      <c r="V1361" s="7" t="s">
        <v>86</v>
      </c>
      <c r="W1361" s="7" t="s">
        <v>9471</v>
      </c>
      <c r="X1361" s="7" t="s">
        <v>9472</v>
      </c>
      <c r="Y1361" s="7" t="s">
        <v>9473</v>
      </c>
      <c r="Z1361" s="7"/>
      <c r="AA1361" s="7"/>
      <c r="AB1361" s="7"/>
      <c r="AC1361" s="7" t="n">
        <v>5</v>
      </c>
      <c r="AD1361" s="7" t="s">
        <v>743</v>
      </c>
      <c r="AE1361" s="7" t="s">
        <v>2032</v>
      </c>
      <c r="AF1361" s="7" t="s">
        <v>9469</v>
      </c>
      <c r="AG1361" s="7" t="s">
        <v>2032</v>
      </c>
      <c r="AH1361" s="7" t="s">
        <v>9472</v>
      </c>
      <c r="AI1361" s="7"/>
      <c r="AJ1361" s="7"/>
      <c r="AK1361" s="7"/>
      <c r="AL1361" s="7"/>
      <c r="AM1361" s="7"/>
      <c r="AN1361" s="7"/>
      <c r="AO1361" s="7" t="s">
        <v>2032</v>
      </c>
      <c r="AP1361" s="7" t="s">
        <v>2028</v>
      </c>
      <c r="AQ1361" s="7" t="s">
        <v>2032</v>
      </c>
      <c r="AR1361" s="7" t="s">
        <v>82</v>
      </c>
      <c r="AS1361" s="7"/>
      <c r="AT1361" s="7"/>
      <c r="AU1361" s="7"/>
      <c r="AV1361" s="7"/>
      <c r="AW1361" s="7" t="s">
        <v>2032</v>
      </c>
      <c r="AX1361" s="7" t="s">
        <v>9470</v>
      </c>
      <c r="AY1361" s="7"/>
      <c r="AZ1361" s="7"/>
      <c r="BA1361" s="7"/>
      <c r="BB1361" s="7"/>
      <c r="BC1361" s="7"/>
      <c r="BD1361" s="7" t="s">
        <v>9474</v>
      </c>
      <c r="BE1361" s="7" t="s">
        <v>127</v>
      </c>
      <c r="BF1361" s="8"/>
      <c r="BG1361" s="8"/>
      <c r="BH1361" s="8"/>
      <c r="BI1361" s="8"/>
      <c r="BJ1361" s="8"/>
      <c r="BK1361" s="8"/>
      <c r="BL1361" s="8"/>
      <c r="BM1361" s="8"/>
      <c r="BN1361" s="8"/>
      <c r="BO1361" s="8"/>
      <c r="BP1361" s="8"/>
      <c r="BQ1361" s="8"/>
      <c r="BR1361" s="8"/>
      <c r="BS1361" s="8"/>
    </row>
    <row r="1362" customFormat="false" ht="15" hidden="false" customHeight="false" outlineLevel="0" collapsed="false">
      <c r="A1362" s="7" t="s">
        <v>9475</v>
      </c>
      <c r="B1362" s="7" t="s">
        <v>9476</v>
      </c>
      <c r="C1362" s="7" t="s">
        <v>9477</v>
      </c>
      <c r="D1362" s="7" t="s">
        <v>2028</v>
      </c>
      <c r="E1362" s="7" t="s">
        <v>82</v>
      </c>
      <c r="F1362" s="7" t="s">
        <v>82</v>
      </c>
      <c r="G1362" s="7"/>
      <c r="H1362" s="7"/>
      <c r="I1362" s="7" t="s">
        <v>158</v>
      </c>
      <c r="J1362" s="7" t="s">
        <v>104</v>
      </c>
      <c r="K1362" s="7" t="s">
        <v>105</v>
      </c>
      <c r="L1362" s="7" t="s">
        <v>106</v>
      </c>
      <c r="M1362" s="7"/>
      <c r="N1362" s="7" t="s">
        <v>9478</v>
      </c>
      <c r="O1362" s="7" t="s">
        <v>9478</v>
      </c>
      <c r="P1362" s="7" t="s">
        <v>84</v>
      </c>
      <c r="Q1362" s="7"/>
      <c r="R1362" s="7" t="s">
        <v>109</v>
      </c>
      <c r="S1362" s="7" t="s">
        <v>110</v>
      </c>
      <c r="T1362" s="7" t="n">
        <v>0.784</v>
      </c>
      <c r="U1362" s="7" t="n">
        <v>2</v>
      </c>
      <c r="V1362" s="7" t="s">
        <v>1156</v>
      </c>
      <c r="W1362" s="7" t="s">
        <v>9479</v>
      </c>
      <c r="X1362" s="7" t="s">
        <v>9480</v>
      </c>
      <c r="Y1362" s="7" t="s">
        <v>9481</v>
      </c>
      <c r="Z1362" s="7"/>
      <c r="AA1362" s="7"/>
      <c r="AB1362" s="7"/>
      <c r="AC1362" s="7" t="n">
        <v>4</v>
      </c>
      <c r="AD1362" s="7" t="s">
        <v>1376</v>
      </c>
      <c r="AE1362" s="7" t="s">
        <v>2032</v>
      </c>
      <c r="AF1362" s="7" t="s">
        <v>9477</v>
      </c>
      <c r="AG1362" s="7"/>
      <c r="AH1362" s="7"/>
      <c r="AI1362" s="7"/>
      <c r="AJ1362" s="7"/>
      <c r="AK1362" s="7"/>
      <c r="AL1362" s="7"/>
      <c r="AM1362" s="7"/>
      <c r="AN1362" s="7"/>
      <c r="AO1362" s="7" t="s">
        <v>2032</v>
      </c>
      <c r="AP1362" s="7" t="s">
        <v>2028</v>
      </c>
      <c r="AQ1362" s="7" t="s">
        <v>2032</v>
      </c>
      <c r="AR1362" s="7" t="s">
        <v>82</v>
      </c>
      <c r="AS1362" s="7"/>
      <c r="AT1362" s="7"/>
      <c r="AU1362" s="7"/>
      <c r="AV1362" s="7"/>
      <c r="AW1362" s="7" t="s">
        <v>2032</v>
      </c>
      <c r="AX1362" s="7" t="s">
        <v>9478</v>
      </c>
      <c r="AY1362" s="7"/>
      <c r="AZ1362" s="7"/>
      <c r="BA1362" s="7"/>
      <c r="BB1362" s="7"/>
      <c r="BC1362" s="7"/>
      <c r="BD1362" s="7" t="s">
        <v>9482</v>
      </c>
      <c r="BE1362" s="7" t="s">
        <v>127</v>
      </c>
      <c r="BF1362" s="8"/>
      <c r="BG1362" s="8"/>
      <c r="BH1362" s="8"/>
      <c r="BI1362" s="8"/>
      <c r="BJ1362" s="8"/>
      <c r="BK1362" s="8"/>
      <c r="BL1362" s="8"/>
      <c r="BM1362" s="8"/>
      <c r="BN1362" s="8"/>
      <c r="BO1362" s="8"/>
      <c r="BP1362" s="8"/>
      <c r="BQ1362" s="8"/>
      <c r="BR1362" s="8"/>
      <c r="BS1362" s="8"/>
    </row>
    <row r="1363" customFormat="false" ht="15" hidden="false" customHeight="false" outlineLevel="0" collapsed="false">
      <c r="A1363" s="7" t="s">
        <v>9483</v>
      </c>
      <c r="B1363" s="7" t="s">
        <v>9484</v>
      </c>
      <c r="C1363" s="7" t="s">
        <v>9485</v>
      </c>
      <c r="D1363" s="7" t="s">
        <v>2028</v>
      </c>
      <c r="E1363" s="7" t="s">
        <v>82</v>
      </c>
      <c r="F1363" s="7" t="s">
        <v>82</v>
      </c>
      <c r="G1363" s="7"/>
      <c r="H1363" s="7"/>
      <c r="I1363" s="7" t="s">
        <v>158</v>
      </c>
      <c r="J1363" s="7" t="s">
        <v>104</v>
      </c>
      <c r="K1363" s="7" t="s">
        <v>105</v>
      </c>
      <c r="L1363" s="7" t="s">
        <v>106</v>
      </c>
      <c r="M1363" s="7"/>
      <c r="N1363" s="7" t="s">
        <v>9486</v>
      </c>
      <c r="O1363" s="7" t="s">
        <v>9486</v>
      </c>
      <c r="P1363" s="7" t="s">
        <v>109</v>
      </c>
      <c r="Q1363" s="7"/>
      <c r="R1363" s="7" t="s">
        <v>109</v>
      </c>
      <c r="S1363" s="7" t="s">
        <v>110</v>
      </c>
      <c r="T1363" s="7" t="n">
        <v>0.821</v>
      </c>
      <c r="U1363" s="7" t="n">
        <v>2</v>
      </c>
      <c r="V1363" s="7" t="s">
        <v>86</v>
      </c>
      <c r="W1363" s="7" t="s">
        <v>9487</v>
      </c>
      <c r="X1363" s="7" t="s">
        <v>88</v>
      </c>
      <c r="Y1363" s="7" t="s">
        <v>9486</v>
      </c>
      <c r="Z1363" s="7"/>
      <c r="AA1363" s="7"/>
      <c r="AB1363" s="7"/>
      <c r="AC1363" s="7" t="n">
        <v>5</v>
      </c>
      <c r="AD1363" s="7" t="s">
        <v>743</v>
      </c>
      <c r="AE1363" s="7" t="s">
        <v>2032</v>
      </c>
      <c r="AF1363" s="7" t="s">
        <v>9485</v>
      </c>
      <c r="AG1363" s="7" t="s">
        <v>2032</v>
      </c>
      <c r="AH1363" s="7" t="s">
        <v>88</v>
      </c>
      <c r="AI1363" s="7"/>
      <c r="AJ1363" s="7"/>
      <c r="AK1363" s="7"/>
      <c r="AL1363" s="7"/>
      <c r="AM1363" s="7"/>
      <c r="AN1363" s="7"/>
      <c r="AO1363" s="7" t="s">
        <v>2032</v>
      </c>
      <c r="AP1363" s="7" t="s">
        <v>2028</v>
      </c>
      <c r="AQ1363" s="7" t="s">
        <v>2032</v>
      </c>
      <c r="AR1363" s="7" t="s">
        <v>82</v>
      </c>
      <c r="AS1363" s="7"/>
      <c r="AT1363" s="7"/>
      <c r="AU1363" s="7"/>
      <c r="AV1363" s="7"/>
      <c r="AW1363" s="7" t="s">
        <v>2032</v>
      </c>
      <c r="AX1363" s="7" t="s">
        <v>9486</v>
      </c>
      <c r="AY1363" s="7"/>
      <c r="AZ1363" s="7"/>
      <c r="BA1363" s="7"/>
      <c r="BB1363" s="7"/>
      <c r="BC1363" s="7"/>
      <c r="BD1363" s="7" t="s">
        <v>9488</v>
      </c>
      <c r="BE1363" s="7" t="s">
        <v>127</v>
      </c>
      <c r="BF1363" s="8"/>
      <c r="BG1363" s="8"/>
      <c r="BH1363" s="8"/>
      <c r="BI1363" s="8"/>
      <c r="BJ1363" s="8"/>
      <c r="BK1363" s="8"/>
      <c r="BL1363" s="8"/>
      <c r="BM1363" s="8"/>
      <c r="BN1363" s="8"/>
      <c r="BO1363" s="8"/>
      <c r="BP1363" s="8"/>
      <c r="BQ1363" s="8"/>
      <c r="BR1363" s="8"/>
      <c r="BS1363" s="8"/>
    </row>
    <row r="1364" customFormat="false" ht="15" hidden="false" customHeight="false" outlineLevel="0" collapsed="false">
      <c r="A1364" s="7" t="s">
        <v>9489</v>
      </c>
      <c r="B1364" s="7" t="s">
        <v>9490</v>
      </c>
      <c r="C1364" s="7" t="s">
        <v>9491</v>
      </c>
      <c r="D1364" s="7" t="s">
        <v>9492</v>
      </c>
      <c r="E1364" s="7" t="s">
        <v>82</v>
      </c>
      <c r="F1364" s="7" t="s">
        <v>82</v>
      </c>
      <c r="G1364" s="7"/>
      <c r="H1364" s="7"/>
      <c r="I1364" s="7" t="s">
        <v>158</v>
      </c>
      <c r="J1364" s="7" t="s">
        <v>104</v>
      </c>
      <c r="K1364" s="7" t="s">
        <v>105</v>
      </c>
      <c r="L1364" s="7" t="s">
        <v>106</v>
      </c>
      <c r="M1364" s="7"/>
      <c r="N1364" s="7" t="s">
        <v>9493</v>
      </c>
      <c r="O1364" s="7" t="s">
        <v>9493</v>
      </c>
      <c r="P1364" s="7" t="s">
        <v>84</v>
      </c>
      <c r="Q1364" s="7"/>
      <c r="R1364" s="7" t="s">
        <v>109</v>
      </c>
      <c r="S1364" s="7" t="s">
        <v>110</v>
      </c>
      <c r="T1364" s="7" t="n">
        <v>0.781</v>
      </c>
      <c r="U1364" s="7" t="n">
        <v>2</v>
      </c>
      <c r="V1364" s="7" t="s">
        <v>111</v>
      </c>
      <c r="W1364" s="7"/>
      <c r="X1364" s="7" t="s">
        <v>9494</v>
      </c>
      <c r="Y1364" s="7" t="s">
        <v>9493</v>
      </c>
      <c r="Z1364" s="7"/>
      <c r="AA1364" s="7"/>
      <c r="AB1364" s="7"/>
      <c r="AC1364" s="7" t="n">
        <v>6</v>
      </c>
      <c r="AD1364" s="7" t="s">
        <v>1235</v>
      </c>
      <c r="AE1364" s="7" t="s">
        <v>744</v>
      </c>
      <c r="AF1364" s="7" t="s">
        <v>9491</v>
      </c>
      <c r="AG1364" s="7" t="s">
        <v>744</v>
      </c>
      <c r="AH1364" s="7" t="s">
        <v>9495</v>
      </c>
      <c r="AI1364" s="7"/>
      <c r="AJ1364" s="7"/>
      <c r="AK1364" s="7"/>
      <c r="AL1364" s="7"/>
      <c r="AM1364" s="7" t="s">
        <v>744</v>
      </c>
      <c r="AN1364" s="7" t="s">
        <v>9496</v>
      </c>
      <c r="AO1364" s="7" t="s">
        <v>744</v>
      </c>
      <c r="AP1364" s="7" t="s">
        <v>9492</v>
      </c>
      <c r="AQ1364" s="7" t="s">
        <v>744</v>
      </c>
      <c r="AR1364" s="7" t="s">
        <v>82</v>
      </c>
      <c r="AS1364" s="7"/>
      <c r="AT1364" s="7"/>
      <c r="AU1364" s="7"/>
      <c r="AV1364" s="7"/>
      <c r="AW1364" s="7" t="s">
        <v>744</v>
      </c>
      <c r="AX1364" s="7" t="s">
        <v>9493</v>
      </c>
      <c r="AY1364" s="7"/>
      <c r="AZ1364" s="7"/>
      <c r="BA1364" s="7"/>
      <c r="BB1364" s="7"/>
      <c r="BC1364" s="7"/>
      <c r="BD1364" s="7" t="s">
        <v>2210</v>
      </c>
      <c r="BE1364" s="7" t="s">
        <v>127</v>
      </c>
      <c r="BF1364" s="8"/>
      <c r="BG1364" s="8"/>
      <c r="BH1364" s="8"/>
      <c r="BI1364" s="8"/>
      <c r="BJ1364" s="8"/>
      <c r="BK1364" s="8"/>
      <c r="BL1364" s="8"/>
      <c r="BM1364" s="8"/>
      <c r="BN1364" s="8"/>
      <c r="BO1364" s="8"/>
      <c r="BP1364" s="8"/>
      <c r="BQ1364" s="8"/>
      <c r="BR1364" s="8"/>
      <c r="BS1364" s="8"/>
    </row>
    <row r="1365" customFormat="false" ht="15" hidden="false" customHeight="false" outlineLevel="0" collapsed="false">
      <c r="A1365" s="7" t="s">
        <v>9497</v>
      </c>
      <c r="B1365" s="7" t="s">
        <v>9498</v>
      </c>
      <c r="C1365" s="7" t="s">
        <v>9499</v>
      </c>
      <c r="D1365" s="7" t="s">
        <v>1927</v>
      </c>
      <c r="E1365" s="7" t="s">
        <v>82</v>
      </c>
      <c r="F1365" s="7" t="s">
        <v>82</v>
      </c>
      <c r="G1365" s="7"/>
      <c r="H1365" s="7"/>
      <c r="I1365" s="7" t="s">
        <v>132</v>
      </c>
      <c r="J1365" s="7" t="s">
        <v>104</v>
      </c>
      <c r="K1365" s="7" t="s">
        <v>105</v>
      </c>
      <c r="L1365" s="7" t="s">
        <v>106</v>
      </c>
      <c r="M1365" s="7"/>
      <c r="N1365" s="7" t="s">
        <v>9500</v>
      </c>
      <c r="O1365" s="7" t="s">
        <v>9501</v>
      </c>
      <c r="P1365" s="7" t="s">
        <v>84</v>
      </c>
      <c r="Q1365" s="7"/>
      <c r="R1365" s="7" t="s">
        <v>109</v>
      </c>
      <c r="S1365" s="7" t="s">
        <v>110</v>
      </c>
      <c r="T1365" s="7" t="n">
        <v>0.675</v>
      </c>
      <c r="U1365" s="7" t="n">
        <v>2</v>
      </c>
      <c r="V1365" s="7" t="s">
        <v>479</v>
      </c>
      <c r="W1365" s="7"/>
      <c r="X1365" s="7" t="s">
        <v>163</v>
      </c>
      <c r="Y1365" s="7" t="s">
        <v>9500</v>
      </c>
      <c r="Z1365" s="7"/>
      <c r="AA1365" s="7"/>
      <c r="AB1365" s="7"/>
      <c r="AC1365" s="7" t="n">
        <v>6</v>
      </c>
      <c r="AD1365" s="7" t="s">
        <v>1235</v>
      </c>
      <c r="AE1365" s="7" t="s">
        <v>744</v>
      </c>
      <c r="AF1365" s="7" t="s">
        <v>9499</v>
      </c>
      <c r="AG1365" s="7" t="s">
        <v>744</v>
      </c>
      <c r="AH1365" s="7" t="s">
        <v>163</v>
      </c>
      <c r="AI1365" s="7"/>
      <c r="AJ1365" s="7"/>
      <c r="AK1365" s="7"/>
      <c r="AL1365" s="7"/>
      <c r="AM1365" s="7" t="s">
        <v>744</v>
      </c>
      <c r="AN1365" s="7" t="s">
        <v>9502</v>
      </c>
      <c r="AO1365" s="7" t="s">
        <v>744</v>
      </c>
      <c r="AP1365" s="7" t="s">
        <v>1927</v>
      </c>
      <c r="AQ1365" s="7" t="s">
        <v>744</v>
      </c>
      <c r="AR1365" s="7" t="s">
        <v>82</v>
      </c>
      <c r="AS1365" s="7"/>
      <c r="AT1365" s="7"/>
      <c r="AU1365" s="7"/>
      <c r="AV1365" s="7"/>
      <c r="AW1365" s="7" t="s">
        <v>744</v>
      </c>
      <c r="AX1365" s="7" t="s">
        <v>9500</v>
      </c>
      <c r="AY1365" s="7"/>
      <c r="AZ1365" s="7"/>
      <c r="BA1365" s="7"/>
      <c r="BB1365" s="7"/>
      <c r="BC1365" s="7"/>
      <c r="BD1365" s="7" t="s">
        <v>9503</v>
      </c>
      <c r="BE1365" s="7" t="s">
        <v>127</v>
      </c>
      <c r="BF1365" s="8"/>
      <c r="BG1365" s="8"/>
      <c r="BH1365" s="8"/>
      <c r="BI1365" s="8"/>
      <c r="BJ1365" s="8"/>
      <c r="BK1365" s="8"/>
      <c r="BL1365" s="8"/>
      <c r="BM1365" s="8"/>
      <c r="BN1365" s="8"/>
      <c r="BO1365" s="8"/>
      <c r="BP1365" s="8"/>
      <c r="BQ1365" s="8"/>
      <c r="BR1365" s="8"/>
      <c r="BS1365" s="8"/>
    </row>
    <row r="1366" customFormat="false" ht="15" hidden="false" customHeight="false" outlineLevel="0" collapsed="false">
      <c r="A1366" s="7" t="s">
        <v>9504</v>
      </c>
      <c r="B1366" s="7" t="s">
        <v>9505</v>
      </c>
      <c r="C1366" s="7" t="s">
        <v>9506</v>
      </c>
      <c r="D1366" s="7" t="s">
        <v>1162</v>
      </c>
      <c r="E1366" s="7" t="s">
        <v>82</v>
      </c>
      <c r="F1366" s="7" t="s">
        <v>82</v>
      </c>
      <c r="G1366" s="7" t="s">
        <v>83</v>
      </c>
      <c r="H1366" s="7"/>
      <c r="I1366" s="7" t="s">
        <v>158</v>
      </c>
      <c r="J1366" s="7" t="s">
        <v>104</v>
      </c>
      <c r="K1366" s="7" t="s">
        <v>105</v>
      </c>
      <c r="L1366" s="7" t="s">
        <v>106</v>
      </c>
      <c r="M1366" s="7"/>
      <c r="N1366" s="7" t="s">
        <v>9507</v>
      </c>
      <c r="O1366" s="7" t="s">
        <v>9507</v>
      </c>
      <c r="P1366" s="7" t="s">
        <v>109</v>
      </c>
      <c r="Q1366" s="7"/>
      <c r="R1366" s="7" t="s">
        <v>109</v>
      </c>
      <c r="S1366" s="7" t="s">
        <v>110</v>
      </c>
      <c r="T1366" s="7" t="n">
        <v>0.548</v>
      </c>
      <c r="U1366" s="7" t="n">
        <v>2</v>
      </c>
      <c r="V1366" s="7" t="s">
        <v>1156</v>
      </c>
      <c r="W1366" s="7" t="s">
        <v>1200</v>
      </c>
      <c r="X1366" s="7" t="s">
        <v>1201</v>
      </c>
      <c r="Y1366" s="7" t="s">
        <v>1202</v>
      </c>
      <c r="Z1366" s="7"/>
      <c r="AA1366" s="7"/>
      <c r="AB1366" s="7"/>
      <c r="AC1366" s="7" t="n">
        <v>4</v>
      </c>
      <c r="AD1366" s="7" t="s">
        <v>1376</v>
      </c>
      <c r="AE1366" s="7" t="s">
        <v>744</v>
      </c>
      <c r="AF1366" s="7" t="s">
        <v>9506</v>
      </c>
      <c r="AG1366" s="7"/>
      <c r="AH1366" s="7"/>
      <c r="AI1366" s="7"/>
      <c r="AJ1366" s="7"/>
      <c r="AK1366" s="7"/>
      <c r="AL1366" s="7"/>
      <c r="AM1366" s="7"/>
      <c r="AN1366" s="7"/>
      <c r="AO1366" s="7" t="s">
        <v>744</v>
      </c>
      <c r="AP1366" s="7" t="s">
        <v>1162</v>
      </c>
      <c r="AQ1366" s="7" t="s">
        <v>744</v>
      </c>
      <c r="AR1366" s="7" t="s">
        <v>82</v>
      </c>
      <c r="AS1366" s="7"/>
      <c r="AT1366" s="7"/>
      <c r="AU1366" s="7"/>
      <c r="AV1366" s="7"/>
      <c r="AW1366" s="7" t="s">
        <v>744</v>
      </c>
      <c r="AX1366" s="7" t="s">
        <v>9507</v>
      </c>
      <c r="AY1366" s="7"/>
      <c r="AZ1366" s="7"/>
      <c r="BA1366" s="7"/>
      <c r="BB1366" s="7"/>
      <c r="BC1366" s="7"/>
      <c r="BD1366" s="7" t="s">
        <v>1203</v>
      </c>
      <c r="BE1366" s="7" t="s">
        <v>127</v>
      </c>
      <c r="BF1366" s="8"/>
      <c r="BG1366" s="8"/>
      <c r="BH1366" s="8"/>
      <c r="BI1366" s="8"/>
      <c r="BJ1366" s="8"/>
      <c r="BK1366" s="8"/>
      <c r="BL1366" s="8"/>
      <c r="BM1366" s="8"/>
      <c r="BN1366" s="8"/>
      <c r="BO1366" s="8"/>
      <c r="BP1366" s="8"/>
      <c r="BQ1366" s="8"/>
      <c r="BR1366" s="8"/>
      <c r="BS1366" s="8"/>
    </row>
    <row r="1367" customFormat="false" ht="15" hidden="false" customHeight="false" outlineLevel="0" collapsed="false">
      <c r="A1367" s="7" t="s">
        <v>9508</v>
      </c>
      <c r="B1367" s="7" t="s">
        <v>9509</v>
      </c>
      <c r="C1367" s="7" t="s">
        <v>9510</v>
      </c>
      <c r="D1367" s="7" t="s">
        <v>1162</v>
      </c>
      <c r="E1367" s="7" t="s">
        <v>82</v>
      </c>
      <c r="F1367" s="7" t="s">
        <v>82</v>
      </c>
      <c r="G1367" s="7" t="s">
        <v>83</v>
      </c>
      <c r="H1367" s="7"/>
      <c r="I1367" s="7" t="s">
        <v>158</v>
      </c>
      <c r="J1367" s="7" t="s">
        <v>104</v>
      </c>
      <c r="K1367" s="7" t="s">
        <v>105</v>
      </c>
      <c r="L1367" s="7" t="s">
        <v>106</v>
      </c>
      <c r="M1367" s="7"/>
      <c r="N1367" s="7" t="s">
        <v>9507</v>
      </c>
      <c r="O1367" s="7" t="s">
        <v>9507</v>
      </c>
      <c r="P1367" s="7" t="s">
        <v>109</v>
      </c>
      <c r="Q1367" s="7"/>
      <c r="R1367" s="7" t="s">
        <v>109</v>
      </c>
      <c r="S1367" s="7" t="s">
        <v>110</v>
      </c>
      <c r="T1367" s="7" t="n">
        <v>0.609</v>
      </c>
      <c r="U1367" s="7" t="n">
        <v>2</v>
      </c>
      <c r="V1367" s="7" t="s">
        <v>1156</v>
      </c>
      <c r="W1367" s="7" t="s">
        <v>1200</v>
      </c>
      <c r="X1367" s="7" t="s">
        <v>1201</v>
      </c>
      <c r="Y1367" s="7" t="s">
        <v>1202</v>
      </c>
      <c r="Z1367" s="7"/>
      <c r="AA1367" s="7"/>
      <c r="AB1367" s="7"/>
      <c r="AC1367" s="7" t="n">
        <v>4</v>
      </c>
      <c r="AD1367" s="7" t="s">
        <v>1376</v>
      </c>
      <c r="AE1367" s="7" t="s">
        <v>744</v>
      </c>
      <c r="AF1367" s="7" t="s">
        <v>9510</v>
      </c>
      <c r="AG1367" s="7"/>
      <c r="AH1367" s="7"/>
      <c r="AI1367" s="7"/>
      <c r="AJ1367" s="7"/>
      <c r="AK1367" s="7"/>
      <c r="AL1367" s="7"/>
      <c r="AM1367" s="7"/>
      <c r="AN1367" s="7"/>
      <c r="AO1367" s="7" t="s">
        <v>744</v>
      </c>
      <c r="AP1367" s="7" t="s">
        <v>1162</v>
      </c>
      <c r="AQ1367" s="7" t="s">
        <v>744</v>
      </c>
      <c r="AR1367" s="7" t="s">
        <v>82</v>
      </c>
      <c r="AS1367" s="7"/>
      <c r="AT1367" s="7"/>
      <c r="AU1367" s="7"/>
      <c r="AV1367" s="7"/>
      <c r="AW1367" s="7" t="s">
        <v>744</v>
      </c>
      <c r="AX1367" s="7" t="s">
        <v>9507</v>
      </c>
      <c r="AY1367" s="7"/>
      <c r="AZ1367" s="7"/>
      <c r="BA1367" s="7"/>
      <c r="BB1367" s="7"/>
      <c r="BC1367" s="7"/>
      <c r="BD1367" s="7" t="s">
        <v>1203</v>
      </c>
      <c r="BE1367" s="7" t="s">
        <v>127</v>
      </c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</row>
    <row r="1368" customFormat="false" ht="15" hidden="false" customHeight="false" outlineLevel="0" collapsed="false">
      <c r="A1368" s="7" t="s">
        <v>9511</v>
      </c>
      <c r="B1368" s="7" t="s">
        <v>9512</v>
      </c>
      <c r="C1368" s="7" t="s">
        <v>9513</v>
      </c>
      <c r="D1368" s="7" t="s">
        <v>1162</v>
      </c>
      <c r="E1368" s="7" t="s">
        <v>82</v>
      </c>
      <c r="F1368" s="7" t="s">
        <v>82</v>
      </c>
      <c r="G1368" s="7" t="s">
        <v>83</v>
      </c>
      <c r="H1368" s="7"/>
      <c r="I1368" s="7" t="s">
        <v>158</v>
      </c>
      <c r="J1368" s="7" t="s">
        <v>104</v>
      </c>
      <c r="K1368" s="7" t="s">
        <v>105</v>
      </c>
      <c r="L1368" s="7" t="s">
        <v>106</v>
      </c>
      <c r="M1368" s="7"/>
      <c r="N1368" s="7" t="s">
        <v>9507</v>
      </c>
      <c r="O1368" s="7" t="s">
        <v>9507</v>
      </c>
      <c r="P1368" s="7" t="s">
        <v>109</v>
      </c>
      <c r="Q1368" s="7"/>
      <c r="R1368" s="7" t="s">
        <v>109</v>
      </c>
      <c r="S1368" s="7" t="s">
        <v>110</v>
      </c>
      <c r="T1368" s="7" t="n">
        <v>0.685</v>
      </c>
      <c r="U1368" s="7" t="n">
        <v>2</v>
      </c>
      <c r="V1368" s="7" t="s">
        <v>1156</v>
      </c>
      <c r="W1368" s="7" t="s">
        <v>1200</v>
      </c>
      <c r="X1368" s="7" t="s">
        <v>1201</v>
      </c>
      <c r="Y1368" s="7" t="s">
        <v>1202</v>
      </c>
      <c r="Z1368" s="7"/>
      <c r="AA1368" s="7"/>
      <c r="AB1368" s="7"/>
      <c r="AC1368" s="7" t="n">
        <v>4</v>
      </c>
      <c r="AD1368" s="7" t="s">
        <v>1376</v>
      </c>
      <c r="AE1368" s="7" t="s">
        <v>744</v>
      </c>
      <c r="AF1368" s="7" t="s">
        <v>9513</v>
      </c>
      <c r="AG1368" s="7"/>
      <c r="AH1368" s="7"/>
      <c r="AI1368" s="7"/>
      <c r="AJ1368" s="7"/>
      <c r="AK1368" s="7"/>
      <c r="AL1368" s="7"/>
      <c r="AM1368" s="7"/>
      <c r="AN1368" s="7"/>
      <c r="AO1368" s="7" t="s">
        <v>744</v>
      </c>
      <c r="AP1368" s="7" t="s">
        <v>1162</v>
      </c>
      <c r="AQ1368" s="7" t="s">
        <v>744</v>
      </c>
      <c r="AR1368" s="7" t="s">
        <v>82</v>
      </c>
      <c r="AS1368" s="7"/>
      <c r="AT1368" s="7"/>
      <c r="AU1368" s="7"/>
      <c r="AV1368" s="7"/>
      <c r="AW1368" s="7" t="s">
        <v>744</v>
      </c>
      <c r="AX1368" s="7" t="s">
        <v>9507</v>
      </c>
      <c r="AY1368" s="7"/>
      <c r="AZ1368" s="7"/>
      <c r="BA1368" s="7"/>
      <c r="BB1368" s="7"/>
      <c r="BC1368" s="7"/>
      <c r="BD1368" s="7" t="s">
        <v>1203</v>
      </c>
      <c r="BE1368" s="7" t="s">
        <v>127</v>
      </c>
      <c r="BF1368" s="8"/>
      <c r="BG1368" s="8"/>
      <c r="BH1368" s="8"/>
      <c r="BI1368" s="8"/>
      <c r="BJ1368" s="8"/>
      <c r="BK1368" s="8"/>
      <c r="BL1368" s="8"/>
      <c r="BM1368" s="8"/>
      <c r="BN1368" s="8"/>
      <c r="BO1368" s="8"/>
      <c r="BP1368" s="8"/>
      <c r="BQ1368" s="8"/>
      <c r="BR1368" s="8"/>
      <c r="BS1368" s="8"/>
    </row>
    <row r="1369" customFormat="false" ht="15" hidden="false" customHeight="false" outlineLevel="0" collapsed="false">
      <c r="A1369" s="7" t="s">
        <v>9514</v>
      </c>
      <c r="B1369" s="7" t="s">
        <v>9515</v>
      </c>
      <c r="C1369" s="7" t="s">
        <v>9516</v>
      </c>
      <c r="D1369" s="7" t="s">
        <v>1162</v>
      </c>
      <c r="E1369" s="7" t="s">
        <v>82</v>
      </c>
      <c r="F1369" s="7" t="s">
        <v>82</v>
      </c>
      <c r="G1369" s="7" t="s">
        <v>83</v>
      </c>
      <c r="H1369" s="7"/>
      <c r="I1369" s="7" t="s">
        <v>158</v>
      </c>
      <c r="J1369" s="7" t="s">
        <v>104</v>
      </c>
      <c r="K1369" s="7" t="s">
        <v>105</v>
      </c>
      <c r="L1369" s="7" t="s">
        <v>106</v>
      </c>
      <c r="M1369" s="7"/>
      <c r="N1369" s="7" t="s">
        <v>9507</v>
      </c>
      <c r="O1369" s="7" t="s">
        <v>9507</v>
      </c>
      <c r="P1369" s="7" t="s">
        <v>109</v>
      </c>
      <c r="Q1369" s="7"/>
      <c r="R1369" s="7" t="s">
        <v>109</v>
      </c>
      <c r="S1369" s="7" t="s">
        <v>110</v>
      </c>
      <c r="T1369" s="7" t="n">
        <v>0.821</v>
      </c>
      <c r="U1369" s="7" t="n">
        <v>2</v>
      </c>
      <c r="V1369" s="7" t="s">
        <v>1156</v>
      </c>
      <c r="W1369" s="7" t="s">
        <v>1200</v>
      </c>
      <c r="X1369" s="7" t="s">
        <v>1201</v>
      </c>
      <c r="Y1369" s="7" t="s">
        <v>1202</v>
      </c>
      <c r="Z1369" s="7"/>
      <c r="AA1369" s="7"/>
      <c r="AB1369" s="7"/>
      <c r="AC1369" s="7" t="n">
        <v>4</v>
      </c>
      <c r="AD1369" s="7" t="s">
        <v>1376</v>
      </c>
      <c r="AE1369" s="7" t="s">
        <v>744</v>
      </c>
      <c r="AF1369" s="7" t="s">
        <v>9516</v>
      </c>
      <c r="AG1369" s="7"/>
      <c r="AH1369" s="7"/>
      <c r="AI1369" s="7"/>
      <c r="AJ1369" s="7"/>
      <c r="AK1369" s="7"/>
      <c r="AL1369" s="7"/>
      <c r="AM1369" s="7"/>
      <c r="AN1369" s="7"/>
      <c r="AO1369" s="7" t="s">
        <v>744</v>
      </c>
      <c r="AP1369" s="7" t="s">
        <v>1162</v>
      </c>
      <c r="AQ1369" s="7" t="s">
        <v>744</v>
      </c>
      <c r="AR1369" s="7" t="s">
        <v>82</v>
      </c>
      <c r="AS1369" s="7"/>
      <c r="AT1369" s="7"/>
      <c r="AU1369" s="7"/>
      <c r="AV1369" s="7"/>
      <c r="AW1369" s="7" t="s">
        <v>744</v>
      </c>
      <c r="AX1369" s="7" t="s">
        <v>9507</v>
      </c>
      <c r="AY1369" s="7"/>
      <c r="AZ1369" s="7"/>
      <c r="BA1369" s="7"/>
      <c r="BB1369" s="7"/>
      <c r="BC1369" s="7"/>
      <c r="BD1369" s="7" t="s">
        <v>1203</v>
      </c>
      <c r="BE1369" s="7" t="s">
        <v>127</v>
      </c>
      <c r="BF1369" s="8"/>
      <c r="BG1369" s="8"/>
      <c r="BH1369" s="8"/>
      <c r="BI1369" s="8"/>
      <c r="BJ1369" s="8"/>
      <c r="BK1369" s="8"/>
      <c r="BL1369" s="8"/>
      <c r="BM1369" s="8"/>
      <c r="BN1369" s="8"/>
      <c r="BO1369" s="8"/>
      <c r="BP1369" s="8"/>
      <c r="BQ1369" s="8"/>
      <c r="BR1369" s="8"/>
      <c r="BS1369" s="8"/>
    </row>
    <row r="1370" customFormat="false" ht="15" hidden="false" customHeight="false" outlineLevel="0" collapsed="false">
      <c r="A1370" s="7" t="s">
        <v>9517</v>
      </c>
      <c r="B1370" s="7" t="s">
        <v>9518</v>
      </c>
      <c r="C1370" s="7" t="s">
        <v>9519</v>
      </c>
      <c r="D1370" s="7" t="s">
        <v>1162</v>
      </c>
      <c r="E1370" s="7" t="s">
        <v>82</v>
      </c>
      <c r="F1370" s="7" t="s">
        <v>82</v>
      </c>
      <c r="G1370" s="7" t="s">
        <v>83</v>
      </c>
      <c r="H1370" s="7"/>
      <c r="I1370" s="7" t="s">
        <v>158</v>
      </c>
      <c r="J1370" s="7" t="s">
        <v>104</v>
      </c>
      <c r="K1370" s="7" t="s">
        <v>105</v>
      </c>
      <c r="L1370" s="7" t="s">
        <v>106</v>
      </c>
      <c r="M1370" s="7"/>
      <c r="N1370" s="7" t="s">
        <v>9507</v>
      </c>
      <c r="O1370" s="7" t="s">
        <v>9507</v>
      </c>
      <c r="P1370" s="7" t="s">
        <v>109</v>
      </c>
      <c r="Q1370" s="7"/>
      <c r="R1370" s="7" t="s">
        <v>109</v>
      </c>
      <c r="S1370" s="7" t="s">
        <v>110</v>
      </c>
      <c r="T1370" s="7" t="n">
        <v>0.874</v>
      </c>
      <c r="U1370" s="7" t="n">
        <v>2</v>
      </c>
      <c r="V1370" s="7" t="s">
        <v>1156</v>
      </c>
      <c r="W1370" s="7" t="s">
        <v>1200</v>
      </c>
      <c r="X1370" s="7" t="s">
        <v>1201</v>
      </c>
      <c r="Y1370" s="7" t="s">
        <v>1202</v>
      </c>
      <c r="Z1370" s="7"/>
      <c r="AA1370" s="7"/>
      <c r="AB1370" s="7"/>
      <c r="AC1370" s="7" t="n">
        <v>4</v>
      </c>
      <c r="AD1370" s="7" t="s">
        <v>1376</v>
      </c>
      <c r="AE1370" s="7" t="s">
        <v>744</v>
      </c>
      <c r="AF1370" s="7" t="s">
        <v>9519</v>
      </c>
      <c r="AG1370" s="7"/>
      <c r="AH1370" s="7"/>
      <c r="AI1370" s="7"/>
      <c r="AJ1370" s="7"/>
      <c r="AK1370" s="7"/>
      <c r="AL1370" s="7"/>
      <c r="AM1370" s="7"/>
      <c r="AN1370" s="7"/>
      <c r="AO1370" s="7" t="s">
        <v>744</v>
      </c>
      <c r="AP1370" s="7" t="s">
        <v>1162</v>
      </c>
      <c r="AQ1370" s="7" t="s">
        <v>744</v>
      </c>
      <c r="AR1370" s="7" t="s">
        <v>82</v>
      </c>
      <c r="AS1370" s="7"/>
      <c r="AT1370" s="7"/>
      <c r="AU1370" s="7"/>
      <c r="AV1370" s="7"/>
      <c r="AW1370" s="7" t="s">
        <v>744</v>
      </c>
      <c r="AX1370" s="7" t="s">
        <v>9507</v>
      </c>
      <c r="AY1370" s="7"/>
      <c r="AZ1370" s="7"/>
      <c r="BA1370" s="7"/>
      <c r="BB1370" s="7"/>
      <c r="BC1370" s="7"/>
      <c r="BD1370" s="7" t="s">
        <v>1203</v>
      </c>
      <c r="BE1370" s="7" t="s">
        <v>127</v>
      </c>
      <c r="BF1370" s="8"/>
      <c r="BG1370" s="8"/>
      <c r="BH1370" s="8"/>
      <c r="BI1370" s="8"/>
      <c r="BJ1370" s="8"/>
      <c r="BK1370" s="8"/>
      <c r="BL1370" s="8"/>
      <c r="BM1370" s="8"/>
      <c r="BN1370" s="8"/>
      <c r="BO1370" s="8"/>
      <c r="BP1370" s="8"/>
      <c r="BQ1370" s="8"/>
      <c r="BR1370" s="8"/>
      <c r="BS1370" s="8"/>
    </row>
    <row r="1371" customFormat="false" ht="15" hidden="false" customHeight="false" outlineLevel="0" collapsed="false">
      <c r="A1371" s="7" t="s">
        <v>9520</v>
      </c>
      <c r="B1371" s="7" t="s">
        <v>9521</v>
      </c>
      <c r="C1371" s="7" t="s">
        <v>9522</v>
      </c>
      <c r="D1371" s="7" t="s">
        <v>2037</v>
      </c>
      <c r="E1371" s="7"/>
      <c r="F1371" s="7" t="s">
        <v>101</v>
      </c>
      <c r="G1371" s="7"/>
      <c r="H1371" s="7"/>
      <c r="I1371" s="7" t="s">
        <v>158</v>
      </c>
      <c r="J1371" s="7" t="s">
        <v>104</v>
      </c>
      <c r="K1371" s="7" t="s">
        <v>105</v>
      </c>
      <c r="L1371" s="7" t="s">
        <v>106</v>
      </c>
      <c r="M1371" s="7"/>
      <c r="N1371" s="7" t="s">
        <v>9523</v>
      </c>
      <c r="O1371" s="7" t="s">
        <v>9523</v>
      </c>
      <c r="P1371" s="7" t="s">
        <v>109</v>
      </c>
      <c r="Q1371" s="7"/>
      <c r="R1371" s="7" t="s">
        <v>109</v>
      </c>
      <c r="S1371" s="7" t="s">
        <v>110</v>
      </c>
      <c r="T1371" s="7" t="n">
        <v>0.816</v>
      </c>
      <c r="U1371" s="7" t="n">
        <v>2</v>
      </c>
      <c r="V1371" s="7" t="s">
        <v>86</v>
      </c>
      <c r="W1371" s="7" t="s">
        <v>9524</v>
      </c>
      <c r="X1371" s="7" t="s">
        <v>9525</v>
      </c>
      <c r="Y1371" s="7" t="s">
        <v>9523</v>
      </c>
      <c r="Z1371" s="7"/>
      <c r="AA1371" s="7"/>
      <c r="AB1371" s="7"/>
      <c r="AC1371" s="7" t="n">
        <v>5</v>
      </c>
      <c r="AD1371" s="7" t="s">
        <v>1897</v>
      </c>
      <c r="AE1371" s="7" t="s">
        <v>744</v>
      </c>
      <c r="AF1371" s="7" t="s">
        <v>9522</v>
      </c>
      <c r="AG1371" s="7" t="s">
        <v>744</v>
      </c>
      <c r="AH1371" s="7" t="s">
        <v>9526</v>
      </c>
      <c r="AI1371" s="7"/>
      <c r="AJ1371" s="7"/>
      <c r="AK1371" s="7"/>
      <c r="AL1371" s="7"/>
      <c r="AM1371" s="7" t="s">
        <v>744</v>
      </c>
      <c r="AN1371" s="7" t="s">
        <v>9527</v>
      </c>
      <c r="AO1371" s="7" t="s">
        <v>744</v>
      </c>
      <c r="AP1371" s="7" t="s">
        <v>2037</v>
      </c>
      <c r="AQ1371" s="7"/>
      <c r="AR1371" s="7"/>
      <c r="AS1371" s="7"/>
      <c r="AT1371" s="7"/>
      <c r="AU1371" s="7"/>
      <c r="AV1371" s="7"/>
      <c r="AW1371" s="7" t="s">
        <v>744</v>
      </c>
      <c r="AX1371" s="7" t="s">
        <v>9523</v>
      </c>
      <c r="AY1371" s="7"/>
      <c r="AZ1371" s="7"/>
      <c r="BA1371" s="7"/>
      <c r="BB1371" s="7"/>
      <c r="BC1371" s="7"/>
      <c r="BD1371" s="7" t="s">
        <v>3272</v>
      </c>
      <c r="BE1371" s="7" t="s">
        <v>127</v>
      </c>
      <c r="BF1371" s="8"/>
      <c r="BG1371" s="8"/>
      <c r="BH1371" s="8"/>
      <c r="BI1371" s="8"/>
      <c r="BJ1371" s="8"/>
      <c r="BK1371" s="8"/>
      <c r="BL1371" s="8"/>
      <c r="BM1371" s="8"/>
      <c r="BN1371" s="8"/>
      <c r="BO1371" s="8"/>
      <c r="BP1371" s="8"/>
      <c r="BQ1371" s="8"/>
      <c r="BR1371" s="8"/>
      <c r="BS1371" s="8"/>
    </row>
    <row r="1372" customFormat="false" ht="15" hidden="false" customHeight="false" outlineLevel="0" collapsed="false">
      <c r="A1372" s="7" t="s">
        <v>9528</v>
      </c>
      <c r="B1372" s="7" t="s">
        <v>9529</v>
      </c>
      <c r="C1372" s="7" t="s">
        <v>9530</v>
      </c>
      <c r="D1372" s="7" t="s">
        <v>2037</v>
      </c>
      <c r="E1372" s="7"/>
      <c r="F1372" s="7" t="s">
        <v>101</v>
      </c>
      <c r="G1372" s="7"/>
      <c r="H1372" s="7"/>
      <c r="I1372" s="7" t="s">
        <v>158</v>
      </c>
      <c r="J1372" s="7" t="s">
        <v>104</v>
      </c>
      <c r="K1372" s="7" t="s">
        <v>105</v>
      </c>
      <c r="L1372" s="7" t="s">
        <v>106</v>
      </c>
      <c r="M1372" s="7"/>
      <c r="N1372" s="7" t="s">
        <v>9531</v>
      </c>
      <c r="O1372" s="7" t="s">
        <v>9531</v>
      </c>
      <c r="P1372" s="7" t="s">
        <v>109</v>
      </c>
      <c r="Q1372" s="7"/>
      <c r="R1372" s="7" t="s">
        <v>109</v>
      </c>
      <c r="S1372" s="7" t="s">
        <v>110</v>
      </c>
      <c r="T1372" s="7" t="n">
        <v>0.587</v>
      </c>
      <c r="U1372" s="7" t="n">
        <v>2</v>
      </c>
      <c r="V1372" s="7" t="s">
        <v>111</v>
      </c>
      <c r="W1372" s="7" t="s">
        <v>9532</v>
      </c>
      <c r="X1372" s="7" t="s">
        <v>5718</v>
      </c>
      <c r="Y1372" s="7" t="s">
        <v>9533</v>
      </c>
      <c r="Z1372" s="7"/>
      <c r="AA1372" s="7"/>
      <c r="AB1372" s="7"/>
      <c r="AC1372" s="7" t="n">
        <v>5</v>
      </c>
      <c r="AD1372" s="7" t="s">
        <v>1897</v>
      </c>
      <c r="AE1372" s="7" t="s">
        <v>744</v>
      </c>
      <c r="AF1372" s="7" t="s">
        <v>9530</v>
      </c>
      <c r="AG1372" s="7" t="s">
        <v>744</v>
      </c>
      <c r="AH1372" s="7" t="s">
        <v>9534</v>
      </c>
      <c r="AI1372" s="7"/>
      <c r="AJ1372" s="7"/>
      <c r="AK1372" s="7"/>
      <c r="AL1372" s="7"/>
      <c r="AM1372" s="7" t="s">
        <v>744</v>
      </c>
      <c r="AN1372" s="7" t="s">
        <v>9535</v>
      </c>
      <c r="AO1372" s="7" t="s">
        <v>744</v>
      </c>
      <c r="AP1372" s="7" t="s">
        <v>2037</v>
      </c>
      <c r="AQ1372" s="7"/>
      <c r="AR1372" s="7"/>
      <c r="AS1372" s="7"/>
      <c r="AT1372" s="7"/>
      <c r="AU1372" s="7"/>
      <c r="AV1372" s="7"/>
      <c r="AW1372" s="7" t="s">
        <v>744</v>
      </c>
      <c r="AX1372" s="7" t="s">
        <v>9531</v>
      </c>
      <c r="AY1372" s="7"/>
      <c r="AZ1372" s="7"/>
      <c r="BA1372" s="7"/>
      <c r="BB1372" s="7"/>
      <c r="BC1372" s="7"/>
      <c r="BD1372" s="7" t="s">
        <v>3272</v>
      </c>
      <c r="BE1372" s="7" t="s">
        <v>127</v>
      </c>
      <c r="BF1372" s="8"/>
      <c r="BG1372" s="8"/>
      <c r="BH1372" s="8"/>
      <c r="BI1372" s="8"/>
      <c r="BJ1372" s="8"/>
      <c r="BK1372" s="8"/>
      <c r="BL1372" s="8"/>
      <c r="BM1372" s="8"/>
      <c r="BN1372" s="8"/>
      <c r="BO1372" s="8"/>
      <c r="BP1372" s="8"/>
      <c r="BQ1372" s="8"/>
      <c r="BR1372" s="8"/>
      <c r="BS1372" s="8"/>
    </row>
    <row r="1373" customFormat="false" ht="15" hidden="false" customHeight="false" outlineLevel="0" collapsed="false">
      <c r="A1373" s="7" t="s">
        <v>9536</v>
      </c>
      <c r="B1373" s="7" t="s">
        <v>3446</v>
      </c>
      <c r="C1373" s="7" t="s">
        <v>9537</v>
      </c>
      <c r="D1373" s="7" t="s">
        <v>3337</v>
      </c>
      <c r="E1373" s="7" t="s">
        <v>82</v>
      </c>
      <c r="F1373" s="7" t="s">
        <v>82</v>
      </c>
      <c r="G1373" s="7" t="s">
        <v>2200</v>
      </c>
      <c r="H1373" s="7"/>
      <c r="I1373" s="7" t="s">
        <v>158</v>
      </c>
      <c r="J1373" s="7" t="s">
        <v>104</v>
      </c>
      <c r="K1373" s="7" t="s">
        <v>105</v>
      </c>
      <c r="L1373" s="7" t="s">
        <v>106</v>
      </c>
      <c r="M1373" s="7"/>
      <c r="N1373" s="7" t="s">
        <v>9538</v>
      </c>
      <c r="O1373" s="7" t="s">
        <v>9538</v>
      </c>
      <c r="P1373" s="7" t="s">
        <v>109</v>
      </c>
      <c r="Q1373" s="7"/>
      <c r="R1373" s="7" t="s">
        <v>109</v>
      </c>
      <c r="S1373" s="7" t="s">
        <v>110</v>
      </c>
      <c r="T1373" s="7" t="n">
        <v>0.757</v>
      </c>
      <c r="U1373" s="7" t="n">
        <v>2</v>
      </c>
      <c r="V1373" s="7" t="s">
        <v>1156</v>
      </c>
      <c r="W1373" s="7" t="s">
        <v>9539</v>
      </c>
      <c r="X1373" s="7" t="s">
        <v>9540</v>
      </c>
      <c r="Y1373" s="7" t="s">
        <v>9538</v>
      </c>
      <c r="Z1373" s="7"/>
      <c r="AA1373" s="7"/>
      <c r="AB1373" s="7"/>
      <c r="AC1373" s="7" t="n">
        <v>4</v>
      </c>
      <c r="AD1373" s="7" t="s">
        <v>1376</v>
      </c>
      <c r="AE1373" s="7" t="s">
        <v>1809</v>
      </c>
      <c r="AF1373" s="7" t="s">
        <v>9537</v>
      </c>
      <c r="AG1373" s="7"/>
      <c r="AH1373" s="7"/>
      <c r="AI1373" s="7"/>
      <c r="AJ1373" s="7"/>
      <c r="AK1373" s="7"/>
      <c r="AL1373" s="7"/>
      <c r="AM1373" s="7"/>
      <c r="AN1373" s="7"/>
      <c r="AO1373" s="7" t="s">
        <v>1809</v>
      </c>
      <c r="AP1373" s="7" t="s">
        <v>3337</v>
      </c>
      <c r="AQ1373" s="7" t="s">
        <v>1809</v>
      </c>
      <c r="AR1373" s="7" t="s">
        <v>82</v>
      </c>
      <c r="AS1373" s="7"/>
      <c r="AT1373" s="7"/>
      <c r="AU1373" s="7"/>
      <c r="AV1373" s="7"/>
      <c r="AW1373" s="7" t="s">
        <v>1809</v>
      </c>
      <c r="AX1373" s="7" t="s">
        <v>9538</v>
      </c>
      <c r="AY1373" s="7"/>
      <c r="AZ1373" s="7"/>
      <c r="BA1373" s="7"/>
      <c r="BB1373" s="7"/>
      <c r="BC1373" s="7"/>
      <c r="BD1373" s="7" t="s">
        <v>9541</v>
      </c>
      <c r="BE1373" s="7" t="s">
        <v>127</v>
      </c>
      <c r="BF1373" s="8"/>
      <c r="BG1373" s="8"/>
      <c r="BH1373" s="8"/>
      <c r="BI1373" s="8"/>
      <c r="BJ1373" s="8"/>
      <c r="BK1373" s="8"/>
      <c r="BL1373" s="8"/>
      <c r="BM1373" s="8"/>
      <c r="BN1373" s="8"/>
      <c r="BO1373" s="8"/>
      <c r="BP1373" s="8"/>
      <c r="BQ1373" s="8"/>
      <c r="BR1373" s="8"/>
      <c r="BS1373" s="8"/>
    </row>
    <row r="1374" customFormat="false" ht="15" hidden="false" customHeight="false" outlineLevel="0" collapsed="false">
      <c r="A1374" s="7" t="s">
        <v>9542</v>
      </c>
      <c r="B1374" s="7" t="s">
        <v>9543</v>
      </c>
      <c r="C1374" s="7" t="s">
        <v>9544</v>
      </c>
      <c r="D1374" s="7" t="s">
        <v>9545</v>
      </c>
      <c r="E1374" s="7" t="s">
        <v>101</v>
      </c>
      <c r="F1374" s="7" t="s">
        <v>101</v>
      </c>
      <c r="G1374" s="7"/>
      <c r="H1374" s="7" t="s">
        <v>102</v>
      </c>
      <c r="I1374" s="7" t="s">
        <v>158</v>
      </c>
      <c r="J1374" s="7" t="s">
        <v>104</v>
      </c>
      <c r="K1374" s="7" t="s">
        <v>105</v>
      </c>
      <c r="L1374" s="7" t="s">
        <v>353</v>
      </c>
      <c r="M1374" s="7"/>
      <c r="N1374" s="7" t="s">
        <v>9546</v>
      </c>
      <c r="O1374" s="7"/>
      <c r="P1374" s="7" t="s">
        <v>84</v>
      </c>
      <c r="Q1374" s="7"/>
      <c r="R1374" s="7"/>
      <c r="S1374" s="7"/>
      <c r="T1374" s="7" t="n">
        <v>0.652</v>
      </c>
      <c r="U1374" s="7" t="n">
        <v>2</v>
      </c>
      <c r="V1374" s="7" t="s">
        <v>111</v>
      </c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 t="s">
        <v>1861</v>
      </c>
      <c r="BE1374" s="7" t="s">
        <v>127</v>
      </c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8"/>
      <c r="BS1374" s="8"/>
    </row>
    <row r="1375" customFormat="false" ht="15" hidden="false" customHeight="false" outlineLevel="0" collapsed="false">
      <c r="A1375" s="7" t="s">
        <v>9547</v>
      </c>
      <c r="B1375" s="7" t="s">
        <v>9548</v>
      </c>
      <c r="C1375" s="7" t="s">
        <v>9549</v>
      </c>
      <c r="D1375" s="7" t="s">
        <v>9550</v>
      </c>
      <c r="E1375" s="7" t="s">
        <v>101</v>
      </c>
      <c r="F1375" s="7" t="s">
        <v>101</v>
      </c>
      <c r="G1375" s="7"/>
      <c r="H1375" s="7" t="s">
        <v>102</v>
      </c>
      <c r="I1375" s="7" t="s">
        <v>158</v>
      </c>
      <c r="J1375" s="7" t="s">
        <v>104</v>
      </c>
      <c r="K1375" s="7" t="s">
        <v>105</v>
      </c>
      <c r="L1375" s="7" t="s">
        <v>353</v>
      </c>
      <c r="M1375" s="7"/>
      <c r="N1375" s="7" t="s">
        <v>9551</v>
      </c>
      <c r="O1375" s="7"/>
      <c r="P1375" s="7" t="s">
        <v>84</v>
      </c>
      <c r="Q1375" s="7"/>
      <c r="R1375" s="7"/>
      <c r="S1375" s="7"/>
      <c r="T1375" s="7" t="n">
        <v>0.6</v>
      </c>
      <c r="U1375" s="7" t="n">
        <v>2</v>
      </c>
      <c r="V1375" s="7" t="s">
        <v>111</v>
      </c>
      <c r="W1375" s="7" t="s">
        <v>9552</v>
      </c>
      <c r="X1375" s="7" t="s">
        <v>2929</v>
      </c>
      <c r="Y1375" s="7" t="s">
        <v>9553</v>
      </c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 t="s">
        <v>1861</v>
      </c>
      <c r="BE1375" s="7" t="s">
        <v>127</v>
      </c>
      <c r="BF1375" s="8"/>
      <c r="BG1375" s="8"/>
      <c r="BH1375" s="8"/>
      <c r="BI1375" s="8"/>
      <c r="BJ1375" s="8"/>
      <c r="BK1375" s="8"/>
      <c r="BL1375" s="8"/>
      <c r="BM1375" s="8"/>
      <c r="BN1375" s="8"/>
      <c r="BO1375" s="8"/>
      <c r="BP1375" s="8"/>
      <c r="BQ1375" s="8"/>
      <c r="BR1375" s="8"/>
      <c r="BS1375" s="8"/>
    </row>
    <row r="1376" customFormat="false" ht="15" hidden="false" customHeight="false" outlineLevel="0" collapsed="false">
      <c r="A1376" s="7" t="s">
        <v>9554</v>
      </c>
      <c r="B1376" s="7" t="s">
        <v>9555</v>
      </c>
      <c r="C1376" s="7" t="s">
        <v>9556</v>
      </c>
      <c r="D1376" s="7" t="s">
        <v>9550</v>
      </c>
      <c r="E1376" s="7" t="s">
        <v>101</v>
      </c>
      <c r="F1376" s="7" t="s">
        <v>101</v>
      </c>
      <c r="G1376" s="7"/>
      <c r="H1376" s="7" t="s">
        <v>102</v>
      </c>
      <c r="I1376" s="7" t="s">
        <v>158</v>
      </c>
      <c r="J1376" s="7" t="s">
        <v>104</v>
      </c>
      <c r="K1376" s="7" t="s">
        <v>105</v>
      </c>
      <c r="L1376" s="7" t="s">
        <v>353</v>
      </c>
      <c r="M1376" s="7"/>
      <c r="N1376" s="7" t="s">
        <v>9553</v>
      </c>
      <c r="O1376" s="7"/>
      <c r="P1376" s="7" t="s">
        <v>84</v>
      </c>
      <c r="Q1376" s="7"/>
      <c r="R1376" s="7"/>
      <c r="S1376" s="7"/>
      <c r="T1376" s="7" t="n">
        <v>0.578</v>
      </c>
      <c r="U1376" s="7" t="n">
        <v>2</v>
      </c>
      <c r="V1376" s="7" t="s">
        <v>479</v>
      </c>
      <c r="W1376" s="7" t="s">
        <v>9557</v>
      </c>
      <c r="X1376" s="7" t="s">
        <v>5358</v>
      </c>
      <c r="Y1376" s="7" t="s">
        <v>9551</v>
      </c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 t="s">
        <v>1861</v>
      </c>
      <c r="BE1376" s="7" t="s">
        <v>127</v>
      </c>
      <c r="BF1376" s="8"/>
      <c r="BG1376" s="8"/>
      <c r="BH1376" s="8"/>
      <c r="BI1376" s="8"/>
      <c r="BJ1376" s="8"/>
      <c r="BK1376" s="8"/>
      <c r="BL1376" s="8"/>
      <c r="BM1376" s="8"/>
      <c r="BN1376" s="8"/>
      <c r="BO1376" s="8"/>
      <c r="BP1376" s="8"/>
      <c r="BQ1376" s="8"/>
      <c r="BR1376" s="8"/>
      <c r="BS1376" s="8"/>
    </row>
    <row r="1377" customFormat="false" ht="15" hidden="false" customHeight="false" outlineLevel="0" collapsed="false">
      <c r="A1377" s="7" t="s">
        <v>9558</v>
      </c>
      <c r="B1377" s="7" t="s">
        <v>9559</v>
      </c>
      <c r="C1377" s="7" t="s">
        <v>9560</v>
      </c>
      <c r="D1377" s="7"/>
      <c r="E1377" s="7"/>
      <c r="F1377" s="7" t="s">
        <v>101</v>
      </c>
      <c r="G1377" s="7"/>
      <c r="H1377" s="7"/>
      <c r="I1377" s="7" t="s">
        <v>300</v>
      </c>
      <c r="J1377" s="7" t="s">
        <v>104</v>
      </c>
      <c r="K1377" s="7" t="s">
        <v>105</v>
      </c>
      <c r="L1377" s="7" t="s">
        <v>106</v>
      </c>
      <c r="M1377" s="7"/>
      <c r="N1377" s="7" t="s">
        <v>9561</v>
      </c>
      <c r="O1377" s="7"/>
      <c r="P1377" s="7" t="s">
        <v>109</v>
      </c>
      <c r="Q1377" s="7"/>
      <c r="R1377" s="7" t="s">
        <v>135</v>
      </c>
      <c r="S1377" s="7" t="s">
        <v>136</v>
      </c>
      <c r="T1377" s="7" t="n">
        <v>0.422</v>
      </c>
      <c r="U1377" s="7" t="n">
        <v>2</v>
      </c>
      <c r="V1377" s="7" t="s">
        <v>86</v>
      </c>
      <c r="W1377" s="7" t="s">
        <v>9562</v>
      </c>
      <c r="X1377" s="7"/>
      <c r="Y1377" s="7" t="s">
        <v>9561</v>
      </c>
      <c r="Z1377" s="7"/>
      <c r="AA1377" s="7"/>
      <c r="AB1377" s="7"/>
      <c r="AC1377" s="7" t="n">
        <v>6</v>
      </c>
      <c r="AD1377" s="7" t="s">
        <v>1235</v>
      </c>
      <c r="AE1377" s="7" t="s">
        <v>744</v>
      </c>
      <c r="AF1377" s="7" t="s">
        <v>9563</v>
      </c>
      <c r="AG1377" s="7" t="s">
        <v>744</v>
      </c>
      <c r="AH1377" s="7" t="s">
        <v>9564</v>
      </c>
      <c r="AI1377" s="7"/>
      <c r="AJ1377" s="7"/>
      <c r="AK1377" s="7"/>
      <c r="AL1377" s="7"/>
      <c r="AM1377" s="7" t="s">
        <v>744</v>
      </c>
      <c r="AN1377" s="7" t="s">
        <v>9565</v>
      </c>
      <c r="AO1377" s="7" t="s">
        <v>744</v>
      </c>
      <c r="AP1377" s="7" t="s">
        <v>9566</v>
      </c>
      <c r="AQ1377" s="7" t="s">
        <v>744</v>
      </c>
      <c r="AR1377" s="7" t="s">
        <v>101</v>
      </c>
      <c r="AS1377" s="7"/>
      <c r="AT1377" s="7"/>
      <c r="AU1377" s="7"/>
      <c r="AV1377" s="7"/>
      <c r="AW1377" s="7" t="s">
        <v>4077</v>
      </c>
      <c r="AX1377" s="7" t="s">
        <v>9561</v>
      </c>
      <c r="AY1377" s="7"/>
      <c r="AZ1377" s="7"/>
      <c r="BA1377" s="7"/>
      <c r="BB1377" s="7"/>
      <c r="BC1377" s="7"/>
      <c r="BD1377" s="7" t="s">
        <v>2479</v>
      </c>
      <c r="BE1377" s="7" t="s">
        <v>127</v>
      </c>
      <c r="BF1377" s="8"/>
      <c r="BG1377" s="8"/>
      <c r="BH1377" s="8"/>
      <c r="BI1377" s="8"/>
      <c r="BJ1377" s="8"/>
      <c r="BK1377" s="8"/>
      <c r="BL1377" s="8"/>
      <c r="BM1377" s="8"/>
      <c r="BN1377" s="8"/>
      <c r="BO1377" s="8"/>
      <c r="BP1377" s="8"/>
      <c r="BQ1377" s="8"/>
      <c r="BR1377" s="8"/>
      <c r="BS1377" s="8"/>
    </row>
    <row r="1378" customFormat="false" ht="15" hidden="false" customHeight="false" outlineLevel="0" collapsed="false">
      <c r="A1378" s="7" t="s">
        <v>9567</v>
      </c>
      <c r="B1378" s="7" t="s">
        <v>9568</v>
      </c>
      <c r="C1378" s="7" t="s">
        <v>9569</v>
      </c>
      <c r="D1378" s="7"/>
      <c r="E1378" s="7"/>
      <c r="F1378" s="7" t="s">
        <v>101</v>
      </c>
      <c r="G1378" s="7"/>
      <c r="H1378" s="7"/>
      <c r="I1378" s="7" t="s">
        <v>1639</v>
      </c>
      <c r="J1378" s="7" t="s">
        <v>104</v>
      </c>
      <c r="K1378" s="7" t="s">
        <v>105</v>
      </c>
      <c r="L1378" s="7" t="s">
        <v>106</v>
      </c>
      <c r="M1378" s="7"/>
      <c r="N1378" s="7" t="s">
        <v>9570</v>
      </c>
      <c r="O1378" s="7"/>
      <c r="P1378" s="7" t="s">
        <v>109</v>
      </c>
      <c r="Q1378" s="7"/>
      <c r="R1378" s="7" t="s">
        <v>135</v>
      </c>
      <c r="S1378" s="7" t="s">
        <v>136</v>
      </c>
      <c r="T1378" s="7" t="n">
        <v>0.765</v>
      </c>
      <c r="U1378" s="7" t="n">
        <v>2</v>
      </c>
      <c r="V1378" s="7" t="s">
        <v>1156</v>
      </c>
      <c r="W1378" s="7" t="s">
        <v>9571</v>
      </c>
      <c r="X1378" s="7" t="s">
        <v>9572</v>
      </c>
      <c r="Y1378" s="7" t="s">
        <v>9573</v>
      </c>
      <c r="Z1378" s="7"/>
      <c r="AA1378" s="7"/>
      <c r="AB1378" s="7"/>
      <c r="AC1378" s="7" t="n">
        <v>2</v>
      </c>
      <c r="AD1378" s="7" t="s">
        <v>7546</v>
      </c>
      <c r="AE1378" s="7" t="s">
        <v>4077</v>
      </c>
      <c r="AF1378" s="7" t="s">
        <v>9574</v>
      </c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 t="s">
        <v>4077</v>
      </c>
      <c r="AX1378" s="7" t="s">
        <v>9570</v>
      </c>
      <c r="AY1378" s="7"/>
      <c r="AZ1378" s="7"/>
      <c r="BA1378" s="7"/>
      <c r="BB1378" s="7"/>
      <c r="BC1378" s="7"/>
      <c r="BD1378" s="7" t="s">
        <v>126</v>
      </c>
      <c r="BE1378" s="7" t="s">
        <v>127</v>
      </c>
      <c r="BF1378" s="8"/>
      <c r="BG1378" s="8"/>
      <c r="BH1378" s="8"/>
      <c r="BI1378" s="8"/>
      <c r="BJ1378" s="8"/>
      <c r="BK1378" s="8"/>
      <c r="BL1378" s="8"/>
      <c r="BM1378" s="8"/>
      <c r="BN1378" s="8"/>
      <c r="BO1378" s="8"/>
      <c r="BP1378" s="8"/>
      <c r="BQ1378" s="8"/>
      <c r="BR1378" s="8"/>
      <c r="BS1378" s="8"/>
    </row>
    <row r="1379" customFormat="false" ht="15" hidden="false" customHeight="false" outlineLevel="0" collapsed="false">
      <c r="A1379" s="7" t="s">
        <v>9575</v>
      </c>
      <c r="B1379" s="7" t="s">
        <v>9576</v>
      </c>
      <c r="C1379" s="7" t="s">
        <v>9577</v>
      </c>
      <c r="D1379" s="7" t="s">
        <v>9578</v>
      </c>
      <c r="E1379" s="7"/>
      <c r="F1379" s="7" t="s">
        <v>101</v>
      </c>
      <c r="G1379" s="7"/>
      <c r="H1379" s="7"/>
      <c r="I1379" s="7" t="s">
        <v>158</v>
      </c>
      <c r="J1379" s="7" t="s">
        <v>104</v>
      </c>
      <c r="K1379" s="7" t="s">
        <v>105</v>
      </c>
      <c r="L1379" s="7" t="s">
        <v>106</v>
      </c>
      <c r="M1379" s="7"/>
      <c r="N1379" s="7" t="s">
        <v>9579</v>
      </c>
      <c r="O1379" s="7"/>
      <c r="P1379" s="7" t="s">
        <v>109</v>
      </c>
      <c r="Q1379" s="7"/>
      <c r="R1379" s="7" t="s">
        <v>135</v>
      </c>
      <c r="S1379" s="7" t="s">
        <v>136</v>
      </c>
      <c r="T1379" s="7" t="n">
        <v>0.611</v>
      </c>
      <c r="U1379" s="7" t="n">
        <v>2</v>
      </c>
      <c r="V1379" s="7" t="s">
        <v>111</v>
      </c>
      <c r="W1379" s="7"/>
      <c r="X1379" s="7" t="s">
        <v>9192</v>
      </c>
      <c r="Y1379" s="7" t="s">
        <v>9579</v>
      </c>
      <c r="Z1379" s="7"/>
      <c r="AA1379" s="7"/>
      <c r="AB1379" s="7"/>
      <c r="AC1379" s="7" t="n">
        <v>5</v>
      </c>
      <c r="AD1379" s="7" t="s">
        <v>1897</v>
      </c>
      <c r="AE1379" s="7" t="s">
        <v>744</v>
      </c>
      <c r="AF1379" s="7" t="s">
        <v>9577</v>
      </c>
      <c r="AG1379" s="7" t="s">
        <v>744</v>
      </c>
      <c r="AH1379" s="7" t="s">
        <v>9192</v>
      </c>
      <c r="AI1379" s="7"/>
      <c r="AJ1379" s="7"/>
      <c r="AK1379" s="7"/>
      <c r="AL1379" s="7"/>
      <c r="AM1379" s="7" t="s">
        <v>744</v>
      </c>
      <c r="AN1379" s="7" t="s">
        <v>9580</v>
      </c>
      <c r="AO1379" s="7" t="s">
        <v>744</v>
      </c>
      <c r="AP1379" s="7" t="s">
        <v>9578</v>
      </c>
      <c r="AQ1379" s="7"/>
      <c r="AR1379" s="7"/>
      <c r="AS1379" s="7"/>
      <c r="AT1379" s="7"/>
      <c r="AU1379" s="7"/>
      <c r="AV1379" s="7"/>
      <c r="AW1379" s="7" t="s">
        <v>744</v>
      </c>
      <c r="AX1379" s="7" t="s">
        <v>9579</v>
      </c>
      <c r="AY1379" s="7"/>
      <c r="AZ1379" s="7"/>
      <c r="BA1379" s="7"/>
      <c r="BB1379" s="7"/>
      <c r="BC1379" s="7"/>
      <c r="BD1379" s="7" t="s">
        <v>126</v>
      </c>
      <c r="BE1379" s="7" t="s">
        <v>127</v>
      </c>
      <c r="BF1379" s="8"/>
      <c r="BG1379" s="8"/>
      <c r="BH1379" s="8"/>
      <c r="BI1379" s="8"/>
      <c r="BJ1379" s="8"/>
      <c r="BK1379" s="8"/>
      <c r="BL1379" s="8"/>
      <c r="BM1379" s="8"/>
      <c r="BN1379" s="8"/>
      <c r="BO1379" s="8"/>
      <c r="BP1379" s="8"/>
      <c r="BQ1379" s="8"/>
      <c r="BR1379" s="8"/>
      <c r="BS1379" s="8"/>
    </row>
    <row r="1380" customFormat="false" ht="15" hidden="false" customHeight="false" outlineLevel="0" collapsed="false">
      <c r="A1380" s="7" t="s">
        <v>9581</v>
      </c>
      <c r="B1380" s="7" t="s">
        <v>9582</v>
      </c>
      <c r="C1380" s="7" t="s">
        <v>9583</v>
      </c>
      <c r="D1380" s="7" t="s">
        <v>9584</v>
      </c>
      <c r="E1380" s="7" t="s">
        <v>737</v>
      </c>
      <c r="F1380" s="7" t="s">
        <v>737</v>
      </c>
      <c r="G1380" s="7" t="s">
        <v>4658</v>
      </c>
      <c r="H1380" s="7"/>
      <c r="I1380" s="7" t="s">
        <v>158</v>
      </c>
      <c r="J1380" s="7" t="s">
        <v>104</v>
      </c>
      <c r="K1380" s="7" t="s">
        <v>105</v>
      </c>
      <c r="L1380" s="7" t="s">
        <v>106</v>
      </c>
      <c r="M1380" s="7"/>
      <c r="N1380" s="7" t="s">
        <v>9585</v>
      </c>
      <c r="O1380" s="7" t="s">
        <v>9585</v>
      </c>
      <c r="P1380" s="7" t="s">
        <v>84</v>
      </c>
      <c r="Q1380" s="7"/>
      <c r="R1380" s="7" t="s">
        <v>109</v>
      </c>
      <c r="S1380" s="7" t="s">
        <v>110</v>
      </c>
      <c r="T1380" s="7" t="n">
        <v>0.496</v>
      </c>
      <c r="U1380" s="7" t="n">
        <v>2</v>
      </c>
      <c r="V1380" s="7" t="s">
        <v>111</v>
      </c>
      <c r="W1380" s="7"/>
      <c r="X1380" s="7" t="s">
        <v>5663</v>
      </c>
      <c r="Y1380" s="7" t="s">
        <v>9585</v>
      </c>
      <c r="Z1380" s="7"/>
      <c r="AA1380" s="7"/>
      <c r="AB1380" s="7"/>
      <c r="AC1380" s="7" t="n">
        <v>5</v>
      </c>
      <c r="AD1380" s="7" t="s">
        <v>743</v>
      </c>
      <c r="AE1380" s="7" t="s">
        <v>744</v>
      </c>
      <c r="AF1380" s="7" t="s">
        <v>9583</v>
      </c>
      <c r="AG1380" s="7" t="s">
        <v>744</v>
      </c>
      <c r="AH1380" s="7" t="s">
        <v>5663</v>
      </c>
      <c r="AI1380" s="7"/>
      <c r="AJ1380" s="7"/>
      <c r="AK1380" s="7"/>
      <c r="AL1380" s="7"/>
      <c r="AM1380" s="7"/>
      <c r="AN1380" s="7"/>
      <c r="AO1380" s="7" t="s">
        <v>744</v>
      </c>
      <c r="AP1380" s="7" t="s">
        <v>9584</v>
      </c>
      <c r="AQ1380" s="7" t="s">
        <v>744</v>
      </c>
      <c r="AR1380" s="7" t="s">
        <v>737</v>
      </c>
      <c r="AS1380" s="7"/>
      <c r="AT1380" s="7"/>
      <c r="AU1380" s="7"/>
      <c r="AV1380" s="7"/>
      <c r="AW1380" s="7" t="s">
        <v>744</v>
      </c>
      <c r="AX1380" s="7" t="s">
        <v>9585</v>
      </c>
      <c r="AY1380" s="7"/>
      <c r="AZ1380" s="7"/>
      <c r="BA1380" s="7"/>
      <c r="BB1380" s="7"/>
      <c r="BC1380" s="7"/>
      <c r="BD1380" s="7" t="s">
        <v>126</v>
      </c>
      <c r="BE1380" s="7" t="s">
        <v>127</v>
      </c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/>
      <c r="BR1380" s="8"/>
      <c r="BS1380" s="8"/>
    </row>
    <row r="1381" customFormat="false" ht="15" hidden="false" customHeight="false" outlineLevel="0" collapsed="false">
      <c r="A1381" s="7" t="s">
        <v>9586</v>
      </c>
      <c r="B1381" s="7" t="s">
        <v>9587</v>
      </c>
      <c r="C1381" s="7" t="s">
        <v>9588</v>
      </c>
      <c r="D1381" s="7" t="s">
        <v>746</v>
      </c>
      <c r="E1381" s="7" t="s">
        <v>741</v>
      </c>
      <c r="F1381" s="7" t="s">
        <v>741</v>
      </c>
      <c r="G1381" s="7"/>
      <c r="H1381" s="7"/>
      <c r="I1381" s="7" t="s">
        <v>158</v>
      </c>
      <c r="J1381" s="7" t="s">
        <v>104</v>
      </c>
      <c r="K1381" s="7" t="s">
        <v>105</v>
      </c>
      <c r="L1381" s="7" t="s">
        <v>353</v>
      </c>
      <c r="M1381" s="7"/>
      <c r="N1381" s="7" t="s">
        <v>9589</v>
      </c>
      <c r="O1381" s="7" t="s">
        <v>9589</v>
      </c>
      <c r="P1381" s="7" t="s">
        <v>109</v>
      </c>
      <c r="Q1381" s="7"/>
      <c r="R1381" s="7" t="s">
        <v>109</v>
      </c>
      <c r="S1381" s="7" t="s">
        <v>110</v>
      </c>
      <c r="T1381" s="7" t="n">
        <v>0.557</v>
      </c>
      <c r="U1381" s="7" t="n">
        <v>2</v>
      </c>
      <c r="V1381" s="7" t="s">
        <v>479</v>
      </c>
      <c r="W1381" s="7"/>
      <c r="X1381" s="7" t="s">
        <v>9590</v>
      </c>
      <c r="Y1381" s="7" t="s">
        <v>9589</v>
      </c>
      <c r="Z1381" s="7"/>
      <c r="AA1381" s="7"/>
      <c r="AB1381" s="7"/>
      <c r="AC1381" s="7" t="n">
        <v>5</v>
      </c>
      <c r="AD1381" s="7" t="s">
        <v>743</v>
      </c>
      <c r="AE1381" s="7" t="s">
        <v>744</v>
      </c>
      <c r="AF1381" s="7" t="s">
        <v>9588</v>
      </c>
      <c r="AG1381" s="7" t="s">
        <v>744</v>
      </c>
      <c r="AH1381" s="7" t="s">
        <v>9590</v>
      </c>
      <c r="AI1381" s="7"/>
      <c r="AJ1381" s="7"/>
      <c r="AK1381" s="7"/>
      <c r="AL1381" s="7"/>
      <c r="AM1381" s="7"/>
      <c r="AN1381" s="7"/>
      <c r="AO1381" s="7" t="s">
        <v>744</v>
      </c>
      <c r="AP1381" s="7" t="s">
        <v>746</v>
      </c>
      <c r="AQ1381" s="7" t="s">
        <v>744</v>
      </c>
      <c r="AR1381" s="7" t="s">
        <v>741</v>
      </c>
      <c r="AS1381" s="7"/>
      <c r="AT1381" s="7"/>
      <c r="AU1381" s="7"/>
      <c r="AV1381" s="7"/>
      <c r="AW1381" s="7" t="s">
        <v>744</v>
      </c>
      <c r="AX1381" s="7" t="s">
        <v>9589</v>
      </c>
      <c r="AY1381" s="7"/>
      <c r="AZ1381" s="7"/>
      <c r="BA1381" s="7"/>
      <c r="BB1381" s="7"/>
      <c r="BC1381" s="7"/>
      <c r="BD1381" s="7" t="s">
        <v>2372</v>
      </c>
      <c r="BE1381" s="7" t="s">
        <v>127</v>
      </c>
      <c r="BF1381" s="8"/>
      <c r="BG1381" s="8"/>
      <c r="BH1381" s="8"/>
      <c r="BI1381" s="8"/>
      <c r="BJ1381" s="8"/>
      <c r="BK1381" s="8"/>
      <c r="BL1381" s="8"/>
      <c r="BM1381" s="8"/>
      <c r="BN1381" s="8"/>
      <c r="BO1381" s="8"/>
      <c r="BP1381" s="8"/>
      <c r="BQ1381" s="8"/>
      <c r="BR1381" s="8"/>
      <c r="BS1381" s="8"/>
    </row>
    <row r="1382" customFormat="false" ht="15" hidden="false" customHeight="false" outlineLevel="0" collapsed="false">
      <c r="A1382" s="7" t="s">
        <v>9591</v>
      </c>
      <c r="B1382" s="7" t="s">
        <v>9592</v>
      </c>
      <c r="C1382" s="7" t="s">
        <v>9593</v>
      </c>
      <c r="D1382" s="7" t="s">
        <v>9594</v>
      </c>
      <c r="E1382" s="7" t="s">
        <v>444</v>
      </c>
      <c r="F1382" s="7" t="s">
        <v>444</v>
      </c>
      <c r="G1382" s="7"/>
      <c r="H1382" s="7"/>
      <c r="I1382" s="7" t="s">
        <v>158</v>
      </c>
      <c r="J1382" s="7" t="s">
        <v>104</v>
      </c>
      <c r="K1382" s="7" t="s">
        <v>105</v>
      </c>
      <c r="L1382" s="7" t="s">
        <v>106</v>
      </c>
      <c r="M1382" s="7"/>
      <c r="N1382" s="7" t="s">
        <v>9595</v>
      </c>
      <c r="O1382" s="7" t="s">
        <v>9595</v>
      </c>
      <c r="P1382" s="7" t="s">
        <v>84</v>
      </c>
      <c r="Q1382" s="7"/>
      <c r="R1382" s="7" t="s">
        <v>109</v>
      </c>
      <c r="S1382" s="7" t="s">
        <v>110</v>
      </c>
      <c r="T1382" s="7" t="n">
        <v>0.486</v>
      </c>
      <c r="U1382" s="7" t="n">
        <v>2</v>
      </c>
      <c r="V1382" s="7" t="s">
        <v>111</v>
      </c>
      <c r="W1382" s="7"/>
      <c r="X1382" s="7" t="s">
        <v>9590</v>
      </c>
      <c r="Y1382" s="7" t="s">
        <v>9595</v>
      </c>
      <c r="Z1382" s="7"/>
      <c r="AA1382" s="7"/>
      <c r="AB1382" s="7"/>
      <c r="AC1382" s="7" t="n">
        <v>5</v>
      </c>
      <c r="AD1382" s="7" t="s">
        <v>743</v>
      </c>
      <c r="AE1382" s="7" t="s">
        <v>744</v>
      </c>
      <c r="AF1382" s="7" t="s">
        <v>9593</v>
      </c>
      <c r="AG1382" s="7" t="s">
        <v>744</v>
      </c>
      <c r="AH1382" s="7" t="s">
        <v>9590</v>
      </c>
      <c r="AI1382" s="7"/>
      <c r="AJ1382" s="7"/>
      <c r="AK1382" s="7"/>
      <c r="AL1382" s="7"/>
      <c r="AM1382" s="7"/>
      <c r="AN1382" s="7"/>
      <c r="AO1382" s="7" t="s">
        <v>744</v>
      </c>
      <c r="AP1382" s="7" t="s">
        <v>9594</v>
      </c>
      <c r="AQ1382" s="7" t="s">
        <v>744</v>
      </c>
      <c r="AR1382" s="7" t="s">
        <v>444</v>
      </c>
      <c r="AS1382" s="7"/>
      <c r="AT1382" s="7"/>
      <c r="AU1382" s="7"/>
      <c r="AV1382" s="7"/>
      <c r="AW1382" s="7" t="s">
        <v>744</v>
      </c>
      <c r="AX1382" s="7" t="s">
        <v>9595</v>
      </c>
      <c r="AY1382" s="7"/>
      <c r="AZ1382" s="7"/>
      <c r="BA1382" s="7"/>
      <c r="BB1382" s="7"/>
      <c r="BC1382" s="7"/>
      <c r="BD1382" s="7" t="s">
        <v>1861</v>
      </c>
      <c r="BE1382" s="7" t="s">
        <v>127</v>
      </c>
      <c r="BF1382" s="8"/>
      <c r="BG1382" s="8"/>
      <c r="BH1382" s="8"/>
      <c r="BI1382" s="8"/>
      <c r="BJ1382" s="8"/>
      <c r="BK1382" s="8"/>
      <c r="BL1382" s="8"/>
      <c r="BM1382" s="8"/>
      <c r="BN1382" s="8"/>
      <c r="BO1382" s="8"/>
      <c r="BP1382" s="8"/>
      <c r="BQ1382" s="8"/>
      <c r="BR1382" s="8"/>
      <c r="BS1382" s="8"/>
    </row>
    <row r="1383" customFormat="false" ht="15" hidden="false" customHeight="false" outlineLevel="0" collapsed="false">
      <c r="A1383" s="7" t="s">
        <v>9596</v>
      </c>
      <c r="B1383" s="7" t="s">
        <v>9597</v>
      </c>
      <c r="C1383" s="7" t="s">
        <v>9598</v>
      </c>
      <c r="D1383" s="7" t="s">
        <v>746</v>
      </c>
      <c r="E1383" s="7" t="s">
        <v>741</v>
      </c>
      <c r="F1383" s="7" t="s">
        <v>741</v>
      </c>
      <c r="G1383" s="7"/>
      <c r="H1383" s="7"/>
      <c r="I1383" s="7" t="s">
        <v>158</v>
      </c>
      <c r="J1383" s="7" t="s">
        <v>104</v>
      </c>
      <c r="K1383" s="7" t="s">
        <v>105</v>
      </c>
      <c r="L1383" s="7" t="s">
        <v>106</v>
      </c>
      <c r="M1383" s="7"/>
      <c r="N1383" s="7" t="s">
        <v>9599</v>
      </c>
      <c r="O1383" s="7" t="s">
        <v>9599</v>
      </c>
      <c r="P1383" s="7" t="s">
        <v>109</v>
      </c>
      <c r="Q1383" s="7"/>
      <c r="R1383" s="7" t="s">
        <v>109</v>
      </c>
      <c r="S1383" s="7" t="s">
        <v>110</v>
      </c>
      <c r="T1383" s="7" t="n">
        <v>0.341</v>
      </c>
      <c r="U1383" s="7" t="n">
        <v>2</v>
      </c>
      <c r="V1383" s="7" t="s">
        <v>111</v>
      </c>
      <c r="W1383" s="7"/>
      <c r="X1383" s="7" t="s">
        <v>6302</v>
      </c>
      <c r="Y1383" s="7" t="s">
        <v>9599</v>
      </c>
      <c r="Z1383" s="7"/>
      <c r="AA1383" s="7"/>
      <c r="AB1383" s="7"/>
      <c r="AC1383" s="7" t="n">
        <v>5</v>
      </c>
      <c r="AD1383" s="7" t="s">
        <v>743</v>
      </c>
      <c r="AE1383" s="7" t="s">
        <v>744</v>
      </c>
      <c r="AF1383" s="7" t="s">
        <v>9598</v>
      </c>
      <c r="AG1383" s="7" t="s">
        <v>744</v>
      </c>
      <c r="AH1383" s="7" t="s">
        <v>6302</v>
      </c>
      <c r="AI1383" s="7"/>
      <c r="AJ1383" s="7"/>
      <c r="AK1383" s="7"/>
      <c r="AL1383" s="7"/>
      <c r="AM1383" s="7"/>
      <c r="AN1383" s="7"/>
      <c r="AO1383" s="7" t="s">
        <v>744</v>
      </c>
      <c r="AP1383" s="7" t="s">
        <v>746</v>
      </c>
      <c r="AQ1383" s="7" t="s">
        <v>744</v>
      </c>
      <c r="AR1383" s="7" t="s">
        <v>741</v>
      </c>
      <c r="AS1383" s="7"/>
      <c r="AT1383" s="7"/>
      <c r="AU1383" s="7"/>
      <c r="AV1383" s="7"/>
      <c r="AW1383" s="7" t="s">
        <v>744</v>
      </c>
      <c r="AX1383" s="7" t="s">
        <v>9599</v>
      </c>
      <c r="AY1383" s="7"/>
      <c r="AZ1383" s="7"/>
      <c r="BA1383" s="7"/>
      <c r="BB1383" s="7"/>
      <c r="BC1383" s="7"/>
      <c r="BD1383" s="7" t="s">
        <v>2372</v>
      </c>
      <c r="BE1383" s="7" t="s">
        <v>127</v>
      </c>
      <c r="BF1383" s="8"/>
      <c r="BG1383" s="8"/>
      <c r="BH1383" s="8"/>
      <c r="BI1383" s="8"/>
      <c r="BJ1383" s="8"/>
      <c r="BK1383" s="8"/>
      <c r="BL1383" s="8"/>
      <c r="BM1383" s="8"/>
      <c r="BN1383" s="8"/>
      <c r="BO1383" s="8"/>
      <c r="BP1383" s="8"/>
      <c r="BQ1383" s="8"/>
      <c r="BR1383" s="8"/>
      <c r="BS1383" s="8"/>
    </row>
    <row r="1384" customFormat="false" ht="15" hidden="false" customHeight="false" outlineLevel="0" collapsed="false">
      <c r="A1384" s="7" t="s">
        <v>9600</v>
      </c>
      <c r="B1384" s="7" t="s">
        <v>9601</v>
      </c>
      <c r="C1384" s="7" t="s">
        <v>9602</v>
      </c>
      <c r="D1384" s="7" t="s">
        <v>746</v>
      </c>
      <c r="E1384" s="7" t="s">
        <v>741</v>
      </c>
      <c r="F1384" s="7" t="s">
        <v>741</v>
      </c>
      <c r="G1384" s="7"/>
      <c r="H1384" s="7"/>
      <c r="I1384" s="7" t="s">
        <v>158</v>
      </c>
      <c r="J1384" s="7" t="s">
        <v>104</v>
      </c>
      <c r="K1384" s="7" t="s">
        <v>105</v>
      </c>
      <c r="L1384" s="7" t="s">
        <v>106</v>
      </c>
      <c r="M1384" s="7"/>
      <c r="N1384" s="7" t="s">
        <v>9603</v>
      </c>
      <c r="O1384" s="7" t="s">
        <v>9603</v>
      </c>
      <c r="P1384" s="7" t="s">
        <v>109</v>
      </c>
      <c r="Q1384" s="7"/>
      <c r="R1384" s="7" t="s">
        <v>109</v>
      </c>
      <c r="S1384" s="7" t="s">
        <v>110</v>
      </c>
      <c r="T1384" s="7" t="n">
        <v>0.713</v>
      </c>
      <c r="U1384" s="7" t="n">
        <v>2</v>
      </c>
      <c r="V1384" s="7" t="s">
        <v>111</v>
      </c>
      <c r="W1384" s="7"/>
      <c r="X1384" s="7" t="s">
        <v>1237</v>
      </c>
      <c r="Y1384" s="7" t="s">
        <v>9603</v>
      </c>
      <c r="Z1384" s="7"/>
      <c r="AA1384" s="7"/>
      <c r="AB1384" s="7"/>
      <c r="AC1384" s="7" t="n">
        <v>5</v>
      </c>
      <c r="AD1384" s="7" t="s">
        <v>743</v>
      </c>
      <c r="AE1384" s="7" t="s">
        <v>744</v>
      </c>
      <c r="AF1384" s="7" t="s">
        <v>9602</v>
      </c>
      <c r="AG1384" s="7" t="s">
        <v>744</v>
      </c>
      <c r="AH1384" s="7" t="s">
        <v>1237</v>
      </c>
      <c r="AI1384" s="7"/>
      <c r="AJ1384" s="7"/>
      <c r="AK1384" s="7"/>
      <c r="AL1384" s="7"/>
      <c r="AM1384" s="7"/>
      <c r="AN1384" s="7"/>
      <c r="AO1384" s="7" t="s">
        <v>744</v>
      </c>
      <c r="AP1384" s="7" t="s">
        <v>746</v>
      </c>
      <c r="AQ1384" s="7" t="s">
        <v>744</v>
      </c>
      <c r="AR1384" s="7" t="s">
        <v>741</v>
      </c>
      <c r="AS1384" s="7"/>
      <c r="AT1384" s="7"/>
      <c r="AU1384" s="7"/>
      <c r="AV1384" s="7"/>
      <c r="AW1384" s="7" t="s">
        <v>744</v>
      </c>
      <c r="AX1384" s="7" t="s">
        <v>9603</v>
      </c>
      <c r="AY1384" s="7"/>
      <c r="AZ1384" s="7"/>
      <c r="BA1384" s="7"/>
      <c r="BB1384" s="7"/>
      <c r="BC1384" s="7"/>
      <c r="BD1384" s="7" t="s">
        <v>2372</v>
      </c>
      <c r="BE1384" s="7" t="s">
        <v>127</v>
      </c>
      <c r="BF1384" s="8"/>
      <c r="BG1384" s="8"/>
      <c r="BH1384" s="8"/>
      <c r="BI1384" s="8"/>
      <c r="BJ1384" s="8"/>
      <c r="BK1384" s="8"/>
      <c r="BL1384" s="8"/>
      <c r="BM1384" s="8"/>
      <c r="BN1384" s="8"/>
      <c r="BO1384" s="8"/>
      <c r="BP1384" s="8"/>
      <c r="BQ1384" s="8"/>
      <c r="BR1384" s="8"/>
      <c r="BS1384" s="8"/>
    </row>
    <row r="1385" customFormat="false" ht="15" hidden="false" customHeight="false" outlineLevel="0" collapsed="false">
      <c r="A1385" s="7" t="s">
        <v>9604</v>
      </c>
      <c r="B1385" s="7" t="s">
        <v>9605</v>
      </c>
      <c r="C1385" s="7" t="s">
        <v>9606</v>
      </c>
      <c r="D1385" s="7" t="s">
        <v>9607</v>
      </c>
      <c r="E1385" s="7" t="s">
        <v>444</v>
      </c>
      <c r="F1385" s="7" t="s">
        <v>444</v>
      </c>
      <c r="G1385" s="7"/>
      <c r="H1385" s="7"/>
      <c r="I1385" s="7" t="s">
        <v>158</v>
      </c>
      <c r="J1385" s="7" t="s">
        <v>104</v>
      </c>
      <c r="K1385" s="7" t="s">
        <v>105</v>
      </c>
      <c r="L1385" s="7" t="s">
        <v>353</v>
      </c>
      <c r="M1385" s="7"/>
      <c r="N1385" s="7" t="s">
        <v>9608</v>
      </c>
      <c r="O1385" s="7" t="s">
        <v>9608</v>
      </c>
      <c r="P1385" s="7" t="s">
        <v>84</v>
      </c>
      <c r="Q1385" s="7"/>
      <c r="R1385" s="7" t="s">
        <v>109</v>
      </c>
      <c r="S1385" s="7" t="s">
        <v>110</v>
      </c>
      <c r="T1385" s="7" t="n">
        <v>0.457</v>
      </c>
      <c r="U1385" s="7" t="n">
        <v>2</v>
      </c>
      <c r="V1385" s="7" t="s">
        <v>111</v>
      </c>
      <c r="W1385" s="7"/>
      <c r="X1385" s="7" t="s">
        <v>5477</v>
      </c>
      <c r="Y1385" s="7" t="s">
        <v>9608</v>
      </c>
      <c r="Z1385" s="7"/>
      <c r="AA1385" s="7"/>
      <c r="AB1385" s="7"/>
      <c r="AC1385" s="7" t="n">
        <v>5</v>
      </c>
      <c r="AD1385" s="7" t="s">
        <v>743</v>
      </c>
      <c r="AE1385" s="7" t="s">
        <v>744</v>
      </c>
      <c r="AF1385" s="7" t="s">
        <v>9606</v>
      </c>
      <c r="AG1385" s="7" t="s">
        <v>744</v>
      </c>
      <c r="AH1385" s="7" t="s">
        <v>5477</v>
      </c>
      <c r="AI1385" s="7"/>
      <c r="AJ1385" s="7"/>
      <c r="AK1385" s="7"/>
      <c r="AL1385" s="7"/>
      <c r="AM1385" s="7"/>
      <c r="AN1385" s="7"/>
      <c r="AO1385" s="7" t="s">
        <v>744</v>
      </c>
      <c r="AP1385" s="7" t="s">
        <v>9607</v>
      </c>
      <c r="AQ1385" s="7" t="s">
        <v>744</v>
      </c>
      <c r="AR1385" s="7" t="s">
        <v>444</v>
      </c>
      <c r="AS1385" s="7"/>
      <c r="AT1385" s="7"/>
      <c r="AU1385" s="7"/>
      <c r="AV1385" s="7"/>
      <c r="AW1385" s="7" t="s">
        <v>744</v>
      </c>
      <c r="AX1385" s="7" t="s">
        <v>9608</v>
      </c>
      <c r="AY1385" s="7"/>
      <c r="AZ1385" s="7"/>
      <c r="BA1385" s="7"/>
      <c r="BB1385" s="7"/>
      <c r="BC1385" s="7"/>
      <c r="BD1385" s="7" t="s">
        <v>1861</v>
      </c>
      <c r="BE1385" s="7" t="s">
        <v>127</v>
      </c>
      <c r="BF1385" s="8"/>
      <c r="BG1385" s="8"/>
      <c r="BH1385" s="8"/>
      <c r="BI1385" s="8"/>
      <c r="BJ1385" s="8"/>
      <c r="BK1385" s="8"/>
      <c r="BL1385" s="8"/>
      <c r="BM1385" s="8"/>
      <c r="BN1385" s="8"/>
      <c r="BO1385" s="8"/>
      <c r="BP1385" s="8"/>
      <c r="BQ1385" s="8"/>
      <c r="BR1385" s="8"/>
      <c r="BS1385" s="8"/>
    </row>
    <row r="1386" customFormat="false" ht="15" hidden="false" customHeight="false" outlineLevel="0" collapsed="false">
      <c r="A1386" s="7" t="s">
        <v>9609</v>
      </c>
      <c r="B1386" s="7" t="s">
        <v>9610</v>
      </c>
      <c r="C1386" s="7" t="s">
        <v>9611</v>
      </c>
      <c r="D1386" s="7" t="s">
        <v>746</v>
      </c>
      <c r="E1386" s="7" t="s">
        <v>741</v>
      </c>
      <c r="F1386" s="7" t="s">
        <v>741</v>
      </c>
      <c r="G1386" s="7"/>
      <c r="H1386" s="7"/>
      <c r="I1386" s="7" t="s">
        <v>158</v>
      </c>
      <c r="J1386" s="7" t="s">
        <v>104</v>
      </c>
      <c r="K1386" s="7" t="s">
        <v>105</v>
      </c>
      <c r="L1386" s="7" t="s">
        <v>353</v>
      </c>
      <c r="M1386" s="7"/>
      <c r="N1386" s="7" t="s">
        <v>9612</v>
      </c>
      <c r="O1386" s="7" t="s">
        <v>9612</v>
      </c>
      <c r="P1386" s="7" t="s">
        <v>84</v>
      </c>
      <c r="Q1386" s="7"/>
      <c r="R1386" s="7" t="s">
        <v>109</v>
      </c>
      <c r="S1386" s="7" t="s">
        <v>110</v>
      </c>
      <c r="T1386" s="7" t="n">
        <v>0.585</v>
      </c>
      <c r="U1386" s="7" t="n">
        <v>2</v>
      </c>
      <c r="V1386" s="7" t="s">
        <v>111</v>
      </c>
      <c r="W1386" s="7"/>
      <c r="X1386" s="7" t="s">
        <v>5477</v>
      </c>
      <c r="Y1386" s="7" t="s">
        <v>9612</v>
      </c>
      <c r="Z1386" s="7"/>
      <c r="AA1386" s="7"/>
      <c r="AB1386" s="7"/>
      <c r="AC1386" s="7" t="n">
        <v>5</v>
      </c>
      <c r="AD1386" s="7" t="s">
        <v>743</v>
      </c>
      <c r="AE1386" s="7" t="s">
        <v>744</v>
      </c>
      <c r="AF1386" s="7" t="s">
        <v>9611</v>
      </c>
      <c r="AG1386" s="7" t="s">
        <v>744</v>
      </c>
      <c r="AH1386" s="7" t="s">
        <v>5477</v>
      </c>
      <c r="AI1386" s="7"/>
      <c r="AJ1386" s="7"/>
      <c r="AK1386" s="7"/>
      <c r="AL1386" s="7"/>
      <c r="AM1386" s="7"/>
      <c r="AN1386" s="7"/>
      <c r="AO1386" s="7" t="s">
        <v>744</v>
      </c>
      <c r="AP1386" s="7" t="s">
        <v>746</v>
      </c>
      <c r="AQ1386" s="7" t="s">
        <v>744</v>
      </c>
      <c r="AR1386" s="7" t="s">
        <v>741</v>
      </c>
      <c r="AS1386" s="7"/>
      <c r="AT1386" s="7"/>
      <c r="AU1386" s="7"/>
      <c r="AV1386" s="7"/>
      <c r="AW1386" s="7" t="s">
        <v>744</v>
      </c>
      <c r="AX1386" s="7" t="s">
        <v>9612</v>
      </c>
      <c r="AY1386" s="7"/>
      <c r="AZ1386" s="7"/>
      <c r="BA1386" s="7"/>
      <c r="BB1386" s="7"/>
      <c r="BC1386" s="7"/>
      <c r="BD1386" s="7" t="s">
        <v>2372</v>
      </c>
      <c r="BE1386" s="7" t="s">
        <v>127</v>
      </c>
      <c r="BF1386" s="8"/>
      <c r="BG1386" s="8"/>
      <c r="BH1386" s="8"/>
      <c r="BI1386" s="8"/>
      <c r="BJ1386" s="8"/>
      <c r="BK1386" s="8"/>
      <c r="BL1386" s="8"/>
      <c r="BM1386" s="8"/>
      <c r="BN1386" s="8"/>
      <c r="BO1386" s="8"/>
      <c r="BP1386" s="8"/>
      <c r="BQ1386" s="8"/>
      <c r="BR1386" s="8"/>
      <c r="BS1386" s="8"/>
    </row>
    <row r="1387" customFormat="false" ht="15" hidden="false" customHeight="false" outlineLevel="0" collapsed="false">
      <c r="A1387" s="7" t="s">
        <v>9613</v>
      </c>
      <c r="B1387" s="7" t="s">
        <v>9614</v>
      </c>
      <c r="C1387" s="7" t="s">
        <v>9615</v>
      </c>
      <c r="D1387" s="7" t="s">
        <v>7636</v>
      </c>
      <c r="E1387" s="7"/>
      <c r="F1387" s="7" t="s">
        <v>101</v>
      </c>
      <c r="G1387" s="7"/>
      <c r="H1387" s="7"/>
      <c r="I1387" s="7" t="s">
        <v>158</v>
      </c>
      <c r="J1387" s="7" t="s">
        <v>104</v>
      </c>
      <c r="K1387" s="7" t="s">
        <v>105</v>
      </c>
      <c r="L1387" s="7" t="s">
        <v>106</v>
      </c>
      <c r="M1387" s="7"/>
      <c r="N1387" s="7" t="s">
        <v>9616</v>
      </c>
      <c r="O1387" s="7" t="s">
        <v>9617</v>
      </c>
      <c r="P1387" s="7" t="s">
        <v>109</v>
      </c>
      <c r="Q1387" s="7"/>
      <c r="R1387" s="7" t="s">
        <v>109</v>
      </c>
      <c r="S1387" s="7" t="s">
        <v>110</v>
      </c>
      <c r="T1387" s="7" t="n">
        <v>0.48</v>
      </c>
      <c r="U1387" s="7" t="n">
        <v>2</v>
      </c>
      <c r="V1387" s="7" t="s">
        <v>479</v>
      </c>
      <c r="W1387" s="7"/>
      <c r="X1387" s="7" t="s">
        <v>5477</v>
      </c>
      <c r="Y1387" s="7" t="s">
        <v>9616</v>
      </c>
      <c r="Z1387" s="7"/>
      <c r="AA1387" s="7"/>
      <c r="AB1387" s="7"/>
      <c r="AC1387" s="7" t="n">
        <v>5</v>
      </c>
      <c r="AD1387" s="7" t="s">
        <v>1897</v>
      </c>
      <c r="AE1387" s="7" t="s">
        <v>744</v>
      </c>
      <c r="AF1387" s="7" t="s">
        <v>9615</v>
      </c>
      <c r="AG1387" s="7" t="s">
        <v>744</v>
      </c>
      <c r="AH1387" s="7" t="s">
        <v>5477</v>
      </c>
      <c r="AI1387" s="7"/>
      <c r="AJ1387" s="7"/>
      <c r="AK1387" s="7"/>
      <c r="AL1387" s="7"/>
      <c r="AM1387" s="7" t="s">
        <v>744</v>
      </c>
      <c r="AN1387" s="7" t="s">
        <v>9618</v>
      </c>
      <c r="AO1387" s="7" t="s">
        <v>744</v>
      </c>
      <c r="AP1387" s="7" t="s">
        <v>7636</v>
      </c>
      <c r="AQ1387" s="7"/>
      <c r="AR1387" s="7"/>
      <c r="AS1387" s="7"/>
      <c r="AT1387" s="7"/>
      <c r="AU1387" s="7"/>
      <c r="AV1387" s="7"/>
      <c r="AW1387" s="7" t="s">
        <v>744</v>
      </c>
      <c r="AX1387" s="7" t="s">
        <v>9616</v>
      </c>
      <c r="AY1387" s="7"/>
      <c r="AZ1387" s="7"/>
      <c r="BA1387" s="7"/>
      <c r="BB1387" s="7"/>
      <c r="BC1387" s="7"/>
      <c r="BD1387" s="7" t="s">
        <v>126</v>
      </c>
      <c r="BE1387" s="7" t="s">
        <v>127</v>
      </c>
      <c r="BF1387" s="8"/>
      <c r="BG1387" s="8"/>
      <c r="BH1387" s="8"/>
      <c r="BI1387" s="8"/>
      <c r="BJ1387" s="8"/>
      <c r="BK1387" s="8"/>
      <c r="BL1387" s="8"/>
      <c r="BM1387" s="8"/>
      <c r="BN1387" s="8"/>
      <c r="BO1387" s="8"/>
      <c r="BP1387" s="8"/>
      <c r="BQ1387" s="8"/>
      <c r="BR1387" s="8"/>
      <c r="BS1387" s="8"/>
    </row>
    <row r="1388" customFormat="false" ht="15" hidden="false" customHeight="false" outlineLevel="0" collapsed="false">
      <c r="A1388" s="7" t="s">
        <v>9619</v>
      </c>
      <c r="B1388" s="7" t="s">
        <v>9620</v>
      </c>
      <c r="C1388" s="7" t="s">
        <v>9621</v>
      </c>
      <c r="D1388" s="7" t="s">
        <v>9622</v>
      </c>
      <c r="E1388" s="7" t="s">
        <v>737</v>
      </c>
      <c r="F1388" s="7" t="s">
        <v>737</v>
      </c>
      <c r="G1388" s="7" t="s">
        <v>4658</v>
      </c>
      <c r="H1388" s="7"/>
      <c r="I1388" s="7" t="s">
        <v>158</v>
      </c>
      <c r="J1388" s="7" t="s">
        <v>104</v>
      </c>
      <c r="K1388" s="7" t="s">
        <v>105</v>
      </c>
      <c r="L1388" s="7" t="s">
        <v>4566</v>
      </c>
      <c r="M1388" s="7"/>
      <c r="N1388" s="7" t="s">
        <v>9623</v>
      </c>
      <c r="O1388" s="7" t="s">
        <v>9623</v>
      </c>
      <c r="P1388" s="7" t="s">
        <v>84</v>
      </c>
      <c r="Q1388" s="7"/>
      <c r="R1388" s="7" t="s">
        <v>109</v>
      </c>
      <c r="S1388" s="7" t="s">
        <v>110</v>
      </c>
      <c r="T1388" s="7" t="n">
        <v>0.548</v>
      </c>
      <c r="U1388" s="7" t="n">
        <v>2</v>
      </c>
      <c r="V1388" s="7" t="s">
        <v>111</v>
      </c>
      <c r="W1388" s="7"/>
      <c r="X1388" s="7" t="s">
        <v>1258</v>
      </c>
      <c r="Y1388" s="7" t="s">
        <v>9623</v>
      </c>
      <c r="Z1388" s="7"/>
      <c r="AA1388" s="7"/>
      <c r="AB1388" s="7"/>
      <c r="AC1388" s="7" t="n">
        <v>6</v>
      </c>
      <c r="AD1388" s="7" t="s">
        <v>1235</v>
      </c>
      <c r="AE1388" s="7" t="s">
        <v>744</v>
      </c>
      <c r="AF1388" s="7" t="s">
        <v>9621</v>
      </c>
      <c r="AG1388" s="7" t="s">
        <v>744</v>
      </c>
      <c r="AH1388" s="7" t="s">
        <v>1258</v>
      </c>
      <c r="AI1388" s="7"/>
      <c r="AJ1388" s="7"/>
      <c r="AK1388" s="7"/>
      <c r="AL1388" s="7"/>
      <c r="AM1388" s="7" t="s">
        <v>744</v>
      </c>
      <c r="AN1388" s="7" t="s">
        <v>9624</v>
      </c>
      <c r="AO1388" s="7" t="s">
        <v>744</v>
      </c>
      <c r="AP1388" s="7" t="s">
        <v>9622</v>
      </c>
      <c r="AQ1388" s="7" t="s">
        <v>744</v>
      </c>
      <c r="AR1388" s="7" t="s">
        <v>737</v>
      </c>
      <c r="AS1388" s="7"/>
      <c r="AT1388" s="7"/>
      <c r="AU1388" s="7"/>
      <c r="AV1388" s="7"/>
      <c r="AW1388" s="7" t="s">
        <v>744</v>
      </c>
      <c r="AX1388" s="7" t="s">
        <v>9623</v>
      </c>
      <c r="AY1388" s="7"/>
      <c r="AZ1388" s="7"/>
      <c r="BA1388" s="7"/>
      <c r="BB1388" s="7"/>
      <c r="BC1388" s="7"/>
      <c r="BD1388" s="7" t="s">
        <v>126</v>
      </c>
      <c r="BE1388" s="7" t="s">
        <v>127</v>
      </c>
      <c r="BF1388" s="8"/>
      <c r="BG1388" s="8"/>
      <c r="BH1388" s="8"/>
      <c r="BI1388" s="8"/>
      <c r="BJ1388" s="8"/>
      <c r="BK1388" s="8"/>
      <c r="BL1388" s="8"/>
      <c r="BM1388" s="8"/>
      <c r="BN1388" s="8"/>
      <c r="BO1388" s="8"/>
      <c r="BP1388" s="8"/>
      <c r="BQ1388" s="8"/>
      <c r="BR1388" s="8"/>
      <c r="BS1388" s="8"/>
    </row>
    <row r="1389" customFormat="false" ht="15" hidden="false" customHeight="false" outlineLevel="0" collapsed="false">
      <c r="A1389" s="7" t="s">
        <v>9625</v>
      </c>
      <c r="B1389" s="7" t="s">
        <v>9626</v>
      </c>
      <c r="C1389" s="7" t="s">
        <v>9627</v>
      </c>
      <c r="D1389" s="7" t="s">
        <v>9622</v>
      </c>
      <c r="E1389" s="7" t="s">
        <v>737</v>
      </c>
      <c r="F1389" s="7" t="s">
        <v>737</v>
      </c>
      <c r="G1389" s="7" t="s">
        <v>4658</v>
      </c>
      <c r="H1389" s="7"/>
      <c r="I1389" s="7" t="s">
        <v>158</v>
      </c>
      <c r="J1389" s="7" t="s">
        <v>104</v>
      </c>
      <c r="K1389" s="7" t="s">
        <v>105</v>
      </c>
      <c r="L1389" s="7" t="s">
        <v>106</v>
      </c>
      <c r="M1389" s="7"/>
      <c r="N1389" s="7" t="s">
        <v>9628</v>
      </c>
      <c r="O1389" s="7" t="s">
        <v>9628</v>
      </c>
      <c r="P1389" s="7" t="s">
        <v>84</v>
      </c>
      <c r="Q1389" s="7"/>
      <c r="R1389" s="7" t="s">
        <v>109</v>
      </c>
      <c r="S1389" s="7" t="s">
        <v>110</v>
      </c>
      <c r="T1389" s="7" t="n">
        <v>0.43</v>
      </c>
      <c r="U1389" s="7" t="n">
        <v>2</v>
      </c>
      <c r="V1389" s="7" t="s">
        <v>111</v>
      </c>
      <c r="W1389" s="7"/>
      <c r="X1389" s="7" t="s">
        <v>1258</v>
      </c>
      <c r="Y1389" s="7" t="s">
        <v>9628</v>
      </c>
      <c r="Z1389" s="7"/>
      <c r="AA1389" s="7"/>
      <c r="AB1389" s="7"/>
      <c r="AC1389" s="7" t="n">
        <v>6</v>
      </c>
      <c r="AD1389" s="7" t="s">
        <v>1235</v>
      </c>
      <c r="AE1389" s="7" t="s">
        <v>744</v>
      </c>
      <c r="AF1389" s="7" t="s">
        <v>9627</v>
      </c>
      <c r="AG1389" s="7" t="s">
        <v>744</v>
      </c>
      <c r="AH1389" s="7" t="s">
        <v>1258</v>
      </c>
      <c r="AI1389" s="7"/>
      <c r="AJ1389" s="7"/>
      <c r="AK1389" s="7"/>
      <c r="AL1389" s="7"/>
      <c r="AM1389" s="7" t="s">
        <v>744</v>
      </c>
      <c r="AN1389" s="7" t="s">
        <v>9629</v>
      </c>
      <c r="AO1389" s="7" t="s">
        <v>744</v>
      </c>
      <c r="AP1389" s="7" t="s">
        <v>9622</v>
      </c>
      <c r="AQ1389" s="7" t="s">
        <v>744</v>
      </c>
      <c r="AR1389" s="7" t="s">
        <v>737</v>
      </c>
      <c r="AS1389" s="7"/>
      <c r="AT1389" s="7"/>
      <c r="AU1389" s="7"/>
      <c r="AV1389" s="7"/>
      <c r="AW1389" s="7" t="s">
        <v>744</v>
      </c>
      <c r="AX1389" s="7" t="s">
        <v>9628</v>
      </c>
      <c r="AY1389" s="7"/>
      <c r="AZ1389" s="7"/>
      <c r="BA1389" s="7"/>
      <c r="BB1389" s="7"/>
      <c r="BC1389" s="7"/>
      <c r="BD1389" s="7" t="s">
        <v>126</v>
      </c>
      <c r="BE1389" s="7" t="s">
        <v>127</v>
      </c>
      <c r="BF1389" s="8"/>
      <c r="BG1389" s="8"/>
      <c r="BH1389" s="8"/>
      <c r="BI1389" s="8"/>
      <c r="BJ1389" s="8"/>
      <c r="BK1389" s="8"/>
      <c r="BL1389" s="8"/>
      <c r="BM1389" s="8"/>
      <c r="BN1389" s="8"/>
      <c r="BO1389" s="8"/>
      <c r="BP1389" s="8"/>
      <c r="BQ1389" s="8"/>
      <c r="BR1389" s="8"/>
      <c r="BS1389" s="8"/>
    </row>
    <row r="1390" customFormat="false" ht="15" hidden="false" customHeight="false" outlineLevel="0" collapsed="false">
      <c r="A1390" s="7" t="s">
        <v>9630</v>
      </c>
      <c r="B1390" s="7" t="s">
        <v>9631</v>
      </c>
      <c r="C1390" s="7" t="s">
        <v>9632</v>
      </c>
      <c r="D1390" s="7" t="s">
        <v>9633</v>
      </c>
      <c r="E1390" s="7" t="s">
        <v>444</v>
      </c>
      <c r="F1390" s="7" t="s">
        <v>444</v>
      </c>
      <c r="G1390" s="7" t="s">
        <v>9634</v>
      </c>
      <c r="H1390" s="7"/>
      <c r="I1390" s="7" t="s">
        <v>158</v>
      </c>
      <c r="J1390" s="7" t="s">
        <v>104</v>
      </c>
      <c r="K1390" s="7" t="s">
        <v>105</v>
      </c>
      <c r="L1390" s="7" t="s">
        <v>106</v>
      </c>
      <c r="M1390" s="7"/>
      <c r="N1390" s="7" t="s">
        <v>9635</v>
      </c>
      <c r="O1390" s="7" t="s">
        <v>9635</v>
      </c>
      <c r="P1390" s="7" t="s">
        <v>84</v>
      </c>
      <c r="Q1390" s="7"/>
      <c r="R1390" s="7" t="s">
        <v>109</v>
      </c>
      <c r="S1390" s="7" t="s">
        <v>110</v>
      </c>
      <c r="T1390" s="7" t="n">
        <v>0.381</v>
      </c>
      <c r="U1390" s="7" t="n">
        <v>2</v>
      </c>
      <c r="V1390" s="7" t="s">
        <v>111</v>
      </c>
      <c r="W1390" s="7"/>
      <c r="X1390" s="7" t="s">
        <v>6920</v>
      </c>
      <c r="Y1390" s="7" t="s">
        <v>9635</v>
      </c>
      <c r="Z1390" s="7"/>
      <c r="AA1390" s="7"/>
      <c r="AB1390" s="7"/>
      <c r="AC1390" s="7" t="n">
        <v>6</v>
      </c>
      <c r="AD1390" s="7" t="s">
        <v>1235</v>
      </c>
      <c r="AE1390" s="7" t="s">
        <v>744</v>
      </c>
      <c r="AF1390" s="7" t="s">
        <v>9632</v>
      </c>
      <c r="AG1390" s="7" t="s">
        <v>744</v>
      </c>
      <c r="AH1390" s="7" t="s">
        <v>6920</v>
      </c>
      <c r="AI1390" s="7"/>
      <c r="AJ1390" s="7"/>
      <c r="AK1390" s="7"/>
      <c r="AL1390" s="7"/>
      <c r="AM1390" s="7" t="s">
        <v>744</v>
      </c>
      <c r="AN1390" s="7" t="s">
        <v>9636</v>
      </c>
      <c r="AO1390" s="7" t="s">
        <v>744</v>
      </c>
      <c r="AP1390" s="7" t="s">
        <v>9633</v>
      </c>
      <c r="AQ1390" s="7" t="s">
        <v>744</v>
      </c>
      <c r="AR1390" s="7" t="s">
        <v>444</v>
      </c>
      <c r="AS1390" s="7"/>
      <c r="AT1390" s="7"/>
      <c r="AU1390" s="7"/>
      <c r="AV1390" s="7"/>
      <c r="AW1390" s="7" t="s">
        <v>744</v>
      </c>
      <c r="AX1390" s="7" t="s">
        <v>9635</v>
      </c>
      <c r="AY1390" s="7"/>
      <c r="AZ1390" s="7"/>
      <c r="BA1390" s="7"/>
      <c r="BB1390" s="7"/>
      <c r="BC1390" s="7"/>
      <c r="BD1390" s="7" t="s">
        <v>126</v>
      </c>
      <c r="BE1390" s="7" t="s">
        <v>127</v>
      </c>
      <c r="BF1390" s="8"/>
      <c r="BG1390" s="8"/>
      <c r="BH1390" s="8"/>
      <c r="BI1390" s="8"/>
      <c r="BJ1390" s="8"/>
      <c r="BK1390" s="8"/>
      <c r="BL1390" s="8"/>
      <c r="BM1390" s="8"/>
      <c r="BN1390" s="8"/>
      <c r="BO1390" s="8"/>
      <c r="BP1390" s="8"/>
      <c r="BQ1390" s="8"/>
      <c r="BR1390" s="8"/>
      <c r="BS1390" s="8"/>
    </row>
    <row r="1391" customFormat="false" ht="15" hidden="false" customHeight="false" outlineLevel="0" collapsed="false">
      <c r="A1391" s="7" t="s">
        <v>9637</v>
      </c>
      <c r="B1391" s="7" t="s">
        <v>9638</v>
      </c>
      <c r="C1391" s="7" t="s">
        <v>9639</v>
      </c>
      <c r="D1391" s="7" t="s">
        <v>746</v>
      </c>
      <c r="E1391" s="7" t="s">
        <v>741</v>
      </c>
      <c r="F1391" s="7" t="s">
        <v>741</v>
      </c>
      <c r="G1391" s="7"/>
      <c r="H1391" s="7"/>
      <c r="I1391" s="7" t="s">
        <v>158</v>
      </c>
      <c r="J1391" s="7" t="s">
        <v>104</v>
      </c>
      <c r="K1391" s="7" t="s">
        <v>105</v>
      </c>
      <c r="L1391" s="7" t="s">
        <v>106</v>
      </c>
      <c r="M1391" s="7"/>
      <c r="N1391" s="7" t="s">
        <v>9640</v>
      </c>
      <c r="O1391" s="7" t="s">
        <v>9640</v>
      </c>
      <c r="P1391" s="7" t="s">
        <v>109</v>
      </c>
      <c r="Q1391" s="7"/>
      <c r="R1391" s="7" t="s">
        <v>109</v>
      </c>
      <c r="S1391" s="7" t="s">
        <v>110</v>
      </c>
      <c r="T1391" s="7" t="n">
        <v>0.595</v>
      </c>
      <c r="U1391" s="7" t="n">
        <v>2</v>
      </c>
      <c r="V1391" s="7" t="s">
        <v>479</v>
      </c>
      <c r="W1391" s="7"/>
      <c r="X1391" s="7" t="s">
        <v>4084</v>
      </c>
      <c r="Y1391" s="7" t="s">
        <v>9640</v>
      </c>
      <c r="Z1391" s="7"/>
      <c r="AA1391" s="7"/>
      <c r="AB1391" s="7"/>
      <c r="AC1391" s="7" t="n">
        <v>6</v>
      </c>
      <c r="AD1391" s="7" t="s">
        <v>1235</v>
      </c>
      <c r="AE1391" s="7" t="s">
        <v>744</v>
      </c>
      <c r="AF1391" s="7" t="s">
        <v>9639</v>
      </c>
      <c r="AG1391" s="7" t="s">
        <v>744</v>
      </c>
      <c r="AH1391" s="7" t="s">
        <v>4084</v>
      </c>
      <c r="AI1391" s="7"/>
      <c r="AJ1391" s="7"/>
      <c r="AK1391" s="7"/>
      <c r="AL1391" s="7"/>
      <c r="AM1391" s="7" t="s">
        <v>744</v>
      </c>
      <c r="AN1391" s="7" t="s">
        <v>9641</v>
      </c>
      <c r="AO1391" s="7" t="s">
        <v>744</v>
      </c>
      <c r="AP1391" s="7" t="s">
        <v>746</v>
      </c>
      <c r="AQ1391" s="7" t="s">
        <v>744</v>
      </c>
      <c r="AR1391" s="7" t="s">
        <v>741</v>
      </c>
      <c r="AS1391" s="7"/>
      <c r="AT1391" s="7"/>
      <c r="AU1391" s="7"/>
      <c r="AV1391" s="7"/>
      <c r="AW1391" s="7" t="s">
        <v>744</v>
      </c>
      <c r="AX1391" s="7" t="s">
        <v>9640</v>
      </c>
      <c r="AY1391" s="7"/>
      <c r="AZ1391" s="7"/>
      <c r="BA1391" s="7"/>
      <c r="BB1391" s="7"/>
      <c r="BC1391" s="7"/>
      <c r="BD1391" s="7" t="s">
        <v>2372</v>
      </c>
      <c r="BE1391" s="7" t="s">
        <v>127</v>
      </c>
      <c r="BF1391" s="8"/>
      <c r="BG1391" s="8"/>
      <c r="BH1391" s="8"/>
      <c r="BI1391" s="8"/>
      <c r="BJ1391" s="8"/>
      <c r="BK1391" s="8"/>
      <c r="BL1391" s="8"/>
      <c r="BM1391" s="8"/>
      <c r="BN1391" s="8"/>
      <c r="BO1391" s="8"/>
      <c r="BP1391" s="8"/>
      <c r="BQ1391" s="8"/>
      <c r="BR1391" s="8"/>
      <c r="BS1391" s="8"/>
    </row>
    <row r="1392" customFormat="false" ht="15" hidden="false" customHeight="false" outlineLevel="0" collapsed="false">
      <c r="A1392" s="7" t="s">
        <v>9642</v>
      </c>
      <c r="B1392" s="7" t="s">
        <v>9643</v>
      </c>
      <c r="C1392" s="7" t="s">
        <v>9644</v>
      </c>
      <c r="D1392" s="7" t="s">
        <v>9633</v>
      </c>
      <c r="E1392" s="7" t="s">
        <v>444</v>
      </c>
      <c r="F1392" s="7" t="s">
        <v>444</v>
      </c>
      <c r="G1392" s="7" t="s">
        <v>9634</v>
      </c>
      <c r="H1392" s="7"/>
      <c r="I1392" s="7" t="s">
        <v>158</v>
      </c>
      <c r="J1392" s="7" t="s">
        <v>104</v>
      </c>
      <c r="K1392" s="7" t="s">
        <v>105</v>
      </c>
      <c r="L1392" s="7" t="s">
        <v>106</v>
      </c>
      <c r="M1392" s="7"/>
      <c r="N1392" s="7" t="s">
        <v>9645</v>
      </c>
      <c r="O1392" s="7" t="s">
        <v>9645</v>
      </c>
      <c r="P1392" s="7" t="s">
        <v>84</v>
      </c>
      <c r="Q1392" s="7"/>
      <c r="R1392" s="7" t="s">
        <v>109</v>
      </c>
      <c r="S1392" s="7" t="s">
        <v>110</v>
      </c>
      <c r="T1392" s="7" t="n">
        <v>0.421</v>
      </c>
      <c r="U1392" s="7" t="n">
        <v>2</v>
      </c>
      <c r="V1392" s="7" t="s">
        <v>111</v>
      </c>
      <c r="W1392" s="7"/>
      <c r="X1392" s="7" t="s">
        <v>303</v>
      </c>
      <c r="Y1392" s="7" t="s">
        <v>9645</v>
      </c>
      <c r="Z1392" s="7"/>
      <c r="AA1392" s="7"/>
      <c r="AB1392" s="7"/>
      <c r="AC1392" s="7" t="n">
        <v>6</v>
      </c>
      <c r="AD1392" s="7" t="s">
        <v>1235</v>
      </c>
      <c r="AE1392" s="7" t="s">
        <v>744</v>
      </c>
      <c r="AF1392" s="7" t="s">
        <v>9644</v>
      </c>
      <c r="AG1392" s="7" t="s">
        <v>744</v>
      </c>
      <c r="AH1392" s="7" t="s">
        <v>303</v>
      </c>
      <c r="AI1392" s="7"/>
      <c r="AJ1392" s="7"/>
      <c r="AK1392" s="7"/>
      <c r="AL1392" s="7"/>
      <c r="AM1392" s="7" t="s">
        <v>744</v>
      </c>
      <c r="AN1392" s="7" t="s">
        <v>9646</v>
      </c>
      <c r="AO1392" s="7" t="s">
        <v>744</v>
      </c>
      <c r="AP1392" s="7" t="s">
        <v>9633</v>
      </c>
      <c r="AQ1392" s="7" t="s">
        <v>744</v>
      </c>
      <c r="AR1392" s="7" t="s">
        <v>444</v>
      </c>
      <c r="AS1392" s="7"/>
      <c r="AT1392" s="7"/>
      <c r="AU1392" s="7"/>
      <c r="AV1392" s="7"/>
      <c r="AW1392" s="7" t="s">
        <v>744</v>
      </c>
      <c r="AX1392" s="7" t="s">
        <v>9645</v>
      </c>
      <c r="AY1392" s="7"/>
      <c r="AZ1392" s="7"/>
      <c r="BA1392" s="7"/>
      <c r="BB1392" s="7"/>
      <c r="BC1392" s="7"/>
      <c r="BD1392" s="7" t="s">
        <v>126</v>
      </c>
      <c r="BE1392" s="7" t="s">
        <v>127</v>
      </c>
      <c r="BF1392" s="8"/>
      <c r="BG1392" s="8"/>
      <c r="BH1392" s="8"/>
      <c r="BI1392" s="8"/>
      <c r="BJ1392" s="8"/>
      <c r="BK1392" s="8"/>
      <c r="BL1392" s="8"/>
      <c r="BM1392" s="8"/>
      <c r="BN1392" s="8"/>
      <c r="BO1392" s="8"/>
      <c r="BP1392" s="8"/>
      <c r="BQ1392" s="8"/>
      <c r="BR1392" s="8"/>
      <c r="BS1392" s="8"/>
    </row>
    <row r="1393" customFormat="false" ht="15" hidden="false" customHeight="false" outlineLevel="0" collapsed="false">
      <c r="A1393" s="7" t="s">
        <v>9647</v>
      </c>
      <c r="B1393" s="7" t="s">
        <v>9648</v>
      </c>
      <c r="C1393" s="7" t="s">
        <v>9649</v>
      </c>
      <c r="D1393" s="7" t="s">
        <v>7106</v>
      </c>
      <c r="E1393" s="7" t="s">
        <v>819</v>
      </c>
      <c r="F1393" s="7" t="s">
        <v>819</v>
      </c>
      <c r="G1393" s="7"/>
      <c r="H1393" s="7"/>
      <c r="I1393" s="7" t="s">
        <v>158</v>
      </c>
      <c r="J1393" s="7" t="s">
        <v>104</v>
      </c>
      <c r="K1393" s="7" t="s">
        <v>105</v>
      </c>
      <c r="L1393" s="7" t="s">
        <v>353</v>
      </c>
      <c r="M1393" s="7"/>
      <c r="N1393" s="7" t="s">
        <v>9650</v>
      </c>
      <c r="O1393" s="7" t="s">
        <v>9650</v>
      </c>
      <c r="P1393" s="7" t="s">
        <v>84</v>
      </c>
      <c r="Q1393" s="7"/>
      <c r="R1393" s="7" t="s">
        <v>109</v>
      </c>
      <c r="S1393" s="7" t="s">
        <v>110</v>
      </c>
      <c r="T1393" s="7" t="n">
        <v>0.695</v>
      </c>
      <c r="U1393" s="7" t="n">
        <v>2</v>
      </c>
      <c r="V1393" s="7" t="s">
        <v>111</v>
      </c>
      <c r="W1393" s="7" t="s">
        <v>9651</v>
      </c>
      <c r="X1393" s="7" t="s">
        <v>3048</v>
      </c>
      <c r="Y1393" s="7" t="s">
        <v>7107</v>
      </c>
      <c r="Z1393" s="7"/>
      <c r="AA1393" s="7"/>
      <c r="AB1393" s="7"/>
      <c r="AC1393" s="7" t="n">
        <v>5</v>
      </c>
      <c r="AD1393" s="7" t="s">
        <v>743</v>
      </c>
      <c r="AE1393" s="7" t="s">
        <v>744</v>
      </c>
      <c r="AF1393" s="7" t="s">
        <v>9649</v>
      </c>
      <c r="AG1393" s="7" t="s">
        <v>744</v>
      </c>
      <c r="AH1393" s="7" t="s">
        <v>927</v>
      </c>
      <c r="AI1393" s="7"/>
      <c r="AJ1393" s="7"/>
      <c r="AK1393" s="7"/>
      <c r="AL1393" s="7"/>
      <c r="AM1393" s="7"/>
      <c r="AN1393" s="7"/>
      <c r="AO1393" s="7" t="s">
        <v>744</v>
      </c>
      <c r="AP1393" s="7" t="s">
        <v>7106</v>
      </c>
      <c r="AQ1393" s="7" t="s">
        <v>744</v>
      </c>
      <c r="AR1393" s="7" t="s">
        <v>819</v>
      </c>
      <c r="AS1393" s="7"/>
      <c r="AT1393" s="7"/>
      <c r="AU1393" s="7"/>
      <c r="AV1393" s="7"/>
      <c r="AW1393" s="7" t="s">
        <v>744</v>
      </c>
      <c r="AX1393" s="7" t="s">
        <v>9650</v>
      </c>
      <c r="AY1393" s="7"/>
      <c r="AZ1393" s="7"/>
      <c r="BA1393" s="7"/>
      <c r="BB1393" s="7"/>
      <c r="BC1393" s="7"/>
      <c r="BD1393" s="7" t="s">
        <v>1861</v>
      </c>
      <c r="BE1393" s="7" t="s">
        <v>127</v>
      </c>
      <c r="BF1393" s="8"/>
      <c r="BG1393" s="8"/>
      <c r="BH1393" s="8"/>
      <c r="BI1393" s="8"/>
      <c r="BJ1393" s="8"/>
      <c r="BK1393" s="8"/>
      <c r="BL1393" s="8"/>
      <c r="BM1393" s="8"/>
      <c r="BN1393" s="8"/>
      <c r="BO1393" s="8"/>
      <c r="BP1393" s="8"/>
      <c r="BQ1393" s="8"/>
      <c r="BR1393" s="8"/>
      <c r="BS1393" s="8"/>
    </row>
    <row r="1394" customFormat="false" ht="15" hidden="false" customHeight="false" outlineLevel="0" collapsed="false">
      <c r="A1394" s="7" t="s">
        <v>9652</v>
      </c>
      <c r="B1394" s="7" t="s">
        <v>9653</v>
      </c>
      <c r="C1394" s="7" t="s">
        <v>9654</v>
      </c>
      <c r="D1394" s="7" t="s">
        <v>746</v>
      </c>
      <c r="E1394" s="7" t="s">
        <v>741</v>
      </c>
      <c r="F1394" s="7" t="s">
        <v>741</v>
      </c>
      <c r="G1394" s="7"/>
      <c r="H1394" s="7"/>
      <c r="I1394" s="7" t="s">
        <v>158</v>
      </c>
      <c r="J1394" s="7" t="s">
        <v>104</v>
      </c>
      <c r="K1394" s="7" t="s">
        <v>105</v>
      </c>
      <c r="L1394" s="7" t="s">
        <v>106</v>
      </c>
      <c r="M1394" s="7"/>
      <c r="N1394" s="7" t="s">
        <v>9655</v>
      </c>
      <c r="O1394" s="7" t="s">
        <v>9655</v>
      </c>
      <c r="P1394" s="7" t="s">
        <v>109</v>
      </c>
      <c r="Q1394" s="7"/>
      <c r="R1394" s="7" t="s">
        <v>109</v>
      </c>
      <c r="S1394" s="7" t="s">
        <v>110</v>
      </c>
      <c r="T1394" s="7" t="n">
        <v>0.616</v>
      </c>
      <c r="U1394" s="7" t="n">
        <v>2</v>
      </c>
      <c r="V1394" s="7" t="s">
        <v>111</v>
      </c>
      <c r="W1394" s="7"/>
      <c r="X1394" s="7" t="s">
        <v>1267</v>
      </c>
      <c r="Y1394" s="7" t="s">
        <v>9655</v>
      </c>
      <c r="Z1394" s="7"/>
      <c r="AA1394" s="7"/>
      <c r="AB1394" s="7"/>
      <c r="AC1394" s="7" t="n">
        <v>5</v>
      </c>
      <c r="AD1394" s="7" t="s">
        <v>743</v>
      </c>
      <c r="AE1394" s="7" t="s">
        <v>744</v>
      </c>
      <c r="AF1394" s="7" t="s">
        <v>9654</v>
      </c>
      <c r="AG1394" s="7" t="s">
        <v>744</v>
      </c>
      <c r="AH1394" s="7" t="s">
        <v>1267</v>
      </c>
      <c r="AI1394" s="7"/>
      <c r="AJ1394" s="7"/>
      <c r="AK1394" s="7"/>
      <c r="AL1394" s="7"/>
      <c r="AM1394" s="7"/>
      <c r="AN1394" s="7"/>
      <c r="AO1394" s="7" t="s">
        <v>744</v>
      </c>
      <c r="AP1394" s="7" t="s">
        <v>746</v>
      </c>
      <c r="AQ1394" s="7" t="s">
        <v>744</v>
      </c>
      <c r="AR1394" s="7" t="s">
        <v>741</v>
      </c>
      <c r="AS1394" s="7"/>
      <c r="AT1394" s="7"/>
      <c r="AU1394" s="7"/>
      <c r="AV1394" s="7"/>
      <c r="AW1394" s="7" t="s">
        <v>744</v>
      </c>
      <c r="AX1394" s="7" t="s">
        <v>9655</v>
      </c>
      <c r="AY1394" s="7"/>
      <c r="AZ1394" s="7"/>
      <c r="BA1394" s="7"/>
      <c r="BB1394" s="7"/>
      <c r="BC1394" s="7"/>
      <c r="BD1394" s="7" t="s">
        <v>2372</v>
      </c>
      <c r="BE1394" s="7" t="s">
        <v>127</v>
      </c>
      <c r="BF1394" s="8"/>
      <c r="BG1394" s="8"/>
      <c r="BH1394" s="8"/>
      <c r="BI1394" s="8"/>
      <c r="BJ1394" s="8"/>
      <c r="BK1394" s="8"/>
      <c r="BL1394" s="8"/>
      <c r="BM1394" s="8"/>
      <c r="BN1394" s="8"/>
      <c r="BO1394" s="8"/>
      <c r="BP1394" s="8"/>
      <c r="BQ1394" s="8"/>
      <c r="BR1394" s="8"/>
      <c r="BS1394" s="8"/>
    </row>
    <row r="1395" customFormat="false" ht="15" hidden="false" customHeight="false" outlineLevel="0" collapsed="false">
      <c r="A1395" s="7" t="s">
        <v>9656</v>
      </c>
      <c r="B1395" s="7" t="s">
        <v>9657</v>
      </c>
      <c r="C1395" s="7" t="s">
        <v>9658</v>
      </c>
      <c r="D1395" s="7" t="s">
        <v>746</v>
      </c>
      <c r="E1395" s="7" t="s">
        <v>741</v>
      </c>
      <c r="F1395" s="7" t="s">
        <v>741</v>
      </c>
      <c r="G1395" s="7"/>
      <c r="H1395" s="7"/>
      <c r="I1395" s="7" t="s">
        <v>158</v>
      </c>
      <c r="J1395" s="7" t="s">
        <v>104</v>
      </c>
      <c r="K1395" s="7" t="s">
        <v>105</v>
      </c>
      <c r="L1395" s="7" t="s">
        <v>106</v>
      </c>
      <c r="M1395" s="7"/>
      <c r="N1395" s="7" t="s">
        <v>9659</v>
      </c>
      <c r="O1395" s="7" t="s">
        <v>9659</v>
      </c>
      <c r="P1395" s="7" t="s">
        <v>109</v>
      </c>
      <c r="Q1395" s="7"/>
      <c r="R1395" s="7" t="s">
        <v>109</v>
      </c>
      <c r="S1395" s="7" t="s">
        <v>110</v>
      </c>
      <c r="T1395" s="7" t="n">
        <v>0.596</v>
      </c>
      <c r="U1395" s="7" t="n">
        <v>2</v>
      </c>
      <c r="V1395" s="7" t="s">
        <v>479</v>
      </c>
      <c r="W1395" s="7"/>
      <c r="X1395" s="7" t="s">
        <v>519</v>
      </c>
      <c r="Y1395" s="7" t="s">
        <v>9659</v>
      </c>
      <c r="Z1395" s="7"/>
      <c r="AA1395" s="7"/>
      <c r="AB1395" s="7"/>
      <c r="AC1395" s="7" t="n">
        <v>5</v>
      </c>
      <c r="AD1395" s="7" t="s">
        <v>743</v>
      </c>
      <c r="AE1395" s="7" t="s">
        <v>744</v>
      </c>
      <c r="AF1395" s="7" t="s">
        <v>9658</v>
      </c>
      <c r="AG1395" s="7" t="s">
        <v>744</v>
      </c>
      <c r="AH1395" s="7" t="s">
        <v>519</v>
      </c>
      <c r="AI1395" s="7"/>
      <c r="AJ1395" s="7"/>
      <c r="AK1395" s="7"/>
      <c r="AL1395" s="7"/>
      <c r="AM1395" s="7"/>
      <c r="AN1395" s="7"/>
      <c r="AO1395" s="7" t="s">
        <v>744</v>
      </c>
      <c r="AP1395" s="7" t="s">
        <v>746</v>
      </c>
      <c r="AQ1395" s="7" t="s">
        <v>744</v>
      </c>
      <c r="AR1395" s="7" t="s">
        <v>741</v>
      </c>
      <c r="AS1395" s="7"/>
      <c r="AT1395" s="7"/>
      <c r="AU1395" s="7"/>
      <c r="AV1395" s="7"/>
      <c r="AW1395" s="7" t="s">
        <v>744</v>
      </c>
      <c r="AX1395" s="7" t="s">
        <v>9659</v>
      </c>
      <c r="AY1395" s="7"/>
      <c r="AZ1395" s="7"/>
      <c r="BA1395" s="7"/>
      <c r="BB1395" s="7"/>
      <c r="BC1395" s="7"/>
      <c r="BD1395" s="7" t="s">
        <v>2372</v>
      </c>
      <c r="BE1395" s="7" t="s">
        <v>127</v>
      </c>
      <c r="BF1395" s="8"/>
      <c r="BG1395" s="8"/>
      <c r="BH1395" s="8"/>
      <c r="BI1395" s="8"/>
      <c r="BJ1395" s="8"/>
      <c r="BK1395" s="8"/>
      <c r="BL1395" s="8"/>
      <c r="BM1395" s="8"/>
      <c r="BN1395" s="8"/>
      <c r="BO1395" s="8"/>
      <c r="BP1395" s="8"/>
      <c r="BQ1395" s="8"/>
      <c r="BR1395" s="8"/>
      <c r="BS1395" s="8"/>
    </row>
    <row r="1396" customFormat="false" ht="15" hidden="false" customHeight="false" outlineLevel="0" collapsed="false">
      <c r="A1396" s="7" t="s">
        <v>9660</v>
      </c>
      <c r="B1396" s="7" t="s">
        <v>9661</v>
      </c>
      <c r="C1396" s="7" t="s">
        <v>9662</v>
      </c>
      <c r="D1396" s="7" t="s">
        <v>9594</v>
      </c>
      <c r="E1396" s="7" t="s">
        <v>444</v>
      </c>
      <c r="F1396" s="7" t="s">
        <v>444</v>
      </c>
      <c r="G1396" s="7"/>
      <c r="H1396" s="7"/>
      <c r="I1396" s="7" t="s">
        <v>158</v>
      </c>
      <c r="J1396" s="7" t="s">
        <v>104</v>
      </c>
      <c r="K1396" s="7" t="s">
        <v>105</v>
      </c>
      <c r="L1396" s="7" t="s">
        <v>106</v>
      </c>
      <c r="M1396" s="7"/>
      <c r="N1396" s="7" t="s">
        <v>9663</v>
      </c>
      <c r="O1396" s="7" t="s">
        <v>9663</v>
      </c>
      <c r="P1396" s="7" t="s">
        <v>84</v>
      </c>
      <c r="Q1396" s="7"/>
      <c r="R1396" s="7" t="s">
        <v>109</v>
      </c>
      <c r="S1396" s="7" t="s">
        <v>110</v>
      </c>
      <c r="T1396" s="7" t="n">
        <v>0.555</v>
      </c>
      <c r="U1396" s="7" t="n">
        <v>2</v>
      </c>
      <c r="V1396" s="7" t="s">
        <v>111</v>
      </c>
      <c r="W1396" s="7"/>
      <c r="X1396" s="7" t="s">
        <v>7559</v>
      </c>
      <c r="Y1396" s="7" t="s">
        <v>9663</v>
      </c>
      <c r="Z1396" s="7"/>
      <c r="AA1396" s="7"/>
      <c r="AB1396" s="7"/>
      <c r="AC1396" s="7" t="n">
        <v>5</v>
      </c>
      <c r="AD1396" s="7" t="s">
        <v>743</v>
      </c>
      <c r="AE1396" s="7" t="s">
        <v>744</v>
      </c>
      <c r="AF1396" s="7" t="s">
        <v>9662</v>
      </c>
      <c r="AG1396" s="7" t="s">
        <v>744</v>
      </c>
      <c r="AH1396" s="7" t="s">
        <v>7559</v>
      </c>
      <c r="AI1396" s="7"/>
      <c r="AJ1396" s="7"/>
      <c r="AK1396" s="7"/>
      <c r="AL1396" s="7"/>
      <c r="AM1396" s="7"/>
      <c r="AN1396" s="7"/>
      <c r="AO1396" s="7" t="s">
        <v>744</v>
      </c>
      <c r="AP1396" s="7" t="s">
        <v>9594</v>
      </c>
      <c r="AQ1396" s="7" t="s">
        <v>744</v>
      </c>
      <c r="AR1396" s="7" t="s">
        <v>444</v>
      </c>
      <c r="AS1396" s="7"/>
      <c r="AT1396" s="7"/>
      <c r="AU1396" s="7"/>
      <c r="AV1396" s="7"/>
      <c r="AW1396" s="7" t="s">
        <v>744</v>
      </c>
      <c r="AX1396" s="7" t="s">
        <v>9663</v>
      </c>
      <c r="AY1396" s="7"/>
      <c r="AZ1396" s="7"/>
      <c r="BA1396" s="7"/>
      <c r="BB1396" s="7"/>
      <c r="BC1396" s="7"/>
      <c r="BD1396" s="7" t="s">
        <v>1861</v>
      </c>
      <c r="BE1396" s="7" t="s">
        <v>127</v>
      </c>
      <c r="BF1396" s="8"/>
      <c r="BG1396" s="8"/>
      <c r="BH1396" s="8"/>
      <c r="BI1396" s="8"/>
      <c r="BJ1396" s="8"/>
      <c r="BK1396" s="8"/>
      <c r="BL1396" s="8"/>
      <c r="BM1396" s="8"/>
      <c r="BN1396" s="8"/>
      <c r="BO1396" s="8"/>
      <c r="BP1396" s="8"/>
      <c r="BQ1396" s="8"/>
      <c r="BR1396" s="8"/>
      <c r="BS1396" s="8"/>
    </row>
    <row r="1397" customFormat="false" ht="15" hidden="false" customHeight="false" outlineLevel="0" collapsed="false">
      <c r="A1397" s="7" t="s">
        <v>9664</v>
      </c>
      <c r="B1397" s="7" t="s">
        <v>9665</v>
      </c>
      <c r="C1397" s="7" t="s">
        <v>9666</v>
      </c>
      <c r="D1397" s="7" t="s">
        <v>9667</v>
      </c>
      <c r="E1397" s="7" t="s">
        <v>410</v>
      </c>
      <c r="F1397" s="7" t="s">
        <v>410</v>
      </c>
      <c r="G1397" s="7"/>
      <c r="H1397" s="7"/>
      <c r="I1397" s="7" t="s">
        <v>158</v>
      </c>
      <c r="J1397" s="7" t="s">
        <v>104</v>
      </c>
      <c r="K1397" s="7" t="s">
        <v>105</v>
      </c>
      <c r="L1397" s="7" t="s">
        <v>353</v>
      </c>
      <c r="M1397" s="7"/>
      <c r="N1397" s="7" t="s">
        <v>9668</v>
      </c>
      <c r="O1397" s="7" t="s">
        <v>9668</v>
      </c>
      <c r="P1397" s="7" t="s">
        <v>84</v>
      </c>
      <c r="Q1397" s="7"/>
      <c r="R1397" s="7" t="s">
        <v>109</v>
      </c>
      <c r="S1397" s="7" t="s">
        <v>110</v>
      </c>
      <c r="T1397" s="7" t="n">
        <v>0.506</v>
      </c>
      <c r="U1397" s="7" t="n">
        <v>2</v>
      </c>
      <c r="V1397" s="7" t="s">
        <v>111</v>
      </c>
      <c r="W1397" s="7"/>
      <c r="X1397" s="7" t="s">
        <v>163</v>
      </c>
      <c r="Y1397" s="7" t="s">
        <v>9668</v>
      </c>
      <c r="Z1397" s="7"/>
      <c r="AA1397" s="7"/>
      <c r="AB1397" s="7"/>
      <c r="AC1397" s="7" t="n">
        <v>5</v>
      </c>
      <c r="AD1397" s="7" t="s">
        <v>743</v>
      </c>
      <c r="AE1397" s="7" t="s">
        <v>744</v>
      </c>
      <c r="AF1397" s="7" t="s">
        <v>9666</v>
      </c>
      <c r="AG1397" s="7" t="s">
        <v>744</v>
      </c>
      <c r="AH1397" s="7" t="s">
        <v>163</v>
      </c>
      <c r="AI1397" s="7"/>
      <c r="AJ1397" s="7"/>
      <c r="AK1397" s="7"/>
      <c r="AL1397" s="7"/>
      <c r="AM1397" s="7"/>
      <c r="AN1397" s="7"/>
      <c r="AO1397" s="7" t="s">
        <v>744</v>
      </c>
      <c r="AP1397" s="7" t="s">
        <v>9667</v>
      </c>
      <c r="AQ1397" s="7" t="s">
        <v>744</v>
      </c>
      <c r="AR1397" s="7" t="s">
        <v>410</v>
      </c>
      <c r="AS1397" s="7"/>
      <c r="AT1397" s="7"/>
      <c r="AU1397" s="7"/>
      <c r="AV1397" s="7"/>
      <c r="AW1397" s="7" t="s">
        <v>744</v>
      </c>
      <c r="AX1397" s="7" t="s">
        <v>9668</v>
      </c>
      <c r="AY1397" s="7"/>
      <c r="AZ1397" s="7"/>
      <c r="BA1397" s="7"/>
      <c r="BB1397" s="7"/>
      <c r="BC1397" s="7"/>
      <c r="BD1397" s="7" t="s">
        <v>1861</v>
      </c>
      <c r="BE1397" s="7" t="s">
        <v>127</v>
      </c>
      <c r="BF1397" s="8"/>
      <c r="BG1397" s="8"/>
      <c r="BH1397" s="8"/>
      <c r="BI1397" s="8"/>
      <c r="BJ1397" s="8"/>
      <c r="BK1397" s="8"/>
      <c r="BL1397" s="8"/>
      <c r="BM1397" s="8"/>
      <c r="BN1397" s="8"/>
      <c r="BO1397" s="8"/>
      <c r="BP1397" s="8"/>
      <c r="BQ1397" s="8"/>
      <c r="BR1397" s="8"/>
      <c r="BS1397" s="8"/>
    </row>
    <row r="1398" customFormat="false" ht="15" hidden="false" customHeight="false" outlineLevel="0" collapsed="false">
      <c r="A1398" s="7" t="s">
        <v>9669</v>
      </c>
      <c r="B1398" s="7" t="s">
        <v>9670</v>
      </c>
      <c r="C1398" s="7" t="s">
        <v>9671</v>
      </c>
      <c r="D1398" s="7" t="s">
        <v>9672</v>
      </c>
      <c r="E1398" s="7"/>
      <c r="F1398" s="7" t="s">
        <v>101</v>
      </c>
      <c r="G1398" s="7"/>
      <c r="H1398" s="7"/>
      <c r="I1398" s="7" t="s">
        <v>158</v>
      </c>
      <c r="J1398" s="7" t="s">
        <v>104</v>
      </c>
      <c r="K1398" s="7" t="s">
        <v>105</v>
      </c>
      <c r="L1398" s="7" t="s">
        <v>106</v>
      </c>
      <c r="M1398" s="7"/>
      <c r="N1398" s="7" t="s">
        <v>9673</v>
      </c>
      <c r="O1398" s="7" t="s">
        <v>9673</v>
      </c>
      <c r="P1398" s="7" t="s">
        <v>109</v>
      </c>
      <c r="Q1398" s="7"/>
      <c r="R1398" s="7" t="s">
        <v>109</v>
      </c>
      <c r="S1398" s="7" t="s">
        <v>110</v>
      </c>
      <c r="T1398" s="7" t="n">
        <v>0.76</v>
      </c>
      <c r="U1398" s="7" t="n">
        <v>2</v>
      </c>
      <c r="V1398" s="7" t="s">
        <v>479</v>
      </c>
      <c r="W1398" s="7"/>
      <c r="X1398" s="7" t="s">
        <v>356</v>
      </c>
      <c r="Y1398" s="7" t="s">
        <v>9673</v>
      </c>
      <c r="Z1398" s="7"/>
      <c r="AA1398" s="7"/>
      <c r="AB1398" s="7"/>
      <c r="AC1398" s="7" t="n">
        <v>4</v>
      </c>
      <c r="AD1398" s="7" t="s">
        <v>7611</v>
      </c>
      <c r="AE1398" s="7" t="s">
        <v>744</v>
      </c>
      <c r="AF1398" s="7" t="s">
        <v>9671</v>
      </c>
      <c r="AG1398" s="7" t="s">
        <v>744</v>
      </c>
      <c r="AH1398" s="7" t="s">
        <v>9674</v>
      </c>
      <c r="AI1398" s="7"/>
      <c r="AJ1398" s="7"/>
      <c r="AK1398" s="7"/>
      <c r="AL1398" s="7"/>
      <c r="AM1398" s="7"/>
      <c r="AN1398" s="7"/>
      <c r="AO1398" s="7" t="s">
        <v>744</v>
      </c>
      <c r="AP1398" s="7" t="s">
        <v>9672</v>
      </c>
      <c r="AQ1398" s="7"/>
      <c r="AR1398" s="7"/>
      <c r="AS1398" s="7"/>
      <c r="AT1398" s="7"/>
      <c r="AU1398" s="7"/>
      <c r="AV1398" s="7"/>
      <c r="AW1398" s="7" t="s">
        <v>744</v>
      </c>
      <c r="AX1398" s="7" t="s">
        <v>9673</v>
      </c>
      <c r="AY1398" s="7"/>
      <c r="AZ1398" s="7"/>
      <c r="BA1398" s="7"/>
      <c r="BB1398" s="7"/>
      <c r="BC1398" s="7"/>
      <c r="BD1398" s="7" t="s">
        <v>126</v>
      </c>
      <c r="BE1398" s="7" t="s">
        <v>127</v>
      </c>
      <c r="BF1398" s="8"/>
      <c r="BG1398" s="8"/>
      <c r="BH1398" s="8"/>
      <c r="BI1398" s="8"/>
      <c r="BJ1398" s="8"/>
      <c r="BK1398" s="8"/>
      <c r="BL1398" s="8"/>
      <c r="BM1398" s="8"/>
      <c r="BN1398" s="8"/>
      <c r="BO1398" s="8"/>
      <c r="BP1398" s="8"/>
      <c r="BQ1398" s="8"/>
      <c r="BR1398" s="8"/>
      <c r="BS1398" s="8"/>
    </row>
    <row r="1399" customFormat="false" ht="15" hidden="false" customHeight="false" outlineLevel="0" collapsed="false">
      <c r="A1399" s="7" t="s">
        <v>9675</v>
      </c>
      <c r="B1399" s="7" t="s">
        <v>9676</v>
      </c>
      <c r="C1399" s="7" t="s">
        <v>9677</v>
      </c>
      <c r="D1399" s="7" t="s">
        <v>9678</v>
      </c>
      <c r="E1399" s="7"/>
      <c r="F1399" s="7" t="s">
        <v>101</v>
      </c>
      <c r="G1399" s="7"/>
      <c r="H1399" s="7"/>
      <c r="I1399" s="7" t="s">
        <v>208</v>
      </c>
      <c r="J1399" s="7" t="s">
        <v>104</v>
      </c>
      <c r="K1399" s="7" t="s">
        <v>105</v>
      </c>
      <c r="L1399" s="7" t="s">
        <v>106</v>
      </c>
      <c r="M1399" s="7"/>
      <c r="N1399" s="7" t="s">
        <v>9679</v>
      </c>
      <c r="O1399" s="7"/>
      <c r="P1399" s="7" t="s">
        <v>109</v>
      </c>
      <c r="Q1399" s="7"/>
      <c r="R1399" s="7" t="s">
        <v>135</v>
      </c>
      <c r="S1399" s="7" t="s">
        <v>136</v>
      </c>
      <c r="T1399" s="7" t="n">
        <v>0.45</v>
      </c>
      <c r="U1399" s="7" t="n">
        <v>2</v>
      </c>
      <c r="V1399" s="7" t="s">
        <v>111</v>
      </c>
      <c r="W1399" s="7"/>
      <c r="X1399" s="7" t="s">
        <v>9680</v>
      </c>
      <c r="Y1399" s="7" t="s">
        <v>9679</v>
      </c>
      <c r="Z1399" s="7"/>
      <c r="AA1399" s="7"/>
      <c r="AB1399" s="7"/>
      <c r="AC1399" s="7" t="n">
        <v>5</v>
      </c>
      <c r="AD1399" s="7" t="s">
        <v>1897</v>
      </c>
      <c r="AE1399" s="7" t="s">
        <v>744</v>
      </c>
      <c r="AF1399" s="7" t="s">
        <v>9677</v>
      </c>
      <c r="AG1399" s="7" t="s">
        <v>744</v>
      </c>
      <c r="AH1399" s="7" t="s">
        <v>9680</v>
      </c>
      <c r="AI1399" s="7"/>
      <c r="AJ1399" s="7"/>
      <c r="AK1399" s="7"/>
      <c r="AL1399" s="7"/>
      <c r="AM1399" s="7" t="s">
        <v>744</v>
      </c>
      <c r="AN1399" s="7" t="s">
        <v>9681</v>
      </c>
      <c r="AO1399" s="7" t="s">
        <v>744</v>
      </c>
      <c r="AP1399" s="7" t="s">
        <v>9678</v>
      </c>
      <c r="AQ1399" s="7"/>
      <c r="AR1399" s="7"/>
      <c r="AS1399" s="7"/>
      <c r="AT1399" s="7"/>
      <c r="AU1399" s="7"/>
      <c r="AV1399" s="7"/>
      <c r="AW1399" s="7" t="s">
        <v>744</v>
      </c>
      <c r="AX1399" s="7" t="s">
        <v>9679</v>
      </c>
      <c r="AY1399" s="7"/>
      <c r="AZ1399" s="7"/>
      <c r="BA1399" s="7"/>
      <c r="BB1399" s="7"/>
      <c r="BC1399" s="7"/>
      <c r="BD1399" s="7" t="s">
        <v>126</v>
      </c>
      <c r="BE1399" s="7" t="s">
        <v>127</v>
      </c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</row>
    <row r="1400" customFormat="false" ht="15" hidden="false" customHeight="false" outlineLevel="0" collapsed="false">
      <c r="A1400" s="7" t="s">
        <v>9682</v>
      </c>
      <c r="B1400" s="7" t="s">
        <v>9683</v>
      </c>
      <c r="C1400" s="7" t="s">
        <v>9684</v>
      </c>
      <c r="D1400" s="7" t="s">
        <v>9685</v>
      </c>
      <c r="E1400" s="7" t="s">
        <v>9686</v>
      </c>
      <c r="F1400" s="7" t="s">
        <v>101</v>
      </c>
      <c r="G1400" s="7"/>
      <c r="H1400" s="7"/>
      <c r="I1400" s="7" t="s">
        <v>132</v>
      </c>
      <c r="J1400" s="7" t="s">
        <v>104</v>
      </c>
      <c r="K1400" s="7" t="s">
        <v>105</v>
      </c>
      <c r="L1400" s="7" t="s">
        <v>106</v>
      </c>
      <c r="M1400" s="7"/>
      <c r="N1400" s="7" t="s">
        <v>9687</v>
      </c>
      <c r="O1400" s="7"/>
      <c r="P1400" s="7" t="s">
        <v>84</v>
      </c>
      <c r="Q1400" s="7"/>
      <c r="R1400" s="7" t="s">
        <v>135</v>
      </c>
      <c r="S1400" s="7" t="s">
        <v>136</v>
      </c>
      <c r="T1400" s="7" t="n">
        <v>0.345</v>
      </c>
      <c r="U1400" s="7" t="n">
        <v>2</v>
      </c>
      <c r="V1400" s="7" t="s">
        <v>111</v>
      </c>
      <c r="W1400" s="7"/>
      <c r="X1400" s="7" t="s">
        <v>6654</v>
      </c>
      <c r="Y1400" s="7" t="s">
        <v>9687</v>
      </c>
      <c r="Z1400" s="7"/>
      <c r="AA1400" s="7"/>
      <c r="AB1400" s="7"/>
      <c r="AC1400" s="7" t="n">
        <v>6</v>
      </c>
      <c r="AD1400" s="7" t="s">
        <v>1235</v>
      </c>
      <c r="AE1400" s="7" t="s">
        <v>744</v>
      </c>
      <c r="AF1400" s="7" t="s">
        <v>9684</v>
      </c>
      <c r="AG1400" s="7" t="s">
        <v>744</v>
      </c>
      <c r="AH1400" s="7" t="s">
        <v>6654</v>
      </c>
      <c r="AI1400" s="7"/>
      <c r="AJ1400" s="7"/>
      <c r="AK1400" s="7"/>
      <c r="AL1400" s="7"/>
      <c r="AM1400" s="7" t="s">
        <v>744</v>
      </c>
      <c r="AN1400" s="7" t="s">
        <v>9688</v>
      </c>
      <c r="AO1400" s="7" t="s">
        <v>744</v>
      </c>
      <c r="AP1400" s="7" t="s">
        <v>9685</v>
      </c>
      <c r="AQ1400" s="7" t="s">
        <v>744</v>
      </c>
      <c r="AR1400" s="7" t="s">
        <v>9686</v>
      </c>
      <c r="AS1400" s="7"/>
      <c r="AT1400" s="7"/>
      <c r="AU1400" s="7"/>
      <c r="AV1400" s="7"/>
      <c r="AW1400" s="7" t="s">
        <v>744</v>
      </c>
      <c r="AX1400" s="7" t="s">
        <v>9687</v>
      </c>
      <c r="AY1400" s="7"/>
      <c r="AZ1400" s="7"/>
      <c r="BA1400" s="7"/>
      <c r="BB1400" s="7"/>
      <c r="BC1400" s="7"/>
      <c r="BD1400" s="7" t="s">
        <v>126</v>
      </c>
      <c r="BE1400" s="7" t="s">
        <v>127</v>
      </c>
      <c r="BF1400" s="8"/>
      <c r="BG1400" s="8"/>
      <c r="BH1400" s="8"/>
      <c r="BI1400" s="8"/>
      <c r="BJ1400" s="8"/>
      <c r="BK1400" s="8"/>
      <c r="BL1400" s="8"/>
      <c r="BM1400" s="8"/>
      <c r="BN1400" s="8"/>
      <c r="BO1400" s="8"/>
      <c r="BP1400" s="8"/>
      <c r="BQ1400" s="8"/>
      <c r="BR1400" s="8"/>
      <c r="BS1400" s="8"/>
    </row>
    <row r="1401" customFormat="false" ht="15" hidden="false" customHeight="false" outlineLevel="0" collapsed="false">
      <c r="A1401" s="7" t="s">
        <v>9689</v>
      </c>
      <c r="B1401" s="7" t="s">
        <v>9690</v>
      </c>
      <c r="C1401" s="7" t="s">
        <v>9691</v>
      </c>
      <c r="D1401" s="7" t="s">
        <v>9692</v>
      </c>
      <c r="E1401" s="7"/>
      <c r="F1401" s="7" t="s">
        <v>101</v>
      </c>
      <c r="G1401" s="7"/>
      <c r="H1401" s="7"/>
      <c r="I1401" s="7" t="s">
        <v>132</v>
      </c>
      <c r="J1401" s="7" t="s">
        <v>104</v>
      </c>
      <c r="K1401" s="7" t="s">
        <v>105</v>
      </c>
      <c r="L1401" s="7" t="s">
        <v>106</v>
      </c>
      <c r="M1401" s="7"/>
      <c r="N1401" s="7" t="s">
        <v>9693</v>
      </c>
      <c r="O1401" s="7"/>
      <c r="P1401" s="7" t="s">
        <v>84</v>
      </c>
      <c r="Q1401" s="7"/>
      <c r="R1401" s="7" t="s">
        <v>135</v>
      </c>
      <c r="S1401" s="7" t="s">
        <v>136</v>
      </c>
      <c r="T1401" s="7" t="n">
        <v>0.655</v>
      </c>
      <c r="U1401" s="7" t="n">
        <v>2</v>
      </c>
      <c r="V1401" s="7" t="s">
        <v>111</v>
      </c>
      <c r="W1401" s="7"/>
      <c r="X1401" s="7" t="s">
        <v>1845</v>
      </c>
      <c r="Y1401" s="7" t="s">
        <v>9693</v>
      </c>
      <c r="Z1401" s="7"/>
      <c r="AA1401" s="7"/>
      <c r="AB1401" s="7"/>
      <c r="AC1401" s="7" t="n">
        <v>4</v>
      </c>
      <c r="AD1401" s="7" t="s">
        <v>7611</v>
      </c>
      <c r="AE1401" s="7" t="s">
        <v>744</v>
      </c>
      <c r="AF1401" s="7" t="s">
        <v>9691</v>
      </c>
      <c r="AG1401" s="7" t="s">
        <v>744</v>
      </c>
      <c r="AH1401" s="7" t="s">
        <v>1845</v>
      </c>
      <c r="AI1401" s="7"/>
      <c r="AJ1401" s="7"/>
      <c r="AK1401" s="7"/>
      <c r="AL1401" s="7"/>
      <c r="AM1401" s="7"/>
      <c r="AN1401" s="7"/>
      <c r="AO1401" s="7" t="s">
        <v>744</v>
      </c>
      <c r="AP1401" s="7" t="s">
        <v>9692</v>
      </c>
      <c r="AQ1401" s="7"/>
      <c r="AR1401" s="7"/>
      <c r="AS1401" s="7"/>
      <c r="AT1401" s="7"/>
      <c r="AU1401" s="7"/>
      <c r="AV1401" s="7"/>
      <c r="AW1401" s="7" t="s">
        <v>744</v>
      </c>
      <c r="AX1401" s="7" t="s">
        <v>9693</v>
      </c>
      <c r="AY1401" s="7"/>
      <c r="AZ1401" s="7"/>
      <c r="BA1401" s="7"/>
      <c r="BB1401" s="7"/>
      <c r="BC1401" s="7"/>
      <c r="BD1401" s="7" t="s">
        <v>126</v>
      </c>
      <c r="BE1401" s="7" t="s">
        <v>127</v>
      </c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</row>
    <row r="1402" customFormat="false" ht="15" hidden="false" customHeight="false" outlineLevel="0" collapsed="false">
      <c r="A1402" s="7" t="s">
        <v>9694</v>
      </c>
      <c r="B1402" s="7" t="s">
        <v>9695</v>
      </c>
      <c r="C1402" s="7" t="s">
        <v>9696</v>
      </c>
      <c r="D1402" s="7" t="s">
        <v>493</v>
      </c>
      <c r="E1402" s="7"/>
      <c r="F1402" s="7" t="s">
        <v>101</v>
      </c>
      <c r="G1402" s="7"/>
      <c r="H1402" s="7"/>
      <c r="I1402" s="7" t="s">
        <v>300</v>
      </c>
      <c r="J1402" s="7" t="s">
        <v>104</v>
      </c>
      <c r="K1402" s="7" t="s">
        <v>105</v>
      </c>
      <c r="L1402" s="7" t="s">
        <v>106</v>
      </c>
      <c r="M1402" s="7"/>
      <c r="N1402" s="7" t="s">
        <v>9697</v>
      </c>
      <c r="O1402" s="7" t="s">
        <v>9697</v>
      </c>
      <c r="P1402" s="7" t="s">
        <v>84</v>
      </c>
      <c r="Q1402" s="7"/>
      <c r="R1402" s="7" t="s">
        <v>109</v>
      </c>
      <c r="S1402" s="7" t="s">
        <v>110</v>
      </c>
      <c r="T1402" s="7" t="n">
        <v>0.453</v>
      </c>
      <c r="U1402" s="7" t="n">
        <v>2</v>
      </c>
      <c r="V1402" s="7" t="s">
        <v>479</v>
      </c>
      <c r="W1402" s="7"/>
      <c r="X1402" s="7" t="s">
        <v>497</v>
      </c>
      <c r="Y1402" s="7" t="s">
        <v>9697</v>
      </c>
      <c r="Z1402" s="7"/>
      <c r="AA1402" s="7"/>
      <c r="AB1402" s="7"/>
      <c r="AC1402" s="7" t="n">
        <v>5</v>
      </c>
      <c r="AD1402" s="7" t="s">
        <v>1897</v>
      </c>
      <c r="AE1402" s="7" t="s">
        <v>744</v>
      </c>
      <c r="AF1402" s="7" t="s">
        <v>9696</v>
      </c>
      <c r="AG1402" s="7" t="s">
        <v>744</v>
      </c>
      <c r="AH1402" s="7" t="s">
        <v>497</v>
      </c>
      <c r="AI1402" s="7"/>
      <c r="AJ1402" s="7"/>
      <c r="AK1402" s="7"/>
      <c r="AL1402" s="7"/>
      <c r="AM1402" s="7" t="s">
        <v>744</v>
      </c>
      <c r="AN1402" s="7" t="s">
        <v>9698</v>
      </c>
      <c r="AO1402" s="7" t="s">
        <v>744</v>
      </c>
      <c r="AP1402" s="7" t="s">
        <v>493</v>
      </c>
      <c r="AQ1402" s="7"/>
      <c r="AR1402" s="7"/>
      <c r="AS1402" s="7"/>
      <c r="AT1402" s="7"/>
      <c r="AU1402" s="7"/>
      <c r="AV1402" s="7"/>
      <c r="AW1402" s="7" t="s">
        <v>744</v>
      </c>
      <c r="AX1402" s="7" t="s">
        <v>9697</v>
      </c>
      <c r="AY1402" s="7"/>
      <c r="AZ1402" s="7"/>
      <c r="BA1402" s="7"/>
      <c r="BB1402" s="7"/>
      <c r="BC1402" s="7"/>
      <c r="BD1402" s="7" t="s">
        <v>126</v>
      </c>
      <c r="BE1402" s="7" t="s">
        <v>127</v>
      </c>
      <c r="BF1402" s="8"/>
      <c r="BG1402" s="8"/>
      <c r="BH1402" s="8"/>
      <c r="BI1402" s="8"/>
      <c r="BJ1402" s="8"/>
      <c r="BK1402" s="8"/>
      <c r="BL1402" s="8"/>
      <c r="BM1402" s="8"/>
      <c r="BN1402" s="8"/>
      <c r="BO1402" s="8"/>
      <c r="BP1402" s="8"/>
      <c r="BQ1402" s="8"/>
      <c r="BR1402" s="8"/>
      <c r="BS1402" s="8"/>
    </row>
    <row r="1403" customFormat="false" ht="15" hidden="false" customHeight="false" outlineLevel="0" collapsed="false">
      <c r="A1403" s="7" t="s">
        <v>9699</v>
      </c>
      <c r="B1403" s="7" t="s">
        <v>9700</v>
      </c>
      <c r="C1403" s="7" t="s">
        <v>9701</v>
      </c>
      <c r="D1403" s="7" t="s">
        <v>9702</v>
      </c>
      <c r="E1403" s="7" t="s">
        <v>516</v>
      </c>
      <c r="F1403" s="7" t="s">
        <v>516</v>
      </c>
      <c r="G1403" s="7"/>
      <c r="H1403" s="7"/>
      <c r="I1403" s="7" t="s">
        <v>132</v>
      </c>
      <c r="J1403" s="7" t="s">
        <v>104</v>
      </c>
      <c r="K1403" s="7" t="s">
        <v>105</v>
      </c>
      <c r="L1403" s="7" t="s">
        <v>106</v>
      </c>
      <c r="M1403" s="7"/>
      <c r="N1403" s="7" t="s">
        <v>9703</v>
      </c>
      <c r="O1403" s="7"/>
      <c r="P1403" s="7" t="s">
        <v>109</v>
      </c>
      <c r="Q1403" s="7"/>
      <c r="R1403" s="7" t="s">
        <v>135</v>
      </c>
      <c r="S1403" s="7" t="s">
        <v>136</v>
      </c>
      <c r="T1403" s="7" t="n">
        <v>0.332</v>
      </c>
      <c r="U1403" s="7" t="n">
        <v>2</v>
      </c>
      <c r="V1403" s="7" t="s">
        <v>111</v>
      </c>
      <c r="W1403" s="7"/>
      <c r="X1403" s="7" t="s">
        <v>9704</v>
      </c>
      <c r="Y1403" s="7" t="s">
        <v>9703</v>
      </c>
      <c r="Z1403" s="7"/>
      <c r="AA1403" s="7"/>
      <c r="AB1403" s="7"/>
      <c r="AC1403" s="7" t="n">
        <v>6</v>
      </c>
      <c r="AD1403" s="7" t="s">
        <v>1235</v>
      </c>
      <c r="AE1403" s="7" t="s">
        <v>744</v>
      </c>
      <c r="AF1403" s="7" t="s">
        <v>9701</v>
      </c>
      <c r="AG1403" s="7" t="s">
        <v>744</v>
      </c>
      <c r="AH1403" s="7" t="s">
        <v>9704</v>
      </c>
      <c r="AI1403" s="7"/>
      <c r="AJ1403" s="7"/>
      <c r="AK1403" s="7"/>
      <c r="AL1403" s="7"/>
      <c r="AM1403" s="7" t="s">
        <v>744</v>
      </c>
      <c r="AN1403" s="7" t="s">
        <v>9705</v>
      </c>
      <c r="AO1403" s="7" t="s">
        <v>744</v>
      </c>
      <c r="AP1403" s="7" t="s">
        <v>9702</v>
      </c>
      <c r="AQ1403" s="7" t="s">
        <v>744</v>
      </c>
      <c r="AR1403" s="7" t="s">
        <v>516</v>
      </c>
      <c r="AS1403" s="7"/>
      <c r="AT1403" s="7"/>
      <c r="AU1403" s="7"/>
      <c r="AV1403" s="7"/>
      <c r="AW1403" s="7" t="s">
        <v>744</v>
      </c>
      <c r="AX1403" s="7" t="s">
        <v>9703</v>
      </c>
      <c r="AY1403" s="7"/>
      <c r="AZ1403" s="7"/>
      <c r="BA1403" s="7"/>
      <c r="BB1403" s="7"/>
      <c r="BC1403" s="7"/>
      <c r="BD1403" s="7" t="s">
        <v>126</v>
      </c>
      <c r="BE1403" s="7" t="s">
        <v>127</v>
      </c>
      <c r="BF1403" s="8"/>
      <c r="BG1403" s="8"/>
      <c r="BH1403" s="8"/>
      <c r="BI1403" s="8"/>
      <c r="BJ1403" s="8"/>
      <c r="BK1403" s="8"/>
      <c r="BL1403" s="8"/>
      <c r="BM1403" s="8"/>
      <c r="BN1403" s="8"/>
      <c r="BO1403" s="8"/>
      <c r="BP1403" s="8"/>
      <c r="BQ1403" s="8"/>
      <c r="BR1403" s="8"/>
      <c r="BS1403" s="8"/>
    </row>
    <row r="1404" customFormat="false" ht="15" hidden="false" customHeight="false" outlineLevel="0" collapsed="false">
      <c r="A1404" s="7" t="s">
        <v>9706</v>
      </c>
      <c r="B1404" s="7" t="s">
        <v>9707</v>
      </c>
      <c r="C1404" s="7" t="s">
        <v>9708</v>
      </c>
      <c r="D1404" s="7" t="s">
        <v>397</v>
      </c>
      <c r="E1404" s="7"/>
      <c r="F1404" s="7" t="s">
        <v>101</v>
      </c>
      <c r="G1404" s="7"/>
      <c r="H1404" s="7"/>
      <c r="I1404" s="7" t="s">
        <v>1726</v>
      </c>
      <c r="J1404" s="7" t="s">
        <v>104</v>
      </c>
      <c r="K1404" s="7" t="s">
        <v>105</v>
      </c>
      <c r="L1404" s="7" t="s">
        <v>106</v>
      </c>
      <c r="M1404" s="7"/>
      <c r="N1404" s="7" t="s">
        <v>9709</v>
      </c>
      <c r="O1404" s="7"/>
      <c r="P1404" s="7" t="s">
        <v>109</v>
      </c>
      <c r="Q1404" s="7"/>
      <c r="R1404" s="7" t="s">
        <v>135</v>
      </c>
      <c r="S1404" s="7" t="s">
        <v>136</v>
      </c>
      <c r="T1404" s="7" t="n">
        <v>0.722</v>
      </c>
      <c r="U1404" s="7" t="n">
        <v>2</v>
      </c>
      <c r="V1404" s="7" t="s">
        <v>1156</v>
      </c>
      <c r="W1404" s="7" t="s">
        <v>9710</v>
      </c>
      <c r="X1404" s="7"/>
      <c r="Y1404" s="7" t="s">
        <v>9709</v>
      </c>
      <c r="Z1404" s="7"/>
      <c r="AA1404" s="7"/>
      <c r="AB1404" s="7"/>
      <c r="AC1404" s="7" t="n">
        <v>3</v>
      </c>
      <c r="AD1404" s="7" t="s">
        <v>1492</v>
      </c>
      <c r="AE1404" s="7" t="s">
        <v>744</v>
      </c>
      <c r="AF1404" s="7" t="s">
        <v>9708</v>
      </c>
      <c r="AG1404" s="7"/>
      <c r="AH1404" s="7"/>
      <c r="AI1404" s="7"/>
      <c r="AJ1404" s="7"/>
      <c r="AK1404" s="7"/>
      <c r="AL1404" s="7"/>
      <c r="AM1404" s="7"/>
      <c r="AN1404" s="7"/>
      <c r="AO1404" s="7" t="s">
        <v>744</v>
      </c>
      <c r="AP1404" s="7" t="s">
        <v>397</v>
      </c>
      <c r="AQ1404" s="7"/>
      <c r="AR1404" s="7"/>
      <c r="AS1404" s="7"/>
      <c r="AT1404" s="7"/>
      <c r="AU1404" s="7"/>
      <c r="AV1404" s="7"/>
      <c r="AW1404" s="7" t="s">
        <v>744</v>
      </c>
      <c r="AX1404" s="7" t="s">
        <v>9709</v>
      </c>
      <c r="AY1404" s="7"/>
      <c r="AZ1404" s="7"/>
      <c r="BA1404" s="7"/>
      <c r="BB1404" s="7"/>
      <c r="BC1404" s="7"/>
      <c r="BD1404" s="7" t="s">
        <v>9176</v>
      </c>
      <c r="BE1404" s="7" t="s">
        <v>127</v>
      </c>
      <c r="BF1404" s="8"/>
      <c r="BG1404" s="8"/>
      <c r="BH1404" s="8"/>
      <c r="BI1404" s="8"/>
      <c r="BJ1404" s="8"/>
      <c r="BK1404" s="8"/>
      <c r="BL1404" s="8"/>
      <c r="BM1404" s="8"/>
      <c r="BN1404" s="8"/>
      <c r="BO1404" s="8"/>
      <c r="BP1404" s="8"/>
      <c r="BQ1404" s="8"/>
      <c r="BR1404" s="8"/>
      <c r="BS1404" s="8"/>
    </row>
    <row r="1405" customFormat="false" ht="15" hidden="false" customHeight="false" outlineLevel="0" collapsed="false">
      <c r="A1405" s="7" t="s">
        <v>9711</v>
      </c>
      <c r="B1405" s="7" t="s">
        <v>9712</v>
      </c>
      <c r="C1405" s="7" t="s">
        <v>9713</v>
      </c>
      <c r="D1405" s="7" t="s">
        <v>3769</v>
      </c>
      <c r="E1405" s="7"/>
      <c r="F1405" s="7" t="s">
        <v>156</v>
      </c>
      <c r="G1405" s="7"/>
      <c r="H1405" s="7" t="s">
        <v>157</v>
      </c>
      <c r="I1405" s="7" t="s">
        <v>132</v>
      </c>
      <c r="J1405" s="7" t="s">
        <v>159</v>
      </c>
      <c r="K1405" s="7" t="s">
        <v>105</v>
      </c>
      <c r="L1405" s="7" t="s">
        <v>106</v>
      </c>
      <c r="M1405" s="7"/>
      <c r="N1405" s="7" t="s">
        <v>9714</v>
      </c>
      <c r="O1405" s="7"/>
      <c r="P1405" s="7" t="s">
        <v>109</v>
      </c>
      <c r="Q1405" s="7"/>
      <c r="R1405" s="7" t="s">
        <v>135</v>
      </c>
      <c r="S1405" s="7" t="s">
        <v>136</v>
      </c>
      <c r="T1405" s="7" t="n">
        <v>0.255</v>
      </c>
      <c r="U1405" s="7" t="n">
        <v>2</v>
      </c>
      <c r="V1405" s="7" t="s">
        <v>86</v>
      </c>
      <c r="W1405" s="7" t="s">
        <v>9715</v>
      </c>
      <c r="X1405" s="7" t="s">
        <v>1114</v>
      </c>
      <c r="Y1405" s="7" t="s">
        <v>3765</v>
      </c>
      <c r="Z1405" s="7"/>
      <c r="AA1405" s="7"/>
      <c r="AB1405" s="7"/>
      <c r="AC1405" s="7" t="n">
        <v>4</v>
      </c>
      <c r="AD1405" s="7" t="s">
        <v>862</v>
      </c>
      <c r="AE1405" s="7" t="s">
        <v>744</v>
      </c>
      <c r="AF1405" s="7" t="s">
        <v>9713</v>
      </c>
      <c r="AG1405" s="7"/>
      <c r="AH1405" s="7"/>
      <c r="AI1405" s="7"/>
      <c r="AJ1405" s="7"/>
      <c r="AK1405" s="7"/>
      <c r="AL1405" s="7"/>
      <c r="AM1405" s="7" t="s">
        <v>744</v>
      </c>
      <c r="AN1405" s="7" t="s">
        <v>9716</v>
      </c>
      <c r="AO1405" s="7" t="s">
        <v>744</v>
      </c>
      <c r="AP1405" s="7" t="s">
        <v>3769</v>
      </c>
      <c r="AQ1405" s="7"/>
      <c r="AR1405" s="7"/>
      <c r="AS1405" s="7"/>
      <c r="AT1405" s="7"/>
      <c r="AU1405" s="7"/>
      <c r="AV1405" s="7"/>
      <c r="AW1405" s="7" t="s">
        <v>744</v>
      </c>
      <c r="AX1405" s="7" t="s">
        <v>9714</v>
      </c>
      <c r="AY1405" s="7"/>
      <c r="AZ1405" s="7"/>
      <c r="BA1405" s="7"/>
      <c r="BB1405" s="7"/>
      <c r="BC1405" s="7"/>
      <c r="BD1405" s="7" t="s">
        <v>126</v>
      </c>
      <c r="BE1405" s="7" t="s">
        <v>127</v>
      </c>
      <c r="BF1405" s="8"/>
      <c r="BG1405" s="8"/>
      <c r="BH1405" s="8"/>
      <c r="BI1405" s="8"/>
      <c r="BJ1405" s="8"/>
      <c r="BK1405" s="8"/>
      <c r="BL1405" s="8"/>
      <c r="BM1405" s="8"/>
      <c r="BN1405" s="8"/>
      <c r="BO1405" s="8"/>
      <c r="BP1405" s="8"/>
      <c r="BQ1405" s="8"/>
      <c r="BR1405" s="8"/>
      <c r="BS1405" s="8"/>
    </row>
    <row r="1406" customFormat="false" ht="15" hidden="false" customHeight="false" outlineLevel="0" collapsed="false">
      <c r="A1406" s="7" t="s">
        <v>9717</v>
      </c>
      <c r="B1406" s="7" t="s">
        <v>9718</v>
      </c>
      <c r="C1406" s="7" t="s">
        <v>9719</v>
      </c>
      <c r="D1406" s="7" t="s">
        <v>9720</v>
      </c>
      <c r="E1406" s="7" t="s">
        <v>101</v>
      </c>
      <c r="F1406" s="7" t="s">
        <v>101</v>
      </c>
      <c r="G1406" s="7"/>
      <c r="H1406" s="7"/>
      <c r="I1406" s="7" t="s">
        <v>300</v>
      </c>
      <c r="J1406" s="7" t="s">
        <v>104</v>
      </c>
      <c r="K1406" s="7" t="s">
        <v>105</v>
      </c>
      <c r="L1406" s="7" t="s">
        <v>106</v>
      </c>
      <c r="M1406" s="7"/>
      <c r="N1406" s="7" t="s">
        <v>2486</v>
      </c>
      <c r="O1406" s="7"/>
      <c r="P1406" s="7" t="s">
        <v>84</v>
      </c>
      <c r="Q1406" s="7"/>
      <c r="R1406" s="7" t="s">
        <v>135</v>
      </c>
      <c r="S1406" s="7" t="s">
        <v>136</v>
      </c>
      <c r="T1406" s="7" t="n">
        <v>0.245</v>
      </c>
      <c r="U1406" s="7" t="n">
        <v>2</v>
      </c>
      <c r="V1406" s="7" t="s">
        <v>479</v>
      </c>
      <c r="W1406" s="7"/>
      <c r="X1406" s="7" t="s">
        <v>9721</v>
      </c>
      <c r="Y1406" s="7" t="s">
        <v>2486</v>
      </c>
      <c r="Z1406" s="7"/>
      <c r="AA1406" s="7"/>
      <c r="AB1406" s="7"/>
      <c r="AC1406" s="7" t="n">
        <v>6</v>
      </c>
      <c r="AD1406" s="7" t="s">
        <v>1235</v>
      </c>
      <c r="AE1406" s="7" t="s">
        <v>744</v>
      </c>
      <c r="AF1406" s="7" t="s">
        <v>9719</v>
      </c>
      <c r="AG1406" s="7" t="s">
        <v>744</v>
      </c>
      <c r="AH1406" s="7" t="s">
        <v>9722</v>
      </c>
      <c r="AI1406" s="7"/>
      <c r="AJ1406" s="7"/>
      <c r="AK1406" s="7"/>
      <c r="AL1406" s="7"/>
      <c r="AM1406" s="7" t="s">
        <v>744</v>
      </c>
      <c r="AN1406" s="7" t="s">
        <v>9723</v>
      </c>
      <c r="AO1406" s="7" t="s">
        <v>744</v>
      </c>
      <c r="AP1406" s="7" t="s">
        <v>9720</v>
      </c>
      <c r="AQ1406" s="7" t="s">
        <v>744</v>
      </c>
      <c r="AR1406" s="7" t="s">
        <v>101</v>
      </c>
      <c r="AS1406" s="7"/>
      <c r="AT1406" s="7"/>
      <c r="AU1406" s="7"/>
      <c r="AV1406" s="7"/>
      <c r="AW1406" s="7" t="s">
        <v>744</v>
      </c>
      <c r="AX1406" s="7" t="s">
        <v>2486</v>
      </c>
      <c r="AY1406" s="7"/>
      <c r="AZ1406" s="7"/>
      <c r="BA1406" s="7"/>
      <c r="BB1406" s="7"/>
      <c r="BC1406" s="7"/>
      <c r="BD1406" s="7" t="s">
        <v>2479</v>
      </c>
      <c r="BE1406" s="7" t="s">
        <v>127</v>
      </c>
      <c r="BF1406" s="8"/>
      <c r="BG1406" s="8"/>
      <c r="BH1406" s="8"/>
      <c r="BI1406" s="8"/>
      <c r="BJ1406" s="8"/>
      <c r="BK1406" s="8"/>
      <c r="BL1406" s="8"/>
      <c r="BM1406" s="8"/>
      <c r="BN1406" s="8"/>
      <c r="BO1406" s="8"/>
      <c r="BP1406" s="8"/>
      <c r="BQ1406" s="8"/>
      <c r="BR1406" s="8"/>
      <c r="BS1406" s="8"/>
    </row>
    <row r="1407" customFormat="false" ht="15" hidden="false" customHeight="false" outlineLevel="0" collapsed="false">
      <c r="A1407" s="7" t="s">
        <v>9724</v>
      </c>
      <c r="B1407" s="7" t="s">
        <v>9725</v>
      </c>
      <c r="C1407" s="7" t="s">
        <v>9726</v>
      </c>
      <c r="D1407" s="7" t="s">
        <v>9727</v>
      </c>
      <c r="E1407" s="7" t="s">
        <v>9728</v>
      </c>
      <c r="F1407" s="7" t="s">
        <v>156</v>
      </c>
      <c r="G1407" s="7"/>
      <c r="H1407" s="7" t="s">
        <v>157</v>
      </c>
      <c r="I1407" s="7" t="s">
        <v>300</v>
      </c>
      <c r="J1407" s="7" t="s">
        <v>159</v>
      </c>
      <c r="K1407" s="7" t="s">
        <v>105</v>
      </c>
      <c r="L1407" s="7" t="s">
        <v>106</v>
      </c>
      <c r="M1407" s="7"/>
      <c r="N1407" s="7" t="s">
        <v>9729</v>
      </c>
      <c r="O1407" s="7"/>
      <c r="P1407" s="7" t="s">
        <v>84</v>
      </c>
      <c r="Q1407" s="7"/>
      <c r="R1407" s="7" t="s">
        <v>135</v>
      </c>
      <c r="S1407" s="7" t="s">
        <v>136</v>
      </c>
      <c r="T1407" s="7" t="n">
        <v>0.324</v>
      </c>
      <c r="U1407" s="7" t="n">
        <v>2</v>
      </c>
      <c r="V1407" s="7" t="s">
        <v>111</v>
      </c>
      <c r="W1407" s="7"/>
      <c r="X1407" s="7" t="s">
        <v>9730</v>
      </c>
      <c r="Y1407" s="7" t="s">
        <v>9729</v>
      </c>
      <c r="Z1407" s="7"/>
      <c r="AA1407" s="7"/>
      <c r="AB1407" s="7"/>
      <c r="AC1407" s="7" t="n">
        <v>6</v>
      </c>
      <c r="AD1407" s="7" t="s">
        <v>1235</v>
      </c>
      <c r="AE1407" s="7" t="s">
        <v>744</v>
      </c>
      <c r="AF1407" s="7" t="s">
        <v>9726</v>
      </c>
      <c r="AG1407" s="7" t="s">
        <v>744</v>
      </c>
      <c r="AH1407" s="7" t="s">
        <v>9731</v>
      </c>
      <c r="AI1407" s="7"/>
      <c r="AJ1407" s="7"/>
      <c r="AK1407" s="7"/>
      <c r="AL1407" s="7"/>
      <c r="AM1407" s="7" t="s">
        <v>744</v>
      </c>
      <c r="AN1407" s="7" t="s">
        <v>9345</v>
      </c>
      <c r="AO1407" s="7" t="s">
        <v>744</v>
      </c>
      <c r="AP1407" s="7" t="s">
        <v>9727</v>
      </c>
      <c r="AQ1407" s="7" t="s">
        <v>744</v>
      </c>
      <c r="AR1407" s="7" t="s">
        <v>9728</v>
      </c>
      <c r="AS1407" s="7"/>
      <c r="AT1407" s="7"/>
      <c r="AU1407" s="7"/>
      <c r="AV1407" s="7"/>
      <c r="AW1407" s="7" t="s">
        <v>744</v>
      </c>
      <c r="AX1407" s="7" t="s">
        <v>9729</v>
      </c>
      <c r="AY1407" s="7"/>
      <c r="AZ1407" s="7"/>
      <c r="BA1407" s="7"/>
      <c r="BB1407" s="7"/>
      <c r="BC1407" s="7"/>
      <c r="BD1407" s="7" t="s">
        <v>2479</v>
      </c>
      <c r="BE1407" s="7" t="s">
        <v>127</v>
      </c>
      <c r="BF1407" s="8"/>
      <c r="BG1407" s="8"/>
      <c r="BH1407" s="8"/>
      <c r="BI1407" s="8"/>
      <c r="BJ1407" s="8"/>
      <c r="BK1407" s="8"/>
      <c r="BL1407" s="8"/>
      <c r="BM1407" s="8"/>
      <c r="BN1407" s="8"/>
      <c r="BO1407" s="8"/>
      <c r="BP1407" s="8"/>
      <c r="BQ1407" s="8"/>
      <c r="BR1407" s="8"/>
      <c r="BS1407" s="8"/>
    </row>
    <row r="1408" customFormat="false" ht="15" hidden="false" customHeight="false" outlineLevel="0" collapsed="false">
      <c r="A1408" s="7" t="s">
        <v>9732</v>
      </c>
      <c r="B1408" s="7" t="s">
        <v>9733</v>
      </c>
      <c r="C1408" s="7" t="s">
        <v>9734</v>
      </c>
      <c r="D1408" s="7" t="s">
        <v>8554</v>
      </c>
      <c r="E1408" s="7" t="s">
        <v>3127</v>
      </c>
      <c r="F1408" s="7" t="s">
        <v>3127</v>
      </c>
      <c r="G1408" s="7"/>
      <c r="H1408" s="7" t="s">
        <v>207</v>
      </c>
      <c r="I1408" s="7" t="s">
        <v>132</v>
      </c>
      <c r="J1408" s="7" t="s">
        <v>104</v>
      </c>
      <c r="K1408" s="7" t="s">
        <v>105</v>
      </c>
      <c r="L1408" s="7" t="s">
        <v>106</v>
      </c>
      <c r="M1408" s="7"/>
      <c r="N1408" s="7" t="s">
        <v>9735</v>
      </c>
      <c r="O1408" s="7" t="s">
        <v>9735</v>
      </c>
      <c r="P1408" s="7" t="s">
        <v>84</v>
      </c>
      <c r="Q1408" s="7"/>
      <c r="R1408" s="7" t="s">
        <v>109</v>
      </c>
      <c r="S1408" s="7" t="s">
        <v>110</v>
      </c>
      <c r="T1408" s="7" t="n">
        <v>0.739</v>
      </c>
      <c r="U1408" s="7" t="n">
        <v>2</v>
      </c>
      <c r="V1408" s="7" t="s">
        <v>479</v>
      </c>
      <c r="W1408" s="7"/>
      <c r="X1408" s="7"/>
      <c r="Y1408" s="7" t="s">
        <v>9735</v>
      </c>
      <c r="Z1408" s="7"/>
      <c r="AA1408" s="7"/>
      <c r="AB1408" s="7"/>
      <c r="AC1408" s="7" t="n">
        <v>0</v>
      </c>
      <c r="AD1408" s="7" t="s">
        <v>388</v>
      </c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 t="s">
        <v>127</v>
      </c>
      <c r="BF1408" s="8"/>
      <c r="BG1408" s="8"/>
      <c r="BH1408" s="8"/>
      <c r="BI1408" s="8"/>
      <c r="BJ1408" s="8"/>
      <c r="BK1408" s="8"/>
      <c r="BL1408" s="8"/>
      <c r="BM1408" s="8"/>
      <c r="BN1408" s="8"/>
      <c r="BO1408" s="8"/>
      <c r="BP1408" s="8"/>
      <c r="BQ1408" s="8"/>
      <c r="BR1408" s="8"/>
      <c r="BS1408" s="8"/>
    </row>
    <row r="1409" customFormat="false" ht="15" hidden="false" customHeight="false" outlineLevel="0" collapsed="false">
      <c r="A1409" s="7" t="s">
        <v>9736</v>
      </c>
      <c r="B1409" s="7" t="s">
        <v>9737</v>
      </c>
      <c r="C1409" s="7" t="s">
        <v>9738</v>
      </c>
      <c r="D1409" s="7" t="s">
        <v>9739</v>
      </c>
      <c r="E1409" s="7" t="s">
        <v>431</v>
      </c>
      <c r="F1409" s="7" t="s">
        <v>431</v>
      </c>
      <c r="G1409" s="7"/>
      <c r="H1409" s="7" t="s">
        <v>207</v>
      </c>
      <c r="I1409" s="7" t="s">
        <v>103</v>
      </c>
      <c r="J1409" s="7" t="s">
        <v>104</v>
      </c>
      <c r="K1409" s="7" t="s">
        <v>105</v>
      </c>
      <c r="L1409" s="7" t="s">
        <v>259</v>
      </c>
      <c r="M1409" s="7"/>
      <c r="N1409" s="7" t="s">
        <v>9740</v>
      </c>
      <c r="O1409" s="7" t="s">
        <v>9740</v>
      </c>
      <c r="P1409" s="7" t="s">
        <v>84</v>
      </c>
      <c r="Q1409" s="7"/>
      <c r="R1409" s="7" t="s">
        <v>109</v>
      </c>
      <c r="S1409" s="7" t="s">
        <v>110</v>
      </c>
      <c r="T1409" s="7" t="n">
        <v>0.816</v>
      </c>
      <c r="U1409" s="7" t="n">
        <v>2</v>
      </c>
      <c r="V1409" s="7" t="s">
        <v>479</v>
      </c>
      <c r="W1409" s="7"/>
      <c r="X1409" s="7"/>
      <c r="Y1409" s="7" t="s">
        <v>9740</v>
      </c>
      <c r="Z1409" s="7"/>
      <c r="AA1409" s="7"/>
      <c r="AB1409" s="7"/>
      <c r="AC1409" s="7" t="n">
        <v>0</v>
      </c>
      <c r="AD1409" s="7" t="s">
        <v>388</v>
      </c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 t="s">
        <v>127</v>
      </c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</row>
    <row r="1410" customFormat="false" ht="15" hidden="false" customHeight="false" outlineLevel="0" collapsed="false">
      <c r="A1410" s="7" t="s">
        <v>9741</v>
      </c>
      <c r="B1410" s="7" t="s">
        <v>9742</v>
      </c>
      <c r="C1410" s="7" t="s">
        <v>9743</v>
      </c>
      <c r="D1410" s="7" t="s">
        <v>1374</v>
      </c>
      <c r="E1410" s="7" t="s">
        <v>101</v>
      </c>
      <c r="F1410" s="7" t="s">
        <v>82</v>
      </c>
      <c r="G1410" s="7"/>
      <c r="H1410" s="7" t="s">
        <v>102</v>
      </c>
      <c r="I1410" s="7" t="s">
        <v>1104</v>
      </c>
      <c r="J1410" s="7" t="s">
        <v>475</v>
      </c>
      <c r="K1410" s="7" t="s">
        <v>476</v>
      </c>
      <c r="L1410" s="7" t="s">
        <v>106</v>
      </c>
      <c r="M1410" s="7"/>
      <c r="N1410" s="7" t="s">
        <v>9744</v>
      </c>
      <c r="O1410" s="7"/>
      <c r="P1410" s="7" t="s">
        <v>135</v>
      </c>
      <c r="Q1410" s="7"/>
      <c r="R1410" s="7"/>
      <c r="S1410" s="7"/>
      <c r="T1410" s="7" t="n">
        <v>0.672</v>
      </c>
      <c r="U1410" s="7" t="n">
        <v>1</v>
      </c>
      <c r="V1410" s="7" t="s">
        <v>90</v>
      </c>
      <c r="W1410" s="7"/>
      <c r="X1410" s="7"/>
      <c r="Y1410" s="7" t="s">
        <v>9744</v>
      </c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 t="s">
        <v>1606</v>
      </c>
      <c r="BE1410" s="7" t="s">
        <v>127</v>
      </c>
      <c r="BF1410" s="8"/>
      <c r="BG1410" s="8"/>
      <c r="BH1410" s="8"/>
      <c r="BI1410" s="8"/>
      <c r="BJ1410" s="8"/>
      <c r="BK1410" s="8"/>
      <c r="BL1410" s="8"/>
      <c r="BM1410" s="8"/>
      <c r="BN1410" s="8"/>
      <c r="BO1410" s="8"/>
      <c r="BP1410" s="8"/>
      <c r="BQ1410" s="8"/>
      <c r="BR1410" s="8"/>
      <c r="BS1410" s="8"/>
    </row>
    <row r="1411" customFormat="false" ht="15" hidden="false" customHeight="false" outlineLevel="0" collapsed="false">
      <c r="A1411" s="7" t="s">
        <v>9745</v>
      </c>
      <c r="B1411" s="7" t="s">
        <v>9746</v>
      </c>
      <c r="C1411" s="7" t="s">
        <v>9747</v>
      </c>
      <c r="D1411" s="7" t="s">
        <v>1921</v>
      </c>
      <c r="E1411" s="7" t="s">
        <v>101</v>
      </c>
      <c r="F1411" s="7" t="s">
        <v>82</v>
      </c>
      <c r="G1411" s="7"/>
      <c r="H1411" s="7" t="s">
        <v>102</v>
      </c>
      <c r="I1411" s="7" t="s">
        <v>158</v>
      </c>
      <c r="J1411" s="7" t="s">
        <v>475</v>
      </c>
      <c r="K1411" s="7" t="s">
        <v>476</v>
      </c>
      <c r="L1411" s="7" t="s">
        <v>106</v>
      </c>
      <c r="M1411" s="7"/>
      <c r="N1411" s="7" t="s">
        <v>9748</v>
      </c>
      <c r="O1411" s="7" t="s">
        <v>9748</v>
      </c>
      <c r="P1411" s="7" t="s">
        <v>135</v>
      </c>
      <c r="Q1411" s="7"/>
      <c r="R1411" s="7" t="s">
        <v>109</v>
      </c>
      <c r="S1411" s="7" t="s">
        <v>110</v>
      </c>
      <c r="T1411" s="7" t="n">
        <v>0.439</v>
      </c>
      <c r="U1411" s="7" t="n">
        <v>1</v>
      </c>
      <c r="V1411" s="7" t="s">
        <v>90</v>
      </c>
      <c r="W1411" s="7"/>
      <c r="X1411" s="7"/>
      <c r="Y1411" s="7" t="s">
        <v>9748</v>
      </c>
      <c r="Z1411" s="7"/>
      <c r="AA1411" s="7"/>
      <c r="AB1411" s="7"/>
      <c r="AC1411" s="7" t="n">
        <v>0</v>
      </c>
      <c r="AD1411" s="7" t="s">
        <v>388</v>
      </c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 t="s">
        <v>220</v>
      </c>
      <c r="BE1411" s="7" t="s">
        <v>127</v>
      </c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</row>
    <row r="1412" customFormat="false" ht="15" hidden="false" customHeight="false" outlineLevel="0" collapsed="false">
      <c r="A1412" s="7" t="s">
        <v>9749</v>
      </c>
      <c r="B1412" s="7" t="s">
        <v>9750</v>
      </c>
      <c r="C1412" s="7" t="s">
        <v>9751</v>
      </c>
      <c r="D1412" s="7" t="s">
        <v>9752</v>
      </c>
      <c r="E1412" s="7" t="s">
        <v>410</v>
      </c>
      <c r="F1412" s="7" t="s">
        <v>410</v>
      </c>
      <c r="G1412" s="7"/>
      <c r="H1412" s="7" t="s">
        <v>207</v>
      </c>
      <c r="I1412" s="7" t="s">
        <v>158</v>
      </c>
      <c r="J1412" s="7" t="s">
        <v>475</v>
      </c>
      <c r="K1412" s="7" t="s">
        <v>476</v>
      </c>
      <c r="L1412" s="7" t="s">
        <v>106</v>
      </c>
      <c r="M1412" s="7"/>
      <c r="N1412" s="7" t="s">
        <v>9753</v>
      </c>
      <c r="O1412" s="7" t="s">
        <v>9753</v>
      </c>
      <c r="P1412" s="7" t="s">
        <v>84</v>
      </c>
      <c r="Q1412" s="7"/>
      <c r="R1412" s="7" t="s">
        <v>109</v>
      </c>
      <c r="S1412" s="7" t="s">
        <v>110</v>
      </c>
      <c r="T1412" s="7" t="n">
        <v>0.335</v>
      </c>
      <c r="U1412" s="7" t="n">
        <v>1</v>
      </c>
      <c r="V1412" s="7" t="s">
        <v>86</v>
      </c>
      <c r="W1412" s="7" t="s">
        <v>9754</v>
      </c>
      <c r="X1412" s="7" t="s">
        <v>9721</v>
      </c>
      <c r="Y1412" s="7" t="s">
        <v>9755</v>
      </c>
      <c r="Z1412" s="7" t="s">
        <v>9756</v>
      </c>
      <c r="AA1412" s="7"/>
      <c r="AB1412" s="7"/>
      <c r="AC1412" s="7" t="n">
        <v>0</v>
      </c>
      <c r="AD1412" s="7" t="s">
        <v>388</v>
      </c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 t="s">
        <v>1861</v>
      </c>
      <c r="BE1412" s="7" t="s">
        <v>609</v>
      </c>
      <c r="BF1412" s="8"/>
      <c r="BG1412" s="8"/>
      <c r="BH1412" s="8"/>
      <c r="BI1412" s="8"/>
      <c r="BJ1412" s="8"/>
      <c r="BK1412" s="8"/>
      <c r="BL1412" s="8"/>
      <c r="BM1412" s="8"/>
      <c r="BN1412" s="8"/>
      <c r="BO1412" s="8"/>
      <c r="BP1412" s="8"/>
      <c r="BQ1412" s="8"/>
      <c r="BR1412" s="8"/>
      <c r="BS1412" s="8"/>
    </row>
    <row r="1413" customFormat="false" ht="15" hidden="false" customHeight="false" outlineLevel="0" collapsed="false">
      <c r="A1413" s="7" t="s">
        <v>9757</v>
      </c>
      <c r="B1413" s="7" t="s">
        <v>9758</v>
      </c>
      <c r="C1413" s="7" t="s">
        <v>9759</v>
      </c>
      <c r="D1413" s="7" t="s">
        <v>9760</v>
      </c>
      <c r="E1413" s="7" t="s">
        <v>101</v>
      </c>
      <c r="F1413" s="7" t="s">
        <v>101</v>
      </c>
      <c r="G1413" s="7"/>
      <c r="H1413" s="7" t="s">
        <v>102</v>
      </c>
      <c r="I1413" s="7" t="s">
        <v>158</v>
      </c>
      <c r="J1413" s="7" t="s">
        <v>104</v>
      </c>
      <c r="K1413" s="7" t="s">
        <v>105</v>
      </c>
      <c r="L1413" s="7" t="s">
        <v>353</v>
      </c>
      <c r="M1413" s="7"/>
      <c r="N1413" s="7" t="s">
        <v>9761</v>
      </c>
      <c r="O1413" s="7"/>
      <c r="P1413" s="7" t="s">
        <v>135</v>
      </c>
      <c r="Q1413" s="7"/>
      <c r="R1413" s="7"/>
      <c r="S1413" s="7"/>
      <c r="T1413" s="7" t="n">
        <v>0.559</v>
      </c>
      <c r="U1413" s="7" t="n">
        <v>1</v>
      </c>
      <c r="V1413" s="7" t="s">
        <v>90</v>
      </c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 t="s">
        <v>2797</v>
      </c>
      <c r="BE1413" s="7" t="s">
        <v>127</v>
      </c>
      <c r="BF1413" s="8"/>
      <c r="BG1413" s="8"/>
      <c r="BH1413" s="8"/>
      <c r="BI1413" s="8"/>
      <c r="BJ1413" s="8"/>
      <c r="BK1413" s="8"/>
      <c r="BL1413" s="8"/>
      <c r="BM1413" s="8"/>
      <c r="BN1413" s="8"/>
      <c r="BO1413" s="8"/>
      <c r="BP1413" s="8"/>
      <c r="BQ1413" s="8"/>
      <c r="BR1413" s="8"/>
      <c r="BS1413" s="8"/>
    </row>
    <row r="1414" customFormat="false" ht="15" hidden="false" customHeight="false" outlineLevel="0" collapsed="false">
      <c r="A1414" s="7" t="s">
        <v>9762</v>
      </c>
      <c r="B1414" s="7" t="s">
        <v>9763</v>
      </c>
      <c r="C1414" s="7" t="s">
        <v>9764</v>
      </c>
      <c r="D1414" s="7" t="s">
        <v>9765</v>
      </c>
      <c r="E1414" s="7" t="s">
        <v>101</v>
      </c>
      <c r="F1414" s="7" t="s">
        <v>101</v>
      </c>
      <c r="G1414" s="7"/>
      <c r="H1414" s="7" t="s">
        <v>102</v>
      </c>
      <c r="I1414" s="7" t="s">
        <v>158</v>
      </c>
      <c r="J1414" s="7" t="s">
        <v>104</v>
      </c>
      <c r="K1414" s="7" t="s">
        <v>105</v>
      </c>
      <c r="L1414" s="7" t="s">
        <v>353</v>
      </c>
      <c r="M1414" s="7"/>
      <c r="N1414" s="7" t="s">
        <v>9766</v>
      </c>
      <c r="O1414" s="7"/>
      <c r="P1414" s="7" t="s">
        <v>135</v>
      </c>
      <c r="Q1414" s="7"/>
      <c r="R1414" s="7"/>
      <c r="S1414" s="7"/>
      <c r="T1414" s="7" t="n">
        <v>0.62</v>
      </c>
      <c r="U1414" s="7" t="n">
        <v>1</v>
      </c>
      <c r="V1414" s="7" t="s">
        <v>90</v>
      </c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 t="s">
        <v>440</v>
      </c>
      <c r="BE1414" s="7" t="s">
        <v>127</v>
      </c>
      <c r="BF1414" s="8"/>
      <c r="BG1414" s="8"/>
      <c r="BH1414" s="8"/>
      <c r="BI1414" s="8"/>
      <c r="BJ1414" s="8"/>
      <c r="BK1414" s="8"/>
      <c r="BL1414" s="8"/>
      <c r="BM1414" s="8"/>
      <c r="BN1414" s="8"/>
      <c r="BO1414" s="8"/>
      <c r="BP1414" s="8"/>
      <c r="BQ1414" s="8"/>
      <c r="BR1414" s="8"/>
      <c r="BS1414" s="8"/>
    </row>
    <row r="1415" customFormat="false" ht="15" hidden="false" customHeight="false" outlineLevel="0" collapsed="false">
      <c r="A1415" s="7" t="s">
        <v>9767</v>
      </c>
      <c r="B1415" s="7" t="s">
        <v>9768</v>
      </c>
      <c r="C1415" s="7" t="s">
        <v>9769</v>
      </c>
      <c r="D1415" s="7" t="s">
        <v>9770</v>
      </c>
      <c r="E1415" s="7" t="s">
        <v>101</v>
      </c>
      <c r="F1415" s="7" t="s">
        <v>101</v>
      </c>
      <c r="G1415" s="7"/>
      <c r="H1415" s="7" t="s">
        <v>102</v>
      </c>
      <c r="I1415" s="7" t="s">
        <v>158</v>
      </c>
      <c r="J1415" s="7" t="s">
        <v>104</v>
      </c>
      <c r="K1415" s="7" t="s">
        <v>105</v>
      </c>
      <c r="L1415" s="7" t="s">
        <v>353</v>
      </c>
      <c r="M1415" s="7"/>
      <c r="N1415" s="7" t="s">
        <v>9771</v>
      </c>
      <c r="O1415" s="7"/>
      <c r="P1415" s="7" t="s">
        <v>135</v>
      </c>
      <c r="Q1415" s="7"/>
      <c r="R1415" s="7"/>
      <c r="S1415" s="7"/>
      <c r="T1415" s="7" t="n">
        <v>0.701</v>
      </c>
      <c r="U1415" s="7" t="n">
        <v>1</v>
      </c>
      <c r="V1415" s="7" t="s">
        <v>90</v>
      </c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 t="s">
        <v>440</v>
      </c>
      <c r="BE1415" s="7" t="s">
        <v>127</v>
      </c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</row>
    <row r="1416" customFormat="false" ht="15" hidden="false" customHeight="false" outlineLevel="0" collapsed="false">
      <c r="A1416" s="7" t="s">
        <v>9772</v>
      </c>
      <c r="B1416" s="7" t="s">
        <v>9773</v>
      </c>
      <c r="C1416" s="7" t="s">
        <v>9774</v>
      </c>
      <c r="D1416" s="7" t="s">
        <v>9775</v>
      </c>
      <c r="E1416" s="7" t="s">
        <v>101</v>
      </c>
      <c r="F1416" s="7" t="s">
        <v>101</v>
      </c>
      <c r="G1416" s="7"/>
      <c r="H1416" s="7" t="s">
        <v>102</v>
      </c>
      <c r="I1416" s="7" t="s">
        <v>158</v>
      </c>
      <c r="J1416" s="7" t="s">
        <v>104</v>
      </c>
      <c r="K1416" s="7" t="s">
        <v>105</v>
      </c>
      <c r="L1416" s="7" t="s">
        <v>353</v>
      </c>
      <c r="M1416" s="7"/>
      <c r="N1416" s="7" t="s">
        <v>9776</v>
      </c>
      <c r="O1416" s="7"/>
      <c r="P1416" s="7" t="s">
        <v>135</v>
      </c>
      <c r="Q1416" s="7"/>
      <c r="R1416" s="7"/>
      <c r="S1416" s="7"/>
      <c r="T1416" s="7" t="n">
        <v>0.637</v>
      </c>
      <c r="U1416" s="7" t="n">
        <v>1</v>
      </c>
      <c r="V1416" s="7" t="s">
        <v>90</v>
      </c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 t="s">
        <v>2797</v>
      </c>
      <c r="BE1416" s="7" t="s">
        <v>127</v>
      </c>
      <c r="BF1416" s="8"/>
      <c r="BG1416" s="8"/>
      <c r="BH1416" s="8"/>
      <c r="BI1416" s="8"/>
      <c r="BJ1416" s="8"/>
      <c r="BK1416" s="8"/>
      <c r="BL1416" s="8"/>
      <c r="BM1416" s="8"/>
      <c r="BN1416" s="8"/>
      <c r="BO1416" s="8"/>
      <c r="BP1416" s="8"/>
      <c r="BQ1416" s="8"/>
      <c r="BR1416" s="8"/>
      <c r="BS1416" s="8"/>
    </row>
    <row r="1417" customFormat="false" ht="15" hidden="false" customHeight="false" outlineLevel="0" collapsed="false">
      <c r="A1417" s="7" t="s">
        <v>9777</v>
      </c>
      <c r="B1417" s="7" t="s">
        <v>9778</v>
      </c>
      <c r="C1417" s="7" t="s">
        <v>9779</v>
      </c>
      <c r="D1417" s="7" t="s">
        <v>9780</v>
      </c>
      <c r="E1417" s="7" t="s">
        <v>101</v>
      </c>
      <c r="F1417" s="7" t="s">
        <v>101</v>
      </c>
      <c r="G1417" s="7"/>
      <c r="H1417" s="7" t="s">
        <v>102</v>
      </c>
      <c r="I1417" s="7" t="s">
        <v>158</v>
      </c>
      <c r="J1417" s="7" t="s">
        <v>104</v>
      </c>
      <c r="K1417" s="7" t="s">
        <v>105</v>
      </c>
      <c r="L1417" s="7" t="s">
        <v>353</v>
      </c>
      <c r="M1417" s="7"/>
      <c r="N1417" s="7" t="s">
        <v>9781</v>
      </c>
      <c r="O1417" s="7"/>
      <c r="P1417" s="7" t="s">
        <v>135</v>
      </c>
      <c r="Q1417" s="7"/>
      <c r="R1417" s="7"/>
      <c r="S1417" s="7"/>
      <c r="T1417" s="7" t="n">
        <v>0.799</v>
      </c>
      <c r="U1417" s="7" t="n">
        <v>1</v>
      </c>
      <c r="V1417" s="7" t="s">
        <v>90</v>
      </c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 t="s">
        <v>440</v>
      </c>
      <c r="BE1417" s="7" t="s">
        <v>127</v>
      </c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</row>
    <row r="1418" customFormat="false" ht="15" hidden="false" customHeight="false" outlineLevel="0" collapsed="false">
      <c r="A1418" s="7" t="s">
        <v>9782</v>
      </c>
      <c r="B1418" s="7" t="s">
        <v>9783</v>
      </c>
      <c r="C1418" s="7" t="s">
        <v>9784</v>
      </c>
      <c r="D1418" s="7" t="s">
        <v>9785</v>
      </c>
      <c r="E1418" s="7" t="s">
        <v>101</v>
      </c>
      <c r="F1418" s="7" t="s">
        <v>101</v>
      </c>
      <c r="G1418" s="7"/>
      <c r="H1418" s="7" t="s">
        <v>102</v>
      </c>
      <c r="I1418" s="7" t="s">
        <v>158</v>
      </c>
      <c r="J1418" s="7" t="s">
        <v>104</v>
      </c>
      <c r="K1418" s="7" t="s">
        <v>105</v>
      </c>
      <c r="L1418" s="7" t="s">
        <v>353</v>
      </c>
      <c r="M1418" s="7"/>
      <c r="N1418" s="7" t="s">
        <v>9786</v>
      </c>
      <c r="O1418" s="7"/>
      <c r="P1418" s="7" t="s">
        <v>135</v>
      </c>
      <c r="Q1418" s="7"/>
      <c r="R1418" s="7"/>
      <c r="S1418" s="7"/>
      <c r="T1418" s="7" t="n">
        <v>0.668</v>
      </c>
      <c r="U1418" s="7" t="n">
        <v>1</v>
      </c>
      <c r="V1418" s="7" t="s">
        <v>90</v>
      </c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 t="s">
        <v>440</v>
      </c>
      <c r="BE1418" s="7" t="s">
        <v>127</v>
      </c>
      <c r="BF1418" s="8"/>
      <c r="BG1418" s="8"/>
      <c r="BH1418" s="8"/>
      <c r="BI1418" s="8"/>
      <c r="BJ1418" s="8"/>
      <c r="BK1418" s="8"/>
      <c r="BL1418" s="8"/>
      <c r="BM1418" s="8"/>
      <c r="BN1418" s="8"/>
      <c r="BO1418" s="8"/>
      <c r="BP1418" s="8"/>
      <c r="BQ1418" s="8"/>
      <c r="BR1418" s="8"/>
      <c r="BS1418" s="8"/>
    </row>
    <row r="1419" customFormat="false" ht="15" hidden="false" customHeight="false" outlineLevel="0" collapsed="false">
      <c r="A1419" s="7" t="s">
        <v>9787</v>
      </c>
      <c r="B1419" s="7" t="s">
        <v>9788</v>
      </c>
      <c r="C1419" s="7" t="s">
        <v>9789</v>
      </c>
      <c r="D1419" s="7" t="s">
        <v>9790</v>
      </c>
      <c r="E1419" s="7" t="s">
        <v>101</v>
      </c>
      <c r="F1419" s="7" t="s">
        <v>101</v>
      </c>
      <c r="G1419" s="7"/>
      <c r="H1419" s="7" t="s">
        <v>102</v>
      </c>
      <c r="I1419" s="7" t="s">
        <v>158</v>
      </c>
      <c r="J1419" s="7" t="s">
        <v>104</v>
      </c>
      <c r="K1419" s="7" t="s">
        <v>105</v>
      </c>
      <c r="L1419" s="7" t="s">
        <v>353</v>
      </c>
      <c r="M1419" s="7"/>
      <c r="N1419" s="7" t="s">
        <v>9791</v>
      </c>
      <c r="O1419" s="7"/>
      <c r="P1419" s="7" t="s">
        <v>135</v>
      </c>
      <c r="Q1419" s="7"/>
      <c r="R1419" s="7"/>
      <c r="S1419" s="7"/>
      <c r="T1419" s="7" t="n">
        <v>0.62</v>
      </c>
      <c r="U1419" s="7" t="n">
        <v>1</v>
      </c>
      <c r="V1419" s="7" t="s">
        <v>90</v>
      </c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 t="s">
        <v>440</v>
      </c>
      <c r="BE1419" s="7" t="s">
        <v>127</v>
      </c>
      <c r="BF1419" s="8"/>
      <c r="BG1419" s="8"/>
      <c r="BH1419" s="8"/>
      <c r="BI1419" s="8"/>
      <c r="BJ1419" s="8"/>
      <c r="BK1419" s="8"/>
      <c r="BL1419" s="8"/>
      <c r="BM1419" s="8"/>
      <c r="BN1419" s="8"/>
      <c r="BO1419" s="8"/>
      <c r="BP1419" s="8"/>
      <c r="BQ1419" s="8"/>
      <c r="BR1419" s="8"/>
      <c r="BS1419" s="8"/>
    </row>
    <row r="1420" customFormat="false" ht="15" hidden="false" customHeight="false" outlineLevel="0" collapsed="false">
      <c r="A1420" s="7" t="s">
        <v>9792</v>
      </c>
      <c r="B1420" s="7" t="s">
        <v>9793</v>
      </c>
      <c r="C1420" s="7" t="s">
        <v>9794</v>
      </c>
      <c r="D1420" s="7" t="s">
        <v>9795</v>
      </c>
      <c r="E1420" s="7" t="s">
        <v>101</v>
      </c>
      <c r="F1420" s="7" t="s">
        <v>101</v>
      </c>
      <c r="G1420" s="7"/>
      <c r="H1420" s="7" t="s">
        <v>102</v>
      </c>
      <c r="I1420" s="7" t="s">
        <v>158</v>
      </c>
      <c r="J1420" s="7" t="s">
        <v>104</v>
      </c>
      <c r="K1420" s="7" t="s">
        <v>105</v>
      </c>
      <c r="L1420" s="7" t="s">
        <v>353</v>
      </c>
      <c r="M1420" s="7"/>
      <c r="N1420" s="7" t="s">
        <v>9796</v>
      </c>
      <c r="O1420" s="7"/>
      <c r="P1420" s="7" t="s">
        <v>135</v>
      </c>
      <c r="Q1420" s="7"/>
      <c r="R1420" s="7"/>
      <c r="S1420" s="7"/>
      <c r="T1420" s="7" t="n">
        <v>0.777</v>
      </c>
      <c r="U1420" s="7" t="n">
        <v>1</v>
      </c>
      <c r="V1420" s="7" t="s">
        <v>90</v>
      </c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 t="s">
        <v>440</v>
      </c>
      <c r="BE1420" s="7" t="s">
        <v>127</v>
      </c>
      <c r="BF1420" s="8"/>
      <c r="BG1420" s="8"/>
      <c r="BH1420" s="8"/>
      <c r="BI1420" s="8"/>
      <c r="BJ1420" s="8"/>
      <c r="BK1420" s="8"/>
      <c r="BL1420" s="8"/>
      <c r="BM1420" s="8"/>
      <c r="BN1420" s="8"/>
      <c r="BO1420" s="8"/>
      <c r="BP1420" s="8"/>
      <c r="BQ1420" s="8"/>
      <c r="BR1420" s="8"/>
      <c r="BS1420" s="8"/>
    </row>
    <row r="1421" customFormat="false" ht="15" hidden="false" customHeight="false" outlineLevel="0" collapsed="false">
      <c r="A1421" s="7" t="s">
        <v>9797</v>
      </c>
      <c r="B1421" s="7" t="s">
        <v>9798</v>
      </c>
      <c r="C1421" s="7" t="s">
        <v>9799</v>
      </c>
      <c r="D1421" s="7" t="s">
        <v>9800</v>
      </c>
      <c r="E1421" s="7" t="s">
        <v>101</v>
      </c>
      <c r="F1421" s="7" t="s">
        <v>101</v>
      </c>
      <c r="G1421" s="7"/>
      <c r="H1421" s="7" t="s">
        <v>102</v>
      </c>
      <c r="I1421" s="7" t="s">
        <v>158</v>
      </c>
      <c r="J1421" s="7" t="s">
        <v>104</v>
      </c>
      <c r="K1421" s="7" t="s">
        <v>105</v>
      </c>
      <c r="L1421" s="7" t="s">
        <v>353</v>
      </c>
      <c r="M1421" s="7"/>
      <c r="N1421" s="7" t="s">
        <v>9801</v>
      </c>
      <c r="O1421" s="7"/>
      <c r="P1421" s="7" t="s">
        <v>135</v>
      </c>
      <c r="Q1421" s="7"/>
      <c r="R1421" s="7"/>
      <c r="S1421" s="7"/>
      <c r="T1421" s="7" t="n">
        <v>0.676</v>
      </c>
      <c r="U1421" s="7" t="n">
        <v>1</v>
      </c>
      <c r="V1421" s="7" t="s">
        <v>90</v>
      </c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 t="s">
        <v>440</v>
      </c>
      <c r="BE1421" s="7" t="s">
        <v>127</v>
      </c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</row>
    <row r="1422" customFormat="false" ht="15" hidden="false" customHeight="false" outlineLevel="0" collapsed="false">
      <c r="A1422" s="7" t="s">
        <v>9802</v>
      </c>
      <c r="B1422" s="7" t="s">
        <v>9803</v>
      </c>
      <c r="C1422" s="7" t="s">
        <v>9804</v>
      </c>
      <c r="D1422" s="7" t="s">
        <v>9805</v>
      </c>
      <c r="E1422" s="7" t="s">
        <v>101</v>
      </c>
      <c r="F1422" s="7" t="s">
        <v>101</v>
      </c>
      <c r="G1422" s="7"/>
      <c r="H1422" s="7" t="s">
        <v>102</v>
      </c>
      <c r="I1422" s="7" t="s">
        <v>158</v>
      </c>
      <c r="J1422" s="7" t="s">
        <v>104</v>
      </c>
      <c r="K1422" s="7" t="s">
        <v>105</v>
      </c>
      <c r="L1422" s="7" t="s">
        <v>353</v>
      </c>
      <c r="M1422" s="7"/>
      <c r="N1422" s="7" t="s">
        <v>9806</v>
      </c>
      <c r="O1422" s="7"/>
      <c r="P1422" s="7" t="s">
        <v>135</v>
      </c>
      <c r="Q1422" s="7"/>
      <c r="R1422" s="7"/>
      <c r="S1422" s="7"/>
      <c r="T1422" s="7" t="n">
        <v>0.348</v>
      </c>
      <c r="U1422" s="7" t="n">
        <v>1</v>
      </c>
      <c r="V1422" s="7" t="s">
        <v>90</v>
      </c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 t="s">
        <v>440</v>
      </c>
      <c r="BE1422" s="7" t="s">
        <v>127</v>
      </c>
      <c r="BF1422" s="8"/>
      <c r="BG1422" s="8"/>
      <c r="BH1422" s="8"/>
      <c r="BI1422" s="8"/>
      <c r="BJ1422" s="8"/>
      <c r="BK1422" s="8"/>
      <c r="BL1422" s="8"/>
      <c r="BM1422" s="8"/>
      <c r="BN1422" s="8"/>
      <c r="BO1422" s="8"/>
      <c r="BP1422" s="8"/>
      <c r="BQ1422" s="8"/>
      <c r="BR1422" s="8"/>
      <c r="BS1422" s="8"/>
    </row>
    <row r="1423" customFormat="false" ht="15" hidden="false" customHeight="false" outlineLevel="0" collapsed="false">
      <c r="A1423" s="7" t="s">
        <v>9807</v>
      </c>
      <c r="B1423" s="7" t="s">
        <v>9808</v>
      </c>
      <c r="C1423" s="7" t="s">
        <v>9809</v>
      </c>
      <c r="D1423" s="7" t="s">
        <v>9810</v>
      </c>
      <c r="E1423" s="7" t="s">
        <v>101</v>
      </c>
      <c r="F1423" s="7" t="s">
        <v>101</v>
      </c>
      <c r="G1423" s="7"/>
      <c r="H1423" s="7" t="s">
        <v>102</v>
      </c>
      <c r="I1423" s="7" t="s">
        <v>158</v>
      </c>
      <c r="J1423" s="7" t="s">
        <v>104</v>
      </c>
      <c r="K1423" s="7" t="s">
        <v>105</v>
      </c>
      <c r="L1423" s="7" t="s">
        <v>353</v>
      </c>
      <c r="M1423" s="7"/>
      <c r="N1423" s="7" t="s">
        <v>9811</v>
      </c>
      <c r="O1423" s="7"/>
      <c r="P1423" s="7" t="s">
        <v>135</v>
      </c>
      <c r="Q1423" s="7"/>
      <c r="R1423" s="7"/>
      <c r="S1423" s="7"/>
      <c r="T1423" s="7" t="n">
        <v>0.711</v>
      </c>
      <c r="U1423" s="7" t="n">
        <v>1</v>
      </c>
      <c r="V1423" s="7" t="s">
        <v>90</v>
      </c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 t="s">
        <v>440</v>
      </c>
      <c r="BE1423" s="7" t="s">
        <v>127</v>
      </c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</row>
    <row r="1424" customFormat="false" ht="15" hidden="false" customHeight="false" outlineLevel="0" collapsed="false">
      <c r="A1424" s="7" t="s">
        <v>9812</v>
      </c>
      <c r="B1424" s="7" t="s">
        <v>9813</v>
      </c>
      <c r="C1424" s="7" t="s">
        <v>9814</v>
      </c>
      <c r="D1424" s="7" t="s">
        <v>9815</v>
      </c>
      <c r="E1424" s="7" t="s">
        <v>101</v>
      </c>
      <c r="F1424" s="7" t="s">
        <v>101</v>
      </c>
      <c r="G1424" s="7"/>
      <c r="H1424" s="7" t="s">
        <v>102</v>
      </c>
      <c r="I1424" s="7" t="s">
        <v>158</v>
      </c>
      <c r="J1424" s="7" t="s">
        <v>104</v>
      </c>
      <c r="K1424" s="7" t="s">
        <v>105</v>
      </c>
      <c r="L1424" s="7" t="s">
        <v>353</v>
      </c>
      <c r="M1424" s="7"/>
      <c r="N1424" s="7" t="s">
        <v>9816</v>
      </c>
      <c r="O1424" s="7"/>
      <c r="P1424" s="7" t="s">
        <v>135</v>
      </c>
      <c r="Q1424" s="7"/>
      <c r="R1424" s="7"/>
      <c r="S1424" s="7"/>
      <c r="T1424" s="7" t="n">
        <v>0.561</v>
      </c>
      <c r="U1424" s="7" t="n">
        <v>1</v>
      </c>
      <c r="V1424" s="7" t="s">
        <v>90</v>
      </c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 t="s">
        <v>2797</v>
      </c>
      <c r="BE1424" s="7" t="s">
        <v>127</v>
      </c>
      <c r="BF1424" s="8"/>
      <c r="BG1424" s="8"/>
      <c r="BH1424" s="8"/>
      <c r="BI1424" s="8"/>
      <c r="BJ1424" s="8"/>
      <c r="BK1424" s="8"/>
      <c r="BL1424" s="8"/>
      <c r="BM1424" s="8"/>
      <c r="BN1424" s="8"/>
      <c r="BO1424" s="8"/>
      <c r="BP1424" s="8"/>
      <c r="BQ1424" s="8"/>
      <c r="BR1424" s="8"/>
      <c r="BS1424" s="8"/>
    </row>
    <row r="1425" customFormat="false" ht="15" hidden="false" customHeight="false" outlineLevel="0" collapsed="false">
      <c r="A1425" s="7" t="s">
        <v>9817</v>
      </c>
      <c r="B1425" s="7" t="s">
        <v>9818</v>
      </c>
      <c r="C1425" s="7" t="s">
        <v>9819</v>
      </c>
      <c r="D1425" s="7" t="s">
        <v>9820</v>
      </c>
      <c r="E1425" s="7" t="s">
        <v>101</v>
      </c>
      <c r="F1425" s="7" t="s">
        <v>819</v>
      </c>
      <c r="G1425" s="7"/>
      <c r="H1425" s="7" t="s">
        <v>102</v>
      </c>
      <c r="I1425" s="7" t="s">
        <v>103</v>
      </c>
      <c r="J1425" s="7" t="s">
        <v>104</v>
      </c>
      <c r="K1425" s="7" t="s">
        <v>105</v>
      </c>
      <c r="L1425" s="7" t="s">
        <v>106</v>
      </c>
      <c r="M1425" s="7"/>
      <c r="N1425" s="7" t="s">
        <v>9821</v>
      </c>
      <c r="O1425" s="7" t="s">
        <v>9821</v>
      </c>
      <c r="P1425" s="7" t="s">
        <v>135</v>
      </c>
      <c r="Q1425" s="7"/>
      <c r="R1425" s="7" t="s">
        <v>109</v>
      </c>
      <c r="S1425" s="7" t="s">
        <v>110</v>
      </c>
      <c r="T1425" s="7" t="n">
        <v>0.28</v>
      </c>
      <c r="U1425" s="7" t="n">
        <v>1</v>
      </c>
      <c r="V1425" s="7" t="s">
        <v>90</v>
      </c>
      <c r="W1425" s="7"/>
      <c r="X1425" s="7" t="s">
        <v>6977</v>
      </c>
      <c r="Y1425" s="7" t="s">
        <v>9821</v>
      </c>
      <c r="Z1425" s="7" t="s">
        <v>9822</v>
      </c>
      <c r="AA1425" s="7"/>
      <c r="AB1425" s="7"/>
      <c r="AC1425" s="7" t="n">
        <v>0</v>
      </c>
      <c r="AD1425" s="7" t="s">
        <v>388</v>
      </c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 t="s">
        <v>440</v>
      </c>
      <c r="BE1425" s="7" t="s">
        <v>127</v>
      </c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</row>
    <row r="1426" customFormat="false" ht="15" hidden="false" customHeight="false" outlineLevel="0" collapsed="false">
      <c r="A1426" s="7" t="s">
        <v>9823</v>
      </c>
      <c r="B1426" s="7" t="s">
        <v>9824</v>
      </c>
      <c r="C1426" s="7" t="s">
        <v>9825</v>
      </c>
      <c r="D1426" s="7" t="s">
        <v>9826</v>
      </c>
      <c r="E1426" s="7" t="s">
        <v>516</v>
      </c>
      <c r="F1426" s="7" t="s">
        <v>516</v>
      </c>
      <c r="G1426" s="7"/>
      <c r="H1426" s="7" t="s">
        <v>207</v>
      </c>
      <c r="I1426" s="7" t="s">
        <v>103</v>
      </c>
      <c r="J1426" s="7" t="s">
        <v>104</v>
      </c>
      <c r="K1426" s="7" t="s">
        <v>105</v>
      </c>
      <c r="L1426" s="7" t="s">
        <v>106</v>
      </c>
      <c r="M1426" s="7"/>
      <c r="N1426" s="7" t="s">
        <v>9827</v>
      </c>
      <c r="O1426" s="7" t="s">
        <v>9827</v>
      </c>
      <c r="P1426" s="7" t="s">
        <v>109</v>
      </c>
      <c r="Q1426" s="7"/>
      <c r="R1426" s="7" t="s">
        <v>109</v>
      </c>
      <c r="S1426" s="7" t="s">
        <v>110</v>
      </c>
      <c r="T1426" s="7" t="n">
        <v>0.238</v>
      </c>
      <c r="U1426" s="7" t="n">
        <v>1</v>
      </c>
      <c r="V1426" s="7" t="s">
        <v>1156</v>
      </c>
      <c r="W1426" s="7"/>
      <c r="X1426" s="7"/>
      <c r="Y1426" s="7" t="s">
        <v>9827</v>
      </c>
      <c r="Z1426" s="7"/>
      <c r="AA1426" s="7"/>
      <c r="AB1426" s="7"/>
      <c r="AC1426" s="7" t="n">
        <v>0</v>
      </c>
      <c r="AD1426" s="7" t="s">
        <v>388</v>
      </c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 t="s">
        <v>127</v>
      </c>
      <c r="BF1426" s="8"/>
      <c r="BG1426" s="8"/>
      <c r="BH1426" s="8"/>
      <c r="BI1426" s="8"/>
      <c r="BJ1426" s="8"/>
      <c r="BK1426" s="8"/>
      <c r="BL1426" s="8"/>
      <c r="BM1426" s="8"/>
      <c r="BN1426" s="8"/>
      <c r="BO1426" s="8"/>
      <c r="BP1426" s="8"/>
      <c r="BQ1426" s="8"/>
      <c r="BR1426" s="8"/>
      <c r="BS1426" s="8"/>
    </row>
    <row r="1427" customFormat="false" ht="15" hidden="false" customHeight="false" outlineLevel="0" collapsed="false">
      <c r="A1427" s="7" t="s">
        <v>9828</v>
      </c>
      <c r="B1427" s="7" t="s">
        <v>9829</v>
      </c>
      <c r="C1427" s="7" t="s">
        <v>9830</v>
      </c>
      <c r="D1427" s="7" t="s">
        <v>9831</v>
      </c>
      <c r="E1427" s="7" t="s">
        <v>398</v>
      </c>
      <c r="F1427" s="7" t="s">
        <v>398</v>
      </c>
      <c r="G1427" s="7"/>
      <c r="H1427" s="7" t="s">
        <v>207</v>
      </c>
      <c r="I1427" s="7" t="s">
        <v>300</v>
      </c>
      <c r="J1427" s="7" t="s">
        <v>104</v>
      </c>
      <c r="K1427" s="7" t="s">
        <v>105</v>
      </c>
      <c r="L1427" s="7" t="s">
        <v>106</v>
      </c>
      <c r="M1427" s="7"/>
      <c r="N1427" s="7" t="s">
        <v>9832</v>
      </c>
      <c r="O1427" s="7" t="s">
        <v>9832</v>
      </c>
      <c r="P1427" s="7" t="s">
        <v>109</v>
      </c>
      <c r="Q1427" s="7"/>
      <c r="R1427" s="7" t="s">
        <v>109</v>
      </c>
      <c r="S1427" s="7" t="s">
        <v>110</v>
      </c>
      <c r="T1427" s="7" t="n">
        <v>0.356</v>
      </c>
      <c r="U1427" s="7" t="n">
        <v>1</v>
      </c>
      <c r="V1427" s="7" t="s">
        <v>86</v>
      </c>
      <c r="W1427" s="7"/>
      <c r="X1427" s="7"/>
      <c r="Y1427" s="7" t="s">
        <v>9832</v>
      </c>
      <c r="Z1427" s="7"/>
      <c r="AA1427" s="7"/>
      <c r="AB1427" s="7"/>
      <c r="AC1427" s="7" t="n">
        <v>0</v>
      </c>
      <c r="AD1427" s="7" t="s">
        <v>388</v>
      </c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 t="s">
        <v>127</v>
      </c>
      <c r="BF1427" s="8"/>
      <c r="BG1427" s="8"/>
      <c r="BH1427" s="8"/>
      <c r="BI1427" s="8"/>
      <c r="BJ1427" s="8"/>
      <c r="BK1427" s="8"/>
      <c r="BL1427" s="8"/>
      <c r="BM1427" s="8"/>
      <c r="BN1427" s="8"/>
      <c r="BO1427" s="8"/>
      <c r="BP1427" s="8"/>
      <c r="BQ1427" s="8"/>
      <c r="BR1427" s="8"/>
      <c r="BS1427" s="8"/>
    </row>
    <row r="1428" customFormat="false" ht="15" hidden="false" customHeight="false" outlineLevel="0" collapsed="false">
      <c r="A1428" s="7" t="s">
        <v>9833</v>
      </c>
      <c r="B1428" s="7" t="s">
        <v>9834</v>
      </c>
      <c r="C1428" s="7" t="s">
        <v>9835</v>
      </c>
      <c r="D1428" s="7" t="s">
        <v>9836</v>
      </c>
      <c r="E1428" s="7" t="s">
        <v>3134</v>
      </c>
      <c r="F1428" s="7" t="s">
        <v>3134</v>
      </c>
      <c r="G1428" s="7"/>
      <c r="H1428" s="7" t="s">
        <v>207</v>
      </c>
      <c r="I1428" s="7" t="s">
        <v>208</v>
      </c>
      <c r="J1428" s="7" t="s">
        <v>104</v>
      </c>
      <c r="K1428" s="7" t="s">
        <v>105</v>
      </c>
      <c r="L1428" s="7" t="s">
        <v>106</v>
      </c>
      <c r="M1428" s="7"/>
      <c r="N1428" s="7" t="s">
        <v>9837</v>
      </c>
      <c r="O1428" s="7" t="s">
        <v>9837</v>
      </c>
      <c r="P1428" s="7" t="s">
        <v>135</v>
      </c>
      <c r="Q1428" s="7"/>
      <c r="R1428" s="7" t="s">
        <v>109</v>
      </c>
      <c r="S1428" s="7" t="s">
        <v>110</v>
      </c>
      <c r="T1428" s="7" t="n">
        <v>0.904</v>
      </c>
      <c r="U1428" s="7" t="n">
        <v>1</v>
      </c>
      <c r="V1428" s="7" t="s">
        <v>90</v>
      </c>
      <c r="W1428" s="7"/>
      <c r="X1428" s="7"/>
      <c r="Y1428" s="7" t="s">
        <v>9837</v>
      </c>
      <c r="Z1428" s="7"/>
      <c r="AA1428" s="7"/>
      <c r="AB1428" s="7"/>
      <c r="AC1428" s="7" t="n">
        <v>0</v>
      </c>
      <c r="AD1428" s="7" t="s">
        <v>388</v>
      </c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 t="s">
        <v>440</v>
      </c>
      <c r="BE1428" s="7" t="s">
        <v>127</v>
      </c>
      <c r="BF1428" s="8"/>
      <c r="BG1428" s="8"/>
      <c r="BH1428" s="8"/>
      <c r="BI1428" s="8"/>
      <c r="BJ1428" s="8"/>
      <c r="BK1428" s="8"/>
      <c r="BL1428" s="8"/>
      <c r="BM1428" s="8"/>
      <c r="BN1428" s="8"/>
      <c r="BO1428" s="8"/>
      <c r="BP1428" s="8"/>
      <c r="BQ1428" s="8"/>
      <c r="BR1428" s="8"/>
      <c r="BS1428" s="8"/>
    </row>
    <row r="1429" customFormat="false" ht="15" hidden="false" customHeight="false" outlineLevel="0" collapsed="false">
      <c r="A1429" s="7" t="s">
        <v>9838</v>
      </c>
      <c r="B1429" s="7" t="s">
        <v>9839</v>
      </c>
      <c r="C1429" s="7" t="s">
        <v>9840</v>
      </c>
      <c r="D1429" s="7" t="s">
        <v>9841</v>
      </c>
      <c r="E1429" s="7" t="s">
        <v>6664</v>
      </c>
      <c r="F1429" s="7" t="s">
        <v>6664</v>
      </c>
      <c r="G1429" s="7"/>
      <c r="H1429" s="7" t="s">
        <v>207</v>
      </c>
      <c r="I1429" s="7" t="s">
        <v>374</v>
      </c>
      <c r="J1429" s="7" t="s">
        <v>104</v>
      </c>
      <c r="K1429" s="7" t="s">
        <v>105</v>
      </c>
      <c r="L1429" s="7" t="s">
        <v>9842</v>
      </c>
      <c r="M1429" s="7"/>
      <c r="N1429" s="7" t="s">
        <v>9843</v>
      </c>
      <c r="O1429" s="7" t="s">
        <v>9843</v>
      </c>
      <c r="P1429" s="7" t="s">
        <v>109</v>
      </c>
      <c r="Q1429" s="7"/>
      <c r="R1429" s="7" t="s">
        <v>109</v>
      </c>
      <c r="S1429" s="7" t="s">
        <v>110</v>
      </c>
      <c r="T1429" s="7" t="n">
        <v>0.36</v>
      </c>
      <c r="U1429" s="7" t="n">
        <v>1</v>
      </c>
      <c r="V1429" s="7" t="s">
        <v>86</v>
      </c>
      <c r="W1429" s="7"/>
      <c r="X1429" s="7"/>
      <c r="Y1429" s="7" t="s">
        <v>9843</v>
      </c>
      <c r="Z1429" s="7"/>
      <c r="AA1429" s="7"/>
      <c r="AB1429" s="7"/>
      <c r="AC1429" s="7" t="n">
        <v>0</v>
      </c>
      <c r="AD1429" s="7" t="s">
        <v>388</v>
      </c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 t="s">
        <v>127</v>
      </c>
      <c r="BF1429" s="8"/>
      <c r="BG1429" s="8"/>
      <c r="BH1429" s="8"/>
      <c r="BI1429" s="8"/>
      <c r="BJ1429" s="8"/>
      <c r="BK1429" s="8"/>
      <c r="BL1429" s="8"/>
      <c r="BM1429" s="8"/>
      <c r="BN1429" s="8"/>
      <c r="BO1429" s="8"/>
      <c r="BP1429" s="8"/>
      <c r="BQ1429" s="8"/>
      <c r="BR1429" s="8"/>
      <c r="BS1429" s="8"/>
    </row>
    <row r="1430" customFormat="false" ht="15" hidden="false" customHeight="false" outlineLevel="0" collapsed="false">
      <c r="A1430" s="7" t="s">
        <v>9844</v>
      </c>
      <c r="B1430" s="7" t="s">
        <v>9845</v>
      </c>
      <c r="C1430" s="7" t="s">
        <v>9846</v>
      </c>
      <c r="D1430" s="7" t="s">
        <v>9847</v>
      </c>
      <c r="E1430" s="7" t="s">
        <v>9848</v>
      </c>
      <c r="F1430" s="7" t="s">
        <v>9848</v>
      </c>
      <c r="G1430" s="7"/>
      <c r="H1430" s="7" t="s">
        <v>207</v>
      </c>
      <c r="I1430" s="7" t="s">
        <v>208</v>
      </c>
      <c r="J1430" s="7" t="s">
        <v>104</v>
      </c>
      <c r="K1430" s="7" t="s">
        <v>105</v>
      </c>
      <c r="L1430" s="7" t="s">
        <v>106</v>
      </c>
      <c r="M1430" s="7"/>
      <c r="N1430" s="7" t="s">
        <v>9849</v>
      </c>
      <c r="O1430" s="7" t="s">
        <v>9849</v>
      </c>
      <c r="P1430" s="7" t="s">
        <v>109</v>
      </c>
      <c r="Q1430" s="7"/>
      <c r="R1430" s="7" t="s">
        <v>109</v>
      </c>
      <c r="S1430" s="7" t="s">
        <v>110</v>
      </c>
      <c r="T1430" s="7" t="n">
        <v>0.825</v>
      </c>
      <c r="U1430" s="7" t="n">
        <v>1</v>
      </c>
      <c r="V1430" s="7" t="s">
        <v>86</v>
      </c>
      <c r="W1430" s="7"/>
      <c r="X1430" s="7"/>
      <c r="Y1430" s="7" t="s">
        <v>9849</v>
      </c>
      <c r="Z1430" s="7"/>
      <c r="AA1430" s="7"/>
      <c r="AB1430" s="7"/>
      <c r="AC1430" s="7" t="n">
        <v>0</v>
      </c>
      <c r="AD1430" s="7" t="s">
        <v>388</v>
      </c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 t="s">
        <v>127</v>
      </c>
      <c r="BF1430" s="8"/>
      <c r="BG1430" s="8"/>
      <c r="BH1430" s="8"/>
      <c r="BI1430" s="8"/>
      <c r="BJ1430" s="8"/>
      <c r="BK1430" s="8"/>
      <c r="BL1430" s="8"/>
      <c r="BM1430" s="8"/>
      <c r="BN1430" s="8"/>
      <c r="BO1430" s="8"/>
      <c r="BP1430" s="8"/>
      <c r="BQ1430" s="8"/>
      <c r="BR1430" s="8"/>
      <c r="BS1430" s="8"/>
    </row>
    <row r="1431" customFormat="false" ht="15" hidden="false" customHeight="false" outlineLevel="0" collapsed="false">
      <c r="A1431" s="7" t="s">
        <v>9850</v>
      </c>
      <c r="B1431" s="7" t="s">
        <v>9851</v>
      </c>
      <c r="C1431" s="7" t="s">
        <v>9852</v>
      </c>
      <c r="D1431" s="7" t="s">
        <v>8020</v>
      </c>
      <c r="E1431" s="7" t="s">
        <v>819</v>
      </c>
      <c r="F1431" s="7" t="s">
        <v>819</v>
      </c>
      <c r="G1431" s="7"/>
      <c r="H1431" s="7" t="s">
        <v>207</v>
      </c>
      <c r="I1431" s="7" t="s">
        <v>300</v>
      </c>
      <c r="J1431" s="7" t="s">
        <v>104</v>
      </c>
      <c r="K1431" s="7" t="s">
        <v>105</v>
      </c>
      <c r="L1431" s="7" t="s">
        <v>106</v>
      </c>
      <c r="M1431" s="7"/>
      <c r="N1431" s="7" t="s">
        <v>9853</v>
      </c>
      <c r="O1431" s="7" t="s">
        <v>9853</v>
      </c>
      <c r="P1431" s="7" t="s">
        <v>135</v>
      </c>
      <c r="Q1431" s="7"/>
      <c r="R1431" s="7" t="s">
        <v>109</v>
      </c>
      <c r="S1431" s="7" t="s">
        <v>110</v>
      </c>
      <c r="T1431" s="7" t="n">
        <v>0.321</v>
      </c>
      <c r="U1431" s="7" t="n">
        <v>1</v>
      </c>
      <c r="V1431" s="7" t="s">
        <v>90</v>
      </c>
      <c r="W1431" s="7"/>
      <c r="X1431" s="7"/>
      <c r="Y1431" s="7" t="s">
        <v>9853</v>
      </c>
      <c r="Z1431" s="7"/>
      <c r="AA1431" s="7"/>
      <c r="AB1431" s="7"/>
      <c r="AC1431" s="7" t="n">
        <v>0</v>
      </c>
      <c r="AD1431" s="7" t="s">
        <v>388</v>
      </c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 t="s">
        <v>440</v>
      </c>
      <c r="BE1431" s="7" t="s">
        <v>127</v>
      </c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8"/>
      <c r="BS1431" s="8"/>
    </row>
    <row r="1432" customFormat="false" ht="15" hidden="false" customHeight="false" outlineLevel="0" collapsed="false">
      <c r="A1432" s="7" t="s">
        <v>9854</v>
      </c>
      <c r="B1432" s="7" t="s">
        <v>9855</v>
      </c>
      <c r="C1432" s="7" t="s">
        <v>9856</v>
      </c>
      <c r="D1432" s="7" t="s">
        <v>9857</v>
      </c>
      <c r="E1432" s="7" t="s">
        <v>3046</v>
      </c>
      <c r="F1432" s="7" t="s">
        <v>3046</v>
      </c>
      <c r="G1432" s="7"/>
      <c r="H1432" s="7" t="s">
        <v>207</v>
      </c>
      <c r="I1432" s="7" t="s">
        <v>132</v>
      </c>
      <c r="J1432" s="7" t="s">
        <v>104</v>
      </c>
      <c r="K1432" s="7" t="s">
        <v>105</v>
      </c>
      <c r="L1432" s="7" t="s">
        <v>106</v>
      </c>
      <c r="M1432" s="7"/>
      <c r="N1432" s="7" t="s">
        <v>9858</v>
      </c>
      <c r="O1432" s="7"/>
      <c r="P1432" s="7" t="s">
        <v>109</v>
      </c>
      <c r="Q1432" s="7"/>
      <c r="R1432" s="7" t="s">
        <v>135</v>
      </c>
      <c r="S1432" s="7" t="s">
        <v>136</v>
      </c>
      <c r="T1432" s="7" t="n">
        <v>0.513</v>
      </c>
      <c r="U1432" s="7" t="n">
        <v>1</v>
      </c>
      <c r="V1432" s="7" t="s">
        <v>1156</v>
      </c>
      <c r="W1432" s="7"/>
      <c r="X1432" s="7"/>
      <c r="Y1432" s="7" t="s">
        <v>9858</v>
      </c>
      <c r="Z1432" s="7"/>
      <c r="AA1432" s="7"/>
      <c r="AB1432" s="7"/>
      <c r="AC1432" s="7" t="n">
        <v>0</v>
      </c>
      <c r="AD1432" s="7" t="s">
        <v>388</v>
      </c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 t="s">
        <v>127</v>
      </c>
      <c r="BF1432" s="8"/>
      <c r="BG1432" s="8"/>
      <c r="BH1432" s="8"/>
      <c r="BI1432" s="8"/>
      <c r="BJ1432" s="8"/>
      <c r="BK1432" s="8"/>
      <c r="BL1432" s="8"/>
      <c r="BM1432" s="8"/>
      <c r="BN1432" s="8"/>
      <c r="BO1432" s="8"/>
      <c r="BP1432" s="8"/>
      <c r="BQ1432" s="8"/>
      <c r="BR1432" s="8"/>
      <c r="BS1432" s="8"/>
    </row>
    <row r="1433" customFormat="false" ht="15" hidden="false" customHeight="false" outlineLevel="0" collapsed="false">
      <c r="A1433" s="7" t="s">
        <v>9859</v>
      </c>
      <c r="B1433" s="7" t="s">
        <v>9860</v>
      </c>
      <c r="C1433" s="7" t="s">
        <v>9861</v>
      </c>
      <c r="D1433" s="7" t="s">
        <v>9862</v>
      </c>
      <c r="E1433" s="7" t="s">
        <v>516</v>
      </c>
      <c r="F1433" s="7" t="s">
        <v>516</v>
      </c>
      <c r="G1433" s="7"/>
      <c r="H1433" s="7" t="s">
        <v>207</v>
      </c>
      <c r="I1433" s="7" t="s">
        <v>132</v>
      </c>
      <c r="J1433" s="7" t="s">
        <v>104</v>
      </c>
      <c r="K1433" s="7" t="s">
        <v>105</v>
      </c>
      <c r="L1433" s="7" t="s">
        <v>106</v>
      </c>
      <c r="M1433" s="7"/>
      <c r="N1433" s="7" t="s">
        <v>9863</v>
      </c>
      <c r="O1433" s="7" t="s">
        <v>9863</v>
      </c>
      <c r="P1433" s="7" t="s">
        <v>135</v>
      </c>
      <c r="Q1433" s="7"/>
      <c r="R1433" s="7" t="s">
        <v>109</v>
      </c>
      <c r="S1433" s="7" t="s">
        <v>110</v>
      </c>
      <c r="T1433" s="7" t="n">
        <v>0.818</v>
      </c>
      <c r="U1433" s="7" t="n">
        <v>1</v>
      </c>
      <c r="V1433" s="7" t="s">
        <v>90</v>
      </c>
      <c r="W1433" s="7"/>
      <c r="X1433" s="7"/>
      <c r="Y1433" s="7" t="s">
        <v>9863</v>
      </c>
      <c r="Z1433" s="7"/>
      <c r="AA1433" s="7"/>
      <c r="AB1433" s="7"/>
      <c r="AC1433" s="7" t="n">
        <v>0</v>
      </c>
      <c r="AD1433" s="7" t="s">
        <v>388</v>
      </c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 t="s">
        <v>440</v>
      </c>
      <c r="BE1433" s="7" t="s">
        <v>127</v>
      </c>
      <c r="BF1433" s="8"/>
      <c r="BG1433" s="8"/>
      <c r="BH1433" s="8"/>
      <c r="BI1433" s="8"/>
      <c r="BJ1433" s="8"/>
      <c r="BK1433" s="8"/>
      <c r="BL1433" s="8"/>
      <c r="BM1433" s="8"/>
      <c r="BN1433" s="8"/>
      <c r="BO1433" s="8"/>
      <c r="BP1433" s="8"/>
      <c r="BQ1433" s="8"/>
      <c r="BR1433" s="8"/>
      <c r="BS1433" s="8"/>
    </row>
    <row r="1434" customFormat="false" ht="15" hidden="false" customHeight="false" outlineLevel="0" collapsed="false">
      <c r="A1434" s="7" t="s">
        <v>9864</v>
      </c>
      <c r="B1434" s="7" t="s">
        <v>9865</v>
      </c>
      <c r="C1434" s="7" t="s">
        <v>9866</v>
      </c>
      <c r="D1434" s="7" t="s">
        <v>9867</v>
      </c>
      <c r="E1434" s="7" t="s">
        <v>677</v>
      </c>
      <c r="F1434" s="7" t="s">
        <v>677</v>
      </c>
      <c r="G1434" s="7"/>
      <c r="H1434" s="7" t="s">
        <v>207</v>
      </c>
      <c r="I1434" s="7" t="s">
        <v>158</v>
      </c>
      <c r="J1434" s="7" t="s">
        <v>104</v>
      </c>
      <c r="K1434" s="7" t="s">
        <v>105</v>
      </c>
      <c r="L1434" s="7" t="s">
        <v>1488</v>
      </c>
      <c r="M1434" s="7"/>
      <c r="N1434" s="7" t="s">
        <v>9868</v>
      </c>
      <c r="O1434" s="7" t="s">
        <v>9868</v>
      </c>
      <c r="P1434" s="7" t="s">
        <v>135</v>
      </c>
      <c r="Q1434" s="7"/>
      <c r="R1434" s="7" t="s">
        <v>109</v>
      </c>
      <c r="S1434" s="7" t="s">
        <v>110</v>
      </c>
      <c r="T1434" s="7" t="n">
        <v>0.53</v>
      </c>
      <c r="U1434" s="7" t="n">
        <v>1</v>
      </c>
      <c r="V1434" s="7" t="s">
        <v>1717</v>
      </c>
      <c r="W1434" s="7"/>
      <c r="X1434" s="7"/>
      <c r="Y1434" s="7" t="s">
        <v>9868</v>
      </c>
      <c r="Z1434" s="7"/>
      <c r="AA1434" s="7"/>
      <c r="AB1434" s="7"/>
      <c r="AC1434" s="7" t="n">
        <v>0</v>
      </c>
      <c r="AD1434" s="7" t="s">
        <v>388</v>
      </c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 t="s">
        <v>127</v>
      </c>
      <c r="BF1434" s="8"/>
      <c r="BG1434" s="8"/>
      <c r="BH1434" s="8"/>
      <c r="BI1434" s="8"/>
      <c r="BJ1434" s="8"/>
      <c r="BK1434" s="8"/>
      <c r="BL1434" s="8"/>
      <c r="BM1434" s="8"/>
      <c r="BN1434" s="8"/>
      <c r="BO1434" s="8"/>
      <c r="BP1434" s="8"/>
      <c r="BQ1434" s="8"/>
      <c r="BR1434" s="8"/>
      <c r="BS1434" s="8"/>
    </row>
    <row r="1435" customFormat="false" ht="15" hidden="false" customHeight="false" outlineLevel="0" collapsed="false">
      <c r="A1435" s="7" t="s">
        <v>9869</v>
      </c>
      <c r="B1435" s="7" t="s">
        <v>9870</v>
      </c>
      <c r="C1435" s="7" t="s">
        <v>9871</v>
      </c>
      <c r="D1435" s="7" t="s">
        <v>676</v>
      </c>
      <c r="E1435" s="7" t="s">
        <v>677</v>
      </c>
      <c r="F1435" s="7" t="s">
        <v>677</v>
      </c>
      <c r="G1435" s="7"/>
      <c r="H1435" s="7" t="s">
        <v>207</v>
      </c>
      <c r="I1435" s="7" t="s">
        <v>132</v>
      </c>
      <c r="J1435" s="7" t="s">
        <v>104</v>
      </c>
      <c r="K1435" s="7" t="s">
        <v>105</v>
      </c>
      <c r="L1435" s="7" t="s">
        <v>106</v>
      </c>
      <c r="M1435" s="7"/>
      <c r="N1435" s="7" t="s">
        <v>9872</v>
      </c>
      <c r="O1435" s="7" t="s">
        <v>9872</v>
      </c>
      <c r="P1435" s="7" t="s">
        <v>135</v>
      </c>
      <c r="Q1435" s="7"/>
      <c r="R1435" s="7" t="s">
        <v>109</v>
      </c>
      <c r="S1435" s="7" t="s">
        <v>110</v>
      </c>
      <c r="T1435" s="7" t="n">
        <v>0.491</v>
      </c>
      <c r="U1435" s="7" t="n">
        <v>1</v>
      </c>
      <c r="V1435" s="7" t="s">
        <v>90</v>
      </c>
      <c r="W1435" s="7"/>
      <c r="X1435" s="7"/>
      <c r="Y1435" s="7" t="s">
        <v>9872</v>
      </c>
      <c r="Z1435" s="7"/>
      <c r="AA1435" s="7"/>
      <c r="AB1435" s="7"/>
      <c r="AC1435" s="7" t="n">
        <v>0</v>
      </c>
      <c r="AD1435" s="7" t="s">
        <v>388</v>
      </c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 t="s">
        <v>440</v>
      </c>
      <c r="BE1435" s="7" t="s">
        <v>127</v>
      </c>
      <c r="BF1435" s="8"/>
      <c r="BG1435" s="8"/>
      <c r="BH1435" s="8"/>
      <c r="BI1435" s="8"/>
      <c r="BJ1435" s="8"/>
      <c r="BK1435" s="8"/>
      <c r="BL1435" s="8"/>
      <c r="BM1435" s="8"/>
      <c r="BN1435" s="8"/>
      <c r="BO1435" s="8"/>
      <c r="BP1435" s="8"/>
      <c r="BQ1435" s="8"/>
      <c r="BR1435" s="8"/>
      <c r="BS1435" s="8"/>
    </row>
    <row r="1436" customFormat="false" ht="15" hidden="false" customHeight="false" outlineLevel="0" collapsed="false">
      <c r="A1436" s="7" t="s">
        <v>9873</v>
      </c>
      <c r="B1436" s="7" t="s">
        <v>9874</v>
      </c>
      <c r="C1436" s="7" t="s">
        <v>9875</v>
      </c>
      <c r="D1436" s="7" t="s">
        <v>9876</v>
      </c>
      <c r="E1436" s="7" t="s">
        <v>1966</v>
      </c>
      <c r="F1436" s="7" t="s">
        <v>1966</v>
      </c>
      <c r="G1436" s="7"/>
      <c r="H1436" s="7" t="s">
        <v>207</v>
      </c>
      <c r="I1436" s="7" t="s">
        <v>300</v>
      </c>
      <c r="J1436" s="7" t="s">
        <v>104</v>
      </c>
      <c r="K1436" s="7" t="s">
        <v>105</v>
      </c>
      <c r="L1436" s="7" t="s">
        <v>106</v>
      </c>
      <c r="M1436" s="7"/>
      <c r="N1436" s="7" t="s">
        <v>9877</v>
      </c>
      <c r="O1436" s="7" t="s">
        <v>9877</v>
      </c>
      <c r="P1436" s="7" t="s">
        <v>109</v>
      </c>
      <c r="Q1436" s="7"/>
      <c r="R1436" s="7" t="s">
        <v>109</v>
      </c>
      <c r="S1436" s="7" t="s">
        <v>110</v>
      </c>
      <c r="T1436" s="7" t="n">
        <v>0.909</v>
      </c>
      <c r="U1436" s="7" t="n">
        <v>1</v>
      </c>
      <c r="V1436" s="7" t="s">
        <v>86</v>
      </c>
      <c r="W1436" s="7"/>
      <c r="X1436" s="7"/>
      <c r="Y1436" s="7" t="s">
        <v>9877</v>
      </c>
      <c r="Z1436" s="7"/>
      <c r="AA1436" s="7"/>
      <c r="AB1436" s="7"/>
      <c r="AC1436" s="7" t="n">
        <v>0</v>
      </c>
      <c r="AD1436" s="7" t="s">
        <v>388</v>
      </c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 t="s">
        <v>127</v>
      </c>
      <c r="BF1436" s="8"/>
      <c r="BG1436" s="8"/>
      <c r="BH1436" s="8"/>
      <c r="BI1436" s="8"/>
      <c r="BJ1436" s="8"/>
      <c r="BK1436" s="8"/>
      <c r="BL1436" s="8"/>
      <c r="BM1436" s="8"/>
      <c r="BN1436" s="8"/>
      <c r="BO1436" s="8"/>
      <c r="BP1436" s="8"/>
      <c r="BQ1436" s="8"/>
      <c r="BR1436" s="8"/>
      <c r="BS1436" s="8"/>
    </row>
    <row r="1437" customFormat="false" ht="15" hidden="false" customHeight="false" outlineLevel="0" collapsed="false">
      <c r="A1437" s="7" t="s">
        <v>9878</v>
      </c>
      <c r="B1437" s="7" t="s">
        <v>9879</v>
      </c>
      <c r="C1437" s="9" t="s">
        <v>9880</v>
      </c>
      <c r="D1437" s="7" t="s">
        <v>9881</v>
      </c>
      <c r="E1437" s="7" t="s">
        <v>410</v>
      </c>
      <c r="F1437" s="7" t="s">
        <v>410</v>
      </c>
      <c r="G1437" s="7"/>
      <c r="H1437" s="7" t="s">
        <v>207</v>
      </c>
      <c r="I1437" s="7" t="s">
        <v>132</v>
      </c>
      <c r="J1437" s="7" t="s">
        <v>104</v>
      </c>
      <c r="K1437" s="7" t="s">
        <v>105</v>
      </c>
      <c r="L1437" s="7" t="s">
        <v>106</v>
      </c>
      <c r="M1437" s="7"/>
      <c r="N1437" s="7" t="s">
        <v>9882</v>
      </c>
      <c r="O1437" s="7" t="s">
        <v>9882</v>
      </c>
      <c r="P1437" s="7" t="s">
        <v>109</v>
      </c>
      <c r="Q1437" s="7"/>
      <c r="R1437" s="7" t="s">
        <v>109</v>
      </c>
      <c r="S1437" s="7" t="s">
        <v>110</v>
      </c>
      <c r="T1437" s="7" t="n">
        <v>0.713</v>
      </c>
      <c r="U1437" s="7" t="n">
        <v>1</v>
      </c>
      <c r="V1437" s="7" t="s">
        <v>86</v>
      </c>
      <c r="W1437" s="7"/>
      <c r="X1437" s="7"/>
      <c r="Y1437" s="7" t="s">
        <v>9882</v>
      </c>
      <c r="Z1437" s="7"/>
      <c r="AA1437" s="7"/>
      <c r="AB1437" s="7"/>
      <c r="AC1437" s="7" t="n">
        <v>0</v>
      </c>
      <c r="AD1437" s="7" t="s">
        <v>388</v>
      </c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 t="s">
        <v>127</v>
      </c>
      <c r="BF1437" s="8"/>
      <c r="BG1437" s="8"/>
      <c r="BH1437" s="8"/>
      <c r="BI1437" s="8"/>
      <c r="BJ1437" s="8"/>
      <c r="BK1437" s="8"/>
      <c r="BL1437" s="8"/>
      <c r="BM1437" s="8"/>
      <c r="BN1437" s="8"/>
      <c r="BO1437" s="8"/>
      <c r="BP1437" s="8"/>
      <c r="BQ1437" s="8"/>
      <c r="BR1437" s="8"/>
      <c r="BS1437" s="8"/>
    </row>
    <row r="1438" customFormat="false" ht="15" hidden="false" customHeight="false" outlineLevel="0" collapsed="false">
      <c r="A1438" s="7" t="s">
        <v>9883</v>
      </c>
      <c r="B1438" s="7" t="s">
        <v>9884</v>
      </c>
      <c r="C1438" s="7" t="s">
        <v>9885</v>
      </c>
      <c r="D1438" s="7" t="s">
        <v>8559</v>
      </c>
      <c r="E1438" s="7" t="s">
        <v>1966</v>
      </c>
      <c r="F1438" s="7" t="s">
        <v>156</v>
      </c>
      <c r="G1438" s="7"/>
      <c r="H1438" s="7" t="s">
        <v>157</v>
      </c>
      <c r="I1438" s="7" t="s">
        <v>132</v>
      </c>
      <c r="J1438" s="7" t="s">
        <v>159</v>
      </c>
      <c r="K1438" s="7" t="s">
        <v>105</v>
      </c>
      <c r="L1438" s="7" t="s">
        <v>106</v>
      </c>
      <c r="M1438" s="7"/>
      <c r="N1438" s="7" t="s">
        <v>9886</v>
      </c>
      <c r="O1438" s="7" t="s">
        <v>9886</v>
      </c>
      <c r="P1438" s="7" t="s">
        <v>109</v>
      </c>
      <c r="Q1438" s="7"/>
      <c r="R1438" s="7" t="s">
        <v>109</v>
      </c>
      <c r="S1438" s="7" t="s">
        <v>2188</v>
      </c>
      <c r="T1438" s="7" t="n">
        <v>0.417</v>
      </c>
      <c r="U1438" s="7" t="n">
        <v>1</v>
      </c>
      <c r="V1438" s="7" t="s">
        <v>1156</v>
      </c>
      <c r="W1438" s="7"/>
      <c r="X1438" s="7"/>
      <c r="Y1438" s="7" t="s">
        <v>9886</v>
      </c>
      <c r="Z1438" s="7"/>
      <c r="AA1438" s="7"/>
      <c r="AB1438" s="7"/>
      <c r="AC1438" s="7" t="n">
        <v>12</v>
      </c>
      <c r="AD1438" s="7"/>
      <c r="AE1438" s="7" t="s">
        <v>115</v>
      </c>
      <c r="AF1438" s="7"/>
      <c r="AG1438" s="7" t="s">
        <v>115</v>
      </c>
      <c r="AH1438" s="7"/>
      <c r="AI1438" s="7" t="s">
        <v>115</v>
      </c>
      <c r="AJ1438" s="7"/>
      <c r="AK1438" s="7" t="s">
        <v>115</v>
      </c>
      <c r="AL1438" s="7"/>
      <c r="AM1438" s="7" t="s">
        <v>115</v>
      </c>
      <c r="AN1438" s="7"/>
      <c r="AO1438" s="7" t="s">
        <v>115</v>
      </c>
      <c r="AP1438" s="7"/>
      <c r="AQ1438" s="7" t="s">
        <v>115</v>
      </c>
      <c r="AR1438" s="7"/>
      <c r="AS1438" s="7" t="s">
        <v>115</v>
      </c>
      <c r="AT1438" s="7"/>
      <c r="AU1438" s="7" t="s">
        <v>115</v>
      </c>
      <c r="AV1438" s="7"/>
      <c r="AW1438" s="7" t="s">
        <v>115</v>
      </c>
      <c r="AX1438" s="7"/>
      <c r="AY1438" s="7" t="s">
        <v>115</v>
      </c>
      <c r="AZ1438" s="7"/>
      <c r="BA1438" s="7" t="s">
        <v>115</v>
      </c>
      <c r="BB1438" s="7"/>
      <c r="BC1438" s="7" t="s">
        <v>178</v>
      </c>
      <c r="BD1438" s="7" t="s">
        <v>2626</v>
      </c>
      <c r="BE1438" s="7" t="s">
        <v>127</v>
      </c>
      <c r="BF1438" s="8"/>
      <c r="BG1438" s="8"/>
      <c r="BH1438" s="8"/>
      <c r="BI1438" s="8"/>
      <c r="BJ1438" s="8"/>
      <c r="BK1438" s="8"/>
      <c r="BL1438" s="8"/>
      <c r="BM1438" s="8"/>
      <c r="BN1438" s="8"/>
      <c r="BO1438" s="8"/>
      <c r="BP1438" s="8"/>
      <c r="BQ1438" s="8"/>
      <c r="BR1438" s="8"/>
      <c r="BS1438" s="8"/>
    </row>
    <row r="1439" customFormat="false" ht="15" hidden="false" customHeight="false" outlineLevel="0" collapsed="false">
      <c r="A1439" s="7" t="s">
        <v>9887</v>
      </c>
      <c r="B1439" s="7" t="s">
        <v>9888</v>
      </c>
      <c r="C1439" s="7" t="s">
        <v>9889</v>
      </c>
      <c r="D1439" s="7" t="s">
        <v>686</v>
      </c>
      <c r="E1439" s="7" t="s">
        <v>101</v>
      </c>
      <c r="F1439" s="7" t="s">
        <v>101</v>
      </c>
      <c r="G1439" s="7"/>
      <c r="H1439" s="7" t="s">
        <v>102</v>
      </c>
      <c r="I1439" s="7" t="s">
        <v>132</v>
      </c>
      <c r="J1439" s="7" t="s">
        <v>104</v>
      </c>
      <c r="K1439" s="7" t="s">
        <v>105</v>
      </c>
      <c r="L1439" s="7" t="s">
        <v>106</v>
      </c>
      <c r="M1439" s="7"/>
      <c r="N1439" s="7" t="s">
        <v>9890</v>
      </c>
      <c r="O1439" s="7"/>
      <c r="P1439" s="7" t="s">
        <v>135</v>
      </c>
      <c r="Q1439" s="7"/>
      <c r="R1439" s="7" t="s">
        <v>135</v>
      </c>
      <c r="S1439" s="7" t="s">
        <v>136</v>
      </c>
      <c r="T1439" s="7" t="n">
        <v>0.656</v>
      </c>
      <c r="U1439" s="7" t="n">
        <v>1</v>
      </c>
      <c r="V1439" s="7" t="s">
        <v>90</v>
      </c>
      <c r="W1439" s="7"/>
      <c r="X1439" s="7" t="s">
        <v>615</v>
      </c>
      <c r="Y1439" s="7" t="s">
        <v>9890</v>
      </c>
      <c r="Z1439" s="7"/>
      <c r="AA1439" s="7"/>
      <c r="AB1439" s="7"/>
      <c r="AC1439" s="7" t="n">
        <v>0</v>
      </c>
      <c r="AD1439" s="7" t="s">
        <v>388</v>
      </c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 t="s">
        <v>836</v>
      </c>
      <c r="BE1439" s="7" t="s">
        <v>127</v>
      </c>
      <c r="BF1439" s="8"/>
      <c r="BG1439" s="8"/>
      <c r="BH1439" s="8"/>
      <c r="BI1439" s="8"/>
      <c r="BJ1439" s="8"/>
      <c r="BK1439" s="8"/>
      <c r="BL1439" s="8"/>
      <c r="BM1439" s="8"/>
      <c r="BN1439" s="8"/>
      <c r="BO1439" s="8"/>
      <c r="BP1439" s="8"/>
      <c r="BQ1439" s="8"/>
      <c r="BR1439" s="8"/>
      <c r="BS1439" s="8"/>
    </row>
    <row r="1440" customFormat="false" ht="15" hidden="false" customHeight="false" outlineLevel="0" collapsed="false">
      <c r="A1440" s="7" t="s">
        <v>9891</v>
      </c>
      <c r="B1440" s="7" t="s">
        <v>9892</v>
      </c>
      <c r="C1440" s="7" t="s">
        <v>9893</v>
      </c>
      <c r="D1440" s="7" t="s">
        <v>686</v>
      </c>
      <c r="E1440" s="7" t="s">
        <v>101</v>
      </c>
      <c r="F1440" s="7" t="s">
        <v>101</v>
      </c>
      <c r="G1440" s="7"/>
      <c r="H1440" s="7" t="s">
        <v>102</v>
      </c>
      <c r="I1440" s="7" t="s">
        <v>132</v>
      </c>
      <c r="J1440" s="7" t="s">
        <v>104</v>
      </c>
      <c r="K1440" s="7" t="s">
        <v>105</v>
      </c>
      <c r="L1440" s="7" t="s">
        <v>106</v>
      </c>
      <c r="M1440" s="7"/>
      <c r="N1440" s="7" t="s">
        <v>9894</v>
      </c>
      <c r="O1440" s="7"/>
      <c r="P1440" s="7" t="s">
        <v>135</v>
      </c>
      <c r="Q1440" s="7"/>
      <c r="R1440" s="7" t="s">
        <v>135</v>
      </c>
      <c r="S1440" s="7" t="s">
        <v>136</v>
      </c>
      <c r="T1440" s="7" t="n">
        <v>0.793</v>
      </c>
      <c r="U1440" s="7" t="n">
        <v>1</v>
      </c>
      <c r="V1440" s="7" t="s">
        <v>90</v>
      </c>
      <c r="W1440" s="7"/>
      <c r="X1440" s="7" t="s">
        <v>615</v>
      </c>
      <c r="Y1440" s="7" t="s">
        <v>9894</v>
      </c>
      <c r="Z1440" s="7"/>
      <c r="AA1440" s="7"/>
      <c r="AB1440" s="7"/>
      <c r="AC1440" s="7" t="n">
        <v>0</v>
      </c>
      <c r="AD1440" s="7" t="s">
        <v>388</v>
      </c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 t="s">
        <v>836</v>
      </c>
      <c r="BE1440" s="7" t="s">
        <v>127</v>
      </c>
      <c r="BF1440" s="8"/>
      <c r="BG1440" s="8"/>
      <c r="BH1440" s="8"/>
      <c r="BI1440" s="8"/>
      <c r="BJ1440" s="8"/>
      <c r="BK1440" s="8"/>
      <c r="BL1440" s="8"/>
      <c r="BM1440" s="8"/>
      <c r="BN1440" s="8"/>
      <c r="BO1440" s="8"/>
      <c r="BP1440" s="8"/>
      <c r="BQ1440" s="8"/>
      <c r="BR1440" s="8"/>
      <c r="BS1440" s="8"/>
    </row>
    <row r="1441" customFormat="false" ht="15" hidden="false" customHeight="false" outlineLevel="0" collapsed="false">
      <c r="A1441" s="7" t="s">
        <v>9895</v>
      </c>
      <c r="B1441" s="7" t="s">
        <v>9896</v>
      </c>
      <c r="C1441" s="7" t="s">
        <v>9897</v>
      </c>
      <c r="D1441" s="7" t="s">
        <v>9898</v>
      </c>
      <c r="E1441" s="7" t="s">
        <v>444</v>
      </c>
      <c r="F1441" s="7" t="s">
        <v>444</v>
      </c>
      <c r="G1441" s="7"/>
      <c r="H1441" s="7" t="s">
        <v>207</v>
      </c>
      <c r="I1441" s="7" t="s">
        <v>208</v>
      </c>
      <c r="J1441" s="7" t="s">
        <v>104</v>
      </c>
      <c r="K1441" s="7" t="s">
        <v>105</v>
      </c>
      <c r="L1441" s="7" t="s">
        <v>106</v>
      </c>
      <c r="M1441" s="7"/>
      <c r="N1441" s="7" t="s">
        <v>9899</v>
      </c>
      <c r="O1441" s="7"/>
      <c r="P1441" s="7" t="s">
        <v>135</v>
      </c>
      <c r="Q1441" s="7"/>
      <c r="R1441" s="7"/>
      <c r="S1441" s="7"/>
      <c r="T1441" s="7"/>
      <c r="U1441" s="7" t="n">
        <v>1</v>
      </c>
      <c r="V1441" s="7" t="s">
        <v>90</v>
      </c>
      <c r="W1441" s="7"/>
      <c r="X1441" s="7"/>
      <c r="Y1441" s="7" t="s">
        <v>9899</v>
      </c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 t="s">
        <v>127</v>
      </c>
      <c r="BF1441" s="8"/>
      <c r="BG1441" s="8"/>
      <c r="BH1441" s="8"/>
      <c r="BI1441" s="8"/>
      <c r="BJ1441" s="8"/>
      <c r="BK1441" s="8"/>
      <c r="BL1441" s="8"/>
      <c r="BM1441" s="8"/>
      <c r="BN1441" s="8"/>
      <c r="BO1441" s="8"/>
      <c r="BP1441" s="8"/>
      <c r="BQ1441" s="8"/>
      <c r="BR1441" s="8"/>
      <c r="BS1441" s="8"/>
    </row>
    <row r="1442" customFormat="false" ht="15" hidden="false" customHeight="false" outlineLevel="0" collapsed="false">
      <c r="A1442" s="7" t="s">
        <v>9900</v>
      </c>
      <c r="B1442" s="7" t="s">
        <v>9901</v>
      </c>
      <c r="C1442" s="7" t="s">
        <v>9902</v>
      </c>
      <c r="D1442" s="7" t="s">
        <v>686</v>
      </c>
      <c r="E1442" s="7" t="s">
        <v>101</v>
      </c>
      <c r="F1442" s="7" t="s">
        <v>101</v>
      </c>
      <c r="G1442" s="7"/>
      <c r="H1442" s="7" t="s">
        <v>102</v>
      </c>
      <c r="I1442" s="7" t="s">
        <v>132</v>
      </c>
      <c r="J1442" s="7" t="s">
        <v>104</v>
      </c>
      <c r="K1442" s="7" t="s">
        <v>105</v>
      </c>
      <c r="L1442" s="7" t="s">
        <v>106</v>
      </c>
      <c r="M1442" s="7"/>
      <c r="N1442" s="7" t="s">
        <v>9903</v>
      </c>
      <c r="O1442" s="7"/>
      <c r="P1442" s="7" t="s">
        <v>135</v>
      </c>
      <c r="Q1442" s="7"/>
      <c r="R1442" s="7" t="s">
        <v>135</v>
      </c>
      <c r="S1442" s="7" t="s">
        <v>136</v>
      </c>
      <c r="T1442" s="7" t="n">
        <v>0.817</v>
      </c>
      <c r="U1442" s="7" t="n">
        <v>1</v>
      </c>
      <c r="V1442" s="7" t="s">
        <v>90</v>
      </c>
      <c r="W1442" s="7"/>
      <c r="X1442" s="7" t="s">
        <v>187</v>
      </c>
      <c r="Y1442" s="7" t="s">
        <v>9903</v>
      </c>
      <c r="Z1442" s="7"/>
      <c r="AA1442" s="7"/>
      <c r="AB1442" s="7"/>
      <c r="AC1442" s="7" t="n">
        <v>0</v>
      </c>
      <c r="AD1442" s="7" t="s">
        <v>388</v>
      </c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 t="s">
        <v>127</v>
      </c>
      <c r="BF1442" s="8"/>
      <c r="BG1442" s="8"/>
      <c r="BH1442" s="8"/>
      <c r="BI1442" s="8"/>
      <c r="BJ1442" s="8"/>
      <c r="BK1442" s="8"/>
      <c r="BL1442" s="8"/>
      <c r="BM1442" s="8"/>
      <c r="BN1442" s="8"/>
      <c r="BO1442" s="8"/>
      <c r="BP1442" s="8"/>
      <c r="BQ1442" s="8"/>
      <c r="BR1442" s="8"/>
      <c r="BS1442" s="8"/>
    </row>
    <row r="1443" customFormat="false" ht="15" hidden="false" customHeight="false" outlineLevel="0" collapsed="false">
      <c r="A1443" s="7" t="s">
        <v>9904</v>
      </c>
      <c r="B1443" s="7" t="s">
        <v>9905</v>
      </c>
      <c r="C1443" s="7" t="s">
        <v>9906</v>
      </c>
      <c r="D1443" s="7" t="s">
        <v>686</v>
      </c>
      <c r="E1443" s="7" t="s">
        <v>101</v>
      </c>
      <c r="F1443" s="7" t="s">
        <v>101</v>
      </c>
      <c r="G1443" s="7"/>
      <c r="H1443" s="7" t="s">
        <v>102</v>
      </c>
      <c r="I1443" s="7" t="s">
        <v>158</v>
      </c>
      <c r="J1443" s="7" t="s">
        <v>104</v>
      </c>
      <c r="K1443" s="7" t="s">
        <v>105</v>
      </c>
      <c r="L1443" s="7" t="s">
        <v>106</v>
      </c>
      <c r="M1443" s="7"/>
      <c r="N1443" s="7" t="s">
        <v>9907</v>
      </c>
      <c r="O1443" s="7"/>
      <c r="P1443" s="7" t="s">
        <v>135</v>
      </c>
      <c r="Q1443" s="7"/>
      <c r="R1443" s="7" t="s">
        <v>135</v>
      </c>
      <c r="S1443" s="7" t="s">
        <v>136</v>
      </c>
      <c r="T1443" s="7" t="n">
        <v>0.492</v>
      </c>
      <c r="U1443" s="7" t="n">
        <v>1</v>
      </c>
      <c r="V1443" s="7" t="s">
        <v>90</v>
      </c>
      <c r="W1443" s="7"/>
      <c r="X1443" s="7" t="s">
        <v>9908</v>
      </c>
      <c r="Y1443" s="7" t="s">
        <v>9907</v>
      </c>
      <c r="Z1443" s="7"/>
      <c r="AA1443" s="7"/>
      <c r="AB1443" s="7"/>
      <c r="AC1443" s="7" t="n">
        <v>0</v>
      </c>
      <c r="AD1443" s="7" t="s">
        <v>388</v>
      </c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 t="s">
        <v>127</v>
      </c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8"/>
      <c r="BS1443" s="8"/>
    </row>
    <row r="1444" customFormat="false" ht="15" hidden="false" customHeight="false" outlineLevel="0" collapsed="false">
      <c r="A1444" s="7" t="s">
        <v>9909</v>
      </c>
      <c r="B1444" s="7" t="s">
        <v>9910</v>
      </c>
      <c r="C1444" s="7" t="s">
        <v>9911</v>
      </c>
      <c r="D1444" s="7" t="s">
        <v>686</v>
      </c>
      <c r="E1444" s="7" t="s">
        <v>101</v>
      </c>
      <c r="F1444" s="7" t="s">
        <v>101</v>
      </c>
      <c r="G1444" s="7"/>
      <c r="H1444" s="7" t="s">
        <v>102</v>
      </c>
      <c r="I1444" s="7" t="s">
        <v>300</v>
      </c>
      <c r="J1444" s="7" t="s">
        <v>104</v>
      </c>
      <c r="K1444" s="7" t="s">
        <v>105</v>
      </c>
      <c r="L1444" s="7" t="s">
        <v>106</v>
      </c>
      <c r="M1444" s="7"/>
      <c r="N1444" s="7" t="s">
        <v>9912</v>
      </c>
      <c r="O1444" s="7"/>
      <c r="P1444" s="7" t="s">
        <v>135</v>
      </c>
      <c r="Q1444" s="7"/>
      <c r="R1444" s="7" t="s">
        <v>135</v>
      </c>
      <c r="S1444" s="7" t="s">
        <v>136</v>
      </c>
      <c r="T1444" s="7" t="n">
        <v>0.334</v>
      </c>
      <c r="U1444" s="7" t="n">
        <v>1</v>
      </c>
      <c r="V1444" s="7" t="s">
        <v>90</v>
      </c>
      <c r="W1444" s="7"/>
      <c r="X1444" s="7" t="s">
        <v>2825</v>
      </c>
      <c r="Y1444" s="7" t="s">
        <v>9912</v>
      </c>
      <c r="Z1444" s="7"/>
      <c r="AA1444" s="7"/>
      <c r="AB1444" s="7"/>
      <c r="AC1444" s="7" t="n">
        <v>0</v>
      </c>
      <c r="AD1444" s="7" t="s">
        <v>388</v>
      </c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 t="s">
        <v>127</v>
      </c>
      <c r="BF1444" s="8"/>
      <c r="BG1444" s="8"/>
      <c r="BH1444" s="8"/>
      <c r="BI1444" s="8"/>
      <c r="BJ1444" s="8"/>
      <c r="BK1444" s="8"/>
      <c r="BL1444" s="8"/>
      <c r="BM1444" s="8"/>
      <c r="BN1444" s="8"/>
      <c r="BO1444" s="8"/>
      <c r="BP1444" s="8"/>
      <c r="BQ1444" s="8"/>
      <c r="BR1444" s="8"/>
      <c r="BS1444" s="8"/>
    </row>
    <row r="1445" customFormat="false" ht="15" hidden="false" customHeight="false" outlineLevel="0" collapsed="false">
      <c r="A1445" s="7" t="s">
        <v>9913</v>
      </c>
      <c r="B1445" s="7" t="s">
        <v>9914</v>
      </c>
      <c r="C1445" s="7" t="s">
        <v>9915</v>
      </c>
      <c r="D1445" s="7"/>
      <c r="E1445" s="7"/>
      <c r="F1445" s="7" t="s">
        <v>101</v>
      </c>
      <c r="G1445" s="7"/>
      <c r="H1445" s="7"/>
      <c r="I1445" s="7" t="s">
        <v>158</v>
      </c>
      <c r="J1445" s="7" t="s">
        <v>104</v>
      </c>
      <c r="K1445" s="7" t="s">
        <v>105</v>
      </c>
      <c r="L1445" s="7" t="s">
        <v>106</v>
      </c>
      <c r="M1445" s="7"/>
      <c r="N1445" s="7" t="s">
        <v>9916</v>
      </c>
      <c r="O1445" s="7"/>
      <c r="P1445" s="7" t="s">
        <v>135</v>
      </c>
      <c r="Q1445" s="7"/>
      <c r="R1445" s="7" t="s">
        <v>135</v>
      </c>
      <c r="S1445" s="7" t="s">
        <v>136</v>
      </c>
      <c r="T1445" s="7" t="n">
        <v>0.415</v>
      </c>
      <c r="U1445" s="7" t="n">
        <v>1</v>
      </c>
      <c r="V1445" s="7"/>
      <c r="W1445" s="7"/>
      <c r="X1445" s="7"/>
      <c r="Y1445" s="7" t="s">
        <v>9916</v>
      </c>
      <c r="Z1445" s="7"/>
      <c r="AA1445" s="7"/>
      <c r="AB1445" s="7"/>
      <c r="AC1445" s="7" t="n">
        <v>2</v>
      </c>
      <c r="AD1445" s="7" t="s">
        <v>7546</v>
      </c>
      <c r="AE1445" s="7" t="s">
        <v>522</v>
      </c>
      <c r="AF1445" s="7" t="s">
        <v>9915</v>
      </c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 t="s">
        <v>522</v>
      </c>
      <c r="AX1445" s="7" t="s">
        <v>9916</v>
      </c>
      <c r="AY1445" s="7"/>
      <c r="AZ1445" s="7"/>
      <c r="BA1445" s="7"/>
      <c r="BB1445" s="7"/>
      <c r="BC1445" s="7"/>
      <c r="BD1445" s="7" t="s">
        <v>4207</v>
      </c>
      <c r="BE1445" s="7" t="s">
        <v>127</v>
      </c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</row>
    <row r="1446" customFormat="false" ht="15" hidden="false" customHeight="false" outlineLevel="0" collapsed="false">
      <c r="A1446" s="7" t="s">
        <v>9917</v>
      </c>
      <c r="B1446" s="7" t="s">
        <v>9918</v>
      </c>
      <c r="C1446" s="7" t="s">
        <v>9919</v>
      </c>
      <c r="D1446" s="7"/>
      <c r="E1446" s="7"/>
      <c r="F1446" s="7" t="s">
        <v>101</v>
      </c>
      <c r="G1446" s="7"/>
      <c r="H1446" s="7"/>
      <c r="I1446" s="7" t="s">
        <v>132</v>
      </c>
      <c r="J1446" s="7" t="s">
        <v>104</v>
      </c>
      <c r="K1446" s="7" t="s">
        <v>105</v>
      </c>
      <c r="L1446" s="7" t="s">
        <v>106</v>
      </c>
      <c r="M1446" s="7"/>
      <c r="N1446" s="7" t="s">
        <v>9920</v>
      </c>
      <c r="O1446" s="7"/>
      <c r="P1446" s="7" t="s">
        <v>135</v>
      </c>
      <c r="Q1446" s="7"/>
      <c r="R1446" s="7" t="s">
        <v>135</v>
      </c>
      <c r="S1446" s="7" t="s">
        <v>136</v>
      </c>
      <c r="T1446" s="7" t="n">
        <v>0.488</v>
      </c>
      <c r="U1446" s="7" t="n">
        <v>1</v>
      </c>
      <c r="V1446" s="7"/>
      <c r="W1446" s="7"/>
      <c r="X1446" s="7"/>
      <c r="Y1446" s="7" t="s">
        <v>9920</v>
      </c>
      <c r="Z1446" s="7"/>
      <c r="AA1446" s="7"/>
      <c r="AB1446" s="7"/>
      <c r="AC1446" s="7" t="n">
        <v>2</v>
      </c>
      <c r="AD1446" s="7" t="s">
        <v>7546</v>
      </c>
      <c r="AE1446" s="7" t="s">
        <v>522</v>
      </c>
      <c r="AF1446" s="7" t="s">
        <v>9919</v>
      </c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 t="s">
        <v>522</v>
      </c>
      <c r="AX1446" s="7" t="s">
        <v>9920</v>
      </c>
      <c r="AY1446" s="7"/>
      <c r="AZ1446" s="7"/>
      <c r="BA1446" s="7"/>
      <c r="BB1446" s="7"/>
      <c r="BC1446" s="7"/>
      <c r="BD1446" s="7" t="s">
        <v>4207</v>
      </c>
      <c r="BE1446" s="7" t="s">
        <v>127</v>
      </c>
      <c r="BF1446" s="8"/>
      <c r="BG1446" s="8"/>
      <c r="BH1446" s="8"/>
      <c r="BI1446" s="8"/>
      <c r="BJ1446" s="8"/>
      <c r="BK1446" s="8"/>
      <c r="BL1446" s="8"/>
      <c r="BM1446" s="8"/>
      <c r="BN1446" s="8"/>
      <c r="BO1446" s="8"/>
      <c r="BP1446" s="8"/>
      <c r="BQ1446" s="8"/>
      <c r="BR1446" s="8"/>
      <c r="BS1446" s="8"/>
    </row>
    <row r="1447" customFormat="false" ht="15" hidden="false" customHeight="false" outlineLevel="0" collapsed="false">
      <c r="A1447" s="7" t="s">
        <v>9921</v>
      </c>
      <c r="B1447" s="7" t="s">
        <v>9922</v>
      </c>
      <c r="C1447" s="7" t="s">
        <v>9923</v>
      </c>
      <c r="D1447" s="7"/>
      <c r="E1447" s="7"/>
      <c r="F1447" s="7" t="s">
        <v>101</v>
      </c>
      <c r="G1447" s="7"/>
      <c r="H1447" s="7"/>
      <c r="I1447" s="7" t="s">
        <v>132</v>
      </c>
      <c r="J1447" s="7" t="s">
        <v>104</v>
      </c>
      <c r="K1447" s="7" t="s">
        <v>105</v>
      </c>
      <c r="L1447" s="7" t="s">
        <v>106</v>
      </c>
      <c r="M1447" s="7"/>
      <c r="N1447" s="7" t="s">
        <v>9924</v>
      </c>
      <c r="O1447" s="7"/>
      <c r="P1447" s="7" t="s">
        <v>135</v>
      </c>
      <c r="Q1447" s="7"/>
      <c r="R1447" s="7" t="s">
        <v>135</v>
      </c>
      <c r="S1447" s="7" t="s">
        <v>136</v>
      </c>
      <c r="T1447" s="7" t="n">
        <v>0.371</v>
      </c>
      <c r="U1447" s="7" t="n">
        <v>1</v>
      </c>
      <c r="V1447" s="7"/>
      <c r="W1447" s="7"/>
      <c r="X1447" s="7"/>
      <c r="Y1447" s="7" t="s">
        <v>9924</v>
      </c>
      <c r="Z1447" s="7"/>
      <c r="AA1447" s="7"/>
      <c r="AB1447" s="7"/>
      <c r="AC1447" s="7" t="n">
        <v>2</v>
      </c>
      <c r="AD1447" s="7" t="s">
        <v>7546</v>
      </c>
      <c r="AE1447" s="7" t="s">
        <v>522</v>
      </c>
      <c r="AF1447" s="7" t="s">
        <v>9923</v>
      </c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 t="s">
        <v>522</v>
      </c>
      <c r="AX1447" s="7" t="s">
        <v>9924</v>
      </c>
      <c r="AY1447" s="7"/>
      <c r="AZ1447" s="7"/>
      <c r="BA1447" s="7"/>
      <c r="BB1447" s="7"/>
      <c r="BC1447" s="7"/>
      <c r="BD1447" s="7" t="s">
        <v>4207</v>
      </c>
      <c r="BE1447" s="7" t="s">
        <v>127</v>
      </c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8"/>
      <c r="BS1447" s="8"/>
    </row>
    <row r="1448" customFormat="false" ht="15" hidden="false" customHeight="false" outlineLevel="0" collapsed="false">
      <c r="A1448" s="7" t="s">
        <v>9925</v>
      </c>
      <c r="B1448" s="7" t="s">
        <v>9926</v>
      </c>
      <c r="C1448" s="7" t="s">
        <v>9927</v>
      </c>
      <c r="D1448" s="7"/>
      <c r="E1448" s="7"/>
      <c r="F1448" s="7" t="s">
        <v>101</v>
      </c>
      <c r="G1448" s="7"/>
      <c r="H1448" s="7"/>
      <c r="I1448" s="7" t="s">
        <v>158</v>
      </c>
      <c r="J1448" s="7" t="s">
        <v>104</v>
      </c>
      <c r="K1448" s="7" t="s">
        <v>105</v>
      </c>
      <c r="L1448" s="7" t="s">
        <v>106</v>
      </c>
      <c r="M1448" s="7"/>
      <c r="N1448" s="7" t="s">
        <v>9928</v>
      </c>
      <c r="O1448" s="7"/>
      <c r="P1448" s="7" t="s">
        <v>135</v>
      </c>
      <c r="Q1448" s="7"/>
      <c r="R1448" s="7" t="s">
        <v>135</v>
      </c>
      <c r="S1448" s="7" t="s">
        <v>136</v>
      </c>
      <c r="T1448" s="7" t="n">
        <v>0.321</v>
      </c>
      <c r="U1448" s="7" t="n">
        <v>1</v>
      </c>
      <c r="V1448" s="7"/>
      <c r="W1448" s="7"/>
      <c r="X1448" s="7"/>
      <c r="Y1448" s="7" t="s">
        <v>9928</v>
      </c>
      <c r="Z1448" s="7"/>
      <c r="AA1448" s="7"/>
      <c r="AB1448" s="7"/>
      <c r="AC1448" s="7" t="n">
        <v>2</v>
      </c>
      <c r="AD1448" s="7" t="s">
        <v>7546</v>
      </c>
      <c r="AE1448" s="7" t="s">
        <v>522</v>
      </c>
      <c r="AF1448" s="7" t="s">
        <v>9927</v>
      </c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 t="s">
        <v>522</v>
      </c>
      <c r="AX1448" s="7" t="s">
        <v>9928</v>
      </c>
      <c r="AY1448" s="7"/>
      <c r="AZ1448" s="7"/>
      <c r="BA1448" s="7"/>
      <c r="BB1448" s="7"/>
      <c r="BC1448" s="7"/>
      <c r="BD1448" s="7" t="s">
        <v>4207</v>
      </c>
      <c r="BE1448" s="7" t="s">
        <v>127</v>
      </c>
      <c r="BF1448" s="8"/>
      <c r="BG1448" s="8"/>
      <c r="BH1448" s="8"/>
      <c r="BI1448" s="8"/>
      <c r="BJ1448" s="8"/>
      <c r="BK1448" s="8"/>
      <c r="BL1448" s="8"/>
      <c r="BM1448" s="8"/>
      <c r="BN1448" s="8"/>
      <c r="BO1448" s="8"/>
      <c r="BP1448" s="8"/>
      <c r="BQ1448" s="8"/>
      <c r="BR1448" s="8"/>
      <c r="BS1448" s="8"/>
    </row>
    <row r="1449" customFormat="false" ht="15" hidden="false" customHeight="false" outlineLevel="0" collapsed="false">
      <c r="A1449" s="7" t="s">
        <v>9929</v>
      </c>
      <c r="B1449" s="7" t="s">
        <v>9930</v>
      </c>
      <c r="C1449" s="7" t="s">
        <v>9931</v>
      </c>
      <c r="D1449" s="7"/>
      <c r="E1449" s="7"/>
      <c r="F1449" s="7" t="s">
        <v>101</v>
      </c>
      <c r="G1449" s="7"/>
      <c r="H1449" s="7"/>
      <c r="I1449" s="7" t="s">
        <v>234</v>
      </c>
      <c r="J1449" s="7" t="s">
        <v>104</v>
      </c>
      <c r="K1449" s="7" t="s">
        <v>105</v>
      </c>
      <c r="L1449" s="7" t="s">
        <v>106</v>
      </c>
      <c r="M1449" s="7"/>
      <c r="N1449" s="7" t="s">
        <v>9932</v>
      </c>
      <c r="O1449" s="7"/>
      <c r="P1449" s="7" t="s">
        <v>135</v>
      </c>
      <c r="Q1449" s="7"/>
      <c r="R1449" s="7" t="s">
        <v>135</v>
      </c>
      <c r="S1449" s="7" t="s">
        <v>136</v>
      </c>
      <c r="T1449" s="7" t="n">
        <v>0.392</v>
      </c>
      <c r="U1449" s="7" t="n">
        <v>1</v>
      </c>
      <c r="V1449" s="7"/>
      <c r="W1449" s="7"/>
      <c r="X1449" s="7"/>
      <c r="Y1449" s="7" t="s">
        <v>9932</v>
      </c>
      <c r="Z1449" s="7"/>
      <c r="AA1449" s="7"/>
      <c r="AB1449" s="7"/>
      <c r="AC1449" s="7" t="n">
        <v>2</v>
      </c>
      <c r="AD1449" s="7" t="s">
        <v>7546</v>
      </c>
      <c r="AE1449" s="7" t="s">
        <v>522</v>
      </c>
      <c r="AF1449" s="7" t="s">
        <v>9931</v>
      </c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 t="s">
        <v>522</v>
      </c>
      <c r="AX1449" s="7" t="s">
        <v>9932</v>
      </c>
      <c r="AY1449" s="7"/>
      <c r="AZ1449" s="7"/>
      <c r="BA1449" s="7"/>
      <c r="BB1449" s="7"/>
      <c r="BC1449" s="7"/>
      <c r="BD1449" s="7"/>
      <c r="BE1449" s="7" t="s">
        <v>127</v>
      </c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8"/>
      <c r="BS1449" s="8"/>
    </row>
    <row r="1450" customFormat="false" ht="15" hidden="false" customHeight="false" outlineLevel="0" collapsed="false">
      <c r="A1450" s="7" t="s">
        <v>9933</v>
      </c>
      <c r="B1450" s="7" t="s">
        <v>9934</v>
      </c>
      <c r="C1450" s="7" t="s">
        <v>9935</v>
      </c>
      <c r="D1450" s="7"/>
      <c r="E1450" s="7"/>
      <c r="F1450" s="7" t="s">
        <v>101</v>
      </c>
      <c r="G1450" s="7"/>
      <c r="H1450" s="7"/>
      <c r="I1450" s="7" t="s">
        <v>132</v>
      </c>
      <c r="J1450" s="7" t="s">
        <v>104</v>
      </c>
      <c r="K1450" s="7" t="s">
        <v>105</v>
      </c>
      <c r="L1450" s="7" t="s">
        <v>106</v>
      </c>
      <c r="M1450" s="7"/>
      <c r="N1450" s="7" t="s">
        <v>9936</v>
      </c>
      <c r="O1450" s="7"/>
      <c r="P1450" s="7" t="s">
        <v>135</v>
      </c>
      <c r="Q1450" s="7"/>
      <c r="R1450" s="7" t="s">
        <v>135</v>
      </c>
      <c r="S1450" s="7" t="s">
        <v>136</v>
      </c>
      <c r="T1450" s="7" t="n">
        <v>0.489</v>
      </c>
      <c r="U1450" s="7" t="n">
        <v>1</v>
      </c>
      <c r="V1450" s="7"/>
      <c r="W1450" s="7"/>
      <c r="X1450" s="7"/>
      <c r="Y1450" s="7" t="s">
        <v>9936</v>
      </c>
      <c r="Z1450" s="7"/>
      <c r="AA1450" s="7"/>
      <c r="AB1450" s="7"/>
      <c r="AC1450" s="7" t="n">
        <v>2</v>
      </c>
      <c r="AD1450" s="7" t="s">
        <v>7546</v>
      </c>
      <c r="AE1450" s="7" t="s">
        <v>522</v>
      </c>
      <c r="AF1450" s="7" t="s">
        <v>9935</v>
      </c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 t="s">
        <v>522</v>
      </c>
      <c r="AX1450" s="7" t="s">
        <v>9936</v>
      </c>
      <c r="AY1450" s="7"/>
      <c r="AZ1450" s="7"/>
      <c r="BA1450" s="7"/>
      <c r="BB1450" s="7"/>
      <c r="BC1450" s="7"/>
      <c r="BD1450" s="7"/>
      <c r="BE1450" s="7" t="s">
        <v>127</v>
      </c>
      <c r="BF1450" s="8"/>
      <c r="BG1450" s="8"/>
      <c r="BH1450" s="8"/>
      <c r="BI1450" s="8"/>
      <c r="BJ1450" s="8"/>
      <c r="BK1450" s="8"/>
      <c r="BL1450" s="8"/>
      <c r="BM1450" s="8"/>
      <c r="BN1450" s="8"/>
      <c r="BO1450" s="8"/>
      <c r="BP1450" s="8"/>
      <c r="BQ1450" s="8"/>
      <c r="BR1450" s="8"/>
      <c r="BS1450" s="8"/>
    </row>
    <row r="1451" customFormat="false" ht="15" hidden="false" customHeight="false" outlineLevel="0" collapsed="false">
      <c r="A1451" s="7" t="s">
        <v>9937</v>
      </c>
      <c r="B1451" s="7" t="s">
        <v>9938</v>
      </c>
      <c r="C1451" s="7" t="s">
        <v>9939</v>
      </c>
      <c r="D1451" s="7"/>
      <c r="E1451" s="7"/>
      <c r="F1451" s="7" t="s">
        <v>82</v>
      </c>
      <c r="G1451" s="7"/>
      <c r="H1451" s="7"/>
      <c r="I1451" s="7" t="s">
        <v>132</v>
      </c>
      <c r="J1451" s="7" t="s">
        <v>104</v>
      </c>
      <c r="K1451" s="7" t="s">
        <v>105</v>
      </c>
      <c r="L1451" s="7" t="s">
        <v>106</v>
      </c>
      <c r="M1451" s="7"/>
      <c r="N1451" s="7" t="s">
        <v>9940</v>
      </c>
      <c r="O1451" s="7"/>
      <c r="P1451" s="7" t="s">
        <v>135</v>
      </c>
      <c r="Q1451" s="7"/>
      <c r="R1451" s="7" t="s">
        <v>135</v>
      </c>
      <c r="S1451" s="7" t="s">
        <v>136</v>
      </c>
      <c r="T1451" s="7" t="n">
        <v>0.382</v>
      </c>
      <c r="U1451" s="7" t="n">
        <v>1</v>
      </c>
      <c r="V1451" s="7"/>
      <c r="W1451" s="7"/>
      <c r="X1451" s="7"/>
      <c r="Y1451" s="7" t="s">
        <v>9940</v>
      </c>
      <c r="Z1451" s="7"/>
      <c r="AA1451" s="7"/>
      <c r="AB1451" s="7"/>
      <c r="AC1451" s="7" t="n">
        <v>2</v>
      </c>
      <c r="AD1451" s="7" t="s">
        <v>7546</v>
      </c>
      <c r="AE1451" s="7" t="s">
        <v>522</v>
      </c>
      <c r="AF1451" s="7" t="s">
        <v>9939</v>
      </c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 t="s">
        <v>522</v>
      </c>
      <c r="AX1451" s="7" t="s">
        <v>9940</v>
      </c>
      <c r="AY1451" s="7"/>
      <c r="AZ1451" s="7"/>
      <c r="BA1451" s="7"/>
      <c r="BB1451" s="7"/>
      <c r="BC1451" s="7"/>
      <c r="BD1451" s="7" t="s">
        <v>220</v>
      </c>
      <c r="BE1451" s="7" t="s">
        <v>127</v>
      </c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8"/>
      <c r="BS1451" s="8"/>
    </row>
    <row r="1452" customFormat="false" ht="15" hidden="false" customHeight="false" outlineLevel="0" collapsed="false">
      <c r="A1452" s="7" t="s">
        <v>9941</v>
      </c>
      <c r="B1452" s="7" t="s">
        <v>9942</v>
      </c>
      <c r="C1452" s="7" t="s">
        <v>9943</v>
      </c>
      <c r="D1452" s="7"/>
      <c r="E1452" s="7"/>
      <c r="F1452" s="7" t="s">
        <v>82</v>
      </c>
      <c r="G1452" s="7" t="s">
        <v>1878</v>
      </c>
      <c r="H1452" s="7"/>
      <c r="I1452" s="7" t="s">
        <v>1104</v>
      </c>
      <c r="J1452" s="7" t="s">
        <v>104</v>
      </c>
      <c r="K1452" s="7" t="s">
        <v>105</v>
      </c>
      <c r="L1452" s="7" t="s">
        <v>1106</v>
      </c>
      <c r="M1452" s="7"/>
      <c r="N1452" s="7" t="s">
        <v>9944</v>
      </c>
      <c r="O1452" s="7" t="s">
        <v>9944</v>
      </c>
      <c r="P1452" s="7" t="s">
        <v>135</v>
      </c>
      <c r="Q1452" s="7"/>
      <c r="R1452" s="7" t="s">
        <v>109</v>
      </c>
      <c r="S1452" s="7" t="s">
        <v>110</v>
      </c>
      <c r="T1452" s="7" t="n">
        <v>0.525</v>
      </c>
      <c r="U1452" s="7" t="n">
        <v>1</v>
      </c>
      <c r="V1452" s="7"/>
      <c r="W1452" s="7"/>
      <c r="X1452" s="7"/>
      <c r="Y1452" s="7" t="s">
        <v>9944</v>
      </c>
      <c r="Z1452" s="7"/>
      <c r="AA1452" s="7"/>
      <c r="AB1452" s="7"/>
      <c r="AC1452" s="7" t="n">
        <v>2</v>
      </c>
      <c r="AD1452" s="7" t="s">
        <v>7546</v>
      </c>
      <c r="AE1452" s="7" t="s">
        <v>522</v>
      </c>
      <c r="AF1452" s="7" t="s">
        <v>9943</v>
      </c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 t="s">
        <v>522</v>
      </c>
      <c r="AX1452" s="7" t="s">
        <v>9944</v>
      </c>
      <c r="AY1452" s="7"/>
      <c r="AZ1452" s="7"/>
      <c r="BA1452" s="7"/>
      <c r="BB1452" s="7"/>
      <c r="BC1452" s="7"/>
      <c r="BD1452" s="7" t="s">
        <v>220</v>
      </c>
      <c r="BE1452" s="7" t="s">
        <v>127</v>
      </c>
      <c r="BF1452" s="8"/>
      <c r="BG1452" s="8"/>
      <c r="BH1452" s="8"/>
      <c r="BI1452" s="8"/>
      <c r="BJ1452" s="8"/>
      <c r="BK1452" s="8"/>
      <c r="BL1452" s="8"/>
      <c r="BM1452" s="8"/>
      <c r="BN1452" s="8"/>
      <c r="BO1452" s="8"/>
      <c r="BP1452" s="8"/>
      <c r="BQ1452" s="8"/>
      <c r="BR1452" s="8"/>
      <c r="BS1452" s="8"/>
    </row>
    <row r="1453" customFormat="false" ht="15" hidden="false" customHeight="false" outlineLevel="0" collapsed="false">
      <c r="A1453" s="7" t="s">
        <v>9945</v>
      </c>
      <c r="B1453" s="7" t="s">
        <v>3171</v>
      </c>
      <c r="C1453" s="7" t="s">
        <v>9946</v>
      </c>
      <c r="D1453" s="7"/>
      <c r="E1453" s="7"/>
      <c r="F1453" s="7" t="s">
        <v>82</v>
      </c>
      <c r="G1453" s="7"/>
      <c r="H1453" s="7"/>
      <c r="I1453" s="7" t="s">
        <v>132</v>
      </c>
      <c r="J1453" s="7" t="s">
        <v>104</v>
      </c>
      <c r="K1453" s="7" t="s">
        <v>105</v>
      </c>
      <c r="L1453" s="7" t="s">
        <v>106</v>
      </c>
      <c r="M1453" s="7"/>
      <c r="N1453" s="7" t="s">
        <v>3175</v>
      </c>
      <c r="O1453" s="7"/>
      <c r="P1453" s="7" t="s">
        <v>135</v>
      </c>
      <c r="Q1453" s="7"/>
      <c r="R1453" s="7" t="s">
        <v>135</v>
      </c>
      <c r="S1453" s="7" t="s">
        <v>136</v>
      </c>
      <c r="T1453" s="7" t="n">
        <v>0.642</v>
      </c>
      <c r="U1453" s="7" t="n">
        <v>1</v>
      </c>
      <c r="V1453" s="7"/>
      <c r="W1453" s="7"/>
      <c r="X1453" s="7"/>
      <c r="Y1453" s="7" t="s">
        <v>3175</v>
      </c>
      <c r="Z1453" s="7"/>
      <c r="AA1453" s="7"/>
      <c r="AB1453" s="7"/>
      <c r="AC1453" s="7" t="n">
        <v>2</v>
      </c>
      <c r="AD1453" s="7" t="s">
        <v>7546</v>
      </c>
      <c r="AE1453" s="7" t="s">
        <v>522</v>
      </c>
      <c r="AF1453" s="7" t="s">
        <v>9946</v>
      </c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 t="s">
        <v>522</v>
      </c>
      <c r="AX1453" s="7" t="s">
        <v>3175</v>
      </c>
      <c r="AY1453" s="7"/>
      <c r="AZ1453" s="7"/>
      <c r="BA1453" s="7"/>
      <c r="BB1453" s="7"/>
      <c r="BC1453" s="7"/>
      <c r="BD1453" s="7" t="s">
        <v>220</v>
      </c>
      <c r="BE1453" s="7" t="s">
        <v>127</v>
      </c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8"/>
      <c r="BS1453" s="8"/>
    </row>
    <row r="1454" customFormat="false" ht="15" hidden="false" customHeight="false" outlineLevel="0" collapsed="false">
      <c r="A1454" s="7" t="s">
        <v>9947</v>
      </c>
      <c r="B1454" s="7" t="s">
        <v>9948</v>
      </c>
      <c r="C1454" s="7" t="s">
        <v>9949</v>
      </c>
      <c r="D1454" s="7"/>
      <c r="E1454" s="7"/>
      <c r="F1454" s="7" t="s">
        <v>101</v>
      </c>
      <c r="G1454" s="7"/>
      <c r="H1454" s="7"/>
      <c r="I1454" s="7" t="s">
        <v>132</v>
      </c>
      <c r="J1454" s="7" t="s">
        <v>104</v>
      </c>
      <c r="K1454" s="7" t="s">
        <v>105</v>
      </c>
      <c r="L1454" s="7" t="s">
        <v>106</v>
      </c>
      <c r="M1454" s="7"/>
      <c r="N1454" s="7" t="s">
        <v>9950</v>
      </c>
      <c r="O1454" s="7"/>
      <c r="P1454" s="7" t="s">
        <v>135</v>
      </c>
      <c r="Q1454" s="7"/>
      <c r="R1454" s="7" t="s">
        <v>135</v>
      </c>
      <c r="S1454" s="7" t="s">
        <v>136</v>
      </c>
      <c r="T1454" s="7" t="n">
        <v>0.313</v>
      </c>
      <c r="U1454" s="7" t="n">
        <v>1</v>
      </c>
      <c r="V1454" s="7"/>
      <c r="W1454" s="7"/>
      <c r="X1454" s="7"/>
      <c r="Y1454" s="7" t="s">
        <v>9950</v>
      </c>
      <c r="Z1454" s="7"/>
      <c r="AA1454" s="7"/>
      <c r="AB1454" s="7"/>
      <c r="AC1454" s="7" t="n">
        <v>2</v>
      </c>
      <c r="AD1454" s="7" t="s">
        <v>7546</v>
      </c>
      <c r="AE1454" s="7" t="s">
        <v>522</v>
      </c>
      <c r="AF1454" s="7" t="s">
        <v>9949</v>
      </c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 t="s">
        <v>522</v>
      </c>
      <c r="AX1454" s="7" t="s">
        <v>9950</v>
      </c>
      <c r="AY1454" s="7"/>
      <c r="AZ1454" s="7"/>
      <c r="BA1454" s="7"/>
      <c r="BB1454" s="7"/>
      <c r="BC1454" s="7"/>
      <c r="BD1454" s="7"/>
      <c r="BE1454" s="7" t="s">
        <v>127</v>
      </c>
      <c r="BF1454" s="8"/>
      <c r="BG1454" s="8"/>
      <c r="BH1454" s="8"/>
      <c r="BI1454" s="8"/>
      <c r="BJ1454" s="8"/>
      <c r="BK1454" s="8"/>
      <c r="BL1454" s="8"/>
      <c r="BM1454" s="8"/>
      <c r="BN1454" s="8"/>
      <c r="BO1454" s="8"/>
      <c r="BP1454" s="8"/>
      <c r="BQ1454" s="8"/>
      <c r="BR1454" s="8"/>
      <c r="BS1454" s="8"/>
    </row>
    <row r="1455" customFormat="false" ht="15" hidden="false" customHeight="false" outlineLevel="0" collapsed="false">
      <c r="A1455" s="7" t="s">
        <v>9951</v>
      </c>
      <c r="B1455" s="7" t="s">
        <v>9952</v>
      </c>
      <c r="C1455" s="7" t="s">
        <v>9953</v>
      </c>
      <c r="D1455" s="7"/>
      <c r="E1455" s="7"/>
      <c r="F1455" s="7" t="s">
        <v>82</v>
      </c>
      <c r="G1455" s="7"/>
      <c r="H1455" s="7"/>
      <c r="I1455" s="7" t="s">
        <v>132</v>
      </c>
      <c r="J1455" s="7" t="s">
        <v>104</v>
      </c>
      <c r="K1455" s="7" t="s">
        <v>105</v>
      </c>
      <c r="L1455" s="7" t="s">
        <v>106</v>
      </c>
      <c r="M1455" s="7"/>
      <c r="N1455" s="7" t="s">
        <v>9954</v>
      </c>
      <c r="O1455" s="7" t="s">
        <v>9954</v>
      </c>
      <c r="P1455" s="7" t="s">
        <v>135</v>
      </c>
      <c r="Q1455" s="7"/>
      <c r="R1455" s="7" t="s">
        <v>109</v>
      </c>
      <c r="S1455" s="7" t="s">
        <v>110</v>
      </c>
      <c r="T1455" s="7" t="n">
        <v>0.374</v>
      </c>
      <c r="U1455" s="7" t="n">
        <v>1</v>
      </c>
      <c r="V1455" s="7"/>
      <c r="W1455" s="7"/>
      <c r="X1455" s="7"/>
      <c r="Y1455" s="7" t="s">
        <v>9954</v>
      </c>
      <c r="Z1455" s="7"/>
      <c r="AA1455" s="7"/>
      <c r="AB1455" s="7"/>
      <c r="AC1455" s="7" t="n">
        <v>2</v>
      </c>
      <c r="AD1455" s="7" t="s">
        <v>7546</v>
      </c>
      <c r="AE1455" s="7" t="s">
        <v>522</v>
      </c>
      <c r="AF1455" s="7" t="s">
        <v>9953</v>
      </c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 t="s">
        <v>522</v>
      </c>
      <c r="AX1455" s="7" t="s">
        <v>9954</v>
      </c>
      <c r="AY1455" s="7"/>
      <c r="AZ1455" s="7"/>
      <c r="BA1455" s="7"/>
      <c r="BB1455" s="7"/>
      <c r="BC1455" s="7"/>
      <c r="BD1455" s="7" t="s">
        <v>220</v>
      </c>
      <c r="BE1455" s="7" t="s">
        <v>127</v>
      </c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8"/>
      <c r="BS1455" s="8"/>
    </row>
    <row r="1456" customFormat="false" ht="15" hidden="false" customHeight="false" outlineLevel="0" collapsed="false">
      <c r="A1456" s="7" t="s">
        <v>9955</v>
      </c>
      <c r="B1456" s="7" t="s">
        <v>9956</v>
      </c>
      <c r="C1456" s="7" t="s">
        <v>9957</v>
      </c>
      <c r="D1456" s="7"/>
      <c r="E1456" s="7"/>
      <c r="F1456" s="7" t="s">
        <v>82</v>
      </c>
      <c r="G1456" s="7"/>
      <c r="H1456" s="7"/>
      <c r="I1456" s="7" t="s">
        <v>132</v>
      </c>
      <c r="J1456" s="7" t="s">
        <v>104</v>
      </c>
      <c r="K1456" s="7" t="s">
        <v>105</v>
      </c>
      <c r="L1456" s="7" t="s">
        <v>106</v>
      </c>
      <c r="M1456" s="7"/>
      <c r="N1456" s="7" t="s">
        <v>9958</v>
      </c>
      <c r="O1456" s="7" t="s">
        <v>9958</v>
      </c>
      <c r="P1456" s="7" t="s">
        <v>135</v>
      </c>
      <c r="Q1456" s="7"/>
      <c r="R1456" s="7" t="s">
        <v>109</v>
      </c>
      <c r="S1456" s="7" t="s">
        <v>110</v>
      </c>
      <c r="T1456" s="7" t="n">
        <v>0.324</v>
      </c>
      <c r="U1456" s="7" t="n">
        <v>1</v>
      </c>
      <c r="V1456" s="7"/>
      <c r="W1456" s="7"/>
      <c r="X1456" s="7"/>
      <c r="Y1456" s="7" t="s">
        <v>9958</v>
      </c>
      <c r="Z1456" s="7"/>
      <c r="AA1456" s="7"/>
      <c r="AB1456" s="7"/>
      <c r="AC1456" s="7" t="n">
        <v>2</v>
      </c>
      <c r="AD1456" s="7" t="s">
        <v>7546</v>
      </c>
      <c r="AE1456" s="7" t="s">
        <v>522</v>
      </c>
      <c r="AF1456" s="7" t="s">
        <v>9957</v>
      </c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 t="s">
        <v>522</v>
      </c>
      <c r="AX1456" s="7" t="s">
        <v>9958</v>
      </c>
      <c r="AY1456" s="7"/>
      <c r="AZ1456" s="7"/>
      <c r="BA1456" s="7"/>
      <c r="BB1456" s="7"/>
      <c r="BC1456" s="7"/>
      <c r="BD1456" s="7" t="s">
        <v>1606</v>
      </c>
      <c r="BE1456" s="7" t="s">
        <v>127</v>
      </c>
      <c r="BF1456" s="8"/>
      <c r="BG1456" s="8"/>
      <c r="BH1456" s="8"/>
      <c r="BI1456" s="8"/>
      <c r="BJ1456" s="8"/>
      <c r="BK1456" s="8"/>
      <c r="BL1456" s="8"/>
      <c r="BM1456" s="8"/>
      <c r="BN1456" s="8"/>
      <c r="BO1456" s="8"/>
      <c r="BP1456" s="8"/>
      <c r="BQ1456" s="8"/>
      <c r="BR1456" s="8"/>
      <c r="BS1456" s="8"/>
    </row>
    <row r="1457" customFormat="false" ht="15" hidden="false" customHeight="false" outlineLevel="0" collapsed="false">
      <c r="A1457" s="7" t="s">
        <v>9959</v>
      </c>
      <c r="B1457" s="7" t="s">
        <v>9960</v>
      </c>
      <c r="C1457" s="7" t="s">
        <v>9961</v>
      </c>
      <c r="D1457" s="7"/>
      <c r="E1457" s="7"/>
      <c r="F1457" s="7" t="s">
        <v>101</v>
      </c>
      <c r="G1457" s="7"/>
      <c r="H1457" s="7"/>
      <c r="I1457" s="7" t="s">
        <v>103</v>
      </c>
      <c r="J1457" s="7" t="s">
        <v>104</v>
      </c>
      <c r="K1457" s="7" t="s">
        <v>105</v>
      </c>
      <c r="L1457" s="7" t="s">
        <v>106</v>
      </c>
      <c r="M1457" s="7"/>
      <c r="N1457" s="7" t="s">
        <v>9962</v>
      </c>
      <c r="O1457" s="7"/>
      <c r="P1457" s="7" t="s">
        <v>135</v>
      </c>
      <c r="Q1457" s="7"/>
      <c r="R1457" s="7" t="s">
        <v>135</v>
      </c>
      <c r="S1457" s="7" t="s">
        <v>136</v>
      </c>
      <c r="T1457" s="7" t="n">
        <v>0.138</v>
      </c>
      <c r="U1457" s="7" t="n">
        <v>1</v>
      </c>
      <c r="V1457" s="7"/>
      <c r="W1457" s="7"/>
      <c r="X1457" s="7"/>
      <c r="Y1457" s="7" t="s">
        <v>9962</v>
      </c>
      <c r="Z1457" s="7"/>
      <c r="AA1457" s="7"/>
      <c r="AB1457" s="7"/>
      <c r="AC1457" s="7" t="n">
        <v>2</v>
      </c>
      <c r="AD1457" s="7" t="s">
        <v>7546</v>
      </c>
      <c r="AE1457" s="7" t="s">
        <v>522</v>
      </c>
      <c r="AF1457" s="7" t="s">
        <v>9961</v>
      </c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 t="s">
        <v>522</v>
      </c>
      <c r="AX1457" s="7" t="s">
        <v>9962</v>
      </c>
      <c r="AY1457" s="7"/>
      <c r="AZ1457" s="7"/>
      <c r="BA1457" s="7"/>
      <c r="BB1457" s="7"/>
      <c r="BC1457" s="7"/>
      <c r="BD1457" s="7"/>
      <c r="BE1457" s="7" t="s">
        <v>127</v>
      </c>
      <c r="BF1457" s="8"/>
      <c r="BG1457" s="8"/>
      <c r="BH1457" s="8"/>
      <c r="BI1457" s="8"/>
      <c r="BJ1457" s="8"/>
      <c r="BK1457" s="8"/>
      <c r="BL1457" s="8"/>
      <c r="BM1457" s="8"/>
      <c r="BN1457" s="8"/>
      <c r="BO1457" s="8"/>
      <c r="BP1457" s="8"/>
      <c r="BQ1457" s="8"/>
      <c r="BR1457" s="8"/>
      <c r="BS1457" s="8"/>
    </row>
    <row r="1458" customFormat="false" ht="15" hidden="false" customHeight="false" outlineLevel="0" collapsed="false">
      <c r="A1458" s="7" t="s">
        <v>9963</v>
      </c>
      <c r="B1458" s="7" t="s">
        <v>9964</v>
      </c>
      <c r="C1458" s="7" t="s">
        <v>9965</v>
      </c>
      <c r="D1458" s="7"/>
      <c r="E1458" s="7"/>
      <c r="F1458" s="7" t="s">
        <v>101</v>
      </c>
      <c r="G1458" s="7"/>
      <c r="H1458" s="7"/>
      <c r="I1458" s="7" t="s">
        <v>1726</v>
      </c>
      <c r="J1458" s="7" t="s">
        <v>104</v>
      </c>
      <c r="K1458" s="7" t="s">
        <v>105</v>
      </c>
      <c r="L1458" s="7" t="s">
        <v>106</v>
      </c>
      <c r="M1458" s="7"/>
      <c r="N1458" s="7" t="s">
        <v>9010</v>
      </c>
      <c r="O1458" s="7" t="s">
        <v>9010</v>
      </c>
      <c r="P1458" s="7" t="s">
        <v>135</v>
      </c>
      <c r="Q1458" s="7"/>
      <c r="R1458" s="7" t="s">
        <v>109</v>
      </c>
      <c r="S1458" s="7" t="s">
        <v>110</v>
      </c>
      <c r="T1458" s="7" t="n">
        <v>0.324</v>
      </c>
      <c r="U1458" s="7" t="n">
        <v>1</v>
      </c>
      <c r="V1458" s="7"/>
      <c r="W1458" s="7"/>
      <c r="X1458" s="7"/>
      <c r="Y1458" s="7" t="s">
        <v>9010</v>
      </c>
      <c r="Z1458" s="7"/>
      <c r="AA1458" s="7"/>
      <c r="AB1458" s="7"/>
      <c r="AC1458" s="7" t="n">
        <v>2</v>
      </c>
      <c r="AD1458" s="7" t="s">
        <v>7546</v>
      </c>
      <c r="AE1458" s="7" t="s">
        <v>522</v>
      </c>
      <c r="AF1458" s="7" t="s">
        <v>9965</v>
      </c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 t="s">
        <v>522</v>
      </c>
      <c r="AX1458" s="7" t="s">
        <v>9010</v>
      </c>
      <c r="AY1458" s="7"/>
      <c r="AZ1458" s="7"/>
      <c r="BA1458" s="7"/>
      <c r="BB1458" s="7"/>
      <c r="BC1458" s="7"/>
      <c r="BD1458" s="7"/>
      <c r="BE1458" s="7" t="s">
        <v>127</v>
      </c>
      <c r="BF1458" s="8"/>
      <c r="BG1458" s="8"/>
      <c r="BH1458" s="8"/>
      <c r="BI1458" s="8"/>
      <c r="BJ1458" s="8"/>
      <c r="BK1458" s="8"/>
      <c r="BL1458" s="8"/>
      <c r="BM1458" s="8"/>
      <c r="BN1458" s="8"/>
      <c r="BO1458" s="8"/>
      <c r="BP1458" s="8"/>
      <c r="BQ1458" s="8"/>
      <c r="BR1458" s="8"/>
      <c r="BS1458" s="8"/>
    </row>
    <row r="1459" customFormat="false" ht="15" hidden="false" customHeight="false" outlineLevel="0" collapsed="false">
      <c r="A1459" s="7" t="s">
        <v>9966</v>
      </c>
      <c r="B1459" s="7" t="s">
        <v>9967</v>
      </c>
      <c r="C1459" s="7" t="s">
        <v>9968</v>
      </c>
      <c r="D1459" s="7"/>
      <c r="E1459" s="7"/>
      <c r="F1459" s="7" t="s">
        <v>101</v>
      </c>
      <c r="G1459" s="7"/>
      <c r="H1459" s="7"/>
      <c r="I1459" s="7" t="s">
        <v>234</v>
      </c>
      <c r="J1459" s="7" t="s">
        <v>104</v>
      </c>
      <c r="K1459" s="7" t="s">
        <v>105</v>
      </c>
      <c r="L1459" s="7" t="s">
        <v>235</v>
      </c>
      <c r="M1459" s="7"/>
      <c r="N1459" s="7" t="s">
        <v>9969</v>
      </c>
      <c r="O1459" s="7"/>
      <c r="P1459" s="7" t="s">
        <v>135</v>
      </c>
      <c r="Q1459" s="7"/>
      <c r="R1459" s="7" t="s">
        <v>135</v>
      </c>
      <c r="S1459" s="7" t="s">
        <v>136</v>
      </c>
      <c r="T1459" s="7" t="n">
        <v>0.673</v>
      </c>
      <c r="U1459" s="7" t="n">
        <v>1</v>
      </c>
      <c r="V1459" s="7"/>
      <c r="W1459" s="7"/>
      <c r="X1459" s="7"/>
      <c r="Y1459" s="7" t="s">
        <v>9969</v>
      </c>
      <c r="Z1459" s="7"/>
      <c r="AA1459" s="7"/>
      <c r="AB1459" s="7"/>
      <c r="AC1459" s="7" t="n">
        <v>2</v>
      </c>
      <c r="AD1459" s="7" t="s">
        <v>7546</v>
      </c>
      <c r="AE1459" s="7" t="s">
        <v>522</v>
      </c>
      <c r="AF1459" s="7" t="s">
        <v>9968</v>
      </c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 t="s">
        <v>522</v>
      </c>
      <c r="AX1459" s="7" t="s">
        <v>9969</v>
      </c>
      <c r="AY1459" s="7"/>
      <c r="AZ1459" s="7"/>
      <c r="BA1459" s="7"/>
      <c r="BB1459" s="7"/>
      <c r="BC1459" s="7"/>
      <c r="BD1459" s="7"/>
      <c r="BE1459" s="7" t="s">
        <v>127</v>
      </c>
      <c r="BF1459" s="8"/>
      <c r="BG1459" s="8"/>
      <c r="BH1459" s="8"/>
      <c r="BI1459" s="8"/>
      <c r="BJ1459" s="8"/>
      <c r="BK1459" s="8"/>
      <c r="BL1459" s="8"/>
      <c r="BM1459" s="8"/>
      <c r="BN1459" s="8"/>
      <c r="BO1459" s="8"/>
      <c r="BP1459" s="8"/>
      <c r="BQ1459" s="8"/>
      <c r="BR1459" s="8"/>
      <c r="BS1459" s="8"/>
    </row>
    <row r="1460" customFormat="false" ht="15" hidden="false" customHeight="false" outlineLevel="0" collapsed="false">
      <c r="A1460" s="7" t="s">
        <v>9970</v>
      </c>
      <c r="B1460" s="7" t="s">
        <v>9971</v>
      </c>
      <c r="C1460" s="7" t="s">
        <v>9972</v>
      </c>
      <c r="D1460" s="7"/>
      <c r="E1460" s="7"/>
      <c r="F1460" s="7" t="s">
        <v>101</v>
      </c>
      <c r="G1460" s="7"/>
      <c r="H1460" s="7"/>
      <c r="I1460" s="7" t="s">
        <v>234</v>
      </c>
      <c r="J1460" s="7" t="s">
        <v>104</v>
      </c>
      <c r="K1460" s="7" t="s">
        <v>105</v>
      </c>
      <c r="L1460" s="7" t="s">
        <v>106</v>
      </c>
      <c r="M1460" s="7"/>
      <c r="N1460" s="7" t="s">
        <v>9973</v>
      </c>
      <c r="O1460" s="7"/>
      <c r="P1460" s="7" t="s">
        <v>135</v>
      </c>
      <c r="Q1460" s="7"/>
      <c r="R1460" s="7" t="s">
        <v>135</v>
      </c>
      <c r="S1460" s="7" t="s">
        <v>136</v>
      </c>
      <c r="T1460" s="7" t="n">
        <v>0.349</v>
      </c>
      <c r="U1460" s="7" t="n">
        <v>1</v>
      </c>
      <c r="V1460" s="7"/>
      <c r="W1460" s="7"/>
      <c r="X1460" s="7"/>
      <c r="Y1460" s="7" t="s">
        <v>9973</v>
      </c>
      <c r="Z1460" s="7"/>
      <c r="AA1460" s="7"/>
      <c r="AB1460" s="7"/>
      <c r="AC1460" s="7" t="n">
        <v>2</v>
      </c>
      <c r="AD1460" s="7" t="s">
        <v>7546</v>
      </c>
      <c r="AE1460" s="7" t="s">
        <v>522</v>
      </c>
      <c r="AF1460" s="7" t="s">
        <v>9972</v>
      </c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 t="s">
        <v>522</v>
      </c>
      <c r="AX1460" s="7" t="s">
        <v>9973</v>
      </c>
      <c r="AY1460" s="7"/>
      <c r="AZ1460" s="7"/>
      <c r="BA1460" s="7"/>
      <c r="BB1460" s="7"/>
      <c r="BC1460" s="7"/>
      <c r="BD1460" s="7"/>
      <c r="BE1460" s="7" t="s">
        <v>127</v>
      </c>
      <c r="BF1460" s="8"/>
      <c r="BG1460" s="8"/>
      <c r="BH1460" s="8"/>
      <c r="BI1460" s="8"/>
      <c r="BJ1460" s="8"/>
      <c r="BK1460" s="8"/>
      <c r="BL1460" s="8"/>
      <c r="BM1460" s="8"/>
      <c r="BN1460" s="8"/>
      <c r="BO1460" s="8"/>
      <c r="BP1460" s="8"/>
      <c r="BQ1460" s="8"/>
      <c r="BR1460" s="8"/>
      <c r="BS1460" s="8"/>
    </row>
    <row r="1461" customFormat="false" ht="15" hidden="false" customHeight="false" outlineLevel="0" collapsed="false">
      <c r="A1461" s="7" t="s">
        <v>9974</v>
      </c>
      <c r="B1461" s="7" t="s">
        <v>9975</v>
      </c>
      <c r="C1461" s="7" t="s">
        <v>9976</v>
      </c>
      <c r="D1461" s="7"/>
      <c r="E1461" s="7"/>
      <c r="F1461" s="7" t="s">
        <v>101</v>
      </c>
      <c r="G1461" s="7"/>
      <c r="H1461" s="7"/>
      <c r="I1461" s="7" t="s">
        <v>132</v>
      </c>
      <c r="J1461" s="7" t="s">
        <v>104</v>
      </c>
      <c r="K1461" s="7" t="s">
        <v>105</v>
      </c>
      <c r="L1461" s="7" t="s">
        <v>106</v>
      </c>
      <c r="M1461" s="7"/>
      <c r="N1461" s="7" t="s">
        <v>9977</v>
      </c>
      <c r="O1461" s="7"/>
      <c r="P1461" s="7" t="s">
        <v>135</v>
      </c>
      <c r="Q1461" s="7"/>
      <c r="R1461" s="7" t="s">
        <v>135</v>
      </c>
      <c r="S1461" s="7" t="s">
        <v>136</v>
      </c>
      <c r="T1461" s="7" t="n">
        <v>0.381</v>
      </c>
      <c r="U1461" s="7" t="n">
        <v>1</v>
      </c>
      <c r="V1461" s="7"/>
      <c r="W1461" s="7"/>
      <c r="X1461" s="7"/>
      <c r="Y1461" s="7" t="s">
        <v>9977</v>
      </c>
      <c r="Z1461" s="7"/>
      <c r="AA1461" s="7"/>
      <c r="AB1461" s="7"/>
      <c r="AC1461" s="7" t="n">
        <v>2</v>
      </c>
      <c r="AD1461" s="7" t="s">
        <v>7546</v>
      </c>
      <c r="AE1461" s="7" t="s">
        <v>522</v>
      </c>
      <c r="AF1461" s="7" t="s">
        <v>9976</v>
      </c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 t="s">
        <v>522</v>
      </c>
      <c r="AX1461" s="7" t="s">
        <v>9977</v>
      </c>
      <c r="AY1461" s="7"/>
      <c r="AZ1461" s="7"/>
      <c r="BA1461" s="7"/>
      <c r="BB1461" s="7"/>
      <c r="BC1461" s="7"/>
      <c r="BD1461" s="7"/>
      <c r="BE1461" s="7" t="s">
        <v>127</v>
      </c>
      <c r="BF1461" s="8"/>
      <c r="BG1461" s="8"/>
      <c r="BH1461" s="8"/>
      <c r="BI1461" s="8"/>
      <c r="BJ1461" s="8"/>
      <c r="BK1461" s="8"/>
      <c r="BL1461" s="8"/>
      <c r="BM1461" s="8"/>
      <c r="BN1461" s="8"/>
      <c r="BO1461" s="8"/>
      <c r="BP1461" s="8"/>
      <c r="BQ1461" s="8"/>
      <c r="BR1461" s="8"/>
      <c r="BS1461" s="8"/>
    </row>
    <row r="1462" customFormat="false" ht="15" hidden="false" customHeight="false" outlineLevel="0" collapsed="false">
      <c r="A1462" s="7" t="s">
        <v>9978</v>
      </c>
      <c r="B1462" s="7" t="s">
        <v>9979</v>
      </c>
      <c r="C1462" s="7" t="s">
        <v>9980</v>
      </c>
      <c r="D1462" s="7"/>
      <c r="E1462" s="7"/>
      <c r="F1462" s="7" t="s">
        <v>101</v>
      </c>
      <c r="G1462" s="7"/>
      <c r="H1462" s="7"/>
      <c r="I1462" s="7" t="s">
        <v>132</v>
      </c>
      <c r="J1462" s="7" t="s">
        <v>104</v>
      </c>
      <c r="K1462" s="7" t="s">
        <v>105</v>
      </c>
      <c r="L1462" s="7" t="s">
        <v>106</v>
      </c>
      <c r="M1462" s="7"/>
      <c r="N1462" s="7" t="s">
        <v>9981</v>
      </c>
      <c r="O1462" s="7"/>
      <c r="P1462" s="7" t="s">
        <v>135</v>
      </c>
      <c r="Q1462" s="7"/>
      <c r="R1462" s="7" t="s">
        <v>135</v>
      </c>
      <c r="S1462" s="7" t="s">
        <v>136</v>
      </c>
      <c r="T1462" s="7" t="n">
        <v>0.265</v>
      </c>
      <c r="U1462" s="7" t="n">
        <v>1</v>
      </c>
      <c r="V1462" s="7"/>
      <c r="W1462" s="7"/>
      <c r="X1462" s="7"/>
      <c r="Y1462" s="7" t="s">
        <v>9981</v>
      </c>
      <c r="Z1462" s="7"/>
      <c r="AA1462" s="7"/>
      <c r="AB1462" s="7"/>
      <c r="AC1462" s="7" t="n">
        <v>2</v>
      </c>
      <c r="AD1462" s="7" t="s">
        <v>7546</v>
      </c>
      <c r="AE1462" s="7" t="s">
        <v>522</v>
      </c>
      <c r="AF1462" s="7" t="s">
        <v>9980</v>
      </c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 t="s">
        <v>522</v>
      </c>
      <c r="AX1462" s="7" t="s">
        <v>9981</v>
      </c>
      <c r="AY1462" s="7"/>
      <c r="AZ1462" s="7"/>
      <c r="BA1462" s="7"/>
      <c r="BB1462" s="7"/>
      <c r="BC1462" s="7"/>
      <c r="BD1462" s="7"/>
      <c r="BE1462" s="7" t="s">
        <v>127</v>
      </c>
      <c r="BF1462" s="8"/>
      <c r="BG1462" s="8"/>
      <c r="BH1462" s="8"/>
      <c r="BI1462" s="8"/>
      <c r="BJ1462" s="8"/>
      <c r="BK1462" s="8"/>
      <c r="BL1462" s="8"/>
      <c r="BM1462" s="8"/>
      <c r="BN1462" s="8"/>
      <c r="BO1462" s="8"/>
      <c r="BP1462" s="8"/>
      <c r="BQ1462" s="8"/>
      <c r="BR1462" s="8"/>
      <c r="BS1462" s="8"/>
    </row>
    <row r="1463" customFormat="false" ht="15" hidden="false" customHeight="false" outlineLevel="0" collapsed="false">
      <c r="A1463" s="7" t="s">
        <v>9982</v>
      </c>
      <c r="B1463" s="7" t="s">
        <v>9983</v>
      </c>
      <c r="C1463" s="7" t="s">
        <v>9984</v>
      </c>
      <c r="D1463" s="7"/>
      <c r="E1463" s="7"/>
      <c r="F1463" s="7" t="s">
        <v>101</v>
      </c>
      <c r="G1463" s="7"/>
      <c r="H1463" s="7"/>
      <c r="I1463" s="7" t="s">
        <v>103</v>
      </c>
      <c r="J1463" s="7" t="s">
        <v>104</v>
      </c>
      <c r="K1463" s="7" t="s">
        <v>105</v>
      </c>
      <c r="L1463" s="7" t="s">
        <v>106</v>
      </c>
      <c r="M1463" s="7"/>
      <c r="N1463" s="7" t="s">
        <v>9985</v>
      </c>
      <c r="O1463" s="7"/>
      <c r="P1463" s="7" t="s">
        <v>135</v>
      </c>
      <c r="Q1463" s="7"/>
      <c r="R1463" s="7" t="s">
        <v>135</v>
      </c>
      <c r="S1463" s="7" t="s">
        <v>136</v>
      </c>
      <c r="T1463" s="7" t="n">
        <v>0.334</v>
      </c>
      <c r="U1463" s="7" t="n">
        <v>1</v>
      </c>
      <c r="V1463" s="7"/>
      <c r="W1463" s="7"/>
      <c r="X1463" s="7"/>
      <c r="Y1463" s="7" t="s">
        <v>9985</v>
      </c>
      <c r="Z1463" s="7"/>
      <c r="AA1463" s="7"/>
      <c r="AB1463" s="7"/>
      <c r="AC1463" s="7" t="n">
        <v>2</v>
      </c>
      <c r="AD1463" s="7" t="s">
        <v>7546</v>
      </c>
      <c r="AE1463" s="7" t="s">
        <v>522</v>
      </c>
      <c r="AF1463" s="7" t="s">
        <v>9984</v>
      </c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 t="s">
        <v>522</v>
      </c>
      <c r="AX1463" s="7" t="s">
        <v>9985</v>
      </c>
      <c r="AY1463" s="7"/>
      <c r="AZ1463" s="7"/>
      <c r="BA1463" s="7"/>
      <c r="BB1463" s="7"/>
      <c r="BC1463" s="7"/>
      <c r="BD1463" s="7"/>
      <c r="BE1463" s="7" t="s">
        <v>127</v>
      </c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8"/>
      <c r="BS1463" s="8"/>
    </row>
    <row r="1464" customFormat="false" ht="15" hidden="false" customHeight="false" outlineLevel="0" collapsed="false">
      <c r="A1464" s="7" t="s">
        <v>9986</v>
      </c>
      <c r="B1464" s="7" t="s">
        <v>9987</v>
      </c>
      <c r="C1464" s="7" t="s">
        <v>9988</v>
      </c>
      <c r="D1464" s="7"/>
      <c r="E1464" s="7"/>
      <c r="F1464" s="7" t="s">
        <v>101</v>
      </c>
      <c r="G1464" s="7"/>
      <c r="H1464" s="7"/>
      <c r="I1464" s="7" t="s">
        <v>132</v>
      </c>
      <c r="J1464" s="7" t="s">
        <v>104</v>
      </c>
      <c r="K1464" s="7" t="s">
        <v>105</v>
      </c>
      <c r="L1464" s="7" t="s">
        <v>106</v>
      </c>
      <c r="M1464" s="7"/>
      <c r="N1464" s="7" t="s">
        <v>9989</v>
      </c>
      <c r="O1464" s="7"/>
      <c r="P1464" s="7" t="s">
        <v>135</v>
      </c>
      <c r="Q1464" s="7"/>
      <c r="R1464" s="7" t="s">
        <v>135</v>
      </c>
      <c r="S1464" s="7" t="s">
        <v>136</v>
      </c>
      <c r="T1464" s="7" t="n">
        <v>0.233</v>
      </c>
      <c r="U1464" s="7" t="n">
        <v>1</v>
      </c>
      <c r="V1464" s="7"/>
      <c r="W1464" s="7"/>
      <c r="X1464" s="7"/>
      <c r="Y1464" s="7" t="s">
        <v>9989</v>
      </c>
      <c r="Z1464" s="7"/>
      <c r="AA1464" s="7"/>
      <c r="AB1464" s="7"/>
      <c r="AC1464" s="7" t="n">
        <v>2</v>
      </c>
      <c r="AD1464" s="7" t="s">
        <v>7546</v>
      </c>
      <c r="AE1464" s="7" t="s">
        <v>522</v>
      </c>
      <c r="AF1464" s="7" t="s">
        <v>9988</v>
      </c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 t="s">
        <v>522</v>
      </c>
      <c r="AX1464" s="7" t="s">
        <v>9989</v>
      </c>
      <c r="AY1464" s="7"/>
      <c r="AZ1464" s="7"/>
      <c r="BA1464" s="7"/>
      <c r="BB1464" s="7"/>
      <c r="BC1464" s="7"/>
      <c r="BD1464" s="7"/>
      <c r="BE1464" s="7" t="s">
        <v>127</v>
      </c>
      <c r="BF1464" s="8"/>
      <c r="BG1464" s="8"/>
      <c r="BH1464" s="8"/>
      <c r="BI1464" s="8"/>
      <c r="BJ1464" s="8"/>
      <c r="BK1464" s="8"/>
      <c r="BL1464" s="8"/>
      <c r="BM1464" s="8"/>
      <c r="BN1464" s="8"/>
      <c r="BO1464" s="8"/>
      <c r="BP1464" s="8"/>
      <c r="BQ1464" s="8"/>
      <c r="BR1464" s="8"/>
      <c r="BS1464" s="8"/>
    </row>
    <row r="1465" customFormat="false" ht="15" hidden="false" customHeight="false" outlineLevel="0" collapsed="false">
      <c r="A1465" s="7" t="s">
        <v>9990</v>
      </c>
      <c r="B1465" s="7" t="s">
        <v>9991</v>
      </c>
      <c r="C1465" s="7" t="s">
        <v>9992</v>
      </c>
      <c r="D1465" s="7" t="s">
        <v>1927</v>
      </c>
      <c r="E1465" s="7" t="s">
        <v>82</v>
      </c>
      <c r="F1465" s="7" t="s">
        <v>82</v>
      </c>
      <c r="G1465" s="7"/>
      <c r="H1465" s="7"/>
      <c r="I1465" s="7" t="s">
        <v>132</v>
      </c>
      <c r="J1465" s="7" t="s">
        <v>104</v>
      </c>
      <c r="K1465" s="7" t="s">
        <v>105</v>
      </c>
      <c r="L1465" s="7" t="s">
        <v>106</v>
      </c>
      <c r="M1465" s="7"/>
      <c r="N1465" s="7" t="s">
        <v>9993</v>
      </c>
      <c r="O1465" s="7"/>
      <c r="P1465" s="7" t="s">
        <v>135</v>
      </c>
      <c r="Q1465" s="7"/>
      <c r="R1465" s="7"/>
      <c r="S1465" s="7"/>
      <c r="T1465" s="7" t="n">
        <v>0.748</v>
      </c>
      <c r="U1465" s="7" t="n">
        <v>1</v>
      </c>
      <c r="V1465" s="7"/>
      <c r="W1465" s="7"/>
      <c r="X1465" s="7"/>
      <c r="Y1465" s="7" t="s">
        <v>9993</v>
      </c>
      <c r="Z1465" s="7"/>
      <c r="AA1465" s="7"/>
      <c r="AB1465" s="7"/>
      <c r="AC1465" s="7"/>
      <c r="AD1465" s="7"/>
      <c r="AE1465" s="7" t="s">
        <v>2032</v>
      </c>
      <c r="AF1465" s="7" t="s">
        <v>9992</v>
      </c>
      <c r="AG1465" s="7"/>
      <c r="AH1465" s="7"/>
      <c r="AI1465" s="7"/>
      <c r="AJ1465" s="7"/>
      <c r="AK1465" s="7"/>
      <c r="AL1465" s="7"/>
      <c r="AM1465" s="7"/>
      <c r="AN1465" s="7"/>
      <c r="AO1465" s="7" t="s">
        <v>2032</v>
      </c>
      <c r="AP1465" s="7" t="s">
        <v>1927</v>
      </c>
      <c r="AQ1465" s="7" t="s">
        <v>2032</v>
      </c>
      <c r="AR1465" s="7" t="s">
        <v>82</v>
      </c>
      <c r="AS1465" s="7"/>
      <c r="AT1465" s="7"/>
      <c r="AU1465" s="7"/>
      <c r="AV1465" s="7"/>
      <c r="AW1465" s="7" t="s">
        <v>2032</v>
      </c>
      <c r="AX1465" s="7" t="s">
        <v>9993</v>
      </c>
      <c r="AY1465" s="7"/>
      <c r="AZ1465" s="7"/>
      <c r="BA1465" s="7"/>
      <c r="BB1465" s="7"/>
      <c r="BC1465" s="7"/>
      <c r="BD1465" s="7" t="s">
        <v>220</v>
      </c>
      <c r="BE1465" s="7" t="s">
        <v>127</v>
      </c>
      <c r="BF1465" s="8"/>
      <c r="BG1465" s="8"/>
      <c r="BH1465" s="8"/>
      <c r="BI1465" s="8"/>
      <c r="BJ1465" s="8"/>
      <c r="BK1465" s="8"/>
      <c r="BL1465" s="8"/>
      <c r="BM1465" s="8"/>
      <c r="BN1465" s="8"/>
      <c r="BO1465" s="8"/>
      <c r="BP1465" s="8"/>
      <c r="BQ1465" s="8"/>
      <c r="BR1465" s="8"/>
      <c r="BS1465" s="8"/>
    </row>
    <row r="1466" customFormat="false" ht="15" hidden="false" customHeight="false" outlineLevel="0" collapsed="false">
      <c r="A1466" s="7" t="s">
        <v>9994</v>
      </c>
      <c r="B1466" s="7" t="s">
        <v>9995</v>
      </c>
      <c r="C1466" s="7" t="s">
        <v>9996</v>
      </c>
      <c r="D1466" s="7" t="s">
        <v>1927</v>
      </c>
      <c r="E1466" s="7" t="s">
        <v>82</v>
      </c>
      <c r="F1466" s="7" t="s">
        <v>82</v>
      </c>
      <c r="G1466" s="7"/>
      <c r="H1466" s="7"/>
      <c r="I1466" s="7" t="s">
        <v>208</v>
      </c>
      <c r="J1466" s="7" t="s">
        <v>104</v>
      </c>
      <c r="K1466" s="7" t="s">
        <v>105</v>
      </c>
      <c r="L1466" s="7" t="s">
        <v>106</v>
      </c>
      <c r="M1466" s="7"/>
      <c r="N1466" s="7" t="s">
        <v>9997</v>
      </c>
      <c r="O1466" s="7"/>
      <c r="P1466" s="7" t="s">
        <v>135</v>
      </c>
      <c r="Q1466" s="7"/>
      <c r="R1466" s="7"/>
      <c r="S1466" s="7"/>
      <c r="T1466" s="7" t="n">
        <v>0.465</v>
      </c>
      <c r="U1466" s="7" t="n">
        <v>1</v>
      </c>
      <c r="V1466" s="7"/>
      <c r="W1466" s="7"/>
      <c r="X1466" s="7"/>
      <c r="Y1466" s="7" t="s">
        <v>9997</v>
      </c>
      <c r="Z1466" s="7"/>
      <c r="AA1466" s="7"/>
      <c r="AB1466" s="7"/>
      <c r="AC1466" s="7"/>
      <c r="AD1466" s="7"/>
      <c r="AE1466" s="7" t="s">
        <v>2032</v>
      </c>
      <c r="AF1466" s="7" t="s">
        <v>9996</v>
      </c>
      <c r="AG1466" s="7"/>
      <c r="AH1466" s="7"/>
      <c r="AI1466" s="7"/>
      <c r="AJ1466" s="7"/>
      <c r="AK1466" s="7"/>
      <c r="AL1466" s="7"/>
      <c r="AM1466" s="7"/>
      <c r="AN1466" s="7"/>
      <c r="AO1466" s="7" t="s">
        <v>2032</v>
      </c>
      <c r="AP1466" s="7" t="s">
        <v>1927</v>
      </c>
      <c r="AQ1466" s="7" t="s">
        <v>2032</v>
      </c>
      <c r="AR1466" s="7" t="s">
        <v>82</v>
      </c>
      <c r="AS1466" s="7"/>
      <c r="AT1466" s="7"/>
      <c r="AU1466" s="7"/>
      <c r="AV1466" s="7"/>
      <c r="AW1466" s="7" t="s">
        <v>2032</v>
      </c>
      <c r="AX1466" s="7" t="s">
        <v>9997</v>
      </c>
      <c r="AY1466" s="7"/>
      <c r="AZ1466" s="7"/>
      <c r="BA1466" s="7"/>
      <c r="BB1466" s="7"/>
      <c r="BC1466" s="7"/>
      <c r="BD1466" s="7" t="s">
        <v>220</v>
      </c>
      <c r="BE1466" s="7" t="s">
        <v>127</v>
      </c>
      <c r="BF1466" s="8"/>
      <c r="BG1466" s="8"/>
      <c r="BH1466" s="8"/>
      <c r="BI1466" s="8"/>
      <c r="BJ1466" s="8"/>
      <c r="BK1466" s="8"/>
      <c r="BL1466" s="8"/>
      <c r="BM1466" s="8"/>
      <c r="BN1466" s="8"/>
      <c r="BO1466" s="8"/>
      <c r="BP1466" s="8"/>
      <c r="BQ1466" s="8"/>
      <c r="BR1466" s="8"/>
      <c r="BS1466" s="8"/>
    </row>
    <row r="1467" customFormat="false" ht="15" hidden="false" customHeight="false" outlineLevel="0" collapsed="false">
      <c r="A1467" s="7" t="s">
        <v>9998</v>
      </c>
      <c r="B1467" s="7" t="s">
        <v>9999</v>
      </c>
      <c r="C1467" s="7" t="s">
        <v>10000</v>
      </c>
      <c r="D1467" s="7" t="s">
        <v>258</v>
      </c>
      <c r="E1467" s="7" t="s">
        <v>82</v>
      </c>
      <c r="F1467" s="7" t="s">
        <v>82</v>
      </c>
      <c r="G1467" s="7"/>
      <c r="H1467" s="7"/>
      <c r="I1467" s="7" t="s">
        <v>132</v>
      </c>
      <c r="J1467" s="7" t="s">
        <v>104</v>
      </c>
      <c r="K1467" s="7" t="s">
        <v>105</v>
      </c>
      <c r="L1467" s="7" t="s">
        <v>106</v>
      </c>
      <c r="M1467" s="7"/>
      <c r="N1467" s="7" t="s">
        <v>10001</v>
      </c>
      <c r="O1467" s="7" t="s">
        <v>10001</v>
      </c>
      <c r="P1467" s="7" t="s">
        <v>135</v>
      </c>
      <c r="Q1467" s="7"/>
      <c r="R1467" s="7" t="s">
        <v>109</v>
      </c>
      <c r="S1467" s="7" t="s">
        <v>110</v>
      </c>
      <c r="T1467" s="7" t="n">
        <v>0.325</v>
      </c>
      <c r="U1467" s="7" t="n">
        <v>1</v>
      </c>
      <c r="V1467" s="7"/>
      <c r="W1467" s="7"/>
      <c r="X1467" s="7"/>
      <c r="Y1467" s="7" t="s">
        <v>10001</v>
      </c>
      <c r="Z1467" s="7"/>
      <c r="AA1467" s="7"/>
      <c r="AB1467" s="7"/>
      <c r="AC1467" s="7" t="n">
        <v>4</v>
      </c>
      <c r="AD1467" s="7" t="s">
        <v>1376</v>
      </c>
      <c r="AE1467" s="7" t="s">
        <v>2032</v>
      </c>
      <c r="AF1467" s="7" t="s">
        <v>10000</v>
      </c>
      <c r="AG1467" s="7"/>
      <c r="AH1467" s="7"/>
      <c r="AI1467" s="7"/>
      <c r="AJ1467" s="7"/>
      <c r="AK1467" s="7"/>
      <c r="AL1467" s="7"/>
      <c r="AM1467" s="7"/>
      <c r="AN1467" s="7"/>
      <c r="AO1467" s="7" t="s">
        <v>2032</v>
      </c>
      <c r="AP1467" s="7" t="s">
        <v>258</v>
      </c>
      <c r="AQ1467" s="7" t="s">
        <v>2032</v>
      </c>
      <c r="AR1467" s="7" t="s">
        <v>82</v>
      </c>
      <c r="AS1467" s="7"/>
      <c r="AT1467" s="7"/>
      <c r="AU1467" s="7"/>
      <c r="AV1467" s="7"/>
      <c r="AW1467" s="7" t="s">
        <v>2032</v>
      </c>
      <c r="AX1467" s="7" t="s">
        <v>10001</v>
      </c>
      <c r="AY1467" s="7"/>
      <c r="AZ1467" s="7"/>
      <c r="BA1467" s="7"/>
      <c r="BB1467" s="7"/>
      <c r="BC1467" s="7"/>
      <c r="BD1467" s="7" t="s">
        <v>10002</v>
      </c>
      <c r="BE1467" s="7" t="s">
        <v>127</v>
      </c>
      <c r="BF1467" s="8"/>
      <c r="BG1467" s="8"/>
      <c r="BH1467" s="8"/>
      <c r="BI1467" s="8"/>
      <c r="BJ1467" s="8"/>
      <c r="BK1467" s="8"/>
      <c r="BL1467" s="8"/>
      <c r="BM1467" s="8"/>
      <c r="BN1467" s="8"/>
      <c r="BO1467" s="8"/>
      <c r="BP1467" s="8"/>
      <c r="BQ1467" s="8"/>
      <c r="BR1467" s="8"/>
      <c r="BS1467" s="8"/>
    </row>
    <row r="1468" customFormat="false" ht="15" hidden="false" customHeight="false" outlineLevel="0" collapsed="false">
      <c r="A1468" s="7" t="s">
        <v>10003</v>
      </c>
      <c r="B1468" s="7" t="s">
        <v>10004</v>
      </c>
      <c r="C1468" s="7" t="s">
        <v>10005</v>
      </c>
      <c r="D1468" s="7" t="s">
        <v>258</v>
      </c>
      <c r="E1468" s="7" t="s">
        <v>82</v>
      </c>
      <c r="F1468" s="7" t="s">
        <v>82</v>
      </c>
      <c r="G1468" s="7"/>
      <c r="H1468" s="7"/>
      <c r="I1468" s="7" t="s">
        <v>1726</v>
      </c>
      <c r="J1468" s="7" t="s">
        <v>104</v>
      </c>
      <c r="K1468" s="7" t="s">
        <v>105</v>
      </c>
      <c r="L1468" s="7" t="s">
        <v>106</v>
      </c>
      <c r="M1468" s="7"/>
      <c r="N1468" s="7" t="s">
        <v>10006</v>
      </c>
      <c r="O1468" s="7"/>
      <c r="P1468" s="7" t="s">
        <v>109</v>
      </c>
      <c r="Q1468" s="7"/>
      <c r="R1468" s="7"/>
      <c r="S1468" s="7"/>
      <c r="T1468" s="7" t="n">
        <v>0.059</v>
      </c>
      <c r="U1468" s="7" t="n">
        <v>1</v>
      </c>
      <c r="V1468" s="7"/>
      <c r="W1468" s="7"/>
      <c r="X1468" s="7"/>
      <c r="Y1468" s="7" t="s">
        <v>10006</v>
      </c>
      <c r="Z1468" s="7"/>
      <c r="AA1468" s="7"/>
      <c r="AB1468" s="7"/>
      <c r="AC1468" s="7"/>
      <c r="AD1468" s="7"/>
      <c r="AE1468" s="7" t="s">
        <v>2181</v>
      </c>
      <c r="AF1468" s="7" t="s">
        <v>10007</v>
      </c>
      <c r="AG1468" s="7"/>
      <c r="AH1468" s="7"/>
      <c r="AI1468" s="7"/>
      <c r="AJ1468" s="7"/>
      <c r="AK1468" s="7"/>
      <c r="AL1468" s="7"/>
      <c r="AM1468" s="7"/>
      <c r="AN1468" s="7"/>
      <c r="AO1468" s="7" t="s">
        <v>2181</v>
      </c>
      <c r="AP1468" s="7" t="s">
        <v>1869</v>
      </c>
      <c r="AQ1468" s="7" t="s">
        <v>2032</v>
      </c>
      <c r="AR1468" s="7" t="s">
        <v>82</v>
      </c>
      <c r="AS1468" s="7"/>
      <c r="AT1468" s="7"/>
      <c r="AU1468" s="7"/>
      <c r="AV1468" s="7"/>
      <c r="AW1468" s="7" t="s">
        <v>2032</v>
      </c>
      <c r="AX1468" s="7" t="s">
        <v>10006</v>
      </c>
      <c r="AY1468" s="7"/>
      <c r="AZ1468" s="7"/>
      <c r="BA1468" s="7"/>
      <c r="BB1468" s="7"/>
      <c r="BC1468" s="7"/>
      <c r="BD1468" s="7" t="s">
        <v>220</v>
      </c>
      <c r="BE1468" s="7" t="s">
        <v>127</v>
      </c>
      <c r="BF1468" s="8"/>
      <c r="BG1468" s="8"/>
      <c r="BH1468" s="8"/>
      <c r="BI1468" s="8"/>
      <c r="BJ1468" s="8"/>
      <c r="BK1468" s="8"/>
      <c r="BL1468" s="8"/>
      <c r="BM1468" s="8"/>
      <c r="BN1468" s="8"/>
      <c r="BO1468" s="8"/>
      <c r="BP1468" s="8"/>
      <c r="BQ1468" s="8"/>
      <c r="BR1468" s="8"/>
      <c r="BS1468" s="8"/>
    </row>
    <row r="1469" customFormat="false" ht="15" hidden="false" customHeight="false" outlineLevel="0" collapsed="false">
      <c r="A1469" s="7" t="s">
        <v>10008</v>
      </c>
      <c r="B1469" s="7" t="s">
        <v>10009</v>
      </c>
      <c r="C1469" s="7" t="s">
        <v>10010</v>
      </c>
      <c r="D1469" s="7" t="s">
        <v>2028</v>
      </c>
      <c r="E1469" s="7" t="s">
        <v>82</v>
      </c>
      <c r="F1469" s="7" t="s">
        <v>82</v>
      </c>
      <c r="G1469" s="7"/>
      <c r="H1469" s="7"/>
      <c r="I1469" s="7" t="s">
        <v>158</v>
      </c>
      <c r="J1469" s="7" t="s">
        <v>104</v>
      </c>
      <c r="K1469" s="7" t="s">
        <v>105</v>
      </c>
      <c r="L1469" s="7" t="s">
        <v>106</v>
      </c>
      <c r="M1469" s="7"/>
      <c r="N1469" s="7" t="s">
        <v>10011</v>
      </c>
      <c r="O1469" s="7" t="s">
        <v>10011</v>
      </c>
      <c r="P1469" s="7" t="s">
        <v>135</v>
      </c>
      <c r="Q1469" s="7"/>
      <c r="R1469" s="7" t="s">
        <v>109</v>
      </c>
      <c r="S1469" s="7" t="s">
        <v>110</v>
      </c>
      <c r="T1469" s="7" t="n">
        <v>0.552</v>
      </c>
      <c r="U1469" s="7" t="n">
        <v>1</v>
      </c>
      <c r="V1469" s="7"/>
      <c r="W1469" s="7"/>
      <c r="X1469" s="7"/>
      <c r="Y1469" s="7" t="s">
        <v>10011</v>
      </c>
      <c r="Z1469" s="7"/>
      <c r="AA1469" s="7"/>
      <c r="AB1469" s="7"/>
      <c r="AC1469" s="7" t="n">
        <v>4</v>
      </c>
      <c r="AD1469" s="7" t="s">
        <v>1376</v>
      </c>
      <c r="AE1469" s="7" t="s">
        <v>2032</v>
      </c>
      <c r="AF1469" s="7" t="s">
        <v>10010</v>
      </c>
      <c r="AG1469" s="7"/>
      <c r="AH1469" s="7"/>
      <c r="AI1469" s="7"/>
      <c r="AJ1469" s="7"/>
      <c r="AK1469" s="7"/>
      <c r="AL1469" s="7"/>
      <c r="AM1469" s="7"/>
      <c r="AN1469" s="7"/>
      <c r="AO1469" s="7" t="s">
        <v>2032</v>
      </c>
      <c r="AP1469" s="7" t="s">
        <v>2028</v>
      </c>
      <c r="AQ1469" s="7" t="s">
        <v>2032</v>
      </c>
      <c r="AR1469" s="7" t="s">
        <v>82</v>
      </c>
      <c r="AS1469" s="7"/>
      <c r="AT1469" s="7"/>
      <c r="AU1469" s="7"/>
      <c r="AV1469" s="7"/>
      <c r="AW1469" s="7" t="s">
        <v>2032</v>
      </c>
      <c r="AX1469" s="7" t="s">
        <v>10011</v>
      </c>
      <c r="AY1469" s="7"/>
      <c r="AZ1469" s="7"/>
      <c r="BA1469" s="7"/>
      <c r="BB1469" s="7"/>
      <c r="BC1469" s="7"/>
      <c r="BD1469" s="7" t="s">
        <v>220</v>
      </c>
      <c r="BE1469" s="7" t="s">
        <v>127</v>
      </c>
      <c r="BF1469" s="8"/>
      <c r="BG1469" s="8"/>
      <c r="BH1469" s="8"/>
      <c r="BI1469" s="8"/>
      <c r="BJ1469" s="8"/>
      <c r="BK1469" s="8"/>
      <c r="BL1469" s="8"/>
      <c r="BM1469" s="8"/>
      <c r="BN1469" s="8"/>
      <c r="BO1469" s="8"/>
      <c r="BP1469" s="8"/>
      <c r="BQ1469" s="8"/>
      <c r="BR1469" s="8"/>
      <c r="BS1469" s="8"/>
    </row>
    <row r="1470" customFormat="false" ht="15" hidden="false" customHeight="false" outlineLevel="0" collapsed="false">
      <c r="A1470" s="7" t="s">
        <v>10012</v>
      </c>
      <c r="B1470" s="7" t="s">
        <v>10013</v>
      </c>
      <c r="C1470" s="7" t="s">
        <v>10014</v>
      </c>
      <c r="D1470" s="7" t="s">
        <v>2028</v>
      </c>
      <c r="E1470" s="7" t="s">
        <v>82</v>
      </c>
      <c r="F1470" s="7" t="s">
        <v>82</v>
      </c>
      <c r="G1470" s="7"/>
      <c r="H1470" s="7"/>
      <c r="I1470" s="7" t="s">
        <v>158</v>
      </c>
      <c r="J1470" s="7" t="s">
        <v>104</v>
      </c>
      <c r="K1470" s="7" t="s">
        <v>105</v>
      </c>
      <c r="L1470" s="7" t="s">
        <v>106</v>
      </c>
      <c r="M1470" s="7"/>
      <c r="N1470" s="7" t="s">
        <v>10015</v>
      </c>
      <c r="O1470" s="7" t="s">
        <v>10015</v>
      </c>
      <c r="P1470" s="7" t="s">
        <v>109</v>
      </c>
      <c r="Q1470" s="7"/>
      <c r="R1470" s="7" t="s">
        <v>109</v>
      </c>
      <c r="S1470" s="7" t="s">
        <v>110</v>
      </c>
      <c r="T1470" s="7" t="n">
        <v>0.4</v>
      </c>
      <c r="U1470" s="7" t="n">
        <v>1</v>
      </c>
      <c r="V1470" s="7" t="s">
        <v>86</v>
      </c>
      <c r="W1470" s="7"/>
      <c r="X1470" s="7" t="s">
        <v>10016</v>
      </c>
      <c r="Y1470" s="7" t="s">
        <v>10015</v>
      </c>
      <c r="Z1470" s="7"/>
      <c r="AA1470" s="7"/>
      <c r="AB1470" s="7"/>
      <c r="AC1470" s="7" t="n">
        <v>5</v>
      </c>
      <c r="AD1470" s="7" t="s">
        <v>743</v>
      </c>
      <c r="AE1470" s="7" t="s">
        <v>2032</v>
      </c>
      <c r="AF1470" s="7" t="s">
        <v>10014</v>
      </c>
      <c r="AG1470" s="7" t="s">
        <v>2032</v>
      </c>
      <c r="AH1470" s="7" t="s">
        <v>10016</v>
      </c>
      <c r="AI1470" s="7"/>
      <c r="AJ1470" s="7"/>
      <c r="AK1470" s="7"/>
      <c r="AL1470" s="7"/>
      <c r="AM1470" s="7"/>
      <c r="AN1470" s="7"/>
      <c r="AO1470" s="7" t="s">
        <v>2032</v>
      </c>
      <c r="AP1470" s="7" t="s">
        <v>2028</v>
      </c>
      <c r="AQ1470" s="7" t="s">
        <v>2032</v>
      </c>
      <c r="AR1470" s="7" t="s">
        <v>82</v>
      </c>
      <c r="AS1470" s="7"/>
      <c r="AT1470" s="7"/>
      <c r="AU1470" s="7"/>
      <c r="AV1470" s="7"/>
      <c r="AW1470" s="7" t="s">
        <v>2032</v>
      </c>
      <c r="AX1470" s="7" t="s">
        <v>10015</v>
      </c>
      <c r="AY1470" s="7"/>
      <c r="AZ1470" s="7"/>
      <c r="BA1470" s="7"/>
      <c r="BB1470" s="7"/>
      <c r="BC1470" s="7"/>
      <c r="BD1470" s="7" t="s">
        <v>220</v>
      </c>
      <c r="BE1470" s="7" t="s">
        <v>127</v>
      </c>
      <c r="BF1470" s="8"/>
      <c r="BG1470" s="8"/>
      <c r="BH1470" s="8"/>
      <c r="BI1470" s="8"/>
      <c r="BJ1470" s="8"/>
      <c r="BK1470" s="8"/>
      <c r="BL1470" s="8"/>
      <c r="BM1470" s="8"/>
      <c r="BN1470" s="8"/>
      <c r="BO1470" s="8"/>
      <c r="BP1470" s="8"/>
      <c r="BQ1470" s="8"/>
      <c r="BR1470" s="8"/>
      <c r="BS1470" s="8"/>
    </row>
    <row r="1471" customFormat="false" ht="15" hidden="false" customHeight="false" outlineLevel="0" collapsed="false">
      <c r="A1471" s="7" t="s">
        <v>10017</v>
      </c>
      <c r="B1471" s="7" t="s">
        <v>10018</v>
      </c>
      <c r="C1471" s="7" t="s">
        <v>10019</v>
      </c>
      <c r="D1471" s="7" t="s">
        <v>10020</v>
      </c>
      <c r="E1471" s="7" t="s">
        <v>82</v>
      </c>
      <c r="F1471" s="7" t="s">
        <v>82</v>
      </c>
      <c r="G1471" s="7"/>
      <c r="H1471" s="7"/>
      <c r="I1471" s="7" t="s">
        <v>300</v>
      </c>
      <c r="J1471" s="7" t="s">
        <v>104</v>
      </c>
      <c r="K1471" s="7" t="s">
        <v>105</v>
      </c>
      <c r="L1471" s="7" t="s">
        <v>106</v>
      </c>
      <c r="M1471" s="7"/>
      <c r="N1471" s="7" t="s">
        <v>3176</v>
      </c>
      <c r="O1471" s="7" t="s">
        <v>3176</v>
      </c>
      <c r="P1471" s="7" t="s">
        <v>135</v>
      </c>
      <c r="Q1471" s="7"/>
      <c r="R1471" s="7" t="s">
        <v>109</v>
      </c>
      <c r="S1471" s="7" t="s">
        <v>110</v>
      </c>
      <c r="T1471" s="7" t="n">
        <v>0.544</v>
      </c>
      <c r="U1471" s="7" t="n">
        <v>1</v>
      </c>
      <c r="V1471" s="7"/>
      <c r="W1471" s="7"/>
      <c r="X1471" s="7"/>
      <c r="Y1471" s="7" t="s">
        <v>3176</v>
      </c>
      <c r="Z1471" s="7"/>
      <c r="AA1471" s="7"/>
      <c r="AB1471" s="7"/>
      <c r="AC1471" s="7" t="n">
        <v>4</v>
      </c>
      <c r="AD1471" s="7" t="s">
        <v>1376</v>
      </c>
      <c r="AE1471" s="7" t="s">
        <v>2032</v>
      </c>
      <c r="AF1471" s="7" t="s">
        <v>10019</v>
      </c>
      <c r="AG1471" s="7"/>
      <c r="AH1471" s="7"/>
      <c r="AI1471" s="7"/>
      <c r="AJ1471" s="7"/>
      <c r="AK1471" s="7"/>
      <c r="AL1471" s="7"/>
      <c r="AM1471" s="7"/>
      <c r="AN1471" s="7"/>
      <c r="AO1471" s="7" t="s">
        <v>2032</v>
      </c>
      <c r="AP1471" s="7" t="s">
        <v>10020</v>
      </c>
      <c r="AQ1471" s="7" t="s">
        <v>2032</v>
      </c>
      <c r="AR1471" s="7" t="s">
        <v>82</v>
      </c>
      <c r="AS1471" s="7"/>
      <c r="AT1471" s="7"/>
      <c r="AU1471" s="7"/>
      <c r="AV1471" s="7"/>
      <c r="AW1471" s="7" t="s">
        <v>2032</v>
      </c>
      <c r="AX1471" s="7" t="s">
        <v>3176</v>
      </c>
      <c r="AY1471" s="7"/>
      <c r="AZ1471" s="7"/>
      <c r="BA1471" s="7"/>
      <c r="BB1471" s="7"/>
      <c r="BC1471" s="7"/>
      <c r="BD1471" s="7" t="s">
        <v>10021</v>
      </c>
      <c r="BE1471" s="7" t="s">
        <v>127</v>
      </c>
      <c r="BF1471" s="8"/>
      <c r="BG1471" s="8"/>
      <c r="BH1471" s="8"/>
      <c r="BI1471" s="8"/>
      <c r="BJ1471" s="8"/>
      <c r="BK1471" s="8"/>
      <c r="BL1471" s="8"/>
      <c r="BM1471" s="8"/>
      <c r="BN1471" s="8"/>
      <c r="BO1471" s="8"/>
      <c r="BP1471" s="8"/>
      <c r="BQ1471" s="8"/>
      <c r="BR1471" s="8"/>
      <c r="BS1471" s="8"/>
    </row>
    <row r="1472" customFormat="false" ht="15" hidden="false" customHeight="false" outlineLevel="0" collapsed="false">
      <c r="A1472" s="7" t="s">
        <v>10022</v>
      </c>
      <c r="B1472" s="7" t="s">
        <v>10023</v>
      </c>
      <c r="C1472" s="7" t="s">
        <v>10024</v>
      </c>
      <c r="D1472" s="7" t="s">
        <v>7524</v>
      </c>
      <c r="E1472" s="7" t="s">
        <v>737</v>
      </c>
      <c r="F1472" s="7" t="s">
        <v>737</v>
      </c>
      <c r="G1472" s="7" t="s">
        <v>7525</v>
      </c>
      <c r="H1472" s="7"/>
      <c r="I1472" s="7" t="s">
        <v>132</v>
      </c>
      <c r="J1472" s="7" t="s">
        <v>104</v>
      </c>
      <c r="K1472" s="7" t="s">
        <v>105</v>
      </c>
      <c r="L1472" s="7" t="s">
        <v>106</v>
      </c>
      <c r="M1472" s="7"/>
      <c r="N1472" s="7" t="s">
        <v>10025</v>
      </c>
      <c r="O1472" s="7" t="s">
        <v>10025</v>
      </c>
      <c r="P1472" s="7" t="s">
        <v>135</v>
      </c>
      <c r="Q1472" s="7"/>
      <c r="R1472" s="7" t="s">
        <v>109</v>
      </c>
      <c r="S1472" s="7" t="s">
        <v>110</v>
      </c>
      <c r="T1472" s="7" t="n">
        <v>0.338</v>
      </c>
      <c r="U1472" s="7" t="n">
        <v>1</v>
      </c>
      <c r="V1472" s="7"/>
      <c r="W1472" s="7"/>
      <c r="X1472" s="7"/>
      <c r="Y1472" s="7" t="s">
        <v>10025</v>
      </c>
      <c r="Z1472" s="7"/>
      <c r="AA1472" s="7"/>
      <c r="AB1472" s="7"/>
      <c r="AC1472" s="7" t="n">
        <v>4</v>
      </c>
      <c r="AD1472" s="7" t="s">
        <v>1376</v>
      </c>
      <c r="AE1472" s="7" t="s">
        <v>435</v>
      </c>
      <c r="AF1472" s="7" t="s">
        <v>10024</v>
      </c>
      <c r="AG1472" s="7"/>
      <c r="AH1472" s="7"/>
      <c r="AI1472" s="7"/>
      <c r="AJ1472" s="7"/>
      <c r="AK1472" s="7"/>
      <c r="AL1472" s="7"/>
      <c r="AM1472" s="7"/>
      <c r="AN1472" s="7"/>
      <c r="AO1472" s="7" t="s">
        <v>435</v>
      </c>
      <c r="AP1472" s="7" t="s">
        <v>7524</v>
      </c>
      <c r="AQ1472" s="7" t="s">
        <v>435</v>
      </c>
      <c r="AR1472" s="7" t="s">
        <v>737</v>
      </c>
      <c r="AS1472" s="7"/>
      <c r="AT1472" s="7"/>
      <c r="AU1472" s="7"/>
      <c r="AV1472" s="7"/>
      <c r="AW1472" s="7" t="s">
        <v>435</v>
      </c>
      <c r="AX1472" s="7" t="s">
        <v>10025</v>
      </c>
      <c r="AY1472" s="7"/>
      <c r="AZ1472" s="7"/>
      <c r="BA1472" s="7"/>
      <c r="BB1472" s="7"/>
      <c r="BC1472" s="7"/>
      <c r="BD1472" s="7"/>
      <c r="BE1472" s="7" t="s">
        <v>127</v>
      </c>
      <c r="BF1472" s="8"/>
      <c r="BG1472" s="8"/>
      <c r="BH1472" s="8"/>
      <c r="BI1472" s="8"/>
      <c r="BJ1472" s="8"/>
      <c r="BK1472" s="8"/>
      <c r="BL1472" s="8"/>
      <c r="BM1472" s="8"/>
      <c r="BN1472" s="8"/>
      <c r="BO1472" s="8"/>
      <c r="BP1472" s="8"/>
      <c r="BQ1472" s="8"/>
      <c r="BR1472" s="8"/>
      <c r="BS1472" s="8"/>
    </row>
    <row r="1473" customFormat="false" ht="15" hidden="false" customHeight="false" outlineLevel="0" collapsed="false">
      <c r="A1473" s="7" t="s">
        <v>10026</v>
      </c>
      <c r="B1473" s="7" t="s">
        <v>10027</v>
      </c>
      <c r="C1473" s="7" t="s">
        <v>10028</v>
      </c>
      <c r="D1473" s="7" t="s">
        <v>10029</v>
      </c>
      <c r="E1473" s="7" t="s">
        <v>737</v>
      </c>
      <c r="F1473" s="7" t="s">
        <v>737</v>
      </c>
      <c r="G1473" s="7" t="s">
        <v>10030</v>
      </c>
      <c r="H1473" s="7"/>
      <c r="I1473" s="7" t="s">
        <v>132</v>
      </c>
      <c r="J1473" s="7" t="s">
        <v>104</v>
      </c>
      <c r="K1473" s="7" t="s">
        <v>105</v>
      </c>
      <c r="L1473" s="7" t="s">
        <v>106</v>
      </c>
      <c r="M1473" s="7"/>
      <c r="N1473" s="7" t="s">
        <v>10031</v>
      </c>
      <c r="O1473" s="7"/>
      <c r="P1473" s="7" t="s">
        <v>135</v>
      </c>
      <c r="Q1473" s="7"/>
      <c r="R1473" s="7" t="s">
        <v>135</v>
      </c>
      <c r="S1473" s="7" t="s">
        <v>136</v>
      </c>
      <c r="T1473" s="7" t="n">
        <v>0.438</v>
      </c>
      <c r="U1473" s="7" t="n">
        <v>1</v>
      </c>
      <c r="V1473" s="7"/>
      <c r="W1473" s="7"/>
      <c r="X1473" s="7"/>
      <c r="Y1473" s="7" t="s">
        <v>10031</v>
      </c>
      <c r="Z1473" s="7"/>
      <c r="AA1473" s="7"/>
      <c r="AB1473" s="7"/>
      <c r="AC1473" s="7" t="n">
        <v>4</v>
      </c>
      <c r="AD1473" s="7" t="s">
        <v>1376</v>
      </c>
      <c r="AE1473" s="7" t="s">
        <v>435</v>
      </c>
      <c r="AF1473" s="7" t="s">
        <v>10032</v>
      </c>
      <c r="AG1473" s="7"/>
      <c r="AH1473" s="7"/>
      <c r="AI1473" s="7"/>
      <c r="AJ1473" s="7"/>
      <c r="AK1473" s="7"/>
      <c r="AL1473" s="7"/>
      <c r="AM1473" s="7"/>
      <c r="AN1473" s="7"/>
      <c r="AO1473" s="7" t="s">
        <v>435</v>
      </c>
      <c r="AP1473" s="7" t="s">
        <v>10029</v>
      </c>
      <c r="AQ1473" s="7" t="s">
        <v>435</v>
      </c>
      <c r="AR1473" s="7" t="s">
        <v>737</v>
      </c>
      <c r="AS1473" s="7"/>
      <c r="AT1473" s="7"/>
      <c r="AU1473" s="7"/>
      <c r="AV1473" s="7"/>
      <c r="AW1473" s="7" t="s">
        <v>435</v>
      </c>
      <c r="AX1473" s="7" t="s">
        <v>10031</v>
      </c>
      <c r="AY1473" s="7"/>
      <c r="AZ1473" s="7"/>
      <c r="BA1473" s="7"/>
      <c r="BB1473" s="7"/>
      <c r="BC1473" s="7"/>
      <c r="BD1473" s="7"/>
      <c r="BE1473" s="7" t="s">
        <v>127</v>
      </c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</row>
    <row r="1474" customFormat="false" ht="15" hidden="false" customHeight="false" outlineLevel="0" collapsed="false">
      <c r="A1474" s="7" t="s">
        <v>10033</v>
      </c>
      <c r="B1474" s="7" t="s">
        <v>10034</v>
      </c>
      <c r="C1474" s="7" t="s">
        <v>10035</v>
      </c>
      <c r="D1474" s="7" t="s">
        <v>10036</v>
      </c>
      <c r="E1474" s="7" t="s">
        <v>737</v>
      </c>
      <c r="F1474" s="7" t="s">
        <v>737</v>
      </c>
      <c r="G1474" s="7" t="s">
        <v>10037</v>
      </c>
      <c r="H1474" s="7"/>
      <c r="I1474" s="7" t="s">
        <v>132</v>
      </c>
      <c r="J1474" s="7" t="s">
        <v>104</v>
      </c>
      <c r="K1474" s="7" t="s">
        <v>105</v>
      </c>
      <c r="L1474" s="7" t="s">
        <v>106</v>
      </c>
      <c r="M1474" s="7"/>
      <c r="N1474" s="7" t="s">
        <v>10038</v>
      </c>
      <c r="O1474" s="7"/>
      <c r="P1474" s="7" t="s">
        <v>135</v>
      </c>
      <c r="Q1474" s="7"/>
      <c r="R1474" s="7" t="s">
        <v>135</v>
      </c>
      <c r="S1474" s="7" t="s">
        <v>136</v>
      </c>
      <c r="T1474" s="7" t="n">
        <v>0.281</v>
      </c>
      <c r="U1474" s="7" t="n">
        <v>1</v>
      </c>
      <c r="V1474" s="7"/>
      <c r="W1474" s="7"/>
      <c r="X1474" s="7"/>
      <c r="Y1474" s="7" t="s">
        <v>10038</v>
      </c>
      <c r="Z1474" s="7"/>
      <c r="AA1474" s="7"/>
      <c r="AB1474" s="7"/>
      <c r="AC1474" s="7" t="n">
        <v>4</v>
      </c>
      <c r="AD1474" s="7" t="s">
        <v>1376</v>
      </c>
      <c r="AE1474" s="7" t="s">
        <v>435</v>
      </c>
      <c r="AF1474" s="7" t="s">
        <v>10039</v>
      </c>
      <c r="AG1474" s="7"/>
      <c r="AH1474" s="7"/>
      <c r="AI1474" s="7"/>
      <c r="AJ1474" s="7"/>
      <c r="AK1474" s="7"/>
      <c r="AL1474" s="7"/>
      <c r="AM1474" s="7"/>
      <c r="AN1474" s="7"/>
      <c r="AO1474" s="7" t="s">
        <v>435</v>
      </c>
      <c r="AP1474" s="7" t="s">
        <v>10036</v>
      </c>
      <c r="AQ1474" s="7" t="s">
        <v>435</v>
      </c>
      <c r="AR1474" s="7" t="s">
        <v>737</v>
      </c>
      <c r="AS1474" s="7"/>
      <c r="AT1474" s="7"/>
      <c r="AU1474" s="7"/>
      <c r="AV1474" s="7"/>
      <c r="AW1474" s="7" t="s">
        <v>435</v>
      </c>
      <c r="AX1474" s="7" t="s">
        <v>10038</v>
      </c>
      <c r="AY1474" s="7"/>
      <c r="AZ1474" s="7"/>
      <c r="BA1474" s="7"/>
      <c r="BB1474" s="7"/>
      <c r="BC1474" s="7"/>
      <c r="BD1474" s="7"/>
      <c r="BE1474" s="7" t="s">
        <v>127</v>
      </c>
      <c r="BF1474" s="8"/>
      <c r="BG1474" s="8"/>
      <c r="BH1474" s="8"/>
      <c r="BI1474" s="8"/>
      <c r="BJ1474" s="8"/>
      <c r="BK1474" s="8"/>
      <c r="BL1474" s="8"/>
      <c r="BM1474" s="8"/>
      <c r="BN1474" s="8"/>
      <c r="BO1474" s="8"/>
      <c r="BP1474" s="8"/>
      <c r="BQ1474" s="8"/>
      <c r="BR1474" s="8"/>
      <c r="BS1474" s="8"/>
    </row>
    <row r="1475" customFormat="false" ht="15" hidden="false" customHeight="false" outlineLevel="0" collapsed="false">
      <c r="A1475" s="7" t="s">
        <v>10040</v>
      </c>
      <c r="B1475" s="7" t="s">
        <v>10041</v>
      </c>
      <c r="C1475" s="7" t="s">
        <v>10042</v>
      </c>
      <c r="D1475" s="7" t="s">
        <v>10043</v>
      </c>
      <c r="E1475" s="7" t="s">
        <v>410</v>
      </c>
      <c r="F1475" s="7" t="s">
        <v>410</v>
      </c>
      <c r="G1475" s="7" t="s">
        <v>10044</v>
      </c>
      <c r="H1475" s="7"/>
      <c r="I1475" s="7" t="s">
        <v>132</v>
      </c>
      <c r="J1475" s="7" t="s">
        <v>104</v>
      </c>
      <c r="K1475" s="7" t="s">
        <v>105</v>
      </c>
      <c r="L1475" s="7" t="s">
        <v>106</v>
      </c>
      <c r="M1475" s="7"/>
      <c r="N1475" s="7" t="s">
        <v>10045</v>
      </c>
      <c r="O1475" s="7" t="s">
        <v>10045</v>
      </c>
      <c r="P1475" s="7" t="s">
        <v>135</v>
      </c>
      <c r="Q1475" s="7"/>
      <c r="R1475" s="7" t="s">
        <v>109</v>
      </c>
      <c r="S1475" s="7" t="s">
        <v>110</v>
      </c>
      <c r="T1475" s="7" t="n">
        <v>0.46</v>
      </c>
      <c r="U1475" s="7" t="n">
        <v>1</v>
      </c>
      <c r="V1475" s="7"/>
      <c r="W1475" s="7"/>
      <c r="X1475" s="7"/>
      <c r="Y1475" s="7" t="s">
        <v>10045</v>
      </c>
      <c r="Z1475" s="7"/>
      <c r="AA1475" s="7"/>
      <c r="AB1475" s="7"/>
      <c r="AC1475" s="7" t="n">
        <v>4</v>
      </c>
      <c r="AD1475" s="7" t="s">
        <v>1376</v>
      </c>
      <c r="AE1475" s="7" t="s">
        <v>435</v>
      </c>
      <c r="AF1475" s="7" t="s">
        <v>10046</v>
      </c>
      <c r="AG1475" s="7"/>
      <c r="AH1475" s="7"/>
      <c r="AI1475" s="7"/>
      <c r="AJ1475" s="7"/>
      <c r="AK1475" s="7"/>
      <c r="AL1475" s="7"/>
      <c r="AM1475" s="7"/>
      <c r="AN1475" s="7"/>
      <c r="AO1475" s="7" t="s">
        <v>435</v>
      </c>
      <c r="AP1475" s="7" t="s">
        <v>10043</v>
      </c>
      <c r="AQ1475" s="7" t="s">
        <v>435</v>
      </c>
      <c r="AR1475" s="7" t="s">
        <v>410</v>
      </c>
      <c r="AS1475" s="7"/>
      <c r="AT1475" s="7"/>
      <c r="AU1475" s="7"/>
      <c r="AV1475" s="7"/>
      <c r="AW1475" s="7" t="s">
        <v>435</v>
      </c>
      <c r="AX1475" s="7" t="s">
        <v>10045</v>
      </c>
      <c r="AY1475" s="7"/>
      <c r="AZ1475" s="7"/>
      <c r="BA1475" s="7"/>
      <c r="BB1475" s="7"/>
      <c r="BC1475" s="7"/>
      <c r="BD1475" s="7"/>
      <c r="BE1475" s="7" t="s">
        <v>127</v>
      </c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</row>
    <row r="1476" customFormat="false" ht="15" hidden="false" customHeight="false" outlineLevel="0" collapsed="false">
      <c r="A1476" s="7" t="s">
        <v>10047</v>
      </c>
      <c r="B1476" s="7" t="s">
        <v>10048</v>
      </c>
      <c r="C1476" s="7" t="s">
        <v>10049</v>
      </c>
      <c r="D1476" s="7" t="s">
        <v>10050</v>
      </c>
      <c r="E1476" s="7" t="s">
        <v>410</v>
      </c>
      <c r="F1476" s="7" t="s">
        <v>410</v>
      </c>
      <c r="G1476" s="7" t="s">
        <v>10051</v>
      </c>
      <c r="H1476" s="7"/>
      <c r="I1476" s="7" t="s">
        <v>132</v>
      </c>
      <c r="J1476" s="7" t="s">
        <v>104</v>
      </c>
      <c r="K1476" s="7" t="s">
        <v>105</v>
      </c>
      <c r="L1476" s="7" t="s">
        <v>106</v>
      </c>
      <c r="M1476" s="7"/>
      <c r="N1476" s="7" t="s">
        <v>10052</v>
      </c>
      <c r="O1476" s="7" t="s">
        <v>10052</v>
      </c>
      <c r="P1476" s="7" t="s">
        <v>135</v>
      </c>
      <c r="Q1476" s="7"/>
      <c r="R1476" s="7" t="s">
        <v>109</v>
      </c>
      <c r="S1476" s="7" t="s">
        <v>110</v>
      </c>
      <c r="T1476" s="7" t="n">
        <v>0.464</v>
      </c>
      <c r="U1476" s="7" t="n">
        <v>1</v>
      </c>
      <c r="V1476" s="7"/>
      <c r="W1476" s="7"/>
      <c r="X1476" s="7"/>
      <c r="Y1476" s="7" t="s">
        <v>10052</v>
      </c>
      <c r="Z1476" s="7"/>
      <c r="AA1476" s="7"/>
      <c r="AB1476" s="7"/>
      <c r="AC1476" s="7" t="n">
        <v>4</v>
      </c>
      <c r="AD1476" s="7" t="s">
        <v>1376</v>
      </c>
      <c r="AE1476" s="7" t="s">
        <v>435</v>
      </c>
      <c r="AF1476" s="7" t="s">
        <v>10053</v>
      </c>
      <c r="AG1476" s="7"/>
      <c r="AH1476" s="7"/>
      <c r="AI1476" s="7"/>
      <c r="AJ1476" s="7"/>
      <c r="AK1476" s="7"/>
      <c r="AL1476" s="7"/>
      <c r="AM1476" s="7"/>
      <c r="AN1476" s="7"/>
      <c r="AO1476" s="7" t="s">
        <v>435</v>
      </c>
      <c r="AP1476" s="7" t="s">
        <v>10050</v>
      </c>
      <c r="AQ1476" s="7" t="s">
        <v>435</v>
      </c>
      <c r="AR1476" s="7" t="s">
        <v>410</v>
      </c>
      <c r="AS1476" s="7"/>
      <c r="AT1476" s="7"/>
      <c r="AU1476" s="7"/>
      <c r="AV1476" s="7"/>
      <c r="AW1476" s="7" t="s">
        <v>435</v>
      </c>
      <c r="AX1476" s="7" t="s">
        <v>10052</v>
      </c>
      <c r="AY1476" s="7"/>
      <c r="AZ1476" s="7"/>
      <c r="BA1476" s="7"/>
      <c r="BB1476" s="7"/>
      <c r="BC1476" s="7"/>
      <c r="BD1476" s="7"/>
      <c r="BE1476" s="7" t="s">
        <v>127</v>
      </c>
      <c r="BF1476" s="8"/>
      <c r="BG1476" s="8"/>
      <c r="BH1476" s="8"/>
      <c r="BI1476" s="8"/>
      <c r="BJ1476" s="8"/>
      <c r="BK1476" s="8"/>
      <c r="BL1476" s="8"/>
      <c r="BM1476" s="8"/>
      <c r="BN1476" s="8"/>
      <c r="BO1476" s="8"/>
      <c r="BP1476" s="8"/>
      <c r="BQ1476" s="8"/>
      <c r="BR1476" s="8"/>
      <c r="BS1476" s="8"/>
    </row>
    <row r="1477" customFormat="false" ht="15" hidden="false" customHeight="false" outlineLevel="0" collapsed="false">
      <c r="A1477" s="7" t="s">
        <v>10054</v>
      </c>
      <c r="B1477" s="7" t="s">
        <v>10055</v>
      </c>
      <c r="C1477" s="7" t="s">
        <v>10056</v>
      </c>
      <c r="D1477" s="7" t="s">
        <v>10057</v>
      </c>
      <c r="E1477" s="7" t="s">
        <v>410</v>
      </c>
      <c r="F1477" s="7" t="s">
        <v>410</v>
      </c>
      <c r="G1477" s="7" t="s">
        <v>10058</v>
      </c>
      <c r="H1477" s="7"/>
      <c r="I1477" s="7" t="s">
        <v>132</v>
      </c>
      <c r="J1477" s="7" t="s">
        <v>104</v>
      </c>
      <c r="K1477" s="7" t="s">
        <v>105</v>
      </c>
      <c r="L1477" s="7" t="s">
        <v>106</v>
      </c>
      <c r="M1477" s="7"/>
      <c r="N1477" s="7" t="s">
        <v>10059</v>
      </c>
      <c r="O1477" s="7" t="s">
        <v>10059</v>
      </c>
      <c r="P1477" s="7" t="s">
        <v>135</v>
      </c>
      <c r="Q1477" s="7"/>
      <c r="R1477" s="7" t="s">
        <v>109</v>
      </c>
      <c r="S1477" s="7" t="s">
        <v>110</v>
      </c>
      <c r="T1477" s="7" t="n">
        <v>0.346</v>
      </c>
      <c r="U1477" s="7" t="n">
        <v>1</v>
      </c>
      <c r="V1477" s="7"/>
      <c r="W1477" s="7"/>
      <c r="X1477" s="7"/>
      <c r="Y1477" s="7" t="s">
        <v>10059</v>
      </c>
      <c r="Z1477" s="7"/>
      <c r="AA1477" s="7"/>
      <c r="AB1477" s="7"/>
      <c r="AC1477" s="7" t="n">
        <v>4</v>
      </c>
      <c r="AD1477" s="7" t="s">
        <v>1376</v>
      </c>
      <c r="AE1477" s="7" t="s">
        <v>435</v>
      </c>
      <c r="AF1477" s="7" t="s">
        <v>10060</v>
      </c>
      <c r="AG1477" s="7"/>
      <c r="AH1477" s="7"/>
      <c r="AI1477" s="7"/>
      <c r="AJ1477" s="7"/>
      <c r="AK1477" s="7"/>
      <c r="AL1477" s="7"/>
      <c r="AM1477" s="7"/>
      <c r="AN1477" s="7"/>
      <c r="AO1477" s="7" t="s">
        <v>435</v>
      </c>
      <c r="AP1477" s="7" t="s">
        <v>10057</v>
      </c>
      <c r="AQ1477" s="7" t="s">
        <v>435</v>
      </c>
      <c r="AR1477" s="7" t="s">
        <v>410</v>
      </c>
      <c r="AS1477" s="7"/>
      <c r="AT1477" s="7"/>
      <c r="AU1477" s="7"/>
      <c r="AV1477" s="7"/>
      <c r="AW1477" s="7" t="s">
        <v>435</v>
      </c>
      <c r="AX1477" s="7" t="s">
        <v>10059</v>
      </c>
      <c r="AY1477" s="7"/>
      <c r="AZ1477" s="7"/>
      <c r="BA1477" s="7"/>
      <c r="BB1477" s="7"/>
      <c r="BC1477" s="7"/>
      <c r="BD1477" s="7"/>
      <c r="BE1477" s="7" t="s">
        <v>127</v>
      </c>
      <c r="BF1477" s="8"/>
      <c r="BG1477" s="8"/>
      <c r="BH1477" s="8"/>
      <c r="BI1477" s="8"/>
      <c r="BJ1477" s="8"/>
      <c r="BK1477" s="8"/>
      <c r="BL1477" s="8"/>
      <c r="BM1477" s="8"/>
      <c r="BN1477" s="8"/>
      <c r="BO1477" s="8"/>
      <c r="BP1477" s="8"/>
      <c r="BQ1477" s="8"/>
      <c r="BR1477" s="8"/>
      <c r="BS1477" s="8"/>
    </row>
    <row r="1478" customFormat="false" ht="15" hidden="false" customHeight="false" outlineLevel="0" collapsed="false">
      <c r="A1478" s="7" t="s">
        <v>10061</v>
      </c>
      <c r="B1478" s="7" t="s">
        <v>10062</v>
      </c>
      <c r="C1478" s="7" t="s">
        <v>10063</v>
      </c>
      <c r="D1478" s="7" t="s">
        <v>10064</v>
      </c>
      <c r="E1478" s="7" t="s">
        <v>410</v>
      </c>
      <c r="F1478" s="7" t="s">
        <v>410</v>
      </c>
      <c r="G1478" s="7" t="s">
        <v>4065</v>
      </c>
      <c r="H1478" s="7"/>
      <c r="I1478" s="7" t="s">
        <v>132</v>
      </c>
      <c r="J1478" s="7" t="s">
        <v>104</v>
      </c>
      <c r="K1478" s="7" t="s">
        <v>105</v>
      </c>
      <c r="L1478" s="7" t="s">
        <v>106</v>
      </c>
      <c r="M1478" s="7"/>
      <c r="N1478" s="7" t="s">
        <v>10065</v>
      </c>
      <c r="O1478" s="7"/>
      <c r="P1478" s="7" t="s">
        <v>135</v>
      </c>
      <c r="Q1478" s="7"/>
      <c r="R1478" s="7" t="s">
        <v>135</v>
      </c>
      <c r="S1478" s="7" t="s">
        <v>136</v>
      </c>
      <c r="T1478" s="7" t="n">
        <v>0.514</v>
      </c>
      <c r="U1478" s="7" t="n">
        <v>1</v>
      </c>
      <c r="V1478" s="7"/>
      <c r="W1478" s="7"/>
      <c r="X1478" s="7"/>
      <c r="Y1478" s="7" t="s">
        <v>10065</v>
      </c>
      <c r="Z1478" s="7"/>
      <c r="AA1478" s="7"/>
      <c r="AB1478" s="7"/>
      <c r="AC1478" s="7" t="n">
        <v>4</v>
      </c>
      <c r="AD1478" s="7" t="s">
        <v>1376</v>
      </c>
      <c r="AE1478" s="7" t="s">
        <v>435</v>
      </c>
      <c r="AF1478" s="7" t="s">
        <v>10066</v>
      </c>
      <c r="AG1478" s="7"/>
      <c r="AH1478" s="7"/>
      <c r="AI1478" s="7"/>
      <c r="AJ1478" s="7"/>
      <c r="AK1478" s="7"/>
      <c r="AL1478" s="7"/>
      <c r="AM1478" s="7"/>
      <c r="AN1478" s="7"/>
      <c r="AO1478" s="7" t="s">
        <v>435</v>
      </c>
      <c r="AP1478" s="7" t="s">
        <v>10064</v>
      </c>
      <c r="AQ1478" s="7" t="s">
        <v>435</v>
      </c>
      <c r="AR1478" s="7" t="s">
        <v>410</v>
      </c>
      <c r="AS1478" s="7"/>
      <c r="AT1478" s="7"/>
      <c r="AU1478" s="7"/>
      <c r="AV1478" s="7"/>
      <c r="AW1478" s="7" t="s">
        <v>435</v>
      </c>
      <c r="AX1478" s="7" t="s">
        <v>10065</v>
      </c>
      <c r="AY1478" s="7"/>
      <c r="AZ1478" s="7"/>
      <c r="BA1478" s="7"/>
      <c r="BB1478" s="7"/>
      <c r="BC1478" s="7"/>
      <c r="BD1478" s="7"/>
      <c r="BE1478" s="7" t="s">
        <v>127</v>
      </c>
      <c r="BF1478" s="8"/>
      <c r="BG1478" s="8"/>
      <c r="BH1478" s="8"/>
      <c r="BI1478" s="8"/>
      <c r="BJ1478" s="8"/>
      <c r="BK1478" s="8"/>
      <c r="BL1478" s="8"/>
      <c r="BM1478" s="8"/>
      <c r="BN1478" s="8"/>
      <c r="BO1478" s="8"/>
      <c r="BP1478" s="8"/>
      <c r="BQ1478" s="8"/>
      <c r="BR1478" s="8"/>
      <c r="BS1478" s="8"/>
    </row>
    <row r="1479" customFormat="false" ht="15" hidden="false" customHeight="false" outlineLevel="0" collapsed="false">
      <c r="A1479" s="7" t="s">
        <v>10067</v>
      </c>
      <c r="B1479" s="7" t="s">
        <v>10068</v>
      </c>
      <c r="C1479" s="7" t="s">
        <v>10069</v>
      </c>
      <c r="D1479" s="7" t="s">
        <v>10070</v>
      </c>
      <c r="E1479" s="7" t="s">
        <v>1966</v>
      </c>
      <c r="F1479" s="7" t="s">
        <v>1966</v>
      </c>
      <c r="G1479" s="7" t="s">
        <v>10071</v>
      </c>
      <c r="H1479" s="7"/>
      <c r="I1479" s="7" t="s">
        <v>132</v>
      </c>
      <c r="J1479" s="7" t="s">
        <v>104</v>
      </c>
      <c r="K1479" s="7" t="s">
        <v>105</v>
      </c>
      <c r="L1479" s="7" t="s">
        <v>106</v>
      </c>
      <c r="M1479" s="7"/>
      <c r="N1479" s="7" t="s">
        <v>10072</v>
      </c>
      <c r="O1479" s="7" t="s">
        <v>10072</v>
      </c>
      <c r="P1479" s="7" t="s">
        <v>135</v>
      </c>
      <c r="Q1479" s="7"/>
      <c r="R1479" s="7" t="s">
        <v>109</v>
      </c>
      <c r="S1479" s="7" t="s">
        <v>110</v>
      </c>
      <c r="T1479" s="7" t="n">
        <v>0.433</v>
      </c>
      <c r="U1479" s="7" t="n">
        <v>1</v>
      </c>
      <c r="V1479" s="7"/>
      <c r="W1479" s="7"/>
      <c r="X1479" s="7"/>
      <c r="Y1479" s="7" t="s">
        <v>10072</v>
      </c>
      <c r="Z1479" s="7"/>
      <c r="AA1479" s="7"/>
      <c r="AB1479" s="7"/>
      <c r="AC1479" s="7" t="n">
        <v>4</v>
      </c>
      <c r="AD1479" s="7" t="s">
        <v>1376</v>
      </c>
      <c r="AE1479" s="7" t="s">
        <v>435</v>
      </c>
      <c r="AF1479" s="7" t="s">
        <v>10073</v>
      </c>
      <c r="AG1479" s="7"/>
      <c r="AH1479" s="7"/>
      <c r="AI1479" s="7"/>
      <c r="AJ1479" s="7"/>
      <c r="AK1479" s="7"/>
      <c r="AL1479" s="7"/>
      <c r="AM1479" s="7"/>
      <c r="AN1479" s="7"/>
      <c r="AO1479" s="7" t="s">
        <v>435</v>
      </c>
      <c r="AP1479" s="7" t="s">
        <v>10070</v>
      </c>
      <c r="AQ1479" s="7" t="s">
        <v>435</v>
      </c>
      <c r="AR1479" s="7" t="s">
        <v>1966</v>
      </c>
      <c r="AS1479" s="7"/>
      <c r="AT1479" s="7"/>
      <c r="AU1479" s="7"/>
      <c r="AV1479" s="7"/>
      <c r="AW1479" s="7" t="s">
        <v>435</v>
      </c>
      <c r="AX1479" s="7" t="s">
        <v>10072</v>
      </c>
      <c r="AY1479" s="7"/>
      <c r="AZ1479" s="7"/>
      <c r="BA1479" s="7"/>
      <c r="BB1479" s="7"/>
      <c r="BC1479" s="7"/>
      <c r="BD1479" s="7"/>
      <c r="BE1479" s="7" t="s">
        <v>127</v>
      </c>
      <c r="BF1479" s="8"/>
      <c r="BG1479" s="8"/>
      <c r="BH1479" s="8"/>
      <c r="BI1479" s="8"/>
      <c r="BJ1479" s="8"/>
      <c r="BK1479" s="8"/>
      <c r="BL1479" s="8"/>
      <c r="BM1479" s="8"/>
      <c r="BN1479" s="8"/>
      <c r="BO1479" s="8"/>
      <c r="BP1479" s="8"/>
      <c r="BQ1479" s="8"/>
      <c r="BR1479" s="8"/>
      <c r="BS1479" s="8"/>
    </row>
    <row r="1480" customFormat="false" ht="15" hidden="false" customHeight="false" outlineLevel="0" collapsed="false">
      <c r="A1480" s="7" t="s">
        <v>10074</v>
      </c>
      <c r="B1480" s="7" t="s">
        <v>10075</v>
      </c>
      <c r="C1480" s="7" t="s">
        <v>10076</v>
      </c>
      <c r="D1480" s="7" t="s">
        <v>10077</v>
      </c>
      <c r="E1480" s="7" t="s">
        <v>1966</v>
      </c>
      <c r="F1480" s="7" t="s">
        <v>1966</v>
      </c>
      <c r="G1480" s="7" t="s">
        <v>10071</v>
      </c>
      <c r="H1480" s="7"/>
      <c r="I1480" s="7" t="s">
        <v>132</v>
      </c>
      <c r="J1480" s="7" t="s">
        <v>104</v>
      </c>
      <c r="K1480" s="7" t="s">
        <v>105</v>
      </c>
      <c r="L1480" s="7" t="s">
        <v>106</v>
      </c>
      <c r="M1480" s="7"/>
      <c r="N1480" s="7" t="s">
        <v>10078</v>
      </c>
      <c r="O1480" s="7" t="s">
        <v>10078</v>
      </c>
      <c r="P1480" s="7" t="s">
        <v>135</v>
      </c>
      <c r="Q1480" s="7"/>
      <c r="R1480" s="7" t="s">
        <v>109</v>
      </c>
      <c r="S1480" s="7" t="s">
        <v>110</v>
      </c>
      <c r="T1480" s="7" t="n">
        <v>0.319</v>
      </c>
      <c r="U1480" s="7" t="n">
        <v>1</v>
      </c>
      <c r="V1480" s="7"/>
      <c r="W1480" s="7"/>
      <c r="X1480" s="7"/>
      <c r="Y1480" s="7" t="s">
        <v>10078</v>
      </c>
      <c r="Z1480" s="7"/>
      <c r="AA1480" s="7"/>
      <c r="AB1480" s="7"/>
      <c r="AC1480" s="7" t="n">
        <v>4</v>
      </c>
      <c r="AD1480" s="7" t="s">
        <v>1376</v>
      </c>
      <c r="AE1480" s="7" t="s">
        <v>435</v>
      </c>
      <c r="AF1480" s="7" t="s">
        <v>10079</v>
      </c>
      <c r="AG1480" s="7"/>
      <c r="AH1480" s="7"/>
      <c r="AI1480" s="7"/>
      <c r="AJ1480" s="7"/>
      <c r="AK1480" s="7"/>
      <c r="AL1480" s="7"/>
      <c r="AM1480" s="7"/>
      <c r="AN1480" s="7"/>
      <c r="AO1480" s="7" t="s">
        <v>435</v>
      </c>
      <c r="AP1480" s="7" t="s">
        <v>10077</v>
      </c>
      <c r="AQ1480" s="7" t="s">
        <v>435</v>
      </c>
      <c r="AR1480" s="7" t="s">
        <v>1966</v>
      </c>
      <c r="AS1480" s="7"/>
      <c r="AT1480" s="7"/>
      <c r="AU1480" s="7"/>
      <c r="AV1480" s="7"/>
      <c r="AW1480" s="7" t="s">
        <v>435</v>
      </c>
      <c r="AX1480" s="7" t="s">
        <v>10078</v>
      </c>
      <c r="AY1480" s="7"/>
      <c r="AZ1480" s="7"/>
      <c r="BA1480" s="7"/>
      <c r="BB1480" s="7"/>
      <c r="BC1480" s="7"/>
      <c r="BD1480" s="7"/>
      <c r="BE1480" s="7" t="s">
        <v>127</v>
      </c>
      <c r="BF1480" s="8"/>
      <c r="BG1480" s="8"/>
      <c r="BH1480" s="8"/>
      <c r="BI1480" s="8"/>
      <c r="BJ1480" s="8"/>
      <c r="BK1480" s="8"/>
      <c r="BL1480" s="8"/>
      <c r="BM1480" s="8"/>
      <c r="BN1480" s="8"/>
      <c r="BO1480" s="8"/>
      <c r="BP1480" s="8"/>
      <c r="BQ1480" s="8"/>
      <c r="BR1480" s="8"/>
      <c r="BS1480" s="8"/>
    </row>
    <row r="1481" customFormat="false" ht="15" hidden="false" customHeight="false" outlineLevel="0" collapsed="false">
      <c r="A1481" s="7" t="s">
        <v>10080</v>
      </c>
      <c r="B1481" s="7" t="s">
        <v>10081</v>
      </c>
      <c r="C1481" s="7" t="s">
        <v>10082</v>
      </c>
      <c r="D1481" s="7" t="s">
        <v>10083</v>
      </c>
      <c r="E1481" s="7" t="s">
        <v>1966</v>
      </c>
      <c r="F1481" s="7" t="s">
        <v>1966</v>
      </c>
      <c r="G1481" s="7" t="s">
        <v>10084</v>
      </c>
      <c r="H1481" s="7"/>
      <c r="I1481" s="7" t="s">
        <v>132</v>
      </c>
      <c r="J1481" s="7" t="s">
        <v>104</v>
      </c>
      <c r="K1481" s="7" t="s">
        <v>105</v>
      </c>
      <c r="L1481" s="7" t="s">
        <v>106</v>
      </c>
      <c r="M1481" s="7"/>
      <c r="N1481" s="7" t="s">
        <v>10085</v>
      </c>
      <c r="O1481" s="7" t="s">
        <v>10085</v>
      </c>
      <c r="P1481" s="7" t="s">
        <v>135</v>
      </c>
      <c r="Q1481" s="7"/>
      <c r="R1481" s="7" t="s">
        <v>109</v>
      </c>
      <c r="S1481" s="7" t="s">
        <v>110</v>
      </c>
      <c r="T1481" s="7" t="n">
        <v>0.384</v>
      </c>
      <c r="U1481" s="7" t="n">
        <v>1</v>
      </c>
      <c r="V1481" s="7"/>
      <c r="W1481" s="7"/>
      <c r="X1481" s="7"/>
      <c r="Y1481" s="7" t="s">
        <v>10085</v>
      </c>
      <c r="Z1481" s="7"/>
      <c r="AA1481" s="7"/>
      <c r="AB1481" s="7"/>
      <c r="AC1481" s="7" t="n">
        <v>4</v>
      </c>
      <c r="AD1481" s="7" t="s">
        <v>1376</v>
      </c>
      <c r="AE1481" s="7" t="s">
        <v>435</v>
      </c>
      <c r="AF1481" s="7" t="s">
        <v>10086</v>
      </c>
      <c r="AG1481" s="7"/>
      <c r="AH1481" s="7"/>
      <c r="AI1481" s="7"/>
      <c r="AJ1481" s="7"/>
      <c r="AK1481" s="7"/>
      <c r="AL1481" s="7"/>
      <c r="AM1481" s="7"/>
      <c r="AN1481" s="7"/>
      <c r="AO1481" s="7" t="s">
        <v>435</v>
      </c>
      <c r="AP1481" s="7" t="s">
        <v>10083</v>
      </c>
      <c r="AQ1481" s="7" t="s">
        <v>435</v>
      </c>
      <c r="AR1481" s="7" t="s">
        <v>1966</v>
      </c>
      <c r="AS1481" s="7"/>
      <c r="AT1481" s="7"/>
      <c r="AU1481" s="7"/>
      <c r="AV1481" s="7"/>
      <c r="AW1481" s="7" t="s">
        <v>435</v>
      </c>
      <c r="AX1481" s="7" t="s">
        <v>10085</v>
      </c>
      <c r="AY1481" s="7"/>
      <c r="AZ1481" s="7"/>
      <c r="BA1481" s="7"/>
      <c r="BB1481" s="7"/>
      <c r="BC1481" s="7"/>
      <c r="BD1481" s="7"/>
      <c r="BE1481" s="7" t="s">
        <v>127</v>
      </c>
      <c r="BF1481" s="8"/>
      <c r="BG1481" s="8"/>
      <c r="BH1481" s="8"/>
      <c r="BI1481" s="8"/>
      <c r="BJ1481" s="8"/>
      <c r="BK1481" s="8"/>
      <c r="BL1481" s="8"/>
      <c r="BM1481" s="8"/>
      <c r="BN1481" s="8"/>
      <c r="BO1481" s="8"/>
      <c r="BP1481" s="8"/>
      <c r="BQ1481" s="8"/>
      <c r="BR1481" s="8"/>
      <c r="BS1481" s="8"/>
    </row>
    <row r="1482" customFormat="false" ht="15" hidden="false" customHeight="false" outlineLevel="0" collapsed="false">
      <c r="A1482" s="7" t="s">
        <v>10087</v>
      </c>
      <c r="B1482" s="7" t="s">
        <v>10088</v>
      </c>
      <c r="C1482" s="7" t="s">
        <v>10089</v>
      </c>
      <c r="D1482" s="7" t="s">
        <v>10090</v>
      </c>
      <c r="E1482" s="7" t="s">
        <v>1966</v>
      </c>
      <c r="F1482" s="7" t="s">
        <v>1966</v>
      </c>
      <c r="G1482" s="7" t="s">
        <v>418</v>
      </c>
      <c r="H1482" s="7"/>
      <c r="I1482" s="7" t="s">
        <v>132</v>
      </c>
      <c r="J1482" s="7" t="s">
        <v>104</v>
      </c>
      <c r="K1482" s="7" t="s">
        <v>105</v>
      </c>
      <c r="L1482" s="7" t="s">
        <v>106</v>
      </c>
      <c r="M1482" s="7"/>
      <c r="N1482" s="7" t="s">
        <v>10091</v>
      </c>
      <c r="O1482" s="7"/>
      <c r="P1482" s="7" t="s">
        <v>135</v>
      </c>
      <c r="Q1482" s="7"/>
      <c r="R1482" s="7" t="s">
        <v>135</v>
      </c>
      <c r="S1482" s="7" t="s">
        <v>136</v>
      </c>
      <c r="T1482" s="7" t="n">
        <v>0.352</v>
      </c>
      <c r="U1482" s="7" t="n">
        <v>1</v>
      </c>
      <c r="V1482" s="7"/>
      <c r="W1482" s="7"/>
      <c r="X1482" s="7"/>
      <c r="Y1482" s="7" t="s">
        <v>10091</v>
      </c>
      <c r="Z1482" s="7"/>
      <c r="AA1482" s="7"/>
      <c r="AB1482" s="7"/>
      <c r="AC1482" s="7" t="n">
        <v>4</v>
      </c>
      <c r="AD1482" s="7" t="s">
        <v>1376</v>
      </c>
      <c r="AE1482" s="7" t="s">
        <v>435</v>
      </c>
      <c r="AF1482" s="7" t="s">
        <v>10092</v>
      </c>
      <c r="AG1482" s="7"/>
      <c r="AH1482" s="7"/>
      <c r="AI1482" s="7"/>
      <c r="AJ1482" s="7"/>
      <c r="AK1482" s="7"/>
      <c r="AL1482" s="7"/>
      <c r="AM1482" s="7"/>
      <c r="AN1482" s="7"/>
      <c r="AO1482" s="7" t="s">
        <v>435</v>
      </c>
      <c r="AP1482" s="7" t="s">
        <v>10090</v>
      </c>
      <c r="AQ1482" s="7" t="s">
        <v>435</v>
      </c>
      <c r="AR1482" s="7" t="s">
        <v>1966</v>
      </c>
      <c r="AS1482" s="7"/>
      <c r="AT1482" s="7"/>
      <c r="AU1482" s="7"/>
      <c r="AV1482" s="7"/>
      <c r="AW1482" s="7" t="s">
        <v>435</v>
      </c>
      <c r="AX1482" s="7" t="s">
        <v>10091</v>
      </c>
      <c r="AY1482" s="7"/>
      <c r="AZ1482" s="7"/>
      <c r="BA1482" s="7"/>
      <c r="BB1482" s="7"/>
      <c r="BC1482" s="7"/>
      <c r="BD1482" s="7"/>
      <c r="BE1482" s="7" t="s">
        <v>127</v>
      </c>
      <c r="BF1482" s="8"/>
      <c r="BG1482" s="8"/>
      <c r="BH1482" s="8"/>
      <c r="BI1482" s="8"/>
      <c r="BJ1482" s="8"/>
      <c r="BK1482" s="8"/>
      <c r="BL1482" s="8"/>
      <c r="BM1482" s="8"/>
      <c r="BN1482" s="8"/>
      <c r="BO1482" s="8"/>
      <c r="BP1482" s="8"/>
      <c r="BQ1482" s="8"/>
      <c r="BR1482" s="8"/>
      <c r="BS1482" s="8"/>
    </row>
    <row r="1483" customFormat="false" ht="15" hidden="false" customHeight="false" outlineLevel="0" collapsed="false">
      <c r="A1483" s="7" t="s">
        <v>10093</v>
      </c>
      <c r="B1483" s="7" t="s">
        <v>10094</v>
      </c>
      <c r="C1483" s="7" t="s">
        <v>10095</v>
      </c>
      <c r="D1483" s="7" t="s">
        <v>10096</v>
      </c>
      <c r="E1483" s="7" t="s">
        <v>1966</v>
      </c>
      <c r="F1483" s="7" t="s">
        <v>1966</v>
      </c>
      <c r="G1483" s="7" t="s">
        <v>10097</v>
      </c>
      <c r="H1483" s="7"/>
      <c r="I1483" s="7" t="s">
        <v>158</v>
      </c>
      <c r="J1483" s="7" t="s">
        <v>104</v>
      </c>
      <c r="K1483" s="7" t="s">
        <v>105</v>
      </c>
      <c r="L1483" s="7" t="s">
        <v>106</v>
      </c>
      <c r="M1483" s="7"/>
      <c r="N1483" s="7" t="s">
        <v>10098</v>
      </c>
      <c r="O1483" s="7" t="s">
        <v>10098</v>
      </c>
      <c r="P1483" s="7" t="s">
        <v>135</v>
      </c>
      <c r="Q1483" s="7"/>
      <c r="R1483" s="7" t="s">
        <v>109</v>
      </c>
      <c r="S1483" s="7" t="s">
        <v>110</v>
      </c>
      <c r="T1483" s="7" t="n">
        <v>0.285</v>
      </c>
      <c r="U1483" s="7" t="n">
        <v>1</v>
      </c>
      <c r="V1483" s="7"/>
      <c r="W1483" s="7"/>
      <c r="X1483" s="7"/>
      <c r="Y1483" s="7" t="s">
        <v>10098</v>
      </c>
      <c r="Z1483" s="7"/>
      <c r="AA1483" s="7"/>
      <c r="AB1483" s="7"/>
      <c r="AC1483" s="7" t="n">
        <v>4</v>
      </c>
      <c r="AD1483" s="7" t="s">
        <v>1376</v>
      </c>
      <c r="AE1483" s="7" t="s">
        <v>435</v>
      </c>
      <c r="AF1483" s="7" t="s">
        <v>10099</v>
      </c>
      <c r="AG1483" s="7"/>
      <c r="AH1483" s="7"/>
      <c r="AI1483" s="7"/>
      <c r="AJ1483" s="7"/>
      <c r="AK1483" s="7"/>
      <c r="AL1483" s="7"/>
      <c r="AM1483" s="7"/>
      <c r="AN1483" s="7"/>
      <c r="AO1483" s="7" t="s">
        <v>435</v>
      </c>
      <c r="AP1483" s="7" t="s">
        <v>10096</v>
      </c>
      <c r="AQ1483" s="7" t="s">
        <v>435</v>
      </c>
      <c r="AR1483" s="7" t="s">
        <v>1966</v>
      </c>
      <c r="AS1483" s="7"/>
      <c r="AT1483" s="7"/>
      <c r="AU1483" s="7"/>
      <c r="AV1483" s="7"/>
      <c r="AW1483" s="7" t="s">
        <v>435</v>
      </c>
      <c r="AX1483" s="7" t="s">
        <v>10098</v>
      </c>
      <c r="AY1483" s="7"/>
      <c r="AZ1483" s="7"/>
      <c r="BA1483" s="7"/>
      <c r="BB1483" s="7"/>
      <c r="BC1483" s="7"/>
      <c r="BD1483" s="7"/>
      <c r="BE1483" s="7" t="s">
        <v>127</v>
      </c>
      <c r="BF1483" s="8"/>
      <c r="BG1483" s="8"/>
      <c r="BH1483" s="8"/>
      <c r="BI1483" s="8"/>
      <c r="BJ1483" s="8"/>
      <c r="BK1483" s="8"/>
      <c r="BL1483" s="8"/>
      <c r="BM1483" s="8"/>
      <c r="BN1483" s="8"/>
      <c r="BO1483" s="8"/>
      <c r="BP1483" s="8"/>
      <c r="BQ1483" s="8"/>
      <c r="BR1483" s="8"/>
      <c r="BS1483" s="8"/>
    </row>
    <row r="1484" customFormat="false" ht="15" hidden="false" customHeight="false" outlineLevel="0" collapsed="false">
      <c r="A1484" s="7" t="s">
        <v>10100</v>
      </c>
      <c r="B1484" s="7" t="s">
        <v>10101</v>
      </c>
      <c r="C1484" s="7" t="s">
        <v>10102</v>
      </c>
      <c r="D1484" s="7" t="s">
        <v>10103</v>
      </c>
      <c r="E1484" s="7" t="s">
        <v>741</v>
      </c>
      <c r="F1484" s="7" t="s">
        <v>741</v>
      </c>
      <c r="G1484" s="7"/>
      <c r="H1484" s="7"/>
      <c r="I1484" s="7" t="s">
        <v>158</v>
      </c>
      <c r="J1484" s="7" t="s">
        <v>104</v>
      </c>
      <c r="K1484" s="7" t="s">
        <v>105</v>
      </c>
      <c r="L1484" s="7" t="s">
        <v>353</v>
      </c>
      <c r="M1484" s="7"/>
      <c r="N1484" s="7" t="s">
        <v>10104</v>
      </c>
      <c r="O1484" s="7" t="s">
        <v>10104</v>
      </c>
      <c r="P1484" s="7" t="s">
        <v>135</v>
      </c>
      <c r="Q1484" s="7"/>
      <c r="R1484" s="7" t="s">
        <v>109</v>
      </c>
      <c r="S1484" s="7" t="s">
        <v>110</v>
      </c>
      <c r="T1484" s="7" t="n">
        <v>0.743</v>
      </c>
      <c r="U1484" s="7" t="n">
        <v>1</v>
      </c>
      <c r="V1484" s="7"/>
      <c r="W1484" s="7"/>
      <c r="X1484" s="7"/>
      <c r="Y1484" s="7" t="s">
        <v>10104</v>
      </c>
      <c r="Z1484" s="7"/>
      <c r="AA1484" s="7"/>
      <c r="AB1484" s="7"/>
      <c r="AC1484" s="7" t="n">
        <v>4</v>
      </c>
      <c r="AD1484" s="7" t="s">
        <v>1376</v>
      </c>
      <c r="AE1484" s="7" t="s">
        <v>435</v>
      </c>
      <c r="AF1484" s="7" t="s">
        <v>10102</v>
      </c>
      <c r="AG1484" s="7"/>
      <c r="AH1484" s="7"/>
      <c r="AI1484" s="7"/>
      <c r="AJ1484" s="7"/>
      <c r="AK1484" s="7"/>
      <c r="AL1484" s="7"/>
      <c r="AM1484" s="7"/>
      <c r="AN1484" s="7"/>
      <c r="AO1484" s="7" t="s">
        <v>435</v>
      </c>
      <c r="AP1484" s="7" t="s">
        <v>10103</v>
      </c>
      <c r="AQ1484" s="7" t="s">
        <v>435</v>
      </c>
      <c r="AR1484" s="7" t="s">
        <v>741</v>
      </c>
      <c r="AS1484" s="7"/>
      <c r="AT1484" s="7"/>
      <c r="AU1484" s="7"/>
      <c r="AV1484" s="7"/>
      <c r="AW1484" s="7" t="s">
        <v>435</v>
      </c>
      <c r="AX1484" s="7" t="s">
        <v>10104</v>
      </c>
      <c r="AY1484" s="7"/>
      <c r="AZ1484" s="7"/>
      <c r="BA1484" s="7"/>
      <c r="BB1484" s="7"/>
      <c r="BC1484" s="7"/>
      <c r="BD1484" s="7"/>
      <c r="BE1484" s="7" t="s">
        <v>127</v>
      </c>
      <c r="BF1484" s="8"/>
      <c r="BG1484" s="8"/>
      <c r="BH1484" s="8"/>
      <c r="BI1484" s="8"/>
      <c r="BJ1484" s="8"/>
      <c r="BK1484" s="8"/>
      <c r="BL1484" s="8"/>
      <c r="BM1484" s="8"/>
      <c r="BN1484" s="8"/>
      <c r="BO1484" s="8"/>
      <c r="BP1484" s="8"/>
      <c r="BQ1484" s="8"/>
      <c r="BR1484" s="8"/>
      <c r="BS1484" s="8"/>
    </row>
    <row r="1485" customFormat="false" ht="15" hidden="false" customHeight="false" outlineLevel="0" collapsed="false">
      <c r="A1485" s="7" t="s">
        <v>10105</v>
      </c>
      <c r="B1485" s="7" t="s">
        <v>10106</v>
      </c>
      <c r="C1485" s="7" t="s">
        <v>10107</v>
      </c>
      <c r="D1485" s="7"/>
      <c r="E1485" s="7" t="s">
        <v>741</v>
      </c>
      <c r="F1485" s="7" t="s">
        <v>741</v>
      </c>
      <c r="G1485" s="7"/>
      <c r="H1485" s="7"/>
      <c r="I1485" s="7" t="s">
        <v>158</v>
      </c>
      <c r="J1485" s="7" t="s">
        <v>104</v>
      </c>
      <c r="K1485" s="7" t="s">
        <v>105</v>
      </c>
      <c r="L1485" s="7" t="s">
        <v>353</v>
      </c>
      <c r="M1485" s="7"/>
      <c r="N1485" s="7" t="s">
        <v>10108</v>
      </c>
      <c r="O1485" s="7" t="s">
        <v>10108</v>
      </c>
      <c r="P1485" s="7" t="s">
        <v>135</v>
      </c>
      <c r="Q1485" s="7"/>
      <c r="R1485" s="7" t="s">
        <v>109</v>
      </c>
      <c r="S1485" s="7" t="s">
        <v>110</v>
      </c>
      <c r="T1485" s="7" t="n">
        <v>0.76</v>
      </c>
      <c r="U1485" s="7" t="n">
        <v>1</v>
      </c>
      <c r="V1485" s="7"/>
      <c r="W1485" s="7"/>
      <c r="X1485" s="7"/>
      <c r="Y1485" s="7" t="s">
        <v>10108</v>
      </c>
      <c r="Z1485" s="7"/>
      <c r="AA1485" s="7"/>
      <c r="AB1485" s="7"/>
      <c r="AC1485" s="7" t="n">
        <v>3</v>
      </c>
      <c r="AD1485" s="7" t="s">
        <v>4607</v>
      </c>
      <c r="AE1485" s="7" t="s">
        <v>435</v>
      </c>
      <c r="AF1485" s="7" t="s">
        <v>10107</v>
      </c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 t="s">
        <v>435</v>
      </c>
      <c r="AR1485" s="7" t="s">
        <v>741</v>
      </c>
      <c r="AS1485" s="7"/>
      <c r="AT1485" s="7"/>
      <c r="AU1485" s="7"/>
      <c r="AV1485" s="7"/>
      <c r="AW1485" s="7" t="s">
        <v>435</v>
      </c>
      <c r="AX1485" s="7" t="s">
        <v>10108</v>
      </c>
      <c r="AY1485" s="7"/>
      <c r="AZ1485" s="7"/>
      <c r="BA1485" s="7"/>
      <c r="BB1485" s="7"/>
      <c r="BC1485" s="7"/>
      <c r="BD1485" s="7" t="s">
        <v>747</v>
      </c>
      <c r="BE1485" s="7" t="s">
        <v>127</v>
      </c>
      <c r="BF1485" s="8"/>
      <c r="BG1485" s="8"/>
      <c r="BH1485" s="8"/>
      <c r="BI1485" s="8"/>
      <c r="BJ1485" s="8"/>
      <c r="BK1485" s="8"/>
      <c r="BL1485" s="8"/>
      <c r="BM1485" s="8"/>
      <c r="BN1485" s="8"/>
      <c r="BO1485" s="8"/>
      <c r="BP1485" s="8"/>
      <c r="BQ1485" s="8"/>
      <c r="BR1485" s="8"/>
      <c r="BS1485" s="8"/>
    </row>
    <row r="1486" customFormat="false" ht="15" hidden="false" customHeight="false" outlineLevel="0" collapsed="false">
      <c r="A1486" s="7" t="s">
        <v>10109</v>
      </c>
      <c r="B1486" s="7" t="s">
        <v>10110</v>
      </c>
      <c r="C1486" s="7" t="s">
        <v>10111</v>
      </c>
      <c r="D1486" s="7"/>
      <c r="E1486" s="7" t="s">
        <v>737</v>
      </c>
      <c r="F1486" s="7" t="s">
        <v>737</v>
      </c>
      <c r="G1486" s="7"/>
      <c r="H1486" s="7"/>
      <c r="I1486" s="7" t="s">
        <v>132</v>
      </c>
      <c r="J1486" s="7" t="s">
        <v>104</v>
      </c>
      <c r="K1486" s="7" t="s">
        <v>105</v>
      </c>
      <c r="L1486" s="7" t="s">
        <v>106</v>
      </c>
      <c r="M1486" s="7"/>
      <c r="N1486" s="7" t="s">
        <v>10112</v>
      </c>
      <c r="O1486" s="7"/>
      <c r="P1486" s="7" t="s">
        <v>135</v>
      </c>
      <c r="Q1486" s="7"/>
      <c r="R1486" s="7" t="s">
        <v>135</v>
      </c>
      <c r="S1486" s="7" t="s">
        <v>136</v>
      </c>
      <c r="T1486" s="7" t="n">
        <v>0.618</v>
      </c>
      <c r="U1486" s="7" t="n">
        <v>1</v>
      </c>
      <c r="V1486" s="7"/>
      <c r="W1486" s="7"/>
      <c r="X1486" s="7"/>
      <c r="Y1486" s="7" t="s">
        <v>10112</v>
      </c>
      <c r="Z1486" s="7"/>
      <c r="AA1486" s="7"/>
      <c r="AB1486" s="7"/>
      <c r="AC1486" s="7" t="n">
        <v>3</v>
      </c>
      <c r="AD1486" s="7" t="s">
        <v>4607</v>
      </c>
      <c r="AE1486" s="7" t="s">
        <v>435</v>
      </c>
      <c r="AF1486" s="7" t="s">
        <v>10111</v>
      </c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 t="s">
        <v>435</v>
      </c>
      <c r="AR1486" s="7" t="s">
        <v>737</v>
      </c>
      <c r="AS1486" s="7"/>
      <c r="AT1486" s="7"/>
      <c r="AU1486" s="7"/>
      <c r="AV1486" s="7"/>
      <c r="AW1486" s="7" t="s">
        <v>435</v>
      </c>
      <c r="AX1486" s="7" t="s">
        <v>10112</v>
      </c>
      <c r="AY1486" s="7"/>
      <c r="AZ1486" s="7"/>
      <c r="BA1486" s="7"/>
      <c r="BB1486" s="7"/>
      <c r="BC1486" s="7"/>
      <c r="BD1486" s="7"/>
      <c r="BE1486" s="7" t="s">
        <v>127</v>
      </c>
      <c r="BF1486" s="8"/>
      <c r="BG1486" s="8"/>
      <c r="BH1486" s="8"/>
      <c r="BI1486" s="8"/>
      <c r="BJ1486" s="8"/>
      <c r="BK1486" s="8"/>
      <c r="BL1486" s="8"/>
      <c r="BM1486" s="8"/>
      <c r="BN1486" s="8"/>
      <c r="BO1486" s="8"/>
      <c r="BP1486" s="8"/>
      <c r="BQ1486" s="8"/>
      <c r="BR1486" s="8"/>
      <c r="BS1486" s="8"/>
    </row>
    <row r="1487" customFormat="false" ht="15" hidden="false" customHeight="false" outlineLevel="0" collapsed="false">
      <c r="A1487" s="7" t="s">
        <v>10113</v>
      </c>
      <c r="B1487" s="7" t="s">
        <v>10114</v>
      </c>
      <c r="C1487" s="7" t="s">
        <v>10115</v>
      </c>
      <c r="D1487" s="7"/>
      <c r="E1487" s="7" t="s">
        <v>3046</v>
      </c>
      <c r="F1487" s="7" t="s">
        <v>3046</v>
      </c>
      <c r="G1487" s="7" t="s">
        <v>10116</v>
      </c>
      <c r="H1487" s="7"/>
      <c r="I1487" s="7" t="s">
        <v>132</v>
      </c>
      <c r="J1487" s="7" t="s">
        <v>104</v>
      </c>
      <c r="K1487" s="7" t="s">
        <v>105</v>
      </c>
      <c r="L1487" s="7" t="s">
        <v>106</v>
      </c>
      <c r="M1487" s="7"/>
      <c r="N1487" s="7" t="s">
        <v>10117</v>
      </c>
      <c r="O1487" s="7"/>
      <c r="P1487" s="7" t="s">
        <v>135</v>
      </c>
      <c r="Q1487" s="7"/>
      <c r="R1487" s="7" t="s">
        <v>135</v>
      </c>
      <c r="S1487" s="7" t="s">
        <v>136</v>
      </c>
      <c r="T1487" s="7" t="n">
        <v>0.358</v>
      </c>
      <c r="U1487" s="7" t="n">
        <v>1</v>
      </c>
      <c r="V1487" s="7"/>
      <c r="W1487" s="7"/>
      <c r="X1487" s="7"/>
      <c r="Y1487" s="7" t="s">
        <v>10117</v>
      </c>
      <c r="Z1487" s="7"/>
      <c r="AA1487" s="7"/>
      <c r="AB1487" s="7"/>
      <c r="AC1487" s="7" t="n">
        <v>3</v>
      </c>
      <c r="AD1487" s="7" t="s">
        <v>4607</v>
      </c>
      <c r="AE1487" s="7" t="s">
        <v>435</v>
      </c>
      <c r="AF1487" s="7" t="s">
        <v>10118</v>
      </c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 t="s">
        <v>435</v>
      </c>
      <c r="AR1487" s="7" t="s">
        <v>3046</v>
      </c>
      <c r="AS1487" s="7"/>
      <c r="AT1487" s="7"/>
      <c r="AU1487" s="7"/>
      <c r="AV1487" s="7"/>
      <c r="AW1487" s="7" t="s">
        <v>435</v>
      </c>
      <c r="AX1487" s="7" t="s">
        <v>10117</v>
      </c>
      <c r="AY1487" s="7"/>
      <c r="AZ1487" s="7"/>
      <c r="BA1487" s="7"/>
      <c r="BB1487" s="7"/>
      <c r="BC1487" s="7"/>
      <c r="BD1487" s="7"/>
      <c r="BE1487" s="7" t="s">
        <v>127</v>
      </c>
      <c r="BF1487" s="8"/>
      <c r="BG1487" s="8"/>
      <c r="BH1487" s="8"/>
      <c r="BI1487" s="8"/>
      <c r="BJ1487" s="8"/>
      <c r="BK1487" s="8"/>
      <c r="BL1487" s="8"/>
      <c r="BM1487" s="8"/>
      <c r="BN1487" s="8"/>
      <c r="BO1487" s="8"/>
      <c r="BP1487" s="8"/>
      <c r="BQ1487" s="8"/>
      <c r="BR1487" s="8"/>
      <c r="BS1487" s="8"/>
    </row>
    <row r="1488" customFormat="false" ht="15" hidden="false" customHeight="false" outlineLevel="0" collapsed="false">
      <c r="A1488" s="7" t="s">
        <v>10119</v>
      </c>
      <c r="B1488" s="7" t="s">
        <v>10120</v>
      </c>
      <c r="C1488" s="7" t="s">
        <v>10121</v>
      </c>
      <c r="D1488" s="7" t="s">
        <v>10122</v>
      </c>
      <c r="E1488" s="7" t="s">
        <v>741</v>
      </c>
      <c r="F1488" s="7" t="s">
        <v>741</v>
      </c>
      <c r="G1488" s="7"/>
      <c r="H1488" s="7"/>
      <c r="I1488" s="7" t="s">
        <v>158</v>
      </c>
      <c r="J1488" s="7" t="s">
        <v>104</v>
      </c>
      <c r="K1488" s="7" t="s">
        <v>105</v>
      </c>
      <c r="L1488" s="7" t="s">
        <v>106</v>
      </c>
      <c r="M1488" s="7"/>
      <c r="N1488" s="7" t="s">
        <v>10123</v>
      </c>
      <c r="O1488" s="7" t="s">
        <v>10123</v>
      </c>
      <c r="P1488" s="7" t="s">
        <v>135</v>
      </c>
      <c r="Q1488" s="7"/>
      <c r="R1488" s="7" t="s">
        <v>109</v>
      </c>
      <c r="S1488" s="7" t="s">
        <v>110</v>
      </c>
      <c r="T1488" s="7" t="n">
        <v>0.431</v>
      </c>
      <c r="U1488" s="7" t="n">
        <v>1</v>
      </c>
      <c r="V1488" s="7" t="s">
        <v>90</v>
      </c>
      <c r="W1488" s="7"/>
      <c r="X1488" s="7" t="s">
        <v>752</v>
      </c>
      <c r="Y1488" s="7" t="s">
        <v>10123</v>
      </c>
      <c r="Z1488" s="7"/>
      <c r="AA1488" s="7"/>
      <c r="AB1488" s="7"/>
      <c r="AC1488" s="7" t="n">
        <v>5</v>
      </c>
      <c r="AD1488" s="7" t="s">
        <v>743</v>
      </c>
      <c r="AE1488" s="7" t="s">
        <v>435</v>
      </c>
      <c r="AF1488" s="7" t="s">
        <v>10124</v>
      </c>
      <c r="AG1488" s="7" t="s">
        <v>435</v>
      </c>
      <c r="AH1488" s="7" t="s">
        <v>752</v>
      </c>
      <c r="AI1488" s="7"/>
      <c r="AJ1488" s="7"/>
      <c r="AK1488" s="7"/>
      <c r="AL1488" s="7"/>
      <c r="AM1488" s="7"/>
      <c r="AN1488" s="7"/>
      <c r="AO1488" s="7" t="s">
        <v>435</v>
      </c>
      <c r="AP1488" s="7" t="s">
        <v>10122</v>
      </c>
      <c r="AQ1488" s="7" t="s">
        <v>435</v>
      </c>
      <c r="AR1488" s="7" t="s">
        <v>741</v>
      </c>
      <c r="AS1488" s="7"/>
      <c r="AT1488" s="7"/>
      <c r="AU1488" s="7"/>
      <c r="AV1488" s="7"/>
      <c r="AW1488" s="7" t="s">
        <v>435</v>
      </c>
      <c r="AX1488" s="7" t="s">
        <v>10123</v>
      </c>
      <c r="AY1488" s="7"/>
      <c r="AZ1488" s="7"/>
      <c r="BA1488" s="7"/>
      <c r="BB1488" s="7"/>
      <c r="BC1488" s="7"/>
      <c r="BD1488" s="7" t="s">
        <v>747</v>
      </c>
      <c r="BE1488" s="7" t="s">
        <v>127</v>
      </c>
      <c r="BF1488" s="8"/>
      <c r="BG1488" s="8"/>
      <c r="BH1488" s="8"/>
      <c r="BI1488" s="8"/>
      <c r="BJ1488" s="8"/>
      <c r="BK1488" s="8"/>
      <c r="BL1488" s="8"/>
      <c r="BM1488" s="8"/>
      <c r="BN1488" s="8"/>
      <c r="BO1488" s="8"/>
      <c r="BP1488" s="8"/>
      <c r="BQ1488" s="8"/>
      <c r="BR1488" s="8"/>
      <c r="BS1488" s="8"/>
    </row>
    <row r="1489" customFormat="false" ht="15" hidden="false" customHeight="false" outlineLevel="0" collapsed="false">
      <c r="A1489" s="7" t="s">
        <v>10125</v>
      </c>
      <c r="B1489" s="7" t="s">
        <v>10126</v>
      </c>
      <c r="C1489" s="7" t="s">
        <v>10127</v>
      </c>
      <c r="D1489" s="7" t="s">
        <v>10128</v>
      </c>
      <c r="E1489" s="7" t="s">
        <v>741</v>
      </c>
      <c r="F1489" s="7" t="s">
        <v>741</v>
      </c>
      <c r="G1489" s="7"/>
      <c r="H1489" s="7"/>
      <c r="I1489" s="7" t="s">
        <v>158</v>
      </c>
      <c r="J1489" s="7" t="s">
        <v>104</v>
      </c>
      <c r="K1489" s="7" t="s">
        <v>105</v>
      </c>
      <c r="L1489" s="7" t="s">
        <v>106</v>
      </c>
      <c r="M1489" s="7"/>
      <c r="N1489" s="7" t="s">
        <v>10129</v>
      </c>
      <c r="O1489" s="7" t="s">
        <v>10129</v>
      </c>
      <c r="P1489" s="7" t="s">
        <v>135</v>
      </c>
      <c r="Q1489" s="7"/>
      <c r="R1489" s="7" t="s">
        <v>109</v>
      </c>
      <c r="S1489" s="7" t="s">
        <v>110</v>
      </c>
      <c r="T1489" s="7" t="n">
        <v>0.848</v>
      </c>
      <c r="U1489" s="7" t="n">
        <v>1</v>
      </c>
      <c r="V1489" s="7"/>
      <c r="W1489" s="7"/>
      <c r="X1489" s="7"/>
      <c r="Y1489" s="7" t="s">
        <v>10129</v>
      </c>
      <c r="Z1489" s="7"/>
      <c r="AA1489" s="7"/>
      <c r="AB1489" s="7"/>
      <c r="AC1489" s="7" t="n">
        <v>4</v>
      </c>
      <c r="AD1489" s="7" t="s">
        <v>1376</v>
      </c>
      <c r="AE1489" s="7" t="s">
        <v>435</v>
      </c>
      <c r="AF1489" s="7" t="s">
        <v>10130</v>
      </c>
      <c r="AG1489" s="7"/>
      <c r="AH1489" s="7"/>
      <c r="AI1489" s="7"/>
      <c r="AJ1489" s="7"/>
      <c r="AK1489" s="7"/>
      <c r="AL1489" s="7"/>
      <c r="AM1489" s="7"/>
      <c r="AN1489" s="7"/>
      <c r="AO1489" s="7" t="s">
        <v>435</v>
      </c>
      <c r="AP1489" s="7" t="s">
        <v>10128</v>
      </c>
      <c r="AQ1489" s="7" t="s">
        <v>435</v>
      </c>
      <c r="AR1489" s="7" t="s">
        <v>741</v>
      </c>
      <c r="AS1489" s="7"/>
      <c r="AT1489" s="7"/>
      <c r="AU1489" s="7"/>
      <c r="AV1489" s="7"/>
      <c r="AW1489" s="7" t="s">
        <v>435</v>
      </c>
      <c r="AX1489" s="7" t="s">
        <v>10129</v>
      </c>
      <c r="AY1489" s="7"/>
      <c r="AZ1489" s="7"/>
      <c r="BA1489" s="7"/>
      <c r="BB1489" s="7"/>
      <c r="BC1489" s="7"/>
      <c r="BD1489" s="7"/>
      <c r="BE1489" s="7" t="s">
        <v>127</v>
      </c>
      <c r="BF1489" s="8"/>
      <c r="BG1489" s="8"/>
      <c r="BH1489" s="8"/>
      <c r="BI1489" s="8"/>
      <c r="BJ1489" s="8"/>
      <c r="BK1489" s="8"/>
      <c r="BL1489" s="8"/>
      <c r="BM1489" s="8"/>
      <c r="BN1489" s="8"/>
      <c r="BO1489" s="8"/>
      <c r="BP1489" s="8"/>
      <c r="BQ1489" s="8"/>
      <c r="BR1489" s="8"/>
      <c r="BS1489" s="8"/>
    </row>
    <row r="1490" customFormat="false" ht="15" hidden="false" customHeight="false" outlineLevel="0" collapsed="false">
      <c r="A1490" s="7" t="s">
        <v>10131</v>
      </c>
      <c r="B1490" s="7" t="s">
        <v>10132</v>
      </c>
      <c r="C1490" s="7" t="s">
        <v>10133</v>
      </c>
      <c r="D1490" s="7" t="s">
        <v>10134</v>
      </c>
      <c r="E1490" s="7" t="s">
        <v>819</v>
      </c>
      <c r="F1490" s="7" t="s">
        <v>819</v>
      </c>
      <c r="G1490" s="7" t="s">
        <v>10135</v>
      </c>
      <c r="H1490" s="7"/>
      <c r="I1490" s="7" t="s">
        <v>132</v>
      </c>
      <c r="J1490" s="7" t="s">
        <v>104</v>
      </c>
      <c r="K1490" s="7" t="s">
        <v>105</v>
      </c>
      <c r="L1490" s="7" t="s">
        <v>106</v>
      </c>
      <c r="M1490" s="7"/>
      <c r="N1490" s="7" t="s">
        <v>10136</v>
      </c>
      <c r="O1490" s="7"/>
      <c r="P1490" s="7" t="s">
        <v>135</v>
      </c>
      <c r="Q1490" s="7"/>
      <c r="R1490" s="7" t="s">
        <v>135</v>
      </c>
      <c r="S1490" s="7" t="s">
        <v>136</v>
      </c>
      <c r="T1490" s="7" t="n">
        <v>0.389</v>
      </c>
      <c r="U1490" s="7" t="n">
        <v>1</v>
      </c>
      <c r="V1490" s="7"/>
      <c r="W1490" s="7"/>
      <c r="X1490" s="7"/>
      <c r="Y1490" s="7" t="s">
        <v>10136</v>
      </c>
      <c r="Z1490" s="7"/>
      <c r="AA1490" s="7"/>
      <c r="AB1490" s="7"/>
      <c r="AC1490" s="7" t="n">
        <v>4</v>
      </c>
      <c r="AD1490" s="7" t="s">
        <v>1376</v>
      </c>
      <c r="AE1490" s="7" t="s">
        <v>435</v>
      </c>
      <c r="AF1490" s="7" t="s">
        <v>10137</v>
      </c>
      <c r="AG1490" s="7"/>
      <c r="AH1490" s="7"/>
      <c r="AI1490" s="7"/>
      <c r="AJ1490" s="7"/>
      <c r="AK1490" s="7"/>
      <c r="AL1490" s="7"/>
      <c r="AM1490" s="7"/>
      <c r="AN1490" s="7"/>
      <c r="AO1490" s="7" t="s">
        <v>435</v>
      </c>
      <c r="AP1490" s="7" t="s">
        <v>10134</v>
      </c>
      <c r="AQ1490" s="7" t="s">
        <v>435</v>
      </c>
      <c r="AR1490" s="7" t="s">
        <v>819</v>
      </c>
      <c r="AS1490" s="7"/>
      <c r="AT1490" s="7"/>
      <c r="AU1490" s="7"/>
      <c r="AV1490" s="7"/>
      <c r="AW1490" s="7" t="s">
        <v>435</v>
      </c>
      <c r="AX1490" s="7" t="s">
        <v>10136</v>
      </c>
      <c r="AY1490" s="7"/>
      <c r="AZ1490" s="7"/>
      <c r="BA1490" s="7"/>
      <c r="BB1490" s="7"/>
      <c r="BC1490" s="7"/>
      <c r="BD1490" s="7"/>
      <c r="BE1490" s="7" t="s">
        <v>127</v>
      </c>
      <c r="BF1490" s="8"/>
      <c r="BG1490" s="8"/>
      <c r="BH1490" s="8"/>
      <c r="BI1490" s="8"/>
      <c r="BJ1490" s="8"/>
      <c r="BK1490" s="8"/>
      <c r="BL1490" s="8"/>
      <c r="BM1490" s="8"/>
      <c r="BN1490" s="8"/>
      <c r="BO1490" s="8"/>
      <c r="BP1490" s="8"/>
      <c r="BQ1490" s="8"/>
      <c r="BR1490" s="8"/>
      <c r="BS1490" s="8"/>
    </row>
    <row r="1491" customFormat="false" ht="15" hidden="false" customHeight="false" outlineLevel="0" collapsed="false">
      <c r="A1491" s="7" t="s">
        <v>10138</v>
      </c>
      <c r="B1491" s="7" t="s">
        <v>10139</v>
      </c>
      <c r="C1491" s="7" t="s">
        <v>10140</v>
      </c>
      <c r="D1491" s="7" t="s">
        <v>10141</v>
      </c>
      <c r="E1491" s="7" t="s">
        <v>444</v>
      </c>
      <c r="F1491" s="7" t="s">
        <v>444</v>
      </c>
      <c r="G1491" s="7" t="s">
        <v>10142</v>
      </c>
      <c r="H1491" s="7"/>
      <c r="I1491" s="7" t="s">
        <v>132</v>
      </c>
      <c r="J1491" s="7" t="s">
        <v>104</v>
      </c>
      <c r="K1491" s="7" t="s">
        <v>105</v>
      </c>
      <c r="L1491" s="7" t="s">
        <v>106</v>
      </c>
      <c r="M1491" s="7"/>
      <c r="N1491" s="7" t="s">
        <v>10143</v>
      </c>
      <c r="O1491" s="7" t="s">
        <v>10143</v>
      </c>
      <c r="P1491" s="7" t="s">
        <v>135</v>
      </c>
      <c r="Q1491" s="7"/>
      <c r="R1491" s="7" t="s">
        <v>109</v>
      </c>
      <c r="S1491" s="7" t="s">
        <v>110</v>
      </c>
      <c r="T1491" s="7" t="n">
        <v>0.442</v>
      </c>
      <c r="U1491" s="7" t="n">
        <v>1</v>
      </c>
      <c r="V1491" s="7"/>
      <c r="W1491" s="7"/>
      <c r="X1491" s="7"/>
      <c r="Y1491" s="7" t="s">
        <v>10143</v>
      </c>
      <c r="Z1491" s="7"/>
      <c r="AA1491" s="7"/>
      <c r="AB1491" s="7"/>
      <c r="AC1491" s="7" t="n">
        <v>4</v>
      </c>
      <c r="AD1491" s="7" t="s">
        <v>1376</v>
      </c>
      <c r="AE1491" s="7" t="s">
        <v>435</v>
      </c>
      <c r="AF1491" s="7" t="s">
        <v>10144</v>
      </c>
      <c r="AG1491" s="7"/>
      <c r="AH1491" s="7"/>
      <c r="AI1491" s="7"/>
      <c r="AJ1491" s="7"/>
      <c r="AK1491" s="7"/>
      <c r="AL1491" s="7"/>
      <c r="AM1491" s="7"/>
      <c r="AN1491" s="7"/>
      <c r="AO1491" s="7" t="s">
        <v>435</v>
      </c>
      <c r="AP1491" s="7" t="s">
        <v>10141</v>
      </c>
      <c r="AQ1491" s="7" t="s">
        <v>435</v>
      </c>
      <c r="AR1491" s="7" t="s">
        <v>444</v>
      </c>
      <c r="AS1491" s="7"/>
      <c r="AT1491" s="7"/>
      <c r="AU1491" s="7"/>
      <c r="AV1491" s="7"/>
      <c r="AW1491" s="7" t="s">
        <v>435</v>
      </c>
      <c r="AX1491" s="7" t="s">
        <v>10143</v>
      </c>
      <c r="AY1491" s="7"/>
      <c r="AZ1491" s="7"/>
      <c r="BA1491" s="7"/>
      <c r="BB1491" s="7"/>
      <c r="BC1491" s="7"/>
      <c r="BD1491" s="7"/>
      <c r="BE1491" s="7" t="s">
        <v>127</v>
      </c>
      <c r="BF1491" s="8"/>
      <c r="BG1491" s="8"/>
      <c r="BH1491" s="8"/>
      <c r="BI1491" s="8"/>
      <c r="BJ1491" s="8"/>
      <c r="BK1491" s="8"/>
      <c r="BL1491" s="8"/>
      <c r="BM1491" s="8"/>
      <c r="BN1491" s="8"/>
      <c r="BO1491" s="8"/>
      <c r="BP1491" s="8"/>
      <c r="BQ1491" s="8"/>
      <c r="BR1491" s="8"/>
      <c r="BS1491" s="8"/>
    </row>
    <row r="1492" customFormat="false" ht="15" hidden="false" customHeight="false" outlineLevel="0" collapsed="false">
      <c r="A1492" s="7" t="s">
        <v>10145</v>
      </c>
      <c r="B1492" s="7" t="s">
        <v>10146</v>
      </c>
      <c r="C1492" s="7" t="s">
        <v>10147</v>
      </c>
      <c r="D1492" s="7" t="s">
        <v>10148</v>
      </c>
      <c r="E1492" s="7" t="s">
        <v>444</v>
      </c>
      <c r="F1492" s="7" t="s">
        <v>444</v>
      </c>
      <c r="G1492" s="7" t="s">
        <v>10149</v>
      </c>
      <c r="H1492" s="7"/>
      <c r="I1492" s="7" t="s">
        <v>208</v>
      </c>
      <c r="J1492" s="7" t="s">
        <v>104</v>
      </c>
      <c r="K1492" s="7" t="s">
        <v>105</v>
      </c>
      <c r="L1492" s="7" t="s">
        <v>106</v>
      </c>
      <c r="M1492" s="7"/>
      <c r="N1492" s="7" t="s">
        <v>10150</v>
      </c>
      <c r="O1492" s="7" t="s">
        <v>10150</v>
      </c>
      <c r="P1492" s="7" t="s">
        <v>135</v>
      </c>
      <c r="Q1492" s="7"/>
      <c r="R1492" s="7" t="s">
        <v>109</v>
      </c>
      <c r="S1492" s="7" t="s">
        <v>110</v>
      </c>
      <c r="T1492" s="7" t="n">
        <v>0.496</v>
      </c>
      <c r="U1492" s="7" t="n">
        <v>1</v>
      </c>
      <c r="V1492" s="7"/>
      <c r="W1492" s="7"/>
      <c r="X1492" s="7"/>
      <c r="Y1492" s="7" t="s">
        <v>10150</v>
      </c>
      <c r="Z1492" s="7"/>
      <c r="AA1492" s="7"/>
      <c r="AB1492" s="7"/>
      <c r="AC1492" s="7" t="n">
        <v>4</v>
      </c>
      <c r="AD1492" s="7" t="s">
        <v>1376</v>
      </c>
      <c r="AE1492" s="7" t="s">
        <v>435</v>
      </c>
      <c r="AF1492" s="7" t="s">
        <v>10151</v>
      </c>
      <c r="AG1492" s="7"/>
      <c r="AH1492" s="7"/>
      <c r="AI1492" s="7"/>
      <c r="AJ1492" s="7"/>
      <c r="AK1492" s="7"/>
      <c r="AL1492" s="7"/>
      <c r="AM1492" s="7"/>
      <c r="AN1492" s="7"/>
      <c r="AO1492" s="7" t="s">
        <v>435</v>
      </c>
      <c r="AP1492" s="7" t="s">
        <v>10148</v>
      </c>
      <c r="AQ1492" s="7" t="s">
        <v>435</v>
      </c>
      <c r="AR1492" s="7" t="s">
        <v>444</v>
      </c>
      <c r="AS1492" s="7"/>
      <c r="AT1492" s="7"/>
      <c r="AU1492" s="7"/>
      <c r="AV1492" s="7"/>
      <c r="AW1492" s="7" t="s">
        <v>435</v>
      </c>
      <c r="AX1492" s="7" t="s">
        <v>10150</v>
      </c>
      <c r="AY1492" s="7"/>
      <c r="AZ1492" s="7"/>
      <c r="BA1492" s="7"/>
      <c r="BB1492" s="7"/>
      <c r="BC1492" s="7"/>
      <c r="BD1492" s="7"/>
      <c r="BE1492" s="7" t="s">
        <v>127</v>
      </c>
      <c r="BF1492" s="8"/>
      <c r="BG1492" s="8"/>
      <c r="BH1492" s="8"/>
      <c r="BI1492" s="8"/>
      <c r="BJ1492" s="8"/>
      <c r="BK1492" s="8"/>
      <c r="BL1492" s="8"/>
      <c r="BM1492" s="8"/>
      <c r="BN1492" s="8"/>
      <c r="BO1492" s="8"/>
      <c r="BP1492" s="8"/>
      <c r="BQ1492" s="8"/>
      <c r="BR1492" s="8"/>
      <c r="BS1492" s="8"/>
    </row>
    <row r="1493" customFormat="false" ht="15" hidden="false" customHeight="false" outlineLevel="0" collapsed="false">
      <c r="A1493" s="7" t="s">
        <v>10152</v>
      </c>
      <c r="B1493" s="7" t="s">
        <v>10153</v>
      </c>
      <c r="C1493" s="7" t="s">
        <v>10154</v>
      </c>
      <c r="D1493" s="7" t="s">
        <v>10155</v>
      </c>
      <c r="E1493" s="7" t="s">
        <v>444</v>
      </c>
      <c r="F1493" s="7" t="s">
        <v>444</v>
      </c>
      <c r="G1493" s="7" t="s">
        <v>10149</v>
      </c>
      <c r="H1493" s="7"/>
      <c r="I1493" s="7" t="s">
        <v>132</v>
      </c>
      <c r="J1493" s="7" t="s">
        <v>104</v>
      </c>
      <c r="K1493" s="7" t="s">
        <v>105</v>
      </c>
      <c r="L1493" s="7" t="s">
        <v>106</v>
      </c>
      <c r="M1493" s="7"/>
      <c r="N1493" s="7" t="s">
        <v>10156</v>
      </c>
      <c r="O1493" s="7"/>
      <c r="P1493" s="7" t="s">
        <v>135</v>
      </c>
      <c r="Q1493" s="7"/>
      <c r="R1493" s="7" t="s">
        <v>135</v>
      </c>
      <c r="S1493" s="7" t="s">
        <v>136</v>
      </c>
      <c r="T1493" s="7" t="n">
        <v>0.422</v>
      </c>
      <c r="U1493" s="7" t="n">
        <v>1</v>
      </c>
      <c r="V1493" s="7"/>
      <c r="W1493" s="7"/>
      <c r="X1493" s="7"/>
      <c r="Y1493" s="7" t="s">
        <v>10156</v>
      </c>
      <c r="Z1493" s="7"/>
      <c r="AA1493" s="7"/>
      <c r="AB1493" s="7"/>
      <c r="AC1493" s="7" t="n">
        <v>4</v>
      </c>
      <c r="AD1493" s="7" t="s">
        <v>1376</v>
      </c>
      <c r="AE1493" s="7" t="s">
        <v>435</v>
      </c>
      <c r="AF1493" s="7" t="s">
        <v>10157</v>
      </c>
      <c r="AG1493" s="7"/>
      <c r="AH1493" s="7"/>
      <c r="AI1493" s="7"/>
      <c r="AJ1493" s="7"/>
      <c r="AK1493" s="7"/>
      <c r="AL1493" s="7"/>
      <c r="AM1493" s="7"/>
      <c r="AN1493" s="7"/>
      <c r="AO1493" s="7" t="s">
        <v>435</v>
      </c>
      <c r="AP1493" s="7" t="s">
        <v>10155</v>
      </c>
      <c r="AQ1493" s="7" t="s">
        <v>435</v>
      </c>
      <c r="AR1493" s="7" t="s">
        <v>444</v>
      </c>
      <c r="AS1493" s="7"/>
      <c r="AT1493" s="7"/>
      <c r="AU1493" s="7"/>
      <c r="AV1493" s="7"/>
      <c r="AW1493" s="7" t="s">
        <v>435</v>
      </c>
      <c r="AX1493" s="7" t="s">
        <v>10156</v>
      </c>
      <c r="AY1493" s="7"/>
      <c r="AZ1493" s="7"/>
      <c r="BA1493" s="7"/>
      <c r="BB1493" s="7"/>
      <c r="BC1493" s="7"/>
      <c r="BD1493" s="7"/>
      <c r="BE1493" s="7" t="s">
        <v>127</v>
      </c>
      <c r="BF1493" s="8"/>
      <c r="BG1493" s="8"/>
      <c r="BH1493" s="8"/>
      <c r="BI1493" s="8"/>
      <c r="BJ1493" s="8"/>
      <c r="BK1493" s="8"/>
      <c r="BL1493" s="8"/>
      <c r="BM1493" s="8"/>
      <c r="BN1493" s="8"/>
      <c r="BO1493" s="8"/>
      <c r="BP1493" s="8"/>
      <c r="BQ1493" s="8"/>
      <c r="BR1493" s="8"/>
      <c r="BS1493" s="8"/>
    </row>
    <row r="1494" customFormat="false" ht="15" hidden="false" customHeight="false" outlineLevel="0" collapsed="false">
      <c r="A1494" s="7" t="s">
        <v>10158</v>
      </c>
      <c r="B1494" s="7" t="s">
        <v>10159</v>
      </c>
      <c r="C1494" s="7" t="s">
        <v>10160</v>
      </c>
      <c r="D1494" s="7" t="s">
        <v>10161</v>
      </c>
      <c r="E1494" s="7" t="s">
        <v>2296</v>
      </c>
      <c r="F1494" s="7" t="s">
        <v>2296</v>
      </c>
      <c r="G1494" s="7" t="s">
        <v>10162</v>
      </c>
      <c r="H1494" s="7"/>
      <c r="I1494" s="7" t="s">
        <v>132</v>
      </c>
      <c r="J1494" s="7" t="s">
        <v>104</v>
      </c>
      <c r="K1494" s="7" t="s">
        <v>105</v>
      </c>
      <c r="L1494" s="7" t="s">
        <v>106</v>
      </c>
      <c r="M1494" s="7"/>
      <c r="N1494" s="7" t="s">
        <v>10163</v>
      </c>
      <c r="O1494" s="7" t="s">
        <v>10163</v>
      </c>
      <c r="P1494" s="7" t="s">
        <v>135</v>
      </c>
      <c r="Q1494" s="7"/>
      <c r="R1494" s="7" t="s">
        <v>109</v>
      </c>
      <c r="S1494" s="7" t="s">
        <v>110</v>
      </c>
      <c r="T1494" s="7" t="n">
        <v>0.268</v>
      </c>
      <c r="U1494" s="7" t="n">
        <v>1</v>
      </c>
      <c r="V1494" s="7"/>
      <c r="W1494" s="7"/>
      <c r="X1494" s="7"/>
      <c r="Y1494" s="7" t="s">
        <v>10163</v>
      </c>
      <c r="Z1494" s="7"/>
      <c r="AA1494" s="7"/>
      <c r="AB1494" s="7"/>
      <c r="AC1494" s="7" t="n">
        <v>4</v>
      </c>
      <c r="AD1494" s="7" t="s">
        <v>1376</v>
      </c>
      <c r="AE1494" s="7" t="s">
        <v>435</v>
      </c>
      <c r="AF1494" s="7" t="s">
        <v>10164</v>
      </c>
      <c r="AG1494" s="7"/>
      <c r="AH1494" s="7"/>
      <c r="AI1494" s="7"/>
      <c r="AJ1494" s="7"/>
      <c r="AK1494" s="7"/>
      <c r="AL1494" s="7"/>
      <c r="AM1494" s="7"/>
      <c r="AN1494" s="7"/>
      <c r="AO1494" s="7" t="s">
        <v>435</v>
      </c>
      <c r="AP1494" s="7" t="s">
        <v>10161</v>
      </c>
      <c r="AQ1494" s="7" t="s">
        <v>435</v>
      </c>
      <c r="AR1494" s="7" t="s">
        <v>2296</v>
      </c>
      <c r="AS1494" s="7"/>
      <c r="AT1494" s="7"/>
      <c r="AU1494" s="7"/>
      <c r="AV1494" s="7"/>
      <c r="AW1494" s="7" t="s">
        <v>435</v>
      </c>
      <c r="AX1494" s="7" t="s">
        <v>10163</v>
      </c>
      <c r="AY1494" s="7"/>
      <c r="AZ1494" s="7"/>
      <c r="BA1494" s="7"/>
      <c r="BB1494" s="7"/>
      <c r="BC1494" s="7"/>
      <c r="BD1494" s="7"/>
      <c r="BE1494" s="7" t="s">
        <v>127</v>
      </c>
      <c r="BF1494" s="8"/>
      <c r="BG1494" s="8"/>
      <c r="BH1494" s="8"/>
      <c r="BI1494" s="8"/>
      <c r="BJ1494" s="8"/>
      <c r="BK1494" s="8"/>
      <c r="BL1494" s="8"/>
      <c r="BM1494" s="8"/>
      <c r="BN1494" s="8"/>
      <c r="BO1494" s="8"/>
      <c r="BP1494" s="8"/>
      <c r="BQ1494" s="8"/>
      <c r="BR1494" s="8"/>
      <c r="BS1494" s="8"/>
    </row>
    <row r="1495" customFormat="false" ht="15" hidden="false" customHeight="false" outlineLevel="0" collapsed="false">
      <c r="A1495" s="7" t="s">
        <v>10165</v>
      </c>
      <c r="B1495" s="7" t="s">
        <v>10166</v>
      </c>
      <c r="C1495" s="7" t="s">
        <v>10167</v>
      </c>
      <c r="D1495" s="7" t="s">
        <v>10168</v>
      </c>
      <c r="E1495" s="7" t="s">
        <v>516</v>
      </c>
      <c r="F1495" s="7" t="s">
        <v>516</v>
      </c>
      <c r="G1495" s="7" t="s">
        <v>10169</v>
      </c>
      <c r="H1495" s="7"/>
      <c r="I1495" s="7" t="s">
        <v>132</v>
      </c>
      <c r="J1495" s="7" t="s">
        <v>104</v>
      </c>
      <c r="K1495" s="7" t="s">
        <v>105</v>
      </c>
      <c r="L1495" s="7" t="s">
        <v>106</v>
      </c>
      <c r="M1495" s="7"/>
      <c r="N1495" s="7" t="s">
        <v>10170</v>
      </c>
      <c r="O1495" s="7"/>
      <c r="P1495" s="7" t="s">
        <v>135</v>
      </c>
      <c r="Q1495" s="7"/>
      <c r="R1495" s="7" t="s">
        <v>135</v>
      </c>
      <c r="S1495" s="7" t="s">
        <v>136</v>
      </c>
      <c r="T1495" s="7" t="n">
        <v>0.422</v>
      </c>
      <c r="U1495" s="7" t="n">
        <v>1</v>
      </c>
      <c r="V1495" s="7"/>
      <c r="W1495" s="7"/>
      <c r="X1495" s="7"/>
      <c r="Y1495" s="7" t="s">
        <v>10170</v>
      </c>
      <c r="Z1495" s="7"/>
      <c r="AA1495" s="7"/>
      <c r="AB1495" s="7"/>
      <c r="AC1495" s="7" t="n">
        <v>4</v>
      </c>
      <c r="AD1495" s="7" t="s">
        <v>1376</v>
      </c>
      <c r="AE1495" s="7" t="s">
        <v>435</v>
      </c>
      <c r="AF1495" s="7" t="s">
        <v>10171</v>
      </c>
      <c r="AG1495" s="7"/>
      <c r="AH1495" s="7"/>
      <c r="AI1495" s="7"/>
      <c r="AJ1495" s="7"/>
      <c r="AK1495" s="7"/>
      <c r="AL1495" s="7"/>
      <c r="AM1495" s="7"/>
      <c r="AN1495" s="7"/>
      <c r="AO1495" s="7" t="s">
        <v>435</v>
      </c>
      <c r="AP1495" s="7" t="s">
        <v>10168</v>
      </c>
      <c r="AQ1495" s="7" t="s">
        <v>435</v>
      </c>
      <c r="AR1495" s="7" t="s">
        <v>516</v>
      </c>
      <c r="AS1495" s="7"/>
      <c r="AT1495" s="7"/>
      <c r="AU1495" s="7"/>
      <c r="AV1495" s="7"/>
      <c r="AW1495" s="7" t="s">
        <v>435</v>
      </c>
      <c r="AX1495" s="7" t="s">
        <v>10170</v>
      </c>
      <c r="AY1495" s="7"/>
      <c r="AZ1495" s="7"/>
      <c r="BA1495" s="7"/>
      <c r="BB1495" s="7"/>
      <c r="BC1495" s="7"/>
      <c r="BD1495" s="7"/>
      <c r="BE1495" s="7" t="s">
        <v>127</v>
      </c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</row>
    <row r="1496" customFormat="false" ht="15" hidden="false" customHeight="false" outlineLevel="0" collapsed="false">
      <c r="A1496" s="7" t="s">
        <v>10172</v>
      </c>
      <c r="B1496" s="7" t="s">
        <v>10173</v>
      </c>
      <c r="C1496" s="7" t="s">
        <v>10174</v>
      </c>
      <c r="D1496" s="7" t="s">
        <v>10175</v>
      </c>
      <c r="E1496" s="7" t="s">
        <v>6724</v>
      </c>
      <c r="F1496" s="7" t="s">
        <v>6724</v>
      </c>
      <c r="G1496" s="7" t="s">
        <v>10176</v>
      </c>
      <c r="H1496" s="7"/>
      <c r="I1496" s="7" t="s">
        <v>132</v>
      </c>
      <c r="J1496" s="7" t="s">
        <v>104</v>
      </c>
      <c r="K1496" s="7" t="s">
        <v>105</v>
      </c>
      <c r="L1496" s="7" t="s">
        <v>106</v>
      </c>
      <c r="M1496" s="7"/>
      <c r="N1496" s="7" t="s">
        <v>10177</v>
      </c>
      <c r="O1496" s="7"/>
      <c r="P1496" s="7" t="s">
        <v>135</v>
      </c>
      <c r="Q1496" s="7"/>
      <c r="R1496" s="7" t="s">
        <v>135</v>
      </c>
      <c r="S1496" s="7" t="s">
        <v>136</v>
      </c>
      <c r="T1496" s="7" t="n">
        <v>0.615</v>
      </c>
      <c r="U1496" s="7" t="n">
        <v>1</v>
      </c>
      <c r="V1496" s="7"/>
      <c r="W1496" s="7"/>
      <c r="X1496" s="7"/>
      <c r="Y1496" s="7" t="s">
        <v>10177</v>
      </c>
      <c r="Z1496" s="7"/>
      <c r="AA1496" s="7"/>
      <c r="AB1496" s="7"/>
      <c r="AC1496" s="7" t="n">
        <v>4</v>
      </c>
      <c r="AD1496" s="7" t="s">
        <v>1376</v>
      </c>
      <c r="AE1496" s="7" t="s">
        <v>435</v>
      </c>
      <c r="AF1496" s="7" t="s">
        <v>10178</v>
      </c>
      <c r="AG1496" s="7"/>
      <c r="AH1496" s="7"/>
      <c r="AI1496" s="7"/>
      <c r="AJ1496" s="7"/>
      <c r="AK1496" s="7"/>
      <c r="AL1496" s="7"/>
      <c r="AM1496" s="7"/>
      <c r="AN1496" s="7"/>
      <c r="AO1496" s="7" t="s">
        <v>435</v>
      </c>
      <c r="AP1496" s="7" t="s">
        <v>10175</v>
      </c>
      <c r="AQ1496" s="7" t="s">
        <v>435</v>
      </c>
      <c r="AR1496" s="7" t="s">
        <v>6724</v>
      </c>
      <c r="AS1496" s="7"/>
      <c r="AT1496" s="7"/>
      <c r="AU1496" s="7"/>
      <c r="AV1496" s="7"/>
      <c r="AW1496" s="7" t="s">
        <v>435</v>
      </c>
      <c r="AX1496" s="7" t="s">
        <v>10177</v>
      </c>
      <c r="AY1496" s="7"/>
      <c r="AZ1496" s="7"/>
      <c r="BA1496" s="7"/>
      <c r="BB1496" s="7"/>
      <c r="BC1496" s="7"/>
      <c r="BD1496" s="7"/>
      <c r="BE1496" s="7" t="s">
        <v>127</v>
      </c>
      <c r="BF1496" s="8"/>
      <c r="BG1496" s="8"/>
      <c r="BH1496" s="8"/>
      <c r="BI1496" s="8"/>
      <c r="BJ1496" s="8"/>
      <c r="BK1496" s="8"/>
      <c r="BL1496" s="8"/>
      <c r="BM1496" s="8"/>
      <c r="BN1496" s="8"/>
      <c r="BO1496" s="8"/>
      <c r="BP1496" s="8"/>
      <c r="BQ1496" s="8"/>
      <c r="BR1496" s="8"/>
      <c r="BS1496" s="8"/>
    </row>
    <row r="1497" customFormat="false" ht="15" hidden="false" customHeight="false" outlineLevel="0" collapsed="false">
      <c r="A1497" s="7" t="s">
        <v>10179</v>
      </c>
      <c r="B1497" s="7" t="s">
        <v>10180</v>
      </c>
      <c r="C1497" s="7" t="s">
        <v>10181</v>
      </c>
      <c r="D1497" s="7" t="s">
        <v>10182</v>
      </c>
      <c r="E1497" s="7" t="s">
        <v>10183</v>
      </c>
      <c r="F1497" s="7" t="s">
        <v>10183</v>
      </c>
      <c r="G1497" s="7" t="s">
        <v>10184</v>
      </c>
      <c r="H1497" s="7"/>
      <c r="I1497" s="7" t="s">
        <v>132</v>
      </c>
      <c r="J1497" s="7" t="s">
        <v>104</v>
      </c>
      <c r="K1497" s="7" t="s">
        <v>105</v>
      </c>
      <c r="L1497" s="7" t="s">
        <v>106</v>
      </c>
      <c r="M1497" s="7"/>
      <c r="N1497" s="7" t="s">
        <v>10185</v>
      </c>
      <c r="O1497" s="7"/>
      <c r="P1497" s="7" t="s">
        <v>135</v>
      </c>
      <c r="Q1497" s="7"/>
      <c r="R1497" s="7" t="s">
        <v>135</v>
      </c>
      <c r="S1497" s="7" t="s">
        <v>136</v>
      </c>
      <c r="T1497" s="7" t="n">
        <v>0.38</v>
      </c>
      <c r="U1497" s="7" t="n">
        <v>1</v>
      </c>
      <c r="V1497" s="7"/>
      <c r="W1497" s="7"/>
      <c r="X1497" s="7"/>
      <c r="Y1497" s="7" t="s">
        <v>10185</v>
      </c>
      <c r="Z1497" s="7"/>
      <c r="AA1497" s="7"/>
      <c r="AB1497" s="7"/>
      <c r="AC1497" s="7" t="n">
        <v>4</v>
      </c>
      <c r="AD1497" s="7" t="s">
        <v>1376</v>
      </c>
      <c r="AE1497" s="7" t="s">
        <v>435</v>
      </c>
      <c r="AF1497" s="7" t="s">
        <v>10186</v>
      </c>
      <c r="AG1497" s="7"/>
      <c r="AH1497" s="7"/>
      <c r="AI1497" s="7"/>
      <c r="AJ1497" s="7"/>
      <c r="AK1497" s="7"/>
      <c r="AL1497" s="7"/>
      <c r="AM1497" s="7"/>
      <c r="AN1497" s="7"/>
      <c r="AO1497" s="7" t="s">
        <v>435</v>
      </c>
      <c r="AP1497" s="7" t="s">
        <v>10182</v>
      </c>
      <c r="AQ1497" s="7" t="s">
        <v>435</v>
      </c>
      <c r="AR1497" s="7" t="s">
        <v>10183</v>
      </c>
      <c r="AS1497" s="7"/>
      <c r="AT1497" s="7"/>
      <c r="AU1497" s="7"/>
      <c r="AV1497" s="7"/>
      <c r="AW1497" s="7" t="s">
        <v>435</v>
      </c>
      <c r="AX1497" s="7" t="s">
        <v>10185</v>
      </c>
      <c r="AY1497" s="7"/>
      <c r="AZ1497" s="7"/>
      <c r="BA1497" s="7"/>
      <c r="BB1497" s="7"/>
      <c r="BC1497" s="7"/>
      <c r="BD1497" s="7"/>
      <c r="BE1497" s="7" t="s">
        <v>127</v>
      </c>
      <c r="BF1497" s="8"/>
      <c r="BG1497" s="8"/>
      <c r="BH1497" s="8"/>
      <c r="BI1497" s="8"/>
      <c r="BJ1497" s="8"/>
      <c r="BK1497" s="8"/>
      <c r="BL1497" s="8"/>
      <c r="BM1497" s="8"/>
      <c r="BN1497" s="8"/>
      <c r="BO1497" s="8"/>
      <c r="BP1497" s="8"/>
      <c r="BQ1497" s="8"/>
      <c r="BR1497" s="8"/>
      <c r="BS1497" s="8"/>
    </row>
    <row r="1498" customFormat="false" ht="15" hidden="false" customHeight="false" outlineLevel="0" collapsed="false">
      <c r="A1498" s="7" t="s">
        <v>10187</v>
      </c>
      <c r="B1498" s="7" t="s">
        <v>10188</v>
      </c>
      <c r="C1498" s="7" t="s">
        <v>10189</v>
      </c>
      <c r="D1498" s="7" t="s">
        <v>10190</v>
      </c>
      <c r="E1498" s="7" t="s">
        <v>82</v>
      </c>
      <c r="F1498" s="7" t="s">
        <v>82</v>
      </c>
      <c r="G1498" s="7"/>
      <c r="H1498" s="7"/>
      <c r="I1498" s="7" t="s">
        <v>132</v>
      </c>
      <c r="J1498" s="7" t="s">
        <v>104</v>
      </c>
      <c r="K1498" s="7" t="s">
        <v>105</v>
      </c>
      <c r="L1498" s="7" t="s">
        <v>106</v>
      </c>
      <c r="M1498" s="7"/>
      <c r="N1498" s="7" t="s">
        <v>10191</v>
      </c>
      <c r="O1498" s="7" t="s">
        <v>10191</v>
      </c>
      <c r="P1498" s="7" t="s">
        <v>135</v>
      </c>
      <c r="Q1498" s="7"/>
      <c r="R1498" s="7" t="s">
        <v>109</v>
      </c>
      <c r="S1498" s="7" t="s">
        <v>110</v>
      </c>
      <c r="T1498" s="7" t="n">
        <v>0.322</v>
      </c>
      <c r="U1498" s="7" t="n">
        <v>1</v>
      </c>
      <c r="V1498" s="7"/>
      <c r="W1498" s="7"/>
      <c r="X1498" s="7"/>
      <c r="Y1498" s="7" t="s">
        <v>10191</v>
      </c>
      <c r="Z1498" s="7"/>
      <c r="AA1498" s="7"/>
      <c r="AB1498" s="7"/>
      <c r="AC1498" s="7" t="n">
        <v>4</v>
      </c>
      <c r="AD1498" s="7" t="s">
        <v>1376</v>
      </c>
      <c r="AE1498" s="7" t="s">
        <v>3225</v>
      </c>
      <c r="AF1498" s="7" t="s">
        <v>10189</v>
      </c>
      <c r="AG1498" s="7"/>
      <c r="AH1498" s="7"/>
      <c r="AI1498" s="7"/>
      <c r="AJ1498" s="7"/>
      <c r="AK1498" s="7"/>
      <c r="AL1498" s="7"/>
      <c r="AM1498" s="7"/>
      <c r="AN1498" s="7"/>
      <c r="AO1498" s="7" t="s">
        <v>3225</v>
      </c>
      <c r="AP1498" s="7" t="s">
        <v>10190</v>
      </c>
      <c r="AQ1498" s="7" t="s">
        <v>3225</v>
      </c>
      <c r="AR1498" s="7" t="s">
        <v>82</v>
      </c>
      <c r="AS1498" s="7"/>
      <c r="AT1498" s="7"/>
      <c r="AU1498" s="7"/>
      <c r="AV1498" s="7"/>
      <c r="AW1498" s="7" t="s">
        <v>3225</v>
      </c>
      <c r="AX1498" s="7" t="s">
        <v>10191</v>
      </c>
      <c r="AY1498" s="7"/>
      <c r="AZ1498" s="7"/>
      <c r="BA1498" s="7"/>
      <c r="BB1498" s="7"/>
      <c r="BC1498" s="7"/>
      <c r="BD1498" s="7" t="s">
        <v>608</v>
      </c>
      <c r="BE1498" s="7" t="s">
        <v>127</v>
      </c>
      <c r="BF1498" s="8"/>
      <c r="BG1498" s="8"/>
      <c r="BH1498" s="8"/>
      <c r="BI1498" s="8"/>
      <c r="BJ1498" s="8"/>
      <c r="BK1498" s="8"/>
      <c r="BL1498" s="8"/>
      <c r="BM1498" s="8"/>
      <c r="BN1498" s="8"/>
      <c r="BO1498" s="8"/>
      <c r="BP1498" s="8"/>
      <c r="BQ1498" s="8"/>
      <c r="BR1498" s="8"/>
      <c r="BS1498" s="8"/>
    </row>
    <row r="1499" customFormat="false" ht="15" hidden="false" customHeight="false" outlineLevel="0" collapsed="false">
      <c r="A1499" s="7" t="s">
        <v>10192</v>
      </c>
      <c r="B1499" s="7" t="s">
        <v>10193</v>
      </c>
      <c r="C1499" s="7" t="s">
        <v>10194</v>
      </c>
      <c r="D1499" s="7" t="s">
        <v>3232</v>
      </c>
      <c r="E1499" s="7" t="s">
        <v>82</v>
      </c>
      <c r="F1499" s="7" t="s">
        <v>82</v>
      </c>
      <c r="G1499" s="7" t="s">
        <v>83</v>
      </c>
      <c r="H1499" s="7"/>
      <c r="I1499" s="7" t="s">
        <v>132</v>
      </c>
      <c r="J1499" s="7" t="s">
        <v>104</v>
      </c>
      <c r="K1499" s="7" t="s">
        <v>105</v>
      </c>
      <c r="L1499" s="7" t="s">
        <v>106</v>
      </c>
      <c r="M1499" s="7"/>
      <c r="N1499" s="7" t="s">
        <v>10195</v>
      </c>
      <c r="O1499" s="7" t="s">
        <v>10195</v>
      </c>
      <c r="P1499" s="7" t="s">
        <v>135</v>
      </c>
      <c r="Q1499" s="7"/>
      <c r="R1499" s="7" t="s">
        <v>109</v>
      </c>
      <c r="S1499" s="7" t="s">
        <v>110</v>
      </c>
      <c r="T1499" s="7" t="n">
        <v>0.831</v>
      </c>
      <c r="U1499" s="7" t="n">
        <v>1</v>
      </c>
      <c r="V1499" s="7"/>
      <c r="W1499" s="7"/>
      <c r="X1499" s="7"/>
      <c r="Y1499" s="7" t="s">
        <v>10195</v>
      </c>
      <c r="Z1499" s="7"/>
      <c r="AA1499" s="7"/>
      <c r="AB1499" s="7"/>
      <c r="AC1499" s="7" t="n">
        <v>5</v>
      </c>
      <c r="AD1499" s="7" t="s">
        <v>7301</v>
      </c>
      <c r="AE1499" s="7" t="s">
        <v>3225</v>
      </c>
      <c r="AF1499" s="7" t="s">
        <v>10194</v>
      </c>
      <c r="AG1499" s="7"/>
      <c r="AH1499" s="7"/>
      <c r="AI1499" s="7"/>
      <c r="AJ1499" s="7"/>
      <c r="AK1499" s="7"/>
      <c r="AL1499" s="7"/>
      <c r="AM1499" s="7" t="s">
        <v>3225</v>
      </c>
      <c r="AN1499" s="7" t="s">
        <v>10196</v>
      </c>
      <c r="AO1499" s="7" t="s">
        <v>3225</v>
      </c>
      <c r="AP1499" s="7" t="s">
        <v>3232</v>
      </c>
      <c r="AQ1499" s="7" t="s">
        <v>3225</v>
      </c>
      <c r="AR1499" s="7" t="s">
        <v>82</v>
      </c>
      <c r="AS1499" s="7"/>
      <c r="AT1499" s="7"/>
      <c r="AU1499" s="7"/>
      <c r="AV1499" s="7"/>
      <c r="AW1499" s="7" t="s">
        <v>3225</v>
      </c>
      <c r="AX1499" s="7" t="s">
        <v>10195</v>
      </c>
      <c r="AY1499" s="7"/>
      <c r="AZ1499" s="7"/>
      <c r="BA1499" s="7"/>
      <c r="BB1499" s="7"/>
      <c r="BC1499" s="7"/>
      <c r="BD1499" s="7" t="s">
        <v>608</v>
      </c>
      <c r="BE1499" s="7" t="s">
        <v>127</v>
      </c>
      <c r="BF1499" s="8"/>
      <c r="BG1499" s="8"/>
      <c r="BH1499" s="8"/>
      <c r="BI1499" s="8"/>
      <c r="BJ1499" s="8"/>
      <c r="BK1499" s="8"/>
      <c r="BL1499" s="8"/>
      <c r="BM1499" s="8"/>
      <c r="BN1499" s="8"/>
      <c r="BO1499" s="8"/>
      <c r="BP1499" s="8"/>
      <c r="BQ1499" s="8"/>
      <c r="BR1499" s="8"/>
      <c r="BS1499" s="8"/>
    </row>
    <row r="1500" customFormat="false" ht="15" hidden="false" customHeight="false" outlineLevel="0" collapsed="false">
      <c r="A1500" s="7" t="s">
        <v>10197</v>
      </c>
      <c r="B1500" s="7" t="s">
        <v>10198</v>
      </c>
      <c r="C1500" s="7" t="s">
        <v>10199</v>
      </c>
      <c r="D1500" s="7" t="s">
        <v>3232</v>
      </c>
      <c r="E1500" s="7" t="s">
        <v>82</v>
      </c>
      <c r="F1500" s="7" t="s">
        <v>82</v>
      </c>
      <c r="G1500" s="7" t="s">
        <v>83</v>
      </c>
      <c r="H1500" s="7"/>
      <c r="I1500" s="7" t="s">
        <v>234</v>
      </c>
      <c r="J1500" s="7" t="s">
        <v>104</v>
      </c>
      <c r="K1500" s="7" t="s">
        <v>105</v>
      </c>
      <c r="L1500" s="7" t="s">
        <v>235</v>
      </c>
      <c r="M1500" s="7"/>
      <c r="N1500" s="7" t="s">
        <v>10200</v>
      </c>
      <c r="O1500" s="7" t="s">
        <v>10200</v>
      </c>
      <c r="P1500" s="7" t="s">
        <v>135</v>
      </c>
      <c r="Q1500" s="7"/>
      <c r="R1500" s="7" t="s">
        <v>109</v>
      </c>
      <c r="S1500" s="7" t="s">
        <v>110</v>
      </c>
      <c r="T1500" s="7" t="n">
        <v>0.222</v>
      </c>
      <c r="U1500" s="7" t="n">
        <v>1</v>
      </c>
      <c r="V1500" s="7"/>
      <c r="W1500" s="7"/>
      <c r="X1500" s="7"/>
      <c r="Y1500" s="7" t="s">
        <v>10200</v>
      </c>
      <c r="Z1500" s="7"/>
      <c r="AA1500" s="7"/>
      <c r="AB1500" s="7"/>
      <c r="AC1500" s="7" t="n">
        <v>4</v>
      </c>
      <c r="AD1500" s="7" t="s">
        <v>1376</v>
      </c>
      <c r="AE1500" s="7" t="s">
        <v>3225</v>
      </c>
      <c r="AF1500" s="7" t="s">
        <v>10199</v>
      </c>
      <c r="AG1500" s="7"/>
      <c r="AH1500" s="7"/>
      <c r="AI1500" s="7"/>
      <c r="AJ1500" s="7"/>
      <c r="AK1500" s="7"/>
      <c r="AL1500" s="7"/>
      <c r="AM1500" s="7"/>
      <c r="AN1500" s="7"/>
      <c r="AO1500" s="7" t="s">
        <v>3225</v>
      </c>
      <c r="AP1500" s="7" t="s">
        <v>3232</v>
      </c>
      <c r="AQ1500" s="7" t="s">
        <v>3225</v>
      </c>
      <c r="AR1500" s="7" t="s">
        <v>82</v>
      </c>
      <c r="AS1500" s="7"/>
      <c r="AT1500" s="7"/>
      <c r="AU1500" s="7"/>
      <c r="AV1500" s="7"/>
      <c r="AW1500" s="7" t="s">
        <v>3225</v>
      </c>
      <c r="AX1500" s="7" t="s">
        <v>10200</v>
      </c>
      <c r="AY1500" s="7"/>
      <c r="AZ1500" s="7"/>
      <c r="BA1500" s="7"/>
      <c r="BB1500" s="7"/>
      <c r="BC1500" s="7"/>
      <c r="BD1500" s="7" t="s">
        <v>608</v>
      </c>
      <c r="BE1500" s="7" t="s">
        <v>127</v>
      </c>
      <c r="BF1500" s="8"/>
      <c r="BG1500" s="8"/>
      <c r="BH1500" s="8"/>
      <c r="BI1500" s="8"/>
      <c r="BJ1500" s="8"/>
      <c r="BK1500" s="8"/>
      <c r="BL1500" s="8"/>
      <c r="BM1500" s="8"/>
      <c r="BN1500" s="8"/>
      <c r="BO1500" s="8"/>
      <c r="BP1500" s="8"/>
      <c r="BQ1500" s="8"/>
      <c r="BR1500" s="8"/>
      <c r="BS1500" s="8"/>
    </row>
    <row r="1501" customFormat="false" ht="15" hidden="false" customHeight="false" outlineLevel="0" collapsed="false">
      <c r="A1501" s="7" t="s">
        <v>10201</v>
      </c>
      <c r="B1501" s="7" t="s">
        <v>10202</v>
      </c>
      <c r="C1501" s="7" t="s">
        <v>10203</v>
      </c>
      <c r="D1501" s="7" t="s">
        <v>3232</v>
      </c>
      <c r="E1501" s="7" t="s">
        <v>82</v>
      </c>
      <c r="F1501" s="7" t="s">
        <v>82</v>
      </c>
      <c r="G1501" s="7" t="s">
        <v>83</v>
      </c>
      <c r="H1501" s="7"/>
      <c r="I1501" s="7" t="s">
        <v>103</v>
      </c>
      <c r="J1501" s="7" t="s">
        <v>104</v>
      </c>
      <c r="K1501" s="7" t="s">
        <v>105</v>
      </c>
      <c r="L1501" s="7" t="s">
        <v>106</v>
      </c>
      <c r="M1501" s="7"/>
      <c r="N1501" s="7" t="s">
        <v>10204</v>
      </c>
      <c r="O1501" s="7" t="s">
        <v>10204</v>
      </c>
      <c r="P1501" s="7" t="s">
        <v>135</v>
      </c>
      <c r="Q1501" s="7"/>
      <c r="R1501" s="7" t="s">
        <v>109</v>
      </c>
      <c r="S1501" s="7" t="s">
        <v>110</v>
      </c>
      <c r="T1501" s="7" t="n">
        <v>0.3</v>
      </c>
      <c r="U1501" s="7" t="n">
        <v>1</v>
      </c>
      <c r="V1501" s="7"/>
      <c r="W1501" s="7"/>
      <c r="X1501" s="7"/>
      <c r="Y1501" s="7" t="s">
        <v>10204</v>
      </c>
      <c r="Z1501" s="7"/>
      <c r="AA1501" s="7"/>
      <c r="AB1501" s="7"/>
      <c r="AC1501" s="7" t="n">
        <v>5</v>
      </c>
      <c r="AD1501" s="7" t="s">
        <v>7301</v>
      </c>
      <c r="AE1501" s="7" t="s">
        <v>3225</v>
      </c>
      <c r="AF1501" s="7" t="s">
        <v>10203</v>
      </c>
      <c r="AG1501" s="7"/>
      <c r="AH1501" s="7"/>
      <c r="AI1501" s="7"/>
      <c r="AJ1501" s="7"/>
      <c r="AK1501" s="7"/>
      <c r="AL1501" s="7"/>
      <c r="AM1501" s="7" t="s">
        <v>3225</v>
      </c>
      <c r="AN1501" s="7" t="s">
        <v>10205</v>
      </c>
      <c r="AO1501" s="7" t="s">
        <v>3225</v>
      </c>
      <c r="AP1501" s="7" t="s">
        <v>3232</v>
      </c>
      <c r="AQ1501" s="7" t="s">
        <v>3225</v>
      </c>
      <c r="AR1501" s="7" t="s">
        <v>82</v>
      </c>
      <c r="AS1501" s="7"/>
      <c r="AT1501" s="7"/>
      <c r="AU1501" s="7"/>
      <c r="AV1501" s="7"/>
      <c r="AW1501" s="7" t="s">
        <v>3225</v>
      </c>
      <c r="AX1501" s="7" t="s">
        <v>10204</v>
      </c>
      <c r="AY1501" s="7"/>
      <c r="AZ1501" s="7"/>
      <c r="BA1501" s="7"/>
      <c r="BB1501" s="7"/>
      <c r="BC1501" s="7"/>
      <c r="BD1501" s="7" t="s">
        <v>608</v>
      </c>
      <c r="BE1501" s="7" t="s">
        <v>127</v>
      </c>
      <c r="BF1501" s="8"/>
      <c r="BG1501" s="8"/>
      <c r="BH1501" s="8"/>
      <c r="BI1501" s="8"/>
      <c r="BJ1501" s="8"/>
      <c r="BK1501" s="8"/>
      <c r="BL1501" s="8"/>
      <c r="BM1501" s="8"/>
      <c r="BN1501" s="8"/>
      <c r="BO1501" s="8"/>
      <c r="BP1501" s="8"/>
      <c r="BQ1501" s="8"/>
      <c r="BR1501" s="8"/>
      <c r="BS1501" s="8"/>
    </row>
    <row r="1502" customFormat="false" ht="15" hidden="false" customHeight="false" outlineLevel="0" collapsed="false">
      <c r="A1502" s="7" t="s">
        <v>10206</v>
      </c>
      <c r="B1502" s="7" t="s">
        <v>10207</v>
      </c>
      <c r="C1502" s="7" t="s">
        <v>10208</v>
      </c>
      <c r="D1502" s="7" t="s">
        <v>10209</v>
      </c>
      <c r="E1502" s="7"/>
      <c r="F1502" s="7" t="s">
        <v>101</v>
      </c>
      <c r="G1502" s="7"/>
      <c r="H1502" s="7"/>
      <c r="I1502" s="7" t="s">
        <v>132</v>
      </c>
      <c r="J1502" s="7" t="s">
        <v>104</v>
      </c>
      <c r="K1502" s="7" t="s">
        <v>105</v>
      </c>
      <c r="L1502" s="7" t="s">
        <v>106</v>
      </c>
      <c r="M1502" s="7"/>
      <c r="N1502" s="7" t="s">
        <v>10210</v>
      </c>
      <c r="O1502" s="7"/>
      <c r="P1502" s="7" t="s">
        <v>135</v>
      </c>
      <c r="Q1502" s="7"/>
      <c r="R1502" s="7" t="s">
        <v>135</v>
      </c>
      <c r="S1502" s="7" t="s">
        <v>136</v>
      </c>
      <c r="T1502" s="7" t="n">
        <v>0.6</v>
      </c>
      <c r="U1502" s="7" t="n">
        <v>1</v>
      </c>
      <c r="V1502" s="7"/>
      <c r="W1502" s="7"/>
      <c r="X1502" s="7"/>
      <c r="Y1502" s="7" t="s">
        <v>10210</v>
      </c>
      <c r="Z1502" s="7"/>
      <c r="AA1502" s="7"/>
      <c r="AB1502" s="7"/>
      <c r="AC1502" s="7" t="n">
        <v>3</v>
      </c>
      <c r="AD1502" s="7" t="s">
        <v>1492</v>
      </c>
      <c r="AE1502" s="7" t="s">
        <v>3225</v>
      </c>
      <c r="AF1502" s="7" t="s">
        <v>10208</v>
      </c>
      <c r="AG1502" s="7"/>
      <c r="AH1502" s="7"/>
      <c r="AI1502" s="7"/>
      <c r="AJ1502" s="7"/>
      <c r="AK1502" s="7"/>
      <c r="AL1502" s="7"/>
      <c r="AM1502" s="7"/>
      <c r="AN1502" s="7"/>
      <c r="AO1502" s="7" t="s">
        <v>3225</v>
      </c>
      <c r="AP1502" s="7" t="s">
        <v>10209</v>
      </c>
      <c r="AQ1502" s="7"/>
      <c r="AR1502" s="7"/>
      <c r="AS1502" s="7"/>
      <c r="AT1502" s="7"/>
      <c r="AU1502" s="7"/>
      <c r="AV1502" s="7"/>
      <c r="AW1502" s="7" t="s">
        <v>3225</v>
      </c>
      <c r="AX1502" s="7" t="s">
        <v>10210</v>
      </c>
      <c r="AY1502" s="7"/>
      <c r="AZ1502" s="7"/>
      <c r="BA1502" s="7"/>
      <c r="BB1502" s="7"/>
      <c r="BC1502" s="7"/>
      <c r="BD1502" s="7"/>
      <c r="BE1502" s="7" t="s">
        <v>127</v>
      </c>
      <c r="BF1502" s="8"/>
      <c r="BG1502" s="8"/>
      <c r="BH1502" s="8"/>
      <c r="BI1502" s="8"/>
      <c r="BJ1502" s="8"/>
      <c r="BK1502" s="8"/>
      <c r="BL1502" s="8"/>
      <c r="BM1502" s="8"/>
      <c r="BN1502" s="8"/>
      <c r="BO1502" s="8"/>
      <c r="BP1502" s="8"/>
      <c r="BQ1502" s="8"/>
      <c r="BR1502" s="8"/>
      <c r="BS1502" s="8"/>
    </row>
    <row r="1503" customFormat="false" ht="15" hidden="false" customHeight="false" outlineLevel="0" collapsed="false">
      <c r="A1503" s="7" t="s">
        <v>10211</v>
      </c>
      <c r="B1503" s="7" t="s">
        <v>10212</v>
      </c>
      <c r="C1503" s="7" t="s">
        <v>10213</v>
      </c>
      <c r="D1503" s="7" t="s">
        <v>10214</v>
      </c>
      <c r="E1503" s="7"/>
      <c r="F1503" s="7" t="s">
        <v>101</v>
      </c>
      <c r="G1503" s="7"/>
      <c r="H1503" s="7"/>
      <c r="I1503" s="7" t="s">
        <v>132</v>
      </c>
      <c r="J1503" s="7" t="s">
        <v>104</v>
      </c>
      <c r="K1503" s="7" t="s">
        <v>105</v>
      </c>
      <c r="L1503" s="7" t="s">
        <v>106</v>
      </c>
      <c r="M1503" s="7"/>
      <c r="N1503" s="7" t="s">
        <v>10215</v>
      </c>
      <c r="O1503" s="7"/>
      <c r="P1503" s="7" t="s">
        <v>135</v>
      </c>
      <c r="Q1503" s="7"/>
      <c r="R1503" s="7" t="s">
        <v>135</v>
      </c>
      <c r="S1503" s="7" t="s">
        <v>136</v>
      </c>
      <c r="T1503" s="7" t="n">
        <v>0.33</v>
      </c>
      <c r="U1503" s="7" t="n">
        <v>1</v>
      </c>
      <c r="V1503" s="7"/>
      <c r="W1503" s="7"/>
      <c r="X1503" s="7"/>
      <c r="Y1503" s="7" t="s">
        <v>10215</v>
      </c>
      <c r="Z1503" s="7"/>
      <c r="AA1503" s="7"/>
      <c r="AB1503" s="7"/>
      <c r="AC1503" s="7" t="n">
        <v>3</v>
      </c>
      <c r="AD1503" s="7" t="s">
        <v>1492</v>
      </c>
      <c r="AE1503" s="7" t="s">
        <v>3225</v>
      </c>
      <c r="AF1503" s="7" t="s">
        <v>10213</v>
      </c>
      <c r="AG1503" s="7"/>
      <c r="AH1503" s="7"/>
      <c r="AI1503" s="7"/>
      <c r="AJ1503" s="7"/>
      <c r="AK1503" s="7"/>
      <c r="AL1503" s="7"/>
      <c r="AM1503" s="7"/>
      <c r="AN1503" s="7"/>
      <c r="AO1503" s="7" t="s">
        <v>3225</v>
      </c>
      <c r="AP1503" s="7" t="s">
        <v>10214</v>
      </c>
      <c r="AQ1503" s="7"/>
      <c r="AR1503" s="7"/>
      <c r="AS1503" s="7"/>
      <c r="AT1503" s="7"/>
      <c r="AU1503" s="7"/>
      <c r="AV1503" s="7"/>
      <c r="AW1503" s="7" t="s">
        <v>3225</v>
      </c>
      <c r="AX1503" s="7" t="s">
        <v>10215</v>
      </c>
      <c r="AY1503" s="7"/>
      <c r="AZ1503" s="7"/>
      <c r="BA1503" s="7"/>
      <c r="BB1503" s="7"/>
      <c r="BC1503" s="7"/>
      <c r="BD1503" s="7"/>
      <c r="BE1503" s="7" t="s">
        <v>127</v>
      </c>
      <c r="BF1503" s="8"/>
      <c r="BG1503" s="8"/>
      <c r="BH1503" s="8"/>
      <c r="BI1503" s="8"/>
      <c r="BJ1503" s="8"/>
      <c r="BK1503" s="8"/>
      <c r="BL1503" s="8"/>
      <c r="BM1503" s="8"/>
      <c r="BN1503" s="8"/>
      <c r="BO1503" s="8"/>
      <c r="BP1503" s="8"/>
      <c r="BQ1503" s="8"/>
      <c r="BR1503" s="8"/>
      <c r="BS1503" s="8"/>
    </row>
    <row r="1504" customFormat="false" ht="15" hidden="false" customHeight="false" outlineLevel="0" collapsed="false">
      <c r="A1504" s="7" t="s">
        <v>10216</v>
      </c>
      <c r="B1504" s="7" t="s">
        <v>10217</v>
      </c>
      <c r="C1504" s="7" t="s">
        <v>10218</v>
      </c>
      <c r="D1504" s="7" t="s">
        <v>10219</v>
      </c>
      <c r="E1504" s="7" t="s">
        <v>82</v>
      </c>
      <c r="F1504" s="7" t="s">
        <v>82</v>
      </c>
      <c r="G1504" s="7"/>
      <c r="H1504" s="7"/>
      <c r="I1504" s="7" t="s">
        <v>132</v>
      </c>
      <c r="J1504" s="7" t="s">
        <v>104</v>
      </c>
      <c r="K1504" s="7" t="s">
        <v>105</v>
      </c>
      <c r="L1504" s="7" t="s">
        <v>106</v>
      </c>
      <c r="M1504" s="7"/>
      <c r="N1504" s="7" t="s">
        <v>10220</v>
      </c>
      <c r="O1504" s="7" t="s">
        <v>10220</v>
      </c>
      <c r="P1504" s="7" t="s">
        <v>135</v>
      </c>
      <c r="Q1504" s="7"/>
      <c r="R1504" s="7" t="s">
        <v>109</v>
      </c>
      <c r="S1504" s="7" t="s">
        <v>110</v>
      </c>
      <c r="T1504" s="7" t="n">
        <v>0.206</v>
      </c>
      <c r="U1504" s="7" t="n">
        <v>1</v>
      </c>
      <c r="V1504" s="7"/>
      <c r="W1504" s="7"/>
      <c r="X1504" s="7"/>
      <c r="Y1504" s="7" t="s">
        <v>10220</v>
      </c>
      <c r="Z1504" s="7"/>
      <c r="AA1504" s="7"/>
      <c r="AB1504" s="7"/>
      <c r="AC1504" s="7" t="n">
        <v>4</v>
      </c>
      <c r="AD1504" s="7" t="s">
        <v>1376</v>
      </c>
      <c r="AE1504" s="7" t="s">
        <v>3225</v>
      </c>
      <c r="AF1504" s="7" t="s">
        <v>10218</v>
      </c>
      <c r="AG1504" s="7"/>
      <c r="AH1504" s="7"/>
      <c r="AI1504" s="7"/>
      <c r="AJ1504" s="7"/>
      <c r="AK1504" s="7"/>
      <c r="AL1504" s="7"/>
      <c r="AM1504" s="7"/>
      <c r="AN1504" s="7"/>
      <c r="AO1504" s="7" t="s">
        <v>3225</v>
      </c>
      <c r="AP1504" s="7" t="s">
        <v>10219</v>
      </c>
      <c r="AQ1504" s="7" t="s">
        <v>3225</v>
      </c>
      <c r="AR1504" s="7" t="s">
        <v>82</v>
      </c>
      <c r="AS1504" s="7"/>
      <c r="AT1504" s="7"/>
      <c r="AU1504" s="7"/>
      <c r="AV1504" s="7"/>
      <c r="AW1504" s="7" t="s">
        <v>3225</v>
      </c>
      <c r="AX1504" s="7" t="s">
        <v>10220</v>
      </c>
      <c r="AY1504" s="7"/>
      <c r="AZ1504" s="7"/>
      <c r="BA1504" s="7"/>
      <c r="BB1504" s="7"/>
      <c r="BC1504" s="7"/>
      <c r="BD1504" s="7" t="s">
        <v>608</v>
      </c>
      <c r="BE1504" s="7" t="s">
        <v>127</v>
      </c>
      <c r="BF1504" s="8"/>
      <c r="BG1504" s="8"/>
      <c r="BH1504" s="8"/>
      <c r="BI1504" s="8"/>
      <c r="BJ1504" s="8"/>
      <c r="BK1504" s="8"/>
      <c r="BL1504" s="8"/>
      <c r="BM1504" s="8"/>
      <c r="BN1504" s="8"/>
      <c r="BO1504" s="8"/>
      <c r="BP1504" s="8"/>
      <c r="BQ1504" s="8"/>
      <c r="BR1504" s="8"/>
      <c r="BS1504" s="8"/>
    </row>
    <row r="1505" customFormat="false" ht="15" hidden="false" customHeight="false" outlineLevel="0" collapsed="false">
      <c r="A1505" s="7" t="s">
        <v>10221</v>
      </c>
      <c r="B1505" s="7" t="s">
        <v>7796</v>
      </c>
      <c r="C1505" s="7" t="s">
        <v>10222</v>
      </c>
      <c r="D1505" s="7" t="s">
        <v>10223</v>
      </c>
      <c r="E1505" s="7" t="s">
        <v>82</v>
      </c>
      <c r="F1505" s="7" t="s">
        <v>82</v>
      </c>
      <c r="G1505" s="7"/>
      <c r="H1505" s="7"/>
      <c r="I1505" s="7" t="s">
        <v>132</v>
      </c>
      <c r="J1505" s="7" t="s">
        <v>104</v>
      </c>
      <c r="K1505" s="7" t="s">
        <v>105</v>
      </c>
      <c r="L1505" s="7" t="s">
        <v>106</v>
      </c>
      <c r="M1505" s="7"/>
      <c r="N1505" s="7" t="s">
        <v>10224</v>
      </c>
      <c r="O1505" s="7"/>
      <c r="P1505" s="7" t="s">
        <v>135</v>
      </c>
      <c r="Q1505" s="7"/>
      <c r="R1505" s="7" t="s">
        <v>135</v>
      </c>
      <c r="S1505" s="7" t="s">
        <v>136</v>
      </c>
      <c r="T1505" s="7" t="n">
        <v>0.49</v>
      </c>
      <c r="U1505" s="7" t="n">
        <v>1</v>
      </c>
      <c r="V1505" s="7"/>
      <c r="W1505" s="7"/>
      <c r="X1505" s="7"/>
      <c r="Y1505" s="7" t="s">
        <v>10224</v>
      </c>
      <c r="Z1505" s="7"/>
      <c r="AA1505" s="7"/>
      <c r="AB1505" s="7"/>
      <c r="AC1505" s="7" t="n">
        <v>4</v>
      </c>
      <c r="AD1505" s="7" t="s">
        <v>1376</v>
      </c>
      <c r="AE1505" s="7" t="s">
        <v>3225</v>
      </c>
      <c r="AF1505" s="7" t="s">
        <v>10222</v>
      </c>
      <c r="AG1505" s="7"/>
      <c r="AH1505" s="7"/>
      <c r="AI1505" s="7"/>
      <c r="AJ1505" s="7"/>
      <c r="AK1505" s="7"/>
      <c r="AL1505" s="7"/>
      <c r="AM1505" s="7"/>
      <c r="AN1505" s="7"/>
      <c r="AO1505" s="7" t="s">
        <v>3225</v>
      </c>
      <c r="AP1505" s="7" t="s">
        <v>10223</v>
      </c>
      <c r="AQ1505" s="7" t="s">
        <v>3225</v>
      </c>
      <c r="AR1505" s="7" t="s">
        <v>82</v>
      </c>
      <c r="AS1505" s="7"/>
      <c r="AT1505" s="7"/>
      <c r="AU1505" s="7"/>
      <c r="AV1505" s="7"/>
      <c r="AW1505" s="7" t="s">
        <v>3225</v>
      </c>
      <c r="AX1505" s="7" t="s">
        <v>10224</v>
      </c>
      <c r="AY1505" s="7"/>
      <c r="AZ1505" s="7"/>
      <c r="BA1505" s="7"/>
      <c r="BB1505" s="7"/>
      <c r="BC1505" s="7"/>
      <c r="BD1505" s="7" t="s">
        <v>608</v>
      </c>
      <c r="BE1505" s="7" t="s">
        <v>127</v>
      </c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</row>
    <row r="1506" customFormat="false" ht="15" hidden="false" customHeight="false" outlineLevel="0" collapsed="false">
      <c r="A1506" s="7" t="s">
        <v>10225</v>
      </c>
      <c r="B1506" s="7" t="s">
        <v>10226</v>
      </c>
      <c r="C1506" s="7" t="s">
        <v>10227</v>
      </c>
      <c r="D1506" s="7" t="s">
        <v>10228</v>
      </c>
      <c r="E1506" s="7"/>
      <c r="F1506" s="7" t="s">
        <v>101</v>
      </c>
      <c r="G1506" s="7"/>
      <c r="H1506" s="7"/>
      <c r="I1506" s="7" t="s">
        <v>132</v>
      </c>
      <c r="J1506" s="7" t="s">
        <v>104</v>
      </c>
      <c r="K1506" s="7" t="s">
        <v>105</v>
      </c>
      <c r="L1506" s="7" t="s">
        <v>106</v>
      </c>
      <c r="M1506" s="7"/>
      <c r="N1506" s="7" t="s">
        <v>10229</v>
      </c>
      <c r="O1506" s="7"/>
      <c r="P1506" s="7" t="s">
        <v>135</v>
      </c>
      <c r="Q1506" s="7"/>
      <c r="R1506" s="7" t="s">
        <v>135</v>
      </c>
      <c r="S1506" s="7" t="s">
        <v>136</v>
      </c>
      <c r="T1506" s="7" t="n">
        <v>0.649</v>
      </c>
      <c r="U1506" s="7" t="n">
        <v>1</v>
      </c>
      <c r="V1506" s="7"/>
      <c r="W1506" s="7"/>
      <c r="X1506" s="7"/>
      <c r="Y1506" s="7" t="s">
        <v>10229</v>
      </c>
      <c r="Z1506" s="7"/>
      <c r="AA1506" s="7"/>
      <c r="AB1506" s="7"/>
      <c r="AC1506" s="7" t="n">
        <v>4</v>
      </c>
      <c r="AD1506" s="7" t="s">
        <v>7611</v>
      </c>
      <c r="AE1506" s="7" t="s">
        <v>3225</v>
      </c>
      <c r="AF1506" s="7" t="s">
        <v>10227</v>
      </c>
      <c r="AG1506" s="7" t="s">
        <v>3225</v>
      </c>
      <c r="AH1506" s="7" t="s">
        <v>10230</v>
      </c>
      <c r="AI1506" s="7"/>
      <c r="AJ1506" s="7"/>
      <c r="AK1506" s="7"/>
      <c r="AL1506" s="7"/>
      <c r="AM1506" s="7"/>
      <c r="AN1506" s="7"/>
      <c r="AO1506" s="7" t="s">
        <v>3225</v>
      </c>
      <c r="AP1506" s="7" t="s">
        <v>10228</v>
      </c>
      <c r="AQ1506" s="7"/>
      <c r="AR1506" s="7"/>
      <c r="AS1506" s="7"/>
      <c r="AT1506" s="7"/>
      <c r="AU1506" s="7"/>
      <c r="AV1506" s="7"/>
      <c r="AW1506" s="7" t="s">
        <v>3225</v>
      </c>
      <c r="AX1506" s="7" t="s">
        <v>10229</v>
      </c>
      <c r="AY1506" s="7"/>
      <c r="AZ1506" s="7"/>
      <c r="BA1506" s="7"/>
      <c r="BB1506" s="7"/>
      <c r="BC1506" s="7"/>
      <c r="BD1506" s="7"/>
      <c r="BE1506" s="7" t="s">
        <v>127</v>
      </c>
      <c r="BF1506" s="8"/>
      <c r="BG1506" s="8"/>
      <c r="BH1506" s="8"/>
      <c r="BI1506" s="8"/>
      <c r="BJ1506" s="8"/>
      <c r="BK1506" s="8"/>
      <c r="BL1506" s="8"/>
      <c r="BM1506" s="8"/>
      <c r="BN1506" s="8"/>
      <c r="BO1506" s="8"/>
      <c r="BP1506" s="8"/>
      <c r="BQ1506" s="8"/>
      <c r="BR1506" s="8"/>
      <c r="BS1506" s="8"/>
    </row>
    <row r="1507" customFormat="false" ht="15" hidden="false" customHeight="false" outlineLevel="0" collapsed="false">
      <c r="A1507" s="7" t="s">
        <v>10231</v>
      </c>
      <c r="B1507" s="7" t="s">
        <v>10232</v>
      </c>
      <c r="C1507" s="7" t="s">
        <v>10233</v>
      </c>
      <c r="D1507" s="7" t="s">
        <v>10234</v>
      </c>
      <c r="E1507" s="7"/>
      <c r="F1507" s="7" t="s">
        <v>101</v>
      </c>
      <c r="G1507" s="7"/>
      <c r="H1507" s="7"/>
      <c r="I1507" s="7" t="s">
        <v>132</v>
      </c>
      <c r="J1507" s="7" t="s">
        <v>104</v>
      </c>
      <c r="K1507" s="7" t="s">
        <v>105</v>
      </c>
      <c r="L1507" s="7" t="s">
        <v>106</v>
      </c>
      <c r="M1507" s="7"/>
      <c r="N1507" s="7" t="s">
        <v>10235</v>
      </c>
      <c r="O1507" s="7"/>
      <c r="P1507" s="7" t="s">
        <v>135</v>
      </c>
      <c r="Q1507" s="7"/>
      <c r="R1507" s="7" t="s">
        <v>135</v>
      </c>
      <c r="S1507" s="7" t="s">
        <v>136</v>
      </c>
      <c r="T1507" s="7" t="n">
        <v>0.331</v>
      </c>
      <c r="U1507" s="7" t="n">
        <v>1</v>
      </c>
      <c r="V1507" s="7"/>
      <c r="W1507" s="7"/>
      <c r="X1507" s="7"/>
      <c r="Y1507" s="7" t="s">
        <v>10235</v>
      </c>
      <c r="Z1507" s="7"/>
      <c r="AA1507" s="7"/>
      <c r="AB1507" s="7"/>
      <c r="AC1507" s="7" t="n">
        <v>3</v>
      </c>
      <c r="AD1507" s="7" t="s">
        <v>1492</v>
      </c>
      <c r="AE1507" s="7" t="s">
        <v>3225</v>
      </c>
      <c r="AF1507" s="7" t="s">
        <v>10233</v>
      </c>
      <c r="AG1507" s="7"/>
      <c r="AH1507" s="7"/>
      <c r="AI1507" s="7"/>
      <c r="AJ1507" s="7"/>
      <c r="AK1507" s="7"/>
      <c r="AL1507" s="7"/>
      <c r="AM1507" s="7"/>
      <c r="AN1507" s="7"/>
      <c r="AO1507" s="7" t="s">
        <v>3225</v>
      </c>
      <c r="AP1507" s="7" t="s">
        <v>10234</v>
      </c>
      <c r="AQ1507" s="7"/>
      <c r="AR1507" s="7"/>
      <c r="AS1507" s="7"/>
      <c r="AT1507" s="7"/>
      <c r="AU1507" s="7"/>
      <c r="AV1507" s="7"/>
      <c r="AW1507" s="7" t="s">
        <v>3225</v>
      </c>
      <c r="AX1507" s="7" t="s">
        <v>10235</v>
      </c>
      <c r="AY1507" s="7"/>
      <c r="AZ1507" s="7"/>
      <c r="BA1507" s="7"/>
      <c r="BB1507" s="7"/>
      <c r="BC1507" s="7"/>
      <c r="BD1507" s="7"/>
      <c r="BE1507" s="7" t="s">
        <v>127</v>
      </c>
      <c r="BF1507" s="8"/>
      <c r="BG1507" s="8"/>
      <c r="BH1507" s="8"/>
      <c r="BI1507" s="8"/>
      <c r="BJ1507" s="8"/>
      <c r="BK1507" s="8"/>
      <c r="BL1507" s="8"/>
      <c r="BM1507" s="8"/>
      <c r="BN1507" s="8"/>
      <c r="BO1507" s="8"/>
      <c r="BP1507" s="8"/>
      <c r="BQ1507" s="8"/>
      <c r="BR1507" s="8"/>
      <c r="BS1507" s="8"/>
    </row>
    <row r="1508" customFormat="false" ht="15" hidden="false" customHeight="false" outlineLevel="0" collapsed="false">
      <c r="A1508" s="7" t="s">
        <v>10236</v>
      </c>
      <c r="B1508" s="7" t="s">
        <v>10237</v>
      </c>
      <c r="C1508" s="7" t="s">
        <v>10238</v>
      </c>
      <c r="D1508" s="7" t="s">
        <v>10239</v>
      </c>
      <c r="E1508" s="7"/>
      <c r="F1508" s="7" t="s">
        <v>101</v>
      </c>
      <c r="G1508" s="7"/>
      <c r="H1508" s="7"/>
      <c r="I1508" s="7" t="s">
        <v>300</v>
      </c>
      <c r="J1508" s="7" t="s">
        <v>104</v>
      </c>
      <c r="K1508" s="7" t="s">
        <v>105</v>
      </c>
      <c r="L1508" s="7" t="s">
        <v>106</v>
      </c>
      <c r="M1508" s="7"/>
      <c r="N1508" s="7" t="s">
        <v>10240</v>
      </c>
      <c r="O1508" s="7" t="s">
        <v>10240</v>
      </c>
      <c r="P1508" s="7" t="s">
        <v>135</v>
      </c>
      <c r="Q1508" s="7"/>
      <c r="R1508" s="7" t="s">
        <v>109</v>
      </c>
      <c r="S1508" s="7" t="s">
        <v>110</v>
      </c>
      <c r="T1508" s="7" t="n">
        <v>0.196</v>
      </c>
      <c r="U1508" s="7" t="n">
        <v>1</v>
      </c>
      <c r="V1508" s="7"/>
      <c r="W1508" s="7"/>
      <c r="X1508" s="7"/>
      <c r="Y1508" s="7" t="s">
        <v>10240</v>
      </c>
      <c r="Z1508" s="7"/>
      <c r="AA1508" s="7"/>
      <c r="AB1508" s="7"/>
      <c r="AC1508" s="7" t="n">
        <v>3</v>
      </c>
      <c r="AD1508" s="7" t="s">
        <v>1492</v>
      </c>
      <c r="AE1508" s="7" t="s">
        <v>3225</v>
      </c>
      <c r="AF1508" s="7" t="s">
        <v>10238</v>
      </c>
      <c r="AG1508" s="7"/>
      <c r="AH1508" s="7"/>
      <c r="AI1508" s="7"/>
      <c r="AJ1508" s="7"/>
      <c r="AK1508" s="7"/>
      <c r="AL1508" s="7"/>
      <c r="AM1508" s="7"/>
      <c r="AN1508" s="7"/>
      <c r="AO1508" s="7" t="s">
        <v>3225</v>
      </c>
      <c r="AP1508" s="7" t="s">
        <v>10239</v>
      </c>
      <c r="AQ1508" s="7"/>
      <c r="AR1508" s="7"/>
      <c r="AS1508" s="7"/>
      <c r="AT1508" s="7"/>
      <c r="AU1508" s="7"/>
      <c r="AV1508" s="7"/>
      <c r="AW1508" s="7" t="s">
        <v>3225</v>
      </c>
      <c r="AX1508" s="7" t="s">
        <v>10240</v>
      </c>
      <c r="AY1508" s="7"/>
      <c r="AZ1508" s="7"/>
      <c r="BA1508" s="7"/>
      <c r="BB1508" s="7"/>
      <c r="BC1508" s="7"/>
      <c r="BD1508" s="7"/>
      <c r="BE1508" s="7" t="s">
        <v>127</v>
      </c>
      <c r="BF1508" s="8"/>
      <c r="BG1508" s="8"/>
      <c r="BH1508" s="8"/>
      <c r="BI1508" s="8"/>
      <c r="BJ1508" s="8"/>
      <c r="BK1508" s="8"/>
      <c r="BL1508" s="8"/>
      <c r="BM1508" s="8"/>
      <c r="BN1508" s="8"/>
      <c r="BO1508" s="8"/>
      <c r="BP1508" s="8"/>
      <c r="BQ1508" s="8"/>
      <c r="BR1508" s="8"/>
      <c r="BS1508" s="8"/>
    </row>
    <row r="1509" customFormat="false" ht="15" hidden="false" customHeight="false" outlineLevel="0" collapsed="false">
      <c r="A1509" s="7" t="s">
        <v>10241</v>
      </c>
      <c r="B1509" s="7" t="s">
        <v>10242</v>
      </c>
      <c r="C1509" s="7" t="s">
        <v>10243</v>
      </c>
      <c r="D1509" s="7" t="s">
        <v>10244</v>
      </c>
      <c r="E1509" s="7"/>
      <c r="F1509" s="7" t="s">
        <v>101</v>
      </c>
      <c r="G1509" s="7"/>
      <c r="H1509" s="7"/>
      <c r="I1509" s="7" t="s">
        <v>132</v>
      </c>
      <c r="J1509" s="7" t="s">
        <v>104</v>
      </c>
      <c r="K1509" s="7" t="s">
        <v>105</v>
      </c>
      <c r="L1509" s="7" t="s">
        <v>106</v>
      </c>
      <c r="M1509" s="7"/>
      <c r="N1509" s="7" t="s">
        <v>10245</v>
      </c>
      <c r="O1509" s="7" t="s">
        <v>10245</v>
      </c>
      <c r="P1509" s="7" t="s">
        <v>135</v>
      </c>
      <c r="Q1509" s="7"/>
      <c r="R1509" s="7" t="s">
        <v>109</v>
      </c>
      <c r="S1509" s="7" t="s">
        <v>110</v>
      </c>
      <c r="T1509" s="7" t="n">
        <v>0.307</v>
      </c>
      <c r="U1509" s="7" t="n">
        <v>1</v>
      </c>
      <c r="V1509" s="7"/>
      <c r="W1509" s="7"/>
      <c r="X1509" s="7"/>
      <c r="Y1509" s="7" t="s">
        <v>10245</v>
      </c>
      <c r="Z1509" s="7"/>
      <c r="AA1509" s="7"/>
      <c r="AB1509" s="7"/>
      <c r="AC1509" s="7" t="n">
        <v>3</v>
      </c>
      <c r="AD1509" s="7" t="s">
        <v>1492</v>
      </c>
      <c r="AE1509" s="7" t="s">
        <v>10246</v>
      </c>
      <c r="AF1509" s="7" t="s">
        <v>10243</v>
      </c>
      <c r="AG1509" s="7"/>
      <c r="AH1509" s="7"/>
      <c r="AI1509" s="7"/>
      <c r="AJ1509" s="7"/>
      <c r="AK1509" s="7"/>
      <c r="AL1509" s="7"/>
      <c r="AM1509" s="7"/>
      <c r="AN1509" s="7"/>
      <c r="AO1509" s="7" t="s">
        <v>10246</v>
      </c>
      <c r="AP1509" s="7" t="s">
        <v>10244</v>
      </c>
      <c r="AQ1509" s="7"/>
      <c r="AR1509" s="7"/>
      <c r="AS1509" s="7"/>
      <c r="AT1509" s="7"/>
      <c r="AU1509" s="7"/>
      <c r="AV1509" s="7"/>
      <c r="AW1509" s="7" t="s">
        <v>10246</v>
      </c>
      <c r="AX1509" s="7" t="s">
        <v>10245</v>
      </c>
      <c r="AY1509" s="7"/>
      <c r="AZ1509" s="7"/>
      <c r="BA1509" s="7"/>
      <c r="BB1509" s="7"/>
      <c r="BC1509" s="7"/>
      <c r="BD1509" s="7"/>
      <c r="BE1509" s="7" t="s">
        <v>127</v>
      </c>
      <c r="BF1509" s="8"/>
      <c r="BG1509" s="8"/>
      <c r="BH1509" s="8"/>
      <c r="BI1509" s="8"/>
      <c r="BJ1509" s="8"/>
      <c r="BK1509" s="8"/>
      <c r="BL1509" s="8"/>
      <c r="BM1509" s="8"/>
      <c r="BN1509" s="8"/>
      <c r="BO1509" s="8"/>
      <c r="BP1509" s="8"/>
      <c r="BQ1509" s="8"/>
      <c r="BR1509" s="8"/>
      <c r="BS1509" s="8"/>
    </row>
    <row r="1510" customFormat="false" ht="15" hidden="false" customHeight="false" outlineLevel="0" collapsed="false">
      <c r="A1510" s="7" t="s">
        <v>10247</v>
      </c>
      <c r="B1510" s="7" t="s">
        <v>10248</v>
      </c>
      <c r="C1510" s="7" t="s">
        <v>10249</v>
      </c>
      <c r="D1510" s="7" t="s">
        <v>10244</v>
      </c>
      <c r="E1510" s="7"/>
      <c r="F1510" s="7" t="s">
        <v>101</v>
      </c>
      <c r="G1510" s="7"/>
      <c r="H1510" s="7"/>
      <c r="I1510" s="7" t="s">
        <v>132</v>
      </c>
      <c r="J1510" s="7" t="s">
        <v>104</v>
      </c>
      <c r="K1510" s="7" t="s">
        <v>105</v>
      </c>
      <c r="L1510" s="7" t="s">
        <v>106</v>
      </c>
      <c r="M1510" s="7"/>
      <c r="N1510" s="7" t="s">
        <v>10250</v>
      </c>
      <c r="O1510" s="7" t="s">
        <v>10250</v>
      </c>
      <c r="P1510" s="7" t="s">
        <v>135</v>
      </c>
      <c r="Q1510" s="7"/>
      <c r="R1510" s="7" t="s">
        <v>109</v>
      </c>
      <c r="S1510" s="7" t="s">
        <v>110</v>
      </c>
      <c r="T1510" s="7" t="n">
        <v>0.314</v>
      </c>
      <c r="U1510" s="7" t="n">
        <v>1</v>
      </c>
      <c r="V1510" s="7"/>
      <c r="W1510" s="7"/>
      <c r="X1510" s="7"/>
      <c r="Y1510" s="7" t="s">
        <v>10250</v>
      </c>
      <c r="Z1510" s="7"/>
      <c r="AA1510" s="7"/>
      <c r="AB1510" s="7"/>
      <c r="AC1510" s="7" t="n">
        <v>3</v>
      </c>
      <c r="AD1510" s="7" t="s">
        <v>1492</v>
      </c>
      <c r="AE1510" s="7" t="s">
        <v>10246</v>
      </c>
      <c r="AF1510" s="7" t="s">
        <v>10249</v>
      </c>
      <c r="AG1510" s="7"/>
      <c r="AH1510" s="7"/>
      <c r="AI1510" s="7"/>
      <c r="AJ1510" s="7"/>
      <c r="AK1510" s="7"/>
      <c r="AL1510" s="7"/>
      <c r="AM1510" s="7"/>
      <c r="AN1510" s="7"/>
      <c r="AO1510" s="7" t="s">
        <v>10246</v>
      </c>
      <c r="AP1510" s="7" t="s">
        <v>10244</v>
      </c>
      <c r="AQ1510" s="7"/>
      <c r="AR1510" s="7"/>
      <c r="AS1510" s="7"/>
      <c r="AT1510" s="7"/>
      <c r="AU1510" s="7"/>
      <c r="AV1510" s="7"/>
      <c r="AW1510" s="7" t="s">
        <v>10246</v>
      </c>
      <c r="AX1510" s="7" t="s">
        <v>10250</v>
      </c>
      <c r="AY1510" s="7"/>
      <c r="AZ1510" s="7"/>
      <c r="BA1510" s="7"/>
      <c r="BB1510" s="7"/>
      <c r="BC1510" s="7"/>
      <c r="BD1510" s="7"/>
      <c r="BE1510" s="7" t="s">
        <v>127</v>
      </c>
      <c r="BF1510" s="8"/>
      <c r="BG1510" s="8"/>
      <c r="BH1510" s="8"/>
      <c r="BI1510" s="8"/>
      <c r="BJ1510" s="8"/>
      <c r="BK1510" s="8"/>
      <c r="BL1510" s="8"/>
      <c r="BM1510" s="8"/>
      <c r="BN1510" s="8"/>
      <c r="BO1510" s="8"/>
      <c r="BP1510" s="8"/>
      <c r="BQ1510" s="8"/>
      <c r="BR1510" s="8"/>
      <c r="BS1510" s="8"/>
    </row>
    <row r="1511" customFormat="false" ht="15" hidden="false" customHeight="false" outlineLevel="0" collapsed="false">
      <c r="A1511" s="7" t="s">
        <v>10251</v>
      </c>
      <c r="B1511" s="7" t="s">
        <v>10252</v>
      </c>
      <c r="C1511" s="7" t="s">
        <v>10253</v>
      </c>
      <c r="D1511" s="7" t="s">
        <v>461</v>
      </c>
      <c r="E1511" s="7" t="s">
        <v>82</v>
      </c>
      <c r="F1511" s="7" t="s">
        <v>82</v>
      </c>
      <c r="G1511" s="7"/>
      <c r="H1511" s="7"/>
      <c r="I1511" s="7" t="s">
        <v>132</v>
      </c>
      <c r="J1511" s="7" t="s">
        <v>104</v>
      </c>
      <c r="K1511" s="7" t="s">
        <v>105</v>
      </c>
      <c r="L1511" s="7" t="s">
        <v>106</v>
      </c>
      <c r="M1511" s="7"/>
      <c r="N1511" s="7" t="s">
        <v>10254</v>
      </c>
      <c r="O1511" s="7" t="s">
        <v>10254</v>
      </c>
      <c r="P1511" s="7" t="s">
        <v>135</v>
      </c>
      <c r="Q1511" s="7"/>
      <c r="R1511" s="7" t="s">
        <v>109</v>
      </c>
      <c r="S1511" s="7" t="s">
        <v>110</v>
      </c>
      <c r="T1511" s="7" t="n">
        <v>0.245</v>
      </c>
      <c r="U1511" s="7" t="n">
        <v>1</v>
      </c>
      <c r="V1511" s="7"/>
      <c r="W1511" s="7"/>
      <c r="X1511" s="7"/>
      <c r="Y1511" s="7" t="s">
        <v>10254</v>
      </c>
      <c r="Z1511" s="7"/>
      <c r="AA1511" s="7"/>
      <c r="AB1511" s="7"/>
      <c r="AC1511" s="7" t="n">
        <v>4</v>
      </c>
      <c r="AD1511" s="7" t="s">
        <v>1376</v>
      </c>
      <c r="AE1511" s="7" t="s">
        <v>466</v>
      </c>
      <c r="AF1511" s="7" t="s">
        <v>10253</v>
      </c>
      <c r="AG1511" s="7"/>
      <c r="AH1511" s="7"/>
      <c r="AI1511" s="7"/>
      <c r="AJ1511" s="7"/>
      <c r="AK1511" s="7"/>
      <c r="AL1511" s="7"/>
      <c r="AM1511" s="7"/>
      <c r="AN1511" s="7"/>
      <c r="AO1511" s="7" t="s">
        <v>466</v>
      </c>
      <c r="AP1511" s="7" t="s">
        <v>461</v>
      </c>
      <c r="AQ1511" s="7" t="s">
        <v>466</v>
      </c>
      <c r="AR1511" s="7" t="s">
        <v>82</v>
      </c>
      <c r="AS1511" s="7"/>
      <c r="AT1511" s="7"/>
      <c r="AU1511" s="7"/>
      <c r="AV1511" s="7"/>
      <c r="AW1511" s="7" t="s">
        <v>466</v>
      </c>
      <c r="AX1511" s="7" t="s">
        <v>10254</v>
      </c>
      <c r="AY1511" s="7"/>
      <c r="AZ1511" s="7"/>
      <c r="BA1511" s="7"/>
      <c r="BB1511" s="7"/>
      <c r="BC1511" s="7"/>
      <c r="BD1511" s="7" t="s">
        <v>471</v>
      </c>
      <c r="BE1511" s="7" t="s">
        <v>127</v>
      </c>
      <c r="BF1511" s="8"/>
      <c r="BG1511" s="8"/>
      <c r="BH1511" s="8"/>
      <c r="BI1511" s="8"/>
      <c r="BJ1511" s="8"/>
      <c r="BK1511" s="8"/>
      <c r="BL1511" s="8"/>
      <c r="BM1511" s="8"/>
      <c r="BN1511" s="8"/>
      <c r="BO1511" s="8"/>
      <c r="BP1511" s="8"/>
      <c r="BQ1511" s="8"/>
      <c r="BR1511" s="8"/>
      <c r="BS1511" s="8"/>
    </row>
    <row r="1512" customFormat="false" ht="15" hidden="false" customHeight="false" outlineLevel="0" collapsed="false">
      <c r="A1512" s="7" t="s">
        <v>10255</v>
      </c>
      <c r="B1512" s="7" t="s">
        <v>10256</v>
      </c>
      <c r="C1512" s="7" t="s">
        <v>10257</v>
      </c>
      <c r="D1512" s="7" t="s">
        <v>461</v>
      </c>
      <c r="E1512" s="7"/>
      <c r="F1512" s="7" t="s">
        <v>101</v>
      </c>
      <c r="G1512" s="7"/>
      <c r="H1512" s="7"/>
      <c r="I1512" s="7" t="s">
        <v>132</v>
      </c>
      <c r="J1512" s="7" t="s">
        <v>104</v>
      </c>
      <c r="K1512" s="7" t="s">
        <v>105</v>
      </c>
      <c r="L1512" s="7" t="s">
        <v>106</v>
      </c>
      <c r="M1512" s="7"/>
      <c r="N1512" s="7" t="s">
        <v>10258</v>
      </c>
      <c r="O1512" s="7" t="s">
        <v>10258</v>
      </c>
      <c r="P1512" s="7" t="s">
        <v>135</v>
      </c>
      <c r="Q1512" s="7"/>
      <c r="R1512" s="7" t="s">
        <v>109</v>
      </c>
      <c r="S1512" s="7" t="s">
        <v>110</v>
      </c>
      <c r="T1512" s="7" t="n">
        <v>0.166</v>
      </c>
      <c r="U1512" s="7" t="n">
        <v>1</v>
      </c>
      <c r="V1512" s="7"/>
      <c r="W1512" s="7"/>
      <c r="X1512" s="7"/>
      <c r="Y1512" s="7" t="s">
        <v>10258</v>
      </c>
      <c r="Z1512" s="7"/>
      <c r="AA1512" s="7"/>
      <c r="AB1512" s="7"/>
      <c r="AC1512" s="7" t="n">
        <v>3</v>
      </c>
      <c r="AD1512" s="7" t="s">
        <v>1492</v>
      </c>
      <c r="AE1512" s="7" t="s">
        <v>466</v>
      </c>
      <c r="AF1512" s="7" t="s">
        <v>10257</v>
      </c>
      <c r="AG1512" s="7"/>
      <c r="AH1512" s="7"/>
      <c r="AI1512" s="7"/>
      <c r="AJ1512" s="7"/>
      <c r="AK1512" s="7"/>
      <c r="AL1512" s="7"/>
      <c r="AM1512" s="7"/>
      <c r="AN1512" s="7"/>
      <c r="AO1512" s="7" t="s">
        <v>466</v>
      </c>
      <c r="AP1512" s="7" t="s">
        <v>461</v>
      </c>
      <c r="AQ1512" s="7"/>
      <c r="AR1512" s="7"/>
      <c r="AS1512" s="7"/>
      <c r="AT1512" s="7"/>
      <c r="AU1512" s="7"/>
      <c r="AV1512" s="7"/>
      <c r="AW1512" s="7" t="s">
        <v>466</v>
      </c>
      <c r="AX1512" s="7" t="s">
        <v>10258</v>
      </c>
      <c r="AY1512" s="7"/>
      <c r="AZ1512" s="7"/>
      <c r="BA1512" s="7"/>
      <c r="BB1512" s="7"/>
      <c r="BC1512" s="7"/>
      <c r="BD1512" s="7"/>
      <c r="BE1512" s="7" t="s">
        <v>127</v>
      </c>
      <c r="BF1512" s="8"/>
      <c r="BG1512" s="8"/>
      <c r="BH1512" s="8"/>
      <c r="BI1512" s="8"/>
      <c r="BJ1512" s="8"/>
      <c r="BK1512" s="8"/>
      <c r="BL1512" s="8"/>
      <c r="BM1512" s="8"/>
      <c r="BN1512" s="8"/>
      <c r="BO1512" s="8"/>
      <c r="BP1512" s="8"/>
      <c r="BQ1512" s="8"/>
      <c r="BR1512" s="8"/>
      <c r="BS1512" s="8"/>
    </row>
    <row r="1513" customFormat="false" ht="15" hidden="false" customHeight="false" outlineLevel="0" collapsed="false">
      <c r="A1513" s="7" t="s">
        <v>10259</v>
      </c>
      <c r="B1513" s="7" t="s">
        <v>10260</v>
      </c>
      <c r="C1513" s="7" t="s">
        <v>10261</v>
      </c>
      <c r="D1513" s="7" t="s">
        <v>461</v>
      </c>
      <c r="E1513" s="7"/>
      <c r="F1513" s="7" t="s">
        <v>101</v>
      </c>
      <c r="G1513" s="7"/>
      <c r="H1513" s="7"/>
      <c r="I1513" s="7" t="s">
        <v>132</v>
      </c>
      <c r="J1513" s="7" t="s">
        <v>104</v>
      </c>
      <c r="K1513" s="7" t="s">
        <v>105</v>
      </c>
      <c r="L1513" s="7" t="s">
        <v>106</v>
      </c>
      <c r="M1513" s="7"/>
      <c r="N1513" s="7" t="s">
        <v>10262</v>
      </c>
      <c r="O1513" s="7" t="s">
        <v>10262</v>
      </c>
      <c r="P1513" s="7" t="s">
        <v>135</v>
      </c>
      <c r="Q1513" s="7"/>
      <c r="R1513" s="7" t="s">
        <v>109</v>
      </c>
      <c r="S1513" s="7" t="s">
        <v>110</v>
      </c>
      <c r="T1513" s="7" t="n">
        <v>0.327</v>
      </c>
      <c r="U1513" s="7" t="n">
        <v>1</v>
      </c>
      <c r="V1513" s="7"/>
      <c r="W1513" s="7"/>
      <c r="X1513" s="7"/>
      <c r="Y1513" s="7" t="s">
        <v>10262</v>
      </c>
      <c r="Z1513" s="7"/>
      <c r="AA1513" s="7"/>
      <c r="AB1513" s="7"/>
      <c r="AC1513" s="7" t="n">
        <v>3</v>
      </c>
      <c r="AD1513" s="7" t="s">
        <v>1492</v>
      </c>
      <c r="AE1513" s="7" t="s">
        <v>466</v>
      </c>
      <c r="AF1513" s="7" t="s">
        <v>10261</v>
      </c>
      <c r="AG1513" s="7"/>
      <c r="AH1513" s="7"/>
      <c r="AI1513" s="7"/>
      <c r="AJ1513" s="7"/>
      <c r="AK1513" s="7"/>
      <c r="AL1513" s="7"/>
      <c r="AM1513" s="7"/>
      <c r="AN1513" s="7"/>
      <c r="AO1513" s="7" t="s">
        <v>466</v>
      </c>
      <c r="AP1513" s="7" t="s">
        <v>461</v>
      </c>
      <c r="AQ1513" s="7"/>
      <c r="AR1513" s="7"/>
      <c r="AS1513" s="7"/>
      <c r="AT1513" s="7"/>
      <c r="AU1513" s="7"/>
      <c r="AV1513" s="7"/>
      <c r="AW1513" s="7" t="s">
        <v>466</v>
      </c>
      <c r="AX1513" s="7" t="s">
        <v>10262</v>
      </c>
      <c r="AY1513" s="7"/>
      <c r="AZ1513" s="7"/>
      <c r="BA1513" s="7"/>
      <c r="BB1513" s="7"/>
      <c r="BC1513" s="7"/>
      <c r="BD1513" s="7"/>
      <c r="BE1513" s="7" t="s">
        <v>127</v>
      </c>
      <c r="BF1513" s="8"/>
      <c r="BG1513" s="8"/>
      <c r="BH1513" s="8"/>
      <c r="BI1513" s="8"/>
      <c r="BJ1513" s="8"/>
      <c r="BK1513" s="8"/>
      <c r="BL1513" s="8"/>
      <c r="BM1513" s="8"/>
      <c r="BN1513" s="8"/>
      <c r="BO1513" s="8"/>
      <c r="BP1513" s="8"/>
      <c r="BQ1513" s="8"/>
      <c r="BR1513" s="8"/>
      <c r="BS1513" s="8"/>
    </row>
    <row r="1514" customFormat="false" ht="15" hidden="false" customHeight="false" outlineLevel="0" collapsed="false">
      <c r="A1514" s="7" t="s">
        <v>10263</v>
      </c>
      <c r="B1514" s="7" t="s">
        <v>10264</v>
      </c>
      <c r="C1514" s="7" t="s">
        <v>10265</v>
      </c>
      <c r="D1514" s="7" t="s">
        <v>461</v>
      </c>
      <c r="E1514" s="7"/>
      <c r="F1514" s="7" t="s">
        <v>101</v>
      </c>
      <c r="G1514" s="7"/>
      <c r="H1514" s="7"/>
      <c r="I1514" s="7" t="s">
        <v>132</v>
      </c>
      <c r="J1514" s="7" t="s">
        <v>104</v>
      </c>
      <c r="K1514" s="7" t="s">
        <v>105</v>
      </c>
      <c r="L1514" s="7" t="s">
        <v>106</v>
      </c>
      <c r="M1514" s="7"/>
      <c r="N1514" s="7" t="s">
        <v>10266</v>
      </c>
      <c r="O1514" s="7" t="s">
        <v>10266</v>
      </c>
      <c r="P1514" s="7" t="s">
        <v>135</v>
      </c>
      <c r="Q1514" s="7"/>
      <c r="R1514" s="7" t="s">
        <v>109</v>
      </c>
      <c r="S1514" s="7" t="s">
        <v>110</v>
      </c>
      <c r="T1514" s="7" t="n">
        <v>0.316</v>
      </c>
      <c r="U1514" s="7" t="n">
        <v>1</v>
      </c>
      <c r="V1514" s="7"/>
      <c r="W1514" s="7"/>
      <c r="X1514" s="7"/>
      <c r="Y1514" s="7" t="s">
        <v>10266</v>
      </c>
      <c r="Z1514" s="7"/>
      <c r="AA1514" s="7"/>
      <c r="AB1514" s="7"/>
      <c r="AC1514" s="7" t="n">
        <v>3</v>
      </c>
      <c r="AD1514" s="7" t="s">
        <v>1492</v>
      </c>
      <c r="AE1514" s="7" t="s">
        <v>466</v>
      </c>
      <c r="AF1514" s="7" t="s">
        <v>10265</v>
      </c>
      <c r="AG1514" s="7"/>
      <c r="AH1514" s="7"/>
      <c r="AI1514" s="7"/>
      <c r="AJ1514" s="7"/>
      <c r="AK1514" s="7"/>
      <c r="AL1514" s="7"/>
      <c r="AM1514" s="7"/>
      <c r="AN1514" s="7"/>
      <c r="AO1514" s="7" t="s">
        <v>466</v>
      </c>
      <c r="AP1514" s="7" t="s">
        <v>461</v>
      </c>
      <c r="AQ1514" s="7"/>
      <c r="AR1514" s="7"/>
      <c r="AS1514" s="7"/>
      <c r="AT1514" s="7"/>
      <c r="AU1514" s="7"/>
      <c r="AV1514" s="7"/>
      <c r="AW1514" s="7" t="s">
        <v>466</v>
      </c>
      <c r="AX1514" s="7" t="s">
        <v>10266</v>
      </c>
      <c r="AY1514" s="7"/>
      <c r="AZ1514" s="7"/>
      <c r="BA1514" s="7"/>
      <c r="BB1514" s="7"/>
      <c r="BC1514" s="7"/>
      <c r="BD1514" s="7"/>
      <c r="BE1514" s="7" t="s">
        <v>127</v>
      </c>
      <c r="BF1514" s="8"/>
      <c r="BG1514" s="8"/>
      <c r="BH1514" s="8"/>
      <c r="BI1514" s="8"/>
      <c r="BJ1514" s="8"/>
      <c r="BK1514" s="8"/>
      <c r="BL1514" s="8"/>
      <c r="BM1514" s="8"/>
      <c r="BN1514" s="8"/>
      <c r="BO1514" s="8"/>
      <c r="BP1514" s="8"/>
      <c r="BQ1514" s="8"/>
      <c r="BR1514" s="8"/>
      <c r="BS1514" s="8"/>
    </row>
    <row r="1515" customFormat="false" ht="15" hidden="false" customHeight="false" outlineLevel="0" collapsed="false">
      <c r="A1515" s="7" t="s">
        <v>10267</v>
      </c>
      <c r="B1515" s="7" t="s">
        <v>10268</v>
      </c>
      <c r="C1515" s="7" t="s">
        <v>10269</v>
      </c>
      <c r="D1515" s="7" t="s">
        <v>461</v>
      </c>
      <c r="E1515" s="7" t="s">
        <v>82</v>
      </c>
      <c r="F1515" s="7" t="s">
        <v>82</v>
      </c>
      <c r="G1515" s="7"/>
      <c r="H1515" s="7"/>
      <c r="I1515" s="7" t="s">
        <v>132</v>
      </c>
      <c r="J1515" s="7" t="s">
        <v>104</v>
      </c>
      <c r="K1515" s="7" t="s">
        <v>105</v>
      </c>
      <c r="L1515" s="7" t="s">
        <v>106</v>
      </c>
      <c r="M1515" s="7"/>
      <c r="N1515" s="7" t="s">
        <v>10270</v>
      </c>
      <c r="O1515" s="7" t="s">
        <v>10270</v>
      </c>
      <c r="P1515" s="7" t="s">
        <v>135</v>
      </c>
      <c r="Q1515" s="7"/>
      <c r="R1515" s="7" t="s">
        <v>109</v>
      </c>
      <c r="S1515" s="7" t="s">
        <v>110</v>
      </c>
      <c r="T1515" s="7" t="n">
        <v>0.24</v>
      </c>
      <c r="U1515" s="7" t="n">
        <v>1</v>
      </c>
      <c r="V1515" s="7"/>
      <c r="W1515" s="7"/>
      <c r="X1515" s="7"/>
      <c r="Y1515" s="7" t="s">
        <v>10270</v>
      </c>
      <c r="Z1515" s="7"/>
      <c r="AA1515" s="7"/>
      <c r="AB1515" s="7"/>
      <c r="AC1515" s="7" t="n">
        <v>5</v>
      </c>
      <c r="AD1515" s="7" t="s">
        <v>743</v>
      </c>
      <c r="AE1515" s="7" t="s">
        <v>466</v>
      </c>
      <c r="AF1515" s="7" t="s">
        <v>10269</v>
      </c>
      <c r="AG1515" s="7" t="s">
        <v>466</v>
      </c>
      <c r="AH1515" s="7" t="s">
        <v>10271</v>
      </c>
      <c r="AI1515" s="7"/>
      <c r="AJ1515" s="7"/>
      <c r="AK1515" s="7"/>
      <c r="AL1515" s="7"/>
      <c r="AM1515" s="7"/>
      <c r="AN1515" s="7"/>
      <c r="AO1515" s="7" t="s">
        <v>466</v>
      </c>
      <c r="AP1515" s="7" t="s">
        <v>461</v>
      </c>
      <c r="AQ1515" s="7" t="s">
        <v>466</v>
      </c>
      <c r="AR1515" s="7" t="s">
        <v>82</v>
      </c>
      <c r="AS1515" s="7"/>
      <c r="AT1515" s="7"/>
      <c r="AU1515" s="7"/>
      <c r="AV1515" s="7"/>
      <c r="AW1515" s="7" t="s">
        <v>466</v>
      </c>
      <c r="AX1515" s="7" t="s">
        <v>10270</v>
      </c>
      <c r="AY1515" s="7"/>
      <c r="AZ1515" s="7"/>
      <c r="BA1515" s="7"/>
      <c r="BB1515" s="7"/>
      <c r="BC1515" s="7"/>
      <c r="BD1515" s="7" t="s">
        <v>471</v>
      </c>
      <c r="BE1515" s="7" t="s">
        <v>127</v>
      </c>
      <c r="BF1515" s="8"/>
      <c r="BG1515" s="8"/>
      <c r="BH1515" s="8"/>
      <c r="BI1515" s="8"/>
      <c r="BJ1515" s="8"/>
      <c r="BK1515" s="8"/>
      <c r="BL1515" s="8"/>
      <c r="BM1515" s="8"/>
      <c r="BN1515" s="8"/>
      <c r="BO1515" s="8"/>
      <c r="BP1515" s="8"/>
      <c r="BQ1515" s="8"/>
      <c r="BR1515" s="8"/>
      <c r="BS1515" s="8"/>
    </row>
    <row r="1516" customFormat="false" ht="15" hidden="false" customHeight="false" outlineLevel="0" collapsed="false">
      <c r="A1516" s="7" t="s">
        <v>10272</v>
      </c>
      <c r="B1516" s="7" t="s">
        <v>10273</v>
      </c>
      <c r="C1516" s="7" t="s">
        <v>10274</v>
      </c>
      <c r="D1516" s="7" t="s">
        <v>461</v>
      </c>
      <c r="E1516" s="7"/>
      <c r="F1516" s="7" t="s">
        <v>101</v>
      </c>
      <c r="G1516" s="7"/>
      <c r="H1516" s="7"/>
      <c r="I1516" s="7" t="s">
        <v>132</v>
      </c>
      <c r="J1516" s="7" t="s">
        <v>104</v>
      </c>
      <c r="K1516" s="7" t="s">
        <v>105</v>
      </c>
      <c r="L1516" s="7" t="s">
        <v>106</v>
      </c>
      <c r="M1516" s="7"/>
      <c r="N1516" s="7" t="s">
        <v>10275</v>
      </c>
      <c r="O1516" s="7" t="s">
        <v>10275</v>
      </c>
      <c r="P1516" s="7" t="s">
        <v>135</v>
      </c>
      <c r="Q1516" s="7"/>
      <c r="R1516" s="7" t="s">
        <v>109</v>
      </c>
      <c r="S1516" s="7" t="s">
        <v>110</v>
      </c>
      <c r="T1516" s="7" t="n">
        <v>0.23</v>
      </c>
      <c r="U1516" s="7" t="n">
        <v>1</v>
      </c>
      <c r="V1516" s="7"/>
      <c r="W1516" s="7"/>
      <c r="X1516" s="7"/>
      <c r="Y1516" s="7" t="s">
        <v>10275</v>
      </c>
      <c r="Z1516" s="7"/>
      <c r="AA1516" s="7"/>
      <c r="AB1516" s="7"/>
      <c r="AC1516" s="7" t="n">
        <v>3</v>
      </c>
      <c r="AD1516" s="7" t="s">
        <v>1492</v>
      </c>
      <c r="AE1516" s="7" t="s">
        <v>466</v>
      </c>
      <c r="AF1516" s="7" t="s">
        <v>10274</v>
      </c>
      <c r="AG1516" s="7"/>
      <c r="AH1516" s="7"/>
      <c r="AI1516" s="7"/>
      <c r="AJ1516" s="7"/>
      <c r="AK1516" s="7"/>
      <c r="AL1516" s="7"/>
      <c r="AM1516" s="7"/>
      <c r="AN1516" s="7"/>
      <c r="AO1516" s="7" t="s">
        <v>466</v>
      </c>
      <c r="AP1516" s="7" t="s">
        <v>461</v>
      </c>
      <c r="AQ1516" s="7"/>
      <c r="AR1516" s="7"/>
      <c r="AS1516" s="7"/>
      <c r="AT1516" s="7"/>
      <c r="AU1516" s="7"/>
      <c r="AV1516" s="7"/>
      <c r="AW1516" s="7" t="s">
        <v>466</v>
      </c>
      <c r="AX1516" s="7" t="s">
        <v>10275</v>
      </c>
      <c r="AY1516" s="7"/>
      <c r="AZ1516" s="7"/>
      <c r="BA1516" s="7"/>
      <c r="BB1516" s="7"/>
      <c r="BC1516" s="7"/>
      <c r="BD1516" s="7"/>
      <c r="BE1516" s="7" t="s">
        <v>127</v>
      </c>
      <c r="BF1516" s="8"/>
      <c r="BG1516" s="8"/>
      <c r="BH1516" s="8"/>
      <c r="BI1516" s="8"/>
      <c r="BJ1516" s="8"/>
      <c r="BK1516" s="8"/>
      <c r="BL1516" s="8"/>
      <c r="BM1516" s="8"/>
      <c r="BN1516" s="8"/>
      <c r="BO1516" s="8"/>
      <c r="BP1516" s="8"/>
      <c r="BQ1516" s="8"/>
      <c r="BR1516" s="8"/>
      <c r="BS1516" s="8"/>
    </row>
    <row r="1517" customFormat="false" ht="15" hidden="false" customHeight="false" outlineLevel="0" collapsed="false">
      <c r="A1517" s="7" t="s">
        <v>10276</v>
      </c>
      <c r="B1517" s="7" t="s">
        <v>10277</v>
      </c>
      <c r="C1517" s="7" t="s">
        <v>10278</v>
      </c>
      <c r="D1517" s="7" t="s">
        <v>461</v>
      </c>
      <c r="E1517" s="7" t="s">
        <v>82</v>
      </c>
      <c r="F1517" s="7" t="s">
        <v>82</v>
      </c>
      <c r="G1517" s="7"/>
      <c r="H1517" s="7"/>
      <c r="I1517" s="7" t="s">
        <v>132</v>
      </c>
      <c r="J1517" s="7" t="s">
        <v>104</v>
      </c>
      <c r="K1517" s="7" t="s">
        <v>105</v>
      </c>
      <c r="L1517" s="7" t="s">
        <v>106</v>
      </c>
      <c r="M1517" s="7"/>
      <c r="N1517" s="7" t="s">
        <v>10279</v>
      </c>
      <c r="O1517" s="7" t="s">
        <v>10279</v>
      </c>
      <c r="P1517" s="7" t="s">
        <v>135</v>
      </c>
      <c r="Q1517" s="7"/>
      <c r="R1517" s="7" t="s">
        <v>109</v>
      </c>
      <c r="S1517" s="7" t="s">
        <v>110</v>
      </c>
      <c r="T1517" s="7" t="n">
        <v>0.239</v>
      </c>
      <c r="U1517" s="7" t="n">
        <v>1</v>
      </c>
      <c r="V1517" s="7"/>
      <c r="W1517" s="7"/>
      <c r="X1517" s="7"/>
      <c r="Y1517" s="7" t="s">
        <v>10279</v>
      </c>
      <c r="Z1517" s="7"/>
      <c r="AA1517" s="7"/>
      <c r="AB1517" s="7"/>
      <c r="AC1517" s="7" t="n">
        <v>5</v>
      </c>
      <c r="AD1517" s="7" t="s">
        <v>743</v>
      </c>
      <c r="AE1517" s="7" t="s">
        <v>466</v>
      </c>
      <c r="AF1517" s="7" t="s">
        <v>10278</v>
      </c>
      <c r="AG1517" s="7" t="s">
        <v>466</v>
      </c>
      <c r="AH1517" s="7" t="s">
        <v>10280</v>
      </c>
      <c r="AI1517" s="7"/>
      <c r="AJ1517" s="7"/>
      <c r="AK1517" s="7"/>
      <c r="AL1517" s="7"/>
      <c r="AM1517" s="7"/>
      <c r="AN1517" s="7"/>
      <c r="AO1517" s="7" t="s">
        <v>466</v>
      </c>
      <c r="AP1517" s="7" t="s">
        <v>461</v>
      </c>
      <c r="AQ1517" s="7" t="s">
        <v>466</v>
      </c>
      <c r="AR1517" s="7" t="s">
        <v>82</v>
      </c>
      <c r="AS1517" s="7"/>
      <c r="AT1517" s="7"/>
      <c r="AU1517" s="7"/>
      <c r="AV1517" s="7"/>
      <c r="AW1517" s="7" t="s">
        <v>466</v>
      </c>
      <c r="AX1517" s="7" t="s">
        <v>10279</v>
      </c>
      <c r="AY1517" s="7"/>
      <c r="AZ1517" s="7"/>
      <c r="BA1517" s="7"/>
      <c r="BB1517" s="7"/>
      <c r="BC1517" s="7"/>
      <c r="BD1517" s="7" t="s">
        <v>471</v>
      </c>
      <c r="BE1517" s="7" t="s">
        <v>127</v>
      </c>
      <c r="BF1517" s="8"/>
      <c r="BG1517" s="8"/>
      <c r="BH1517" s="8"/>
      <c r="BI1517" s="8"/>
      <c r="BJ1517" s="8"/>
      <c r="BK1517" s="8"/>
      <c r="BL1517" s="8"/>
      <c r="BM1517" s="8"/>
      <c r="BN1517" s="8"/>
      <c r="BO1517" s="8"/>
      <c r="BP1517" s="8"/>
      <c r="BQ1517" s="8"/>
      <c r="BR1517" s="8"/>
      <c r="BS1517" s="8"/>
    </row>
    <row r="1518" customFormat="false" ht="15" hidden="false" customHeight="false" outlineLevel="0" collapsed="false">
      <c r="A1518" s="7" t="s">
        <v>10281</v>
      </c>
      <c r="B1518" s="7" t="s">
        <v>10282</v>
      </c>
      <c r="C1518" s="7" t="s">
        <v>10283</v>
      </c>
      <c r="D1518" s="7" t="s">
        <v>461</v>
      </c>
      <c r="E1518" s="7" t="s">
        <v>82</v>
      </c>
      <c r="F1518" s="7" t="s">
        <v>82</v>
      </c>
      <c r="G1518" s="7"/>
      <c r="H1518" s="7"/>
      <c r="I1518" s="7" t="s">
        <v>132</v>
      </c>
      <c r="J1518" s="7" t="s">
        <v>104</v>
      </c>
      <c r="K1518" s="7" t="s">
        <v>105</v>
      </c>
      <c r="L1518" s="7" t="s">
        <v>106</v>
      </c>
      <c r="M1518" s="7"/>
      <c r="N1518" s="7" t="s">
        <v>10284</v>
      </c>
      <c r="O1518" s="7" t="s">
        <v>10284</v>
      </c>
      <c r="P1518" s="7" t="s">
        <v>135</v>
      </c>
      <c r="Q1518" s="7"/>
      <c r="R1518" s="7" t="s">
        <v>109</v>
      </c>
      <c r="S1518" s="7" t="s">
        <v>110</v>
      </c>
      <c r="T1518" s="7" t="n">
        <v>0.386</v>
      </c>
      <c r="U1518" s="7" t="n">
        <v>1</v>
      </c>
      <c r="V1518" s="7"/>
      <c r="W1518" s="7"/>
      <c r="X1518" s="7"/>
      <c r="Y1518" s="7" t="s">
        <v>10284</v>
      </c>
      <c r="Z1518" s="7"/>
      <c r="AA1518" s="7"/>
      <c r="AB1518" s="7"/>
      <c r="AC1518" s="7" t="n">
        <v>5</v>
      </c>
      <c r="AD1518" s="7" t="s">
        <v>743</v>
      </c>
      <c r="AE1518" s="7" t="s">
        <v>466</v>
      </c>
      <c r="AF1518" s="7" t="s">
        <v>10283</v>
      </c>
      <c r="AG1518" s="7" t="s">
        <v>466</v>
      </c>
      <c r="AH1518" s="7" t="s">
        <v>10285</v>
      </c>
      <c r="AI1518" s="7"/>
      <c r="AJ1518" s="7"/>
      <c r="AK1518" s="7"/>
      <c r="AL1518" s="7"/>
      <c r="AM1518" s="7"/>
      <c r="AN1518" s="7"/>
      <c r="AO1518" s="7" t="s">
        <v>466</v>
      </c>
      <c r="AP1518" s="7" t="s">
        <v>461</v>
      </c>
      <c r="AQ1518" s="7" t="s">
        <v>466</v>
      </c>
      <c r="AR1518" s="7" t="s">
        <v>82</v>
      </c>
      <c r="AS1518" s="7"/>
      <c r="AT1518" s="7"/>
      <c r="AU1518" s="7"/>
      <c r="AV1518" s="7"/>
      <c r="AW1518" s="7" t="s">
        <v>466</v>
      </c>
      <c r="AX1518" s="7" t="s">
        <v>10284</v>
      </c>
      <c r="AY1518" s="7"/>
      <c r="AZ1518" s="7"/>
      <c r="BA1518" s="7"/>
      <c r="BB1518" s="7"/>
      <c r="BC1518" s="7"/>
      <c r="BD1518" s="7" t="s">
        <v>471</v>
      </c>
      <c r="BE1518" s="7" t="s">
        <v>127</v>
      </c>
      <c r="BF1518" s="8"/>
      <c r="BG1518" s="8"/>
      <c r="BH1518" s="8"/>
      <c r="BI1518" s="8"/>
      <c r="BJ1518" s="8"/>
      <c r="BK1518" s="8"/>
      <c r="BL1518" s="8"/>
      <c r="BM1518" s="8"/>
      <c r="BN1518" s="8"/>
      <c r="BO1518" s="8"/>
      <c r="BP1518" s="8"/>
      <c r="BQ1518" s="8"/>
      <c r="BR1518" s="8"/>
      <c r="BS1518" s="8"/>
    </row>
    <row r="1519" customFormat="false" ht="15" hidden="false" customHeight="false" outlineLevel="0" collapsed="false">
      <c r="A1519" s="7" t="s">
        <v>10286</v>
      </c>
      <c r="B1519" s="7" t="s">
        <v>10287</v>
      </c>
      <c r="C1519" s="7" t="s">
        <v>10288</v>
      </c>
      <c r="D1519" s="7" t="s">
        <v>461</v>
      </c>
      <c r="E1519" s="7"/>
      <c r="F1519" s="7" t="s">
        <v>101</v>
      </c>
      <c r="G1519" s="7"/>
      <c r="H1519" s="7"/>
      <c r="I1519" s="7" t="s">
        <v>132</v>
      </c>
      <c r="J1519" s="7" t="s">
        <v>104</v>
      </c>
      <c r="K1519" s="7" t="s">
        <v>105</v>
      </c>
      <c r="L1519" s="7" t="s">
        <v>106</v>
      </c>
      <c r="M1519" s="7"/>
      <c r="N1519" s="7" t="s">
        <v>10289</v>
      </c>
      <c r="O1519" s="7"/>
      <c r="P1519" s="7" t="s">
        <v>135</v>
      </c>
      <c r="Q1519" s="7"/>
      <c r="R1519" s="7" t="s">
        <v>135</v>
      </c>
      <c r="S1519" s="7" t="s">
        <v>136</v>
      </c>
      <c r="T1519" s="7" t="n">
        <v>0.259</v>
      </c>
      <c r="U1519" s="7" t="n">
        <v>1</v>
      </c>
      <c r="V1519" s="7"/>
      <c r="W1519" s="7"/>
      <c r="X1519" s="7"/>
      <c r="Y1519" s="7" t="s">
        <v>10289</v>
      </c>
      <c r="Z1519" s="7"/>
      <c r="AA1519" s="7"/>
      <c r="AB1519" s="7"/>
      <c r="AC1519" s="7" t="n">
        <v>3</v>
      </c>
      <c r="AD1519" s="7" t="s">
        <v>1492</v>
      </c>
      <c r="AE1519" s="7" t="s">
        <v>466</v>
      </c>
      <c r="AF1519" s="7" t="s">
        <v>10288</v>
      </c>
      <c r="AG1519" s="7"/>
      <c r="AH1519" s="7"/>
      <c r="AI1519" s="7"/>
      <c r="AJ1519" s="7"/>
      <c r="AK1519" s="7"/>
      <c r="AL1519" s="7"/>
      <c r="AM1519" s="7"/>
      <c r="AN1519" s="7"/>
      <c r="AO1519" s="7" t="s">
        <v>466</v>
      </c>
      <c r="AP1519" s="7" t="s">
        <v>461</v>
      </c>
      <c r="AQ1519" s="7"/>
      <c r="AR1519" s="7"/>
      <c r="AS1519" s="7"/>
      <c r="AT1519" s="7"/>
      <c r="AU1519" s="7"/>
      <c r="AV1519" s="7"/>
      <c r="AW1519" s="7" t="s">
        <v>466</v>
      </c>
      <c r="AX1519" s="7" t="s">
        <v>10289</v>
      </c>
      <c r="AY1519" s="7"/>
      <c r="AZ1519" s="7"/>
      <c r="BA1519" s="7"/>
      <c r="BB1519" s="7"/>
      <c r="BC1519" s="7"/>
      <c r="BD1519" s="7"/>
      <c r="BE1519" s="7" t="s">
        <v>127</v>
      </c>
      <c r="BF1519" s="8"/>
      <c r="BG1519" s="8"/>
      <c r="BH1519" s="8"/>
      <c r="BI1519" s="8"/>
      <c r="BJ1519" s="8"/>
      <c r="BK1519" s="8"/>
      <c r="BL1519" s="8"/>
      <c r="BM1519" s="8"/>
      <c r="BN1519" s="8"/>
      <c r="BO1519" s="8"/>
      <c r="BP1519" s="8"/>
      <c r="BQ1519" s="8"/>
      <c r="BR1519" s="8"/>
      <c r="BS1519" s="8"/>
    </row>
    <row r="1520" customFormat="false" ht="15" hidden="false" customHeight="false" outlineLevel="0" collapsed="false">
      <c r="A1520" s="7" t="s">
        <v>10290</v>
      </c>
      <c r="B1520" s="7" t="s">
        <v>10291</v>
      </c>
      <c r="C1520" s="7" t="s">
        <v>10292</v>
      </c>
      <c r="D1520" s="7" t="s">
        <v>2468</v>
      </c>
      <c r="E1520" s="7"/>
      <c r="F1520" s="7" t="s">
        <v>101</v>
      </c>
      <c r="G1520" s="7"/>
      <c r="H1520" s="7"/>
      <c r="I1520" s="7" t="s">
        <v>234</v>
      </c>
      <c r="J1520" s="7" t="s">
        <v>104</v>
      </c>
      <c r="K1520" s="7" t="s">
        <v>105</v>
      </c>
      <c r="L1520" s="7" t="s">
        <v>235</v>
      </c>
      <c r="M1520" s="7"/>
      <c r="N1520" s="7" t="s">
        <v>10293</v>
      </c>
      <c r="O1520" s="7"/>
      <c r="P1520" s="7" t="s">
        <v>135</v>
      </c>
      <c r="Q1520" s="7"/>
      <c r="R1520" s="7" t="s">
        <v>135</v>
      </c>
      <c r="S1520" s="7" t="s">
        <v>136</v>
      </c>
      <c r="T1520" s="7" t="n">
        <v>0.186</v>
      </c>
      <c r="U1520" s="7" t="n">
        <v>1</v>
      </c>
      <c r="V1520" s="7"/>
      <c r="W1520" s="7"/>
      <c r="X1520" s="7"/>
      <c r="Y1520" s="7" t="s">
        <v>10293</v>
      </c>
      <c r="Z1520" s="7"/>
      <c r="AA1520" s="7"/>
      <c r="AB1520" s="7"/>
      <c r="AC1520" s="7" t="n">
        <v>6</v>
      </c>
      <c r="AD1520" s="7" t="s">
        <v>1235</v>
      </c>
      <c r="AE1520" s="7" t="s">
        <v>744</v>
      </c>
      <c r="AF1520" s="7" t="s">
        <v>10294</v>
      </c>
      <c r="AG1520" s="7" t="s">
        <v>744</v>
      </c>
      <c r="AH1520" s="7" t="s">
        <v>10295</v>
      </c>
      <c r="AI1520" s="7"/>
      <c r="AJ1520" s="7"/>
      <c r="AK1520" s="7"/>
      <c r="AL1520" s="7"/>
      <c r="AM1520" s="7" t="s">
        <v>744</v>
      </c>
      <c r="AN1520" s="7" t="s">
        <v>10296</v>
      </c>
      <c r="AO1520" s="7" t="s">
        <v>744</v>
      </c>
      <c r="AP1520" s="7" t="s">
        <v>10297</v>
      </c>
      <c r="AQ1520" s="7" t="s">
        <v>744</v>
      </c>
      <c r="AR1520" s="7" t="s">
        <v>101</v>
      </c>
      <c r="AS1520" s="7"/>
      <c r="AT1520" s="7"/>
      <c r="AU1520" s="7"/>
      <c r="AV1520" s="7"/>
      <c r="AW1520" s="7" t="s">
        <v>4077</v>
      </c>
      <c r="AX1520" s="7" t="s">
        <v>10293</v>
      </c>
      <c r="AY1520" s="7"/>
      <c r="AZ1520" s="7"/>
      <c r="BA1520" s="7"/>
      <c r="BB1520" s="7"/>
      <c r="BC1520" s="7"/>
      <c r="BD1520" s="7" t="s">
        <v>10298</v>
      </c>
      <c r="BE1520" s="7" t="s">
        <v>127</v>
      </c>
      <c r="BF1520" s="8"/>
      <c r="BG1520" s="8"/>
      <c r="BH1520" s="8"/>
      <c r="BI1520" s="8"/>
      <c r="BJ1520" s="8"/>
      <c r="BK1520" s="8"/>
      <c r="BL1520" s="8"/>
      <c r="BM1520" s="8"/>
      <c r="BN1520" s="8"/>
      <c r="BO1520" s="8"/>
      <c r="BP1520" s="8"/>
      <c r="BQ1520" s="8"/>
      <c r="BR1520" s="8"/>
      <c r="BS1520" s="8"/>
    </row>
    <row r="1521" customFormat="false" ht="15" hidden="false" customHeight="false" outlineLevel="0" collapsed="false">
      <c r="A1521" s="7" t="s">
        <v>10299</v>
      </c>
      <c r="B1521" s="7" t="s">
        <v>10300</v>
      </c>
      <c r="C1521" s="7" t="s">
        <v>10301</v>
      </c>
      <c r="D1521" s="7"/>
      <c r="E1521" s="7"/>
      <c r="F1521" s="7" t="s">
        <v>101</v>
      </c>
      <c r="G1521" s="7"/>
      <c r="H1521" s="7"/>
      <c r="I1521" s="7" t="s">
        <v>132</v>
      </c>
      <c r="J1521" s="7" t="s">
        <v>104</v>
      </c>
      <c r="K1521" s="7" t="s">
        <v>105</v>
      </c>
      <c r="L1521" s="7" t="s">
        <v>106</v>
      </c>
      <c r="M1521" s="7"/>
      <c r="N1521" s="7" t="s">
        <v>10302</v>
      </c>
      <c r="O1521" s="7"/>
      <c r="P1521" s="7" t="s">
        <v>135</v>
      </c>
      <c r="Q1521" s="7"/>
      <c r="R1521" s="7" t="s">
        <v>135</v>
      </c>
      <c r="S1521" s="7" t="s">
        <v>136</v>
      </c>
      <c r="T1521" s="7" t="n">
        <v>0.836</v>
      </c>
      <c r="U1521" s="7" t="n">
        <v>1</v>
      </c>
      <c r="V1521" s="7"/>
      <c r="W1521" s="7"/>
      <c r="X1521" s="7"/>
      <c r="Y1521" s="7" t="s">
        <v>10302</v>
      </c>
      <c r="Z1521" s="7"/>
      <c r="AA1521" s="7"/>
      <c r="AB1521" s="7"/>
      <c r="AC1521" s="7" t="n">
        <v>3</v>
      </c>
      <c r="AD1521" s="7" t="s">
        <v>4076</v>
      </c>
      <c r="AE1521" s="7" t="s">
        <v>4077</v>
      </c>
      <c r="AF1521" s="7" t="s">
        <v>10303</v>
      </c>
      <c r="AG1521" s="7" t="s">
        <v>4077</v>
      </c>
      <c r="AH1521" s="7" t="s">
        <v>9524</v>
      </c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 t="s">
        <v>4077</v>
      </c>
      <c r="AX1521" s="7" t="s">
        <v>10302</v>
      </c>
      <c r="AY1521" s="7"/>
      <c r="AZ1521" s="7"/>
      <c r="BA1521" s="7"/>
      <c r="BB1521" s="7"/>
      <c r="BC1521" s="7"/>
      <c r="BD1521" s="7" t="s">
        <v>1400</v>
      </c>
      <c r="BE1521" s="7" t="s">
        <v>127</v>
      </c>
      <c r="BF1521" s="8"/>
      <c r="BG1521" s="8"/>
      <c r="BH1521" s="8"/>
      <c r="BI1521" s="8"/>
      <c r="BJ1521" s="8"/>
      <c r="BK1521" s="8"/>
      <c r="BL1521" s="8"/>
      <c r="BM1521" s="8"/>
      <c r="BN1521" s="8"/>
      <c r="BO1521" s="8"/>
      <c r="BP1521" s="8"/>
      <c r="BQ1521" s="8"/>
      <c r="BR1521" s="8"/>
      <c r="BS1521" s="8"/>
    </row>
    <row r="1522" customFormat="false" ht="15" hidden="false" customHeight="false" outlineLevel="0" collapsed="false">
      <c r="A1522" s="7" t="s">
        <v>10304</v>
      </c>
      <c r="B1522" s="7" t="s">
        <v>10305</v>
      </c>
      <c r="C1522" s="7" t="s">
        <v>10306</v>
      </c>
      <c r="D1522" s="7"/>
      <c r="E1522" s="7"/>
      <c r="F1522" s="7" t="s">
        <v>101</v>
      </c>
      <c r="G1522" s="7"/>
      <c r="H1522" s="7"/>
      <c r="I1522" s="7" t="s">
        <v>300</v>
      </c>
      <c r="J1522" s="7" t="s">
        <v>104</v>
      </c>
      <c r="K1522" s="7" t="s">
        <v>105</v>
      </c>
      <c r="L1522" s="7" t="s">
        <v>106</v>
      </c>
      <c r="M1522" s="7"/>
      <c r="N1522" s="7" t="s">
        <v>10307</v>
      </c>
      <c r="O1522" s="7"/>
      <c r="P1522" s="7" t="s">
        <v>135</v>
      </c>
      <c r="Q1522" s="7"/>
      <c r="R1522" s="7" t="s">
        <v>135</v>
      </c>
      <c r="S1522" s="7" t="s">
        <v>136</v>
      </c>
      <c r="T1522" s="7" t="n">
        <v>0.24</v>
      </c>
      <c r="U1522" s="7" t="n">
        <v>1</v>
      </c>
      <c r="V1522" s="7"/>
      <c r="W1522" s="7"/>
      <c r="X1522" s="7"/>
      <c r="Y1522" s="7" t="s">
        <v>10307</v>
      </c>
      <c r="Z1522" s="7"/>
      <c r="AA1522" s="7"/>
      <c r="AB1522" s="7"/>
      <c r="AC1522" s="7" t="n">
        <v>3</v>
      </c>
      <c r="AD1522" s="7" t="s">
        <v>4076</v>
      </c>
      <c r="AE1522" s="7" t="s">
        <v>4077</v>
      </c>
      <c r="AF1522" s="7" t="s">
        <v>10308</v>
      </c>
      <c r="AG1522" s="7" t="s">
        <v>4077</v>
      </c>
      <c r="AH1522" s="7" t="s">
        <v>10309</v>
      </c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 t="s">
        <v>4077</v>
      </c>
      <c r="AX1522" s="7" t="s">
        <v>10307</v>
      </c>
      <c r="AY1522" s="7"/>
      <c r="AZ1522" s="7"/>
      <c r="BA1522" s="7"/>
      <c r="BB1522" s="7"/>
      <c r="BC1522" s="7"/>
      <c r="BD1522" s="7"/>
      <c r="BE1522" s="7" t="s">
        <v>127</v>
      </c>
      <c r="BF1522" s="8"/>
      <c r="BG1522" s="8"/>
      <c r="BH1522" s="8"/>
      <c r="BI1522" s="8"/>
      <c r="BJ1522" s="8"/>
      <c r="BK1522" s="8"/>
      <c r="BL1522" s="8"/>
      <c r="BM1522" s="8"/>
      <c r="BN1522" s="8"/>
      <c r="BO1522" s="8"/>
      <c r="BP1522" s="8"/>
      <c r="BQ1522" s="8"/>
      <c r="BR1522" s="8"/>
      <c r="BS1522" s="8"/>
    </row>
    <row r="1523" customFormat="false" ht="15" hidden="false" customHeight="false" outlineLevel="0" collapsed="false">
      <c r="A1523" s="7" t="s">
        <v>10310</v>
      </c>
      <c r="B1523" s="7" t="s">
        <v>10311</v>
      </c>
      <c r="C1523" s="7" t="s">
        <v>10312</v>
      </c>
      <c r="D1523" s="7" t="s">
        <v>9118</v>
      </c>
      <c r="E1523" s="7"/>
      <c r="F1523" s="7" t="s">
        <v>101</v>
      </c>
      <c r="G1523" s="7"/>
      <c r="H1523" s="7"/>
      <c r="I1523" s="7" t="s">
        <v>300</v>
      </c>
      <c r="J1523" s="7" t="s">
        <v>104</v>
      </c>
      <c r="K1523" s="7" t="s">
        <v>105</v>
      </c>
      <c r="L1523" s="7" t="s">
        <v>106</v>
      </c>
      <c r="M1523" s="7"/>
      <c r="N1523" s="7" t="s">
        <v>10313</v>
      </c>
      <c r="O1523" s="7"/>
      <c r="P1523" s="7" t="s">
        <v>135</v>
      </c>
      <c r="Q1523" s="7"/>
      <c r="R1523" s="7"/>
      <c r="S1523" s="7"/>
      <c r="T1523" s="7"/>
      <c r="U1523" s="7" t="n">
        <v>1</v>
      </c>
      <c r="V1523" s="7"/>
      <c r="W1523" s="7"/>
      <c r="X1523" s="7"/>
      <c r="Y1523" s="7" t="s">
        <v>10313</v>
      </c>
      <c r="Z1523" s="7"/>
      <c r="AA1523" s="7"/>
      <c r="AB1523" s="7"/>
      <c r="AC1523" s="7"/>
      <c r="AD1523" s="7"/>
      <c r="AE1523" s="7" t="s">
        <v>4077</v>
      </c>
      <c r="AF1523" s="7" t="s">
        <v>10314</v>
      </c>
      <c r="AG1523" s="7" t="s">
        <v>4077</v>
      </c>
      <c r="AH1523" s="7" t="s">
        <v>10315</v>
      </c>
      <c r="AI1523" s="7"/>
      <c r="AJ1523" s="7"/>
      <c r="AK1523" s="7"/>
      <c r="AL1523" s="7"/>
      <c r="AM1523" s="7"/>
      <c r="AN1523" s="7"/>
      <c r="AO1523" s="7" t="s">
        <v>4077</v>
      </c>
      <c r="AP1523" s="7" t="s">
        <v>9118</v>
      </c>
      <c r="AQ1523" s="7"/>
      <c r="AR1523" s="7"/>
      <c r="AS1523" s="7"/>
      <c r="AT1523" s="7"/>
      <c r="AU1523" s="7"/>
      <c r="AV1523" s="7"/>
      <c r="AW1523" s="7" t="s">
        <v>4077</v>
      </c>
      <c r="AX1523" s="7" t="s">
        <v>10313</v>
      </c>
      <c r="AY1523" s="7"/>
      <c r="AZ1523" s="7"/>
      <c r="BA1523" s="7"/>
      <c r="BB1523" s="7"/>
      <c r="BC1523" s="7"/>
      <c r="BD1523" s="7"/>
      <c r="BE1523" s="7" t="s">
        <v>127</v>
      </c>
      <c r="BF1523" s="8"/>
      <c r="BG1523" s="8"/>
      <c r="BH1523" s="8"/>
      <c r="BI1523" s="8"/>
      <c r="BJ1523" s="8"/>
      <c r="BK1523" s="8"/>
      <c r="BL1523" s="8"/>
      <c r="BM1523" s="8"/>
      <c r="BN1523" s="8"/>
      <c r="BO1523" s="8"/>
      <c r="BP1523" s="8"/>
      <c r="BQ1523" s="8"/>
      <c r="BR1523" s="8"/>
      <c r="BS1523" s="8"/>
    </row>
    <row r="1524" customFormat="false" ht="15" hidden="false" customHeight="false" outlineLevel="0" collapsed="false">
      <c r="A1524" s="7" t="s">
        <v>10316</v>
      </c>
      <c r="B1524" s="7" t="s">
        <v>10317</v>
      </c>
      <c r="C1524" s="7" t="s">
        <v>10318</v>
      </c>
      <c r="D1524" s="7"/>
      <c r="E1524" s="7"/>
      <c r="F1524" s="7" t="s">
        <v>101</v>
      </c>
      <c r="G1524" s="7"/>
      <c r="H1524" s="7"/>
      <c r="I1524" s="7" t="s">
        <v>234</v>
      </c>
      <c r="J1524" s="7" t="s">
        <v>104</v>
      </c>
      <c r="K1524" s="7" t="s">
        <v>105</v>
      </c>
      <c r="L1524" s="7" t="s">
        <v>235</v>
      </c>
      <c r="M1524" s="7"/>
      <c r="N1524" s="7" t="s">
        <v>10319</v>
      </c>
      <c r="O1524" s="7"/>
      <c r="P1524" s="7" t="s">
        <v>135</v>
      </c>
      <c r="Q1524" s="7"/>
      <c r="R1524" s="7" t="s">
        <v>135</v>
      </c>
      <c r="S1524" s="7" t="s">
        <v>136</v>
      </c>
      <c r="T1524" s="7" t="n">
        <v>0.859</v>
      </c>
      <c r="U1524" s="7" t="n">
        <v>1</v>
      </c>
      <c r="V1524" s="7"/>
      <c r="W1524" s="7"/>
      <c r="X1524" s="7"/>
      <c r="Y1524" s="7" t="s">
        <v>10319</v>
      </c>
      <c r="Z1524" s="7"/>
      <c r="AA1524" s="7"/>
      <c r="AB1524" s="7"/>
      <c r="AC1524" s="7" t="n">
        <v>3</v>
      </c>
      <c r="AD1524" s="7" t="s">
        <v>4076</v>
      </c>
      <c r="AE1524" s="7" t="s">
        <v>4077</v>
      </c>
      <c r="AF1524" s="7" t="s">
        <v>10320</v>
      </c>
      <c r="AG1524" s="7" t="s">
        <v>4077</v>
      </c>
      <c r="AH1524" s="7" t="s">
        <v>10321</v>
      </c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 t="s">
        <v>4077</v>
      </c>
      <c r="AX1524" s="7" t="s">
        <v>10322</v>
      </c>
      <c r="AY1524" s="7"/>
      <c r="AZ1524" s="7"/>
      <c r="BA1524" s="7"/>
      <c r="BB1524" s="7"/>
      <c r="BC1524" s="7"/>
      <c r="BD1524" s="7" t="s">
        <v>10323</v>
      </c>
      <c r="BE1524" s="7" t="s">
        <v>127</v>
      </c>
      <c r="BF1524" s="8"/>
      <c r="BG1524" s="8"/>
      <c r="BH1524" s="8"/>
      <c r="BI1524" s="8"/>
      <c r="BJ1524" s="8"/>
      <c r="BK1524" s="8"/>
      <c r="BL1524" s="8"/>
      <c r="BM1524" s="8"/>
      <c r="BN1524" s="8"/>
      <c r="BO1524" s="8"/>
      <c r="BP1524" s="8"/>
      <c r="BQ1524" s="8"/>
      <c r="BR1524" s="8"/>
      <c r="BS1524" s="8"/>
    </row>
    <row r="1525" customFormat="false" ht="15" hidden="false" customHeight="false" outlineLevel="0" collapsed="false">
      <c r="A1525" s="7" t="s">
        <v>10324</v>
      </c>
      <c r="B1525" s="7" t="s">
        <v>10325</v>
      </c>
      <c r="C1525" s="7" t="s">
        <v>10326</v>
      </c>
      <c r="D1525" s="7"/>
      <c r="E1525" s="7"/>
      <c r="F1525" s="7" t="s">
        <v>101</v>
      </c>
      <c r="G1525" s="7"/>
      <c r="H1525" s="7"/>
      <c r="I1525" s="7" t="s">
        <v>132</v>
      </c>
      <c r="J1525" s="7" t="s">
        <v>104</v>
      </c>
      <c r="K1525" s="7" t="s">
        <v>105</v>
      </c>
      <c r="L1525" s="7" t="s">
        <v>106</v>
      </c>
      <c r="M1525" s="7"/>
      <c r="N1525" s="7" t="s">
        <v>10327</v>
      </c>
      <c r="O1525" s="7"/>
      <c r="P1525" s="7" t="s">
        <v>135</v>
      </c>
      <c r="Q1525" s="7"/>
      <c r="R1525" s="7" t="s">
        <v>135</v>
      </c>
      <c r="S1525" s="7" t="s">
        <v>136</v>
      </c>
      <c r="T1525" s="7" t="n">
        <v>0.396</v>
      </c>
      <c r="U1525" s="7" t="n">
        <v>1</v>
      </c>
      <c r="V1525" s="7"/>
      <c r="W1525" s="7"/>
      <c r="X1525" s="7"/>
      <c r="Y1525" s="7" t="s">
        <v>10327</v>
      </c>
      <c r="Z1525" s="7"/>
      <c r="AA1525" s="7"/>
      <c r="AB1525" s="7"/>
      <c r="AC1525" s="7" t="n">
        <v>3</v>
      </c>
      <c r="AD1525" s="7" t="s">
        <v>4076</v>
      </c>
      <c r="AE1525" s="7" t="s">
        <v>4077</v>
      </c>
      <c r="AF1525" s="7" t="s">
        <v>10328</v>
      </c>
      <c r="AG1525" s="7" t="s">
        <v>4077</v>
      </c>
      <c r="AH1525" s="7" t="s">
        <v>10329</v>
      </c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 t="s">
        <v>4077</v>
      </c>
      <c r="AX1525" s="7" t="s">
        <v>10327</v>
      </c>
      <c r="AY1525" s="7"/>
      <c r="AZ1525" s="7"/>
      <c r="BA1525" s="7"/>
      <c r="BB1525" s="7"/>
      <c r="BC1525" s="7"/>
      <c r="BD1525" s="7"/>
      <c r="BE1525" s="7" t="s">
        <v>127</v>
      </c>
      <c r="BF1525" s="8"/>
      <c r="BG1525" s="8"/>
      <c r="BH1525" s="8"/>
      <c r="BI1525" s="8"/>
      <c r="BJ1525" s="8"/>
      <c r="BK1525" s="8"/>
      <c r="BL1525" s="8"/>
      <c r="BM1525" s="8"/>
      <c r="BN1525" s="8"/>
      <c r="BO1525" s="8"/>
      <c r="BP1525" s="8"/>
      <c r="BQ1525" s="8"/>
      <c r="BR1525" s="8"/>
      <c r="BS1525" s="8"/>
    </row>
    <row r="1526" customFormat="false" ht="15" hidden="false" customHeight="false" outlineLevel="0" collapsed="false">
      <c r="A1526" s="7" t="s">
        <v>10330</v>
      </c>
      <c r="B1526" s="7" t="s">
        <v>10331</v>
      </c>
      <c r="C1526" s="7" t="s">
        <v>10332</v>
      </c>
      <c r="D1526" s="7"/>
      <c r="E1526" s="7"/>
      <c r="F1526" s="7" t="s">
        <v>101</v>
      </c>
      <c r="G1526" s="7"/>
      <c r="H1526" s="7"/>
      <c r="I1526" s="7" t="s">
        <v>1140</v>
      </c>
      <c r="J1526" s="7" t="s">
        <v>104</v>
      </c>
      <c r="K1526" s="7" t="s">
        <v>105</v>
      </c>
      <c r="L1526" s="7" t="s">
        <v>106</v>
      </c>
      <c r="M1526" s="7"/>
      <c r="N1526" s="7" t="s">
        <v>10333</v>
      </c>
      <c r="O1526" s="7"/>
      <c r="P1526" s="7" t="s">
        <v>135</v>
      </c>
      <c r="Q1526" s="7"/>
      <c r="R1526" s="7" t="s">
        <v>135</v>
      </c>
      <c r="S1526" s="7" t="s">
        <v>136</v>
      </c>
      <c r="T1526" s="7" t="n">
        <v>0.551</v>
      </c>
      <c r="U1526" s="7" t="n">
        <v>1</v>
      </c>
      <c r="V1526" s="7"/>
      <c r="W1526" s="7"/>
      <c r="X1526" s="7"/>
      <c r="Y1526" s="7" t="s">
        <v>10333</v>
      </c>
      <c r="Z1526" s="7"/>
      <c r="AA1526" s="7"/>
      <c r="AB1526" s="7"/>
      <c r="AC1526" s="7" t="n">
        <v>3</v>
      </c>
      <c r="AD1526" s="7" t="s">
        <v>4076</v>
      </c>
      <c r="AE1526" s="7" t="s">
        <v>4077</v>
      </c>
      <c r="AF1526" s="7" t="s">
        <v>10334</v>
      </c>
      <c r="AG1526" s="7" t="s">
        <v>4077</v>
      </c>
      <c r="AH1526" s="7" t="s">
        <v>10335</v>
      </c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 t="s">
        <v>4077</v>
      </c>
      <c r="AX1526" s="7" t="s">
        <v>10333</v>
      </c>
      <c r="AY1526" s="7"/>
      <c r="AZ1526" s="7"/>
      <c r="BA1526" s="7"/>
      <c r="BB1526" s="7"/>
      <c r="BC1526" s="7"/>
      <c r="BD1526" s="7"/>
      <c r="BE1526" s="7" t="s">
        <v>127</v>
      </c>
      <c r="BF1526" s="8"/>
      <c r="BG1526" s="8"/>
      <c r="BH1526" s="8"/>
      <c r="BI1526" s="8"/>
      <c r="BJ1526" s="8"/>
      <c r="BK1526" s="8"/>
      <c r="BL1526" s="8"/>
      <c r="BM1526" s="8"/>
      <c r="BN1526" s="8"/>
      <c r="BO1526" s="8"/>
      <c r="BP1526" s="8"/>
      <c r="BQ1526" s="8"/>
      <c r="BR1526" s="8"/>
      <c r="BS1526" s="8"/>
    </row>
    <row r="1527" customFormat="false" ht="15" hidden="false" customHeight="false" outlineLevel="0" collapsed="false">
      <c r="A1527" s="7" t="s">
        <v>10336</v>
      </c>
      <c r="B1527" s="7" t="s">
        <v>10337</v>
      </c>
      <c r="C1527" s="7" t="s">
        <v>10338</v>
      </c>
      <c r="D1527" s="7"/>
      <c r="E1527" s="7"/>
      <c r="F1527" s="7" t="s">
        <v>101</v>
      </c>
      <c r="G1527" s="7"/>
      <c r="H1527" s="7"/>
      <c r="I1527" s="7" t="s">
        <v>234</v>
      </c>
      <c r="J1527" s="7" t="s">
        <v>104</v>
      </c>
      <c r="K1527" s="7" t="s">
        <v>105</v>
      </c>
      <c r="L1527" s="7" t="s">
        <v>235</v>
      </c>
      <c r="M1527" s="7"/>
      <c r="N1527" s="7" t="s">
        <v>10339</v>
      </c>
      <c r="O1527" s="7"/>
      <c r="P1527" s="7" t="s">
        <v>135</v>
      </c>
      <c r="Q1527" s="7"/>
      <c r="R1527" s="7" t="s">
        <v>135</v>
      </c>
      <c r="S1527" s="7" t="s">
        <v>136</v>
      </c>
      <c r="T1527" s="7" t="n">
        <v>0.899</v>
      </c>
      <c r="U1527" s="7" t="n">
        <v>1</v>
      </c>
      <c r="V1527" s="7"/>
      <c r="W1527" s="7"/>
      <c r="X1527" s="7"/>
      <c r="Y1527" s="7" t="s">
        <v>10339</v>
      </c>
      <c r="Z1527" s="7"/>
      <c r="AA1527" s="7"/>
      <c r="AB1527" s="7"/>
      <c r="AC1527" s="7" t="n">
        <v>3</v>
      </c>
      <c r="AD1527" s="7" t="s">
        <v>4076</v>
      </c>
      <c r="AE1527" s="7" t="s">
        <v>4077</v>
      </c>
      <c r="AF1527" s="7" t="s">
        <v>10340</v>
      </c>
      <c r="AG1527" s="7" t="s">
        <v>4077</v>
      </c>
      <c r="AH1527" s="7" t="s">
        <v>10341</v>
      </c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 t="s">
        <v>4077</v>
      </c>
      <c r="AX1527" s="7" t="s">
        <v>10339</v>
      </c>
      <c r="AY1527" s="7"/>
      <c r="AZ1527" s="7"/>
      <c r="BA1527" s="7"/>
      <c r="BB1527" s="7"/>
      <c r="BC1527" s="7"/>
      <c r="BD1527" s="7"/>
      <c r="BE1527" s="7" t="s">
        <v>127</v>
      </c>
      <c r="BF1527" s="8"/>
      <c r="BG1527" s="8"/>
      <c r="BH1527" s="8"/>
      <c r="BI1527" s="8"/>
      <c r="BJ1527" s="8"/>
      <c r="BK1527" s="8"/>
      <c r="BL1527" s="8"/>
      <c r="BM1527" s="8"/>
      <c r="BN1527" s="8"/>
      <c r="BO1527" s="8"/>
      <c r="BP1527" s="8"/>
      <c r="BQ1527" s="8"/>
      <c r="BR1527" s="8"/>
      <c r="BS1527" s="8"/>
    </row>
    <row r="1528" customFormat="false" ht="15" hidden="false" customHeight="false" outlineLevel="0" collapsed="false">
      <c r="A1528" s="7" t="s">
        <v>10342</v>
      </c>
      <c r="B1528" s="7" t="s">
        <v>10343</v>
      </c>
      <c r="C1528" s="7" t="s">
        <v>10344</v>
      </c>
      <c r="D1528" s="7" t="s">
        <v>10345</v>
      </c>
      <c r="E1528" s="7" t="s">
        <v>737</v>
      </c>
      <c r="F1528" s="7" t="s">
        <v>737</v>
      </c>
      <c r="G1528" s="7"/>
      <c r="H1528" s="7" t="s">
        <v>207</v>
      </c>
      <c r="I1528" s="7" t="s">
        <v>208</v>
      </c>
      <c r="J1528" s="7" t="s">
        <v>104</v>
      </c>
      <c r="K1528" s="7" t="s">
        <v>105</v>
      </c>
      <c r="L1528" s="7" t="s">
        <v>106</v>
      </c>
      <c r="M1528" s="7"/>
      <c r="N1528" s="7" t="s">
        <v>6770</v>
      </c>
      <c r="O1528" s="7" t="s">
        <v>6770</v>
      </c>
      <c r="P1528" s="7" t="s">
        <v>135</v>
      </c>
      <c r="Q1528" s="7"/>
      <c r="R1528" s="7" t="s">
        <v>109</v>
      </c>
      <c r="S1528" s="7" t="s">
        <v>110</v>
      </c>
      <c r="T1528" s="7" t="n">
        <v>0.37</v>
      </c>
      <c r="U1528" s="7" t="n">
        <v>1</v>
      </c>
      <c r="V1528" s="7" t="s">
        <v>90</v>
      </c>
      <c r="W1528" s="7"/>
      <c r="X1528" s="7"/>
      <c r="Y1528" s="7" t="s">
        <v>6770</v>
      </c>
      <c r="Z1528" s="7"/>
      <c r="AA1528" s="7"/>
      <c r="AB1528" s="7"/>
      <c r="AC1528" s="7" t="n">
        <v>0</v>
      </c>
      <c r="AD1528" s="7" t="s">
        <v>388</v>
      </c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 t="s">
        <v>2797</v>
      </c>
      <c r="BE1528" s="7" t="s">
        <v>127</v>
      </c>
      <c r="BF1528" s="8"/>
      <c r="BG1528" s="8"/>
      <c r="BH1528" s="8"/>
      <c r="BI1528" s="8"/>
      <c r="BJ1528" s="8"/>
      <c r="BK1528" s="8"/>
      <c r="BL1528" s="8"/>
      <c r="BM1528" s="8"/>
      <c r="BN1528" s="8"/>
      <c r="BO1528" s="8"/>
      <c r="BP1528" s="8"/>
      <c r="BQ1528" s="8"/>
      <c r="BR1528" s="8"/>
      <c r="BS1528" s="8"/>
    </row>
    <row r="1529" customFormat="false" ht="15" hidden="false" customHeight="false" outlineLevel="0" collapsed="false">
      <c r="A1529" s="7" t="s">
        <v>10346</v>
      </c>
      <c r="B1529" s="7" t="s">
        <v>10347</v>
      </c>
      <c r="C1529" s="7" t="s">
        <v>10348</v>
      </c>
      <c r="D1529" s="7" t="s">
        <v>10349</v>
      </c>
      <c r="E1529" s="7" t="s">
        <v>516</v>
      </c>
      <c r="F1529" s="7" t="s">
        <v>516</v>
      </c>
      <c r="G1529" s="7"/>
      <c r="H1529" s="7" t="s">
        <v>207</v>
      </c>
      <c r="I1529" s="7" t="s">
        <v>132</v>
      </c>
      <c r="J1529" s="7" t="s">
        <v>104</v>
      </c>
      <c r="K1529" s="7" t="s">
        <v>105</v>
      </c>
      <c r="L1529" s="7" t="s">
        <v>106</v>
      </c>
      <c r="M1529" s="7"/>
      <c r="N1529" s="7" t="s">
        <v>6966</v>
      </c>
      <c r="O1529" s="7" t="s">
        <v>6966</v>
      </c>
      <c r="P1529" s="7" t="s">
        <v>135</v>
      </c>
      <c r="Q1529" s="7"/>
      <c r="R1529" s="7" t="s">
        <v>109</v>
      </c>
      <c r="S1529" s="7" t="s">
        <v>110</v>
      </c>
      <c r="T1529" s="7" t="n">
        <v>0.711</v>
      </c>
      <c r="U1529" s="7" t="n">
        <v>1</v>
      </c>
      <c r="V1529" s="7" t="s">
        <v>90</v>
      </c>
      <c r="W1529" s="7"/>
      <c r="X1529" s="7"/>
      <c r="Y1529" s="7" t="s">
        <v>6966</v>
      </c>
      <c r="Z1529" s="7"/>
      <c r="AA1529" s="7"/>
      <c r="AB1529" s="7"/>
      <c r="AC1529" s="7" t="n">
        <v>0</v>
      </c>
      <c r="AD1529" s="7" t="s">
        <v>388</v>
      </c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 t="s">
        <v>440</v>
      </c>
      <c r="BE1529" s="7" t="s">
        <v>127</v>
      </c>
      <c r="BF1529" s="8"/>
      <c r="BG1529" s="8"/>
      <c r="BH1529" s="8"/>
      <c r="BI1529" s="8"/>
      <c r="BJ1529" s="8"/>
      <c r="BK1529" s="8"/>
      <c r="BL1529" s="8"/>
      <c r="BM1529" s="8"/>
      <c r="BN1529" s="8"/>
      <c r="BO1529" s="8"/>
      <c r="BP1529" s="8"/>
      <c r="BQ1529" s="8"/>
      <c r="BR1529" s="8"/>
      <c r="BS1529" s="8"/>
    </row>
    <row r="1530" customFormat="false" ht="15" hidden="false" customHeight="false" outlineLevel="0" collapsed="false">
      <c r="A1530" s="7" t="s">
        <v>10350</v>
      </c>
      <c r="B1530" s="7" t="s">
        <v>10351</v>
      </c>
      <c r="C1530" s="7" t="s">
        <v>10352</v>
      </c>
      <c r="D1530" s="7" t="s">
        <v>461</v>
      </c>
      <c r="E1530" s="7" t="s">
        <v>82</v>
      </c>
      <c r="F1530" s="7" t="s">
        <v>82</v>
      </c>
      <c r="G1530" s="7"/>
      <c r="H1530" s="7"/>
      <c r="I1530" s="7" t="s">
        <v>132</v>
      </c>
      <c r="J1530" s="7" t="s">
        <v>104</v>
      </c>
      <c r="K1530" s="7" t="s">
        <v>105</v>
      </c>
      <c r="L1530" s="7" t="s">
        <v>106</v>
      </c>
      <c r="M1530" s="7"/>
      <c r="N1530" s="7" t="s">
        <v>10353</v>
      </c>
      <c r="O1530" s="7" t="s">
        <v>10353</v>
      </c>
      <c r="P1530" s="7" t="s">
        <v>135</v>
      </c>
      <c r="Q1530" s="7"/>
      <c r="R1530" s="7" t="s">
        <v>109</v>
      </c>
      <c r="S1530" s="7" t="s">
        <v>110</v>
      </c>
      <c r="T1530" s="7" t="n">
        <v>0.257</v>
      </c>
      <c r="U1530" s="7" t="n">
        <v>1</v>
      </c>
      <c r="V1530" s="7"/>
      <c r="W1530" s="7"/>
      <c r="X1530" s="7"/>
      <c r="Y1530" s="7" t="s">
        <v>10353</v>
      </c>
      <c r="Z1530" s="7"/>
      <c r="AA1530" s="7"/>
      <c r="AB1530" s="7"/>
      <c r="AC1530" s="7" t="n">
        <v>4</v>
      </c>
      <c r="AD1530" s="7" t="s">
        <v>1376</v>
      </c>
      <c r="AE1530" s="7" t="s">
        <v>466</v>
      </c>
      <c r="AF1530" s="7" t="s">
        <v>10352</v>
      </c>
      <c r="AG1530" s="7"/>
      <c r="AH1530" s="7"/>
      <c r="AI1530" s="7"/>
      <c r="AJ1530" s="7"/>
      <c r="AK1530" s="7"/>
      <c r="AL1530" s="7"/>
      <c r="AM1530" s="7"/>
      <c r="AN1530" s="7"/>
      <c r="AO1530" s="7" t="s">
        <v>466</v>
      </c>
      <c r="AP1530" s="7" t="s">
        <v>461</v>
      </c>
      <c r="AQ1530" s="7" t="s">
        <v>466</v>
      </c>
      <c r="AR1530" s="7" t="s">
        <v>82</v>
      </c>
      <c r="AS1530" s="7"/>
      <c r="AT1530" s="7"/>
      <c r="AU1530" s="7"/>
      <c r="AV1530" s="7"/>
      <c r="AW1530" s="7" t="s">
        <v>466</v>
      </c>
      <c r="AX1530" s="7" t="s">
        <v>10353</v>
      </c>
      <c r="AY1530" s="7"/>
      <c r="AZ1530" s="7"/>
      <c r="BA1530" s="7"/>
      <c r="BB1530" s="7"/>
      <c r="BC1530" s="7"/>
      <c r="BD1530" s="7" t="s">
        <v>471</v>
      </c>
      <c r="BE1530" s="7" t="s">
        <v>127</v>
      </c>
      <c r="BF1530" s="8"/>
      <c r="BG1530" s="8"/>
      <c r="BH1530" s="8"/>
      <c r="BI1530" s="8"/>
      <c r="BJ1530" s="8"/>
      <c r="BK1530" s="8"/>
      <c r="BL1530" s="8"/>
      <c r="BM1530" s="8"/>
      <c r="BN1530" s="8"/>
      <c r="BO1530" s="8"/>
      <c r="BP1530" s="8"/>
      <c r="BQ1530" s="8"/>
      <c r="BR1530" s="8"/>
      <c r="BS1530" s="8"/>
    </row>
    <row r="1531" customFormat="false" ht="15" hidden="false" customHeight="false" outlineLevel="0" collapsed="false">
      <c r="A1531" s="7" t="s">
        <v>10354</v>
      </c>
      <c r="B1531" s="7" t="s">
        <v>7850</v>
      </c>
      <c r="C1531" s="7" t="s">
        <v>10355</v>
      </c>
      <c r="D1531" s="7" t="s">
        <v>461</v>
      </c>
      <c r="E1531" s="7" t="s">
        <v>82</v>
      </c>
      <c r="F1531" s="7" t="s">
        <v>82</v>
      </c>
      <c r="G1531" s="7"/>
      <c r="H1531" s="7"/>
      <c r="I1531" s="7" t="s">
        <v>132</v>
      </c>
      <c r="J1531" s="7" t="s">
        <v>104</v>
      </c>
      <c r="K1531" s="7" t="s">
        <v>105</v>
      </c>
      <c r="L1531" s="7" t="s">
        <v>106</v>
      </c>
      <c r="M1531" s="7"/>
      <c r="N1531" s="7" t="s">
        <v>10356</v>
      </c>
      <c r="O1531" s="7" t="s">
        <v>10356</v>
      </c>
      <c r="P1531" s="7" t="s">
        <v>135</v>
      </c>
      <c r="Q1531" s="7"/>
      <c r="R1531" s="7" t="s">
        <v>109</v>
      </c>
      <c r="S1531" s="7" t="s">
        <v>110</v>
      </c>
      <c r="T1531" s="7" t="n">
        <v>0.273</v>
      </c>
      <c r="U1531" s="7" t="n">
        <v>1</v>
      </c>
      <c r="V1531" s="7"/>
      <c r="W1531" s="7"/>
      <c r="X1531" s="7"/>
      <c r="Y1531" s="7" t="s">
        <v>10356</v>
      </c>
      <c r="Z1531" s="7"/>
      <c r="AA1531" s="7"/>
      <c r="AB1531" s="7"/>
      <c r="AC1531" s="7" t="n">
        <v>4</v>
      </c>
      <c r="AD1531" s="7" t="s">
        <v>1376</v>
      </c>
      <c r="AE1531" s="7" t="s">
        <v>466</v>
      </c>
      <c r="AF1531" s="7" t="s">
        <v>10355</v>
      </c>
      <c r="AG1531" s="7"/>
      <c r="AH1531" s="7"/>
      <c r="AI1531" s="7"/>
      <c r="AJ1531" s="7"/>
      <c r="AK1531" s="7"/>
      <c r="AL1531" s="7"/>
      <c r="AM1531" s="7"/>
      <c r="AN1531" s="7"/>
      <c r="AO1531" s="7" t="s">
        <v>466</v>
      </c>
      <c r="AP1531" s="7" t="s">
        <v>461</v>
      </c>
      <c r="AQ1531" s="7" t="s">
        <v>466</v>
      </c>
      <c r="AR1531" s="7" t="s">
        <v>82</v>
      </c>
      <c r="AS1531" s="7"/>
      <c r="AT1531" s="7"/>
      <c r="AU1531" s="7"/>
      <c r="AV1531" s="7"/>
      <c r="AW1531" s="7" t="s">
        <v>466</v>
      </c>
      <c r="AX1531" s="7" t="s">
        <v>10356</v>
      </c>
      <c r="AY1531" s="7"/>
      <c r="AZ1531" s="7"/>
      <c r="BA1531" s="7"/>
      <c r="BB1531" s="7"/>
      <c r="BC1531" s="7"/>
      <c r="BD1531" s="7" t="s">
        <v>471</v>
      </c>
      <c r="BE1531" s="7" t="s">
        <v>127</v>
      </c>
      <c r="BF1531" s="8"/>
      <c r="BG1531" s="8"/>
      <c r="BH1531" s="8"/>
      <c r="BI1531" s="8"/>
      <c r="BJ1531" s="8"/>
      <c r="BK1531" s="8"/>
      <c r="BL1531" s="8"/>
      <c r="BM1531" s="8"/>
      <c r="BN1531" s="8"/>
      <c r="BO1531" s="8"/>
      <c r="BP1531" s="8"/>
      <c r="BQ1531" s="8"/>
      <c r="BR1531" s="8"/>
      <c r="BS1531" s="8"/>
    </row>
    <row r="1532" customFormat="false" ht="15" hidden="false" customHeight="false" outlineLevel="0" collapsed="false">
      <c r="A1532" s="7" t="s">
        <v>10357</v>
      </c>
      <c r="B1532" s="7" t="s">
        <v>10358</v>
      </c>
      <c r="C1532" s="7" t="s">
        <v>10359</v>
      </c>
      <c r="D1532" s="7" t="s">
        <v>461</v>
      </c>
      <c r="E1532" s="7" t="s">
        <v>82</v>
      </c>
      <c r="F1532" s="7" t="s">
        <v>82</v>
      </c>
      <c r="G1532" s="7"/>
      <c r="H1532" s="7"/>
      <c r="I1532" s="7" t="s">
        <v>132</v>
      </c>
      <c r="J1532" s="7" t="s">
        <v>104</v>
      </c>
      <c r="K1532" s="7" t="s">
        <v>105</v>
      </c>
      <c r="L1532" s="7" t="s">
        <v>106</v>
      </c>
      <c r="M1532" s="7"/>
      <c r="N1532" s="7" t="s">
        <v>10360</v>
      </c>
      <c r="O1532" s="7" t="s">
        <v>10360</v>
      </c>
      <c r="P1532" s="7" t="s">
        <v>135</v>
      </c>
      <c r="Q1532" s="7"/>
      <c r="R1532" s="7" t="s">
        <v>109</v>
      </c>
      <c r="S1532" s="7" t="s">
        <v>110</v>
      </c>
      <c r="T1532" s="7" t="n">
        <v>0.305</v>
      </c>
      <c r="U1532" s="7" t="n">
        <v>1</v>
      </c>
      <c r="V1532" s="7"/>
      <c r="W1532" s="7"/>
      <c r="X1532" s="7"/>
      <c r="Y1532" s="7" t="s">
        <v>10360</v>
      </c>
      <c r="Z1532" s="7"/>
      <c r="AA1532" s="7"/>
      <c r="AB1532" s="7"/>
      <c r="AC1532" s="7" t="n">
        <v>4</v>
      </c>
      <c r="AD1532" s="7" t="s">
        <v>1376</v>
      </c>
      <c r="AE1532" s="7" t="s">
        <v>466</v>
      </c>
      <c r="AF1532" s="7" t="s">
        <v>10359</v>
      </c>
      <c r="AG1532" s="7"/>
      <c r="AH1532" s="7"/>
      <c r="AI1532" s="7"/>
      <c r="AJ1532" s="7"/>
      <c r="AK1532" s="7"/>
      <c r="AL1532" s="7"/>
      <c r="AM1532" s="7"/>
      <c r="AN1532" s="7"/>
      <c r="AO1532" s="7" t="s">
        <v>466</v>
      </c>
      <c r="AP1532" s="7" t="s">
        <v>461</v>
      </c>
      <c r="AQ1532" s="7" t="s">
        <v>466</v>
      </c>
      <c r="AR1532" s="7" t="s">
        <v>82</v>
      </c>
      <c r="AS1532" s="7"/>
      <c r="AT1532" s="7"/>
      <c r="AU1532" s="7"/>
      <c r="AV1532" s="7"/>
      <c r="AW1532" s="7" t="s">
        <v>466</v>
      </c>
      <c r="AX1532" s="7" t="s">
        <v>10360</v>
      </c>
      <c r="AY1532" s="7"/>
      <c r="AZ1532" s="7"/>
      <c r="BA1532" s="7"/>
      <c r="BB1532" s="7"/>
      <c r="BC1532" s="7"/>
      <c r="BD1532" s="7" t="s">
        <v>471</v>
      </c>
      <c r="BE1532" s="7" t="s">
        <v>127</v>
      </c>
      <c r="BF1532" s="8"/>
      <c r="BG1532" s="8"/>
      <c r="BH1532" s="8"/>
      <c r="BI1532" s="8"/>
      <c r="BJ1532" s="8"/>
      <c r="BK1532" s="8"/>
      <c r="BL1532" s="8"/>
      <c r="BM1532" s="8"/>
      <c r="BN1532" s="8"/>
      <c r="BO1532" s="8"/>
      <c r="BP1532" s="8"/>
      <c r="BQ1532" s="8"/>
      <c r="BR1532" s="8"/>
      <c r="BS1532" s="8"/>
    </row>
    <row r="1533" customFormat="false" ht="15" hidden="false" customHeight="false" outlineLevel="0" collapsed="false">
      <c r="A1533" s="7" t="s">
        <v>10361</v>
      </c>
      <c r="B1533" s="7" t="s">
        <v>10362</v>
      </c>
      <c r="C1533" s="7" t="s">
        <v>10363</v>
      </c>
      <c r="D1533" s="7" t="s">
        <v>10364</v>
      </c>
      <c r="E1533" s="7" t="s">
        <v>737</v>
      </c>
      <c r="F1533" s="7" t="s">
        <v>737</v>
      </c>
      <c r="G1533" s="7"/>
      <c r="H1533" s="7"/>
      <c r="I1533" s="7" t="s">
        <v>132</v>
      </c>
      <c r="J1533" s="7" t="s">
        <v>104</v>
      </c>
      <c r="K1533" s="7" t="s">
        <v>105</v>
      </c>
      <c r="L1533" s="7" t="s">
        <v>106</v>
      </c>
      <c r="M1533" s="7"/>
      <c r="N1533" s="7" t="s">
        <v>10365</v>
      </c>
      <c r="O1533" s="7"/>
      <c r="P1533" s="7" t="s">
        <v>109</v>
      </c>
      <c r="Q1533" s="7"/>
      <c r="R1533" s="7" t="s">
        <v>135</v>
      </c>
      <c r="S1533" s="7" t="s">
        <v>136</v>
      </c>
      <c r="T1533" s="7" t="n">
        <v>0.189</v>
      </c>
      <c r="U1533" s="7" t="n">
        <v>1</v>
      </c>
      <c r="V1533" s="7" t="s">
        <v>86</v>
      </c>
      <c r="W1533" s="7"/>
      <c r="X1533" s="7" t="s">
        <v>10366</v>
      </c>
      <c r="Y1533" s="7" t="s">
        <v>10365</v>
      </c>
      <c r="Z1533" s="7"/>
      <c r="AA1533" s="7"/>
      <c r="AB1533" s="7"/>
      <c r="AC1533" s="7" t="n">
        <v>6</v>
      </c>
      <c r="AD1533" s="7" t="s">
        <v>1235</v>
      </c>
      <c r="AE1533" s="7" t="s">
        <v>744</v>
      </c>
      <c r="AF1533" s="7" t="s">
        <v>10363</v>
      </c>
      <c r="AG1533" s="7" t="s">
        <v>744</v>
      </c>
      <c r="AH1533" s="7" t="s">
        <v>10367</v>
      </c>
      <c r="AI1533" s="7"/>
      <c r="AJ1533" s="7"/>
      <c r="AK1533" s="7"/>
      <c r="AL1533" s="7"/>
      <c r="AM1533" s="7" t="s">
        <v>744</v>
      </c>
      <c r="AN1533" s="7" t="s">
        <v>10368</v>
      </c>
      <c r="AO1533" s="7" t="s">
        <v>744</v>
      </c>
      <c r="AP1533" s="7" t="s">
        <v>10364</v>
      </c>
      <c r="AQ1533" s="7" t="s">
        <v>744</v>
      </c>
      <c r="AR1533" s="7" t="s">
        <v>737</v>
      </c>
      <c r="AS1533" s="7"/>
      <c r="AT1533" s="7"/>
      <c r="AU1533" s="7"/>
      <c r="AV1533" s="7"/>
      <c r="AW1533" s="7" t="s">
        <v>744</v>
      </c>
      <c r="AX1533" s="7" t="s">
        <v>10365</v>
      </c>
      <c r="AY1533" s="7"/>
      <c r="AZ1533" s="7"/>
      <c r="BA1533" s="7"/>
      <c r="BB1533" s="7"/>
      <c r="BC1533" s="7"/>
      <c r="BD1533" s="7"/>
      <c r="BE1533" s="7" t="s">
        <v>127</v>
      </c>
      <c r="BF1533" s="8"/>
      <c r="BG1533" s="8"/>
      <c r="BH1533" s="8"/>
      <c r="BI1533" s="8"/>
      <c r="BJ1533" s="8"/>
      <c r="BK1533" s="8"/>
      <c r="BL1533" s="8"/>
      <c r="BM1533" s="8"/>
      <c r="BN1533" s="8"/>
      <c r="BO1533" s="8"/>
      <c r="BP1533" s="8"/>
      <c r="BQ1533" s="8"/>
      <c r="BR1533" s="8"/>
      <c r="BS1533" s="8"/>
    </row>
    <row r="1534" customFormat="false" ht="15" hidden="false" customHeight="false" outlineLevel="0" collapsed="false">
      <c r="A1534" s="7" t="s">
        <v>10369</v>
      </c>
      <c r="B1534" s="7" t="s">
        <v>10370</v>
      </c>
      <c r="C1534" s="7" t="s">
        <v>10371</v>
      </c>
      <c r="D1534" s="7" t="s">
        <v>10372</v>
      </c>
      <c r="E1534" s="7"/>
      <c r="F1534" s="7" t="s">
        <v>101</v>
      </c>
      <c r="G1534" s="7"/>
      <c r="H1534" s="7"/>
      <c r="I1534" s="7" t="s">
        <v>158</v>
      </c>
      <c r="J1534" s="7" t="s">
        <v>104</v>
      </c>
      <c r="K1534" s="7" t="s">
        <v>105</v>
      </c>
      <c r="L1534" s="7" t="s">
        <v>106</v>
      </c>
      <c r="M1534" s="7"/>
      <c r="N1534" s="7" t="s">
        <v>10373</v>
      </c>
      <c r="O1534" s="7" t="s">
        <v>10373</v>
      </c>
      <c r="P1534" s="7" t="s">
        <v>135</v>
      </c>
      <c r="Q1534" s="7"/>
      <c r="R1534" s="7" t="s">
        <v>109</v>
      </c>
      <c r="S1534" s="7" t="s">
        <v>110</v>
      </c>
      <c r="T1534" s="7" t="n">
        <v>0.547</v>
      </c>
      <c r="U1534" s="7" t="n">
        <v>1</v>
      </c>
      <c r="V1534" s="7" t="s">
        <v>86</v>
      </c>
      <c r="W1534" s="7"/>
      <c r="X1534" s="7" t="s">
        <v>10374</v>
      </c>
      <c r="Y1534" s="7" t="s">
        <v>10373</v>
      </c>
      <c r="Z1534" s="7"/>
      <c r="AA1534" s="7"/>
      <c r="AB1534" s="7"/>
      <c r="AC1534" s="7" t="n">
        <v>4</v>
      </c>
      <c r="AD1534" s="7" t="s">
        <v>7611</v>
      </c>
      <c r="AE1534" s="7" t="s">
        <v>744</v>
      </c>
      <c r="AF1534" s="7" t="s">
        <v>10371</v>
      </c>
      <c r="AG1534" s="7" t="s">
        <v>744</v>
      </c>
      <c r="AH1534" s="7" t="s">
        <v>10374</v>
      </c>
      <c r="AI1534" s="7"/>
      <c r="AJ1534" s="7"/>
      <c r="AK1534" s="7"/>
      <c r="AL1534" s="7"/>
      <c r="AM1534" s="7"/>
      <c r="AN1534" s="7"/>
      <c r="AO1534" s="7" t="s">
        <v>744</v>
      </c>
      <c r="AP1534" s="7" t="s">
        <v>10372</v>
      </c>
      <c r="AQ1534" s="7"/>
      <c r="AR1534" s="7"/>
      <c r="AS1534" s="7"/>
      <c r="AT1534" s="7"/>
      <c r="AU1534" s="7"/>
      <c r="AV1534" s="7"/>
      <c r="AW1534" s="7" t="s">
        <v>744</v>
      </c>
      <c r="AX1534" s="7" t="s">
        <v>10373</v>
      </c>
      <c r="AY1534" s="7"/>
      <c r="AZ1534" s="7"/>
      <c r="BA1534" s="7"/>
      <c r="BB1534" s="7"/>
      <c r="BC1534" s="7"/>
      <c r="BD1534" s="7"/>
      <c r="BE1534" s="7" t="s">
        <v>127</v>
      </c>
      <c r="BF1534" s="8"/>
      <c r="BG1534" s="8"/>
      <c r="BH1534" s="8"/>
      <c r="BI1534" s="8"/>
      <c r="BJ1534" s="8"/>
      <c r="BK1534" s="8"/>
      <c r="BL1534" s="8"/>
      <c r="BM1534" s="8"/>
      <c r="BN1534" s="8"/>
      <c r="BO1534" s="8"/>
      <c r="BP1534" s="8"/>
      <c r="BQ1534" s="8"/>
      <c r="BR1534" s="8"/>
      <c r="BS1534" s="8"/>
    </row>
    <row r="1535" customFormat="false" ht="15" hidden="false" customHeight="false" outlineLevel="0" collapsed="false">
      <c r="A1535" s="7" t="s">
        <v>10375</v>
      </c>
      <c r="B1535" s="7" t="s">
        <v>10376</v>
      </c>
      <c r="C1535" s="7" t="s">
        <v>10377</v>
      </c>
      <c r="D1535" s="7" t="s">
        <v>2276</v>
      </c>
      <c r="E1535" s="7"/>
      <c r="F1535" s="7" t="s">
        <v>156</v>
      </c>
      <c r="G1535" s="7"/>
      <c r="H1535" s="7" t="s">
        <v>157</v>
      </c>
      <c r="I1535" s="7" t="s">
        <v>158</v>
      </c>
      <c r="J1535" s="7" t="s">
        <v>159</v>
      </c>
      <c r="K1535" s="7" t="s">
        <v>105</v>
      </c>
      <c r="L1535" s="7" t="s">
        <v>106</v>
      </c>
      <c r="M1535" s="7"/>
      <c r="N1535" s="7" t="s">
        <v>10378</v>
      </c>
      <c r="O1535" s="7"/>
      <c r="P1535" s="7" t="s">
        <v>135</v>
      </c>
      <c r="Q1535" s="7"/>
      <c r="R1535" s="7" t="s">
        <v>135</v>
      </c>
      <c r="S1535" s="7" t="s">
        <v>136</v>
      </c>
      <c r="T1535" s="7" t="n">
        <v>0.348</v>
      </c>
      <c r="U1535" s="7" t="n">
        <v>1</v>
      </c>
      <c r="V1535" s="7" t="s">
        <v>90</v>
      </c>
      <c r="W1535" s="7"/>
      <c r="X1535" s="7" t="s">
        <v>10379</v>
      </c>
      <c r="Y1535" s="7" t="s">
        <v>10378</v>
      </c>
      <c r="Z1535" s="7"/>
      <c r="AA1535" s="7"/>
      <c r="AB1535" s="7"/>
      <c r="AC1535" s="7" t="n">
        <v>4</v>
      </c>
      <c r="AD1535" s="7" t="s">
        <v>7611</v>
      </c>
      <c r="AE1535" s="7" t="s">
        <v>744</v>
      </c>
      <c r="AF1535" s="7" t="s">
        <v>10377</v>
      </c>
      <c r="AG1535" s="7" t="s">
        <v>744</v>
      </c>
      <c r="AH1535" s="7" t="s">
        <v>10379</v>
      </c>
      <c r="AI1535" s="7"/>
      <c r="AJ1535" s="7"/>
      <c r="AK1535" s="7"/>
      <c r="AL1535" s="7"/>
      <c r="AM1535" s="7"/>
      <c r="AN1535" s="7"/>
      <c r="AO1535" s="7" t="s">
        <v>744</v>
      </c>
      <c r="AP1535" s="7" t="s">
        <v>2276</v>
      </c>
      <c r="AQ1535" s="7"/>
      <c r="AR1535" s="7"/>
      <c r="AS1535" s="7"/>
      <c r="AT1535" s="7"/>
      <c r="AU1535" s="7"/>
      <c r="AV1535" s="7"/>
      <c r="AW1535" s="7" t="s">
        <v>744</v>
      </c>
      <c r="AX1535" s="7" t="s">
        <v>10378</v>
      </c>
      <c r="AY1535" s="7"/>
      <c r="AZ1535" s="7"/>
      <c r="BA1535" s="7"/>
      <c r="BB1535" s="7"/>
      <c r="BC1535" s="7"/>
      <c r="BD1535" s="7"/>
      <c r="BE1535" s="7" t="s">
        <v>127</v>
      </c>
      <c r="BF1535" s="8"/>
      <c r="BG1535" s="8"/>
      <c r="BH1535" s="8"/>
      <c r="BI1535" s="8"/>
      <c r="BJ1535" s="8"/>
      <c r="BK1535" s="8"/>
      <c r="BL1535" s="8"/>
      <c r="BM1535" s="8"/>
      <c r="BN1535" s="8"/>
      <c r="BO1535" s="8"/>
      <c r="BP1535" s="8"/>
      <c r="BQ1535" s="8"/>
      <c r="BR1535" s="8"/>
      <c r="BS1535" s="8"/>
    </row>
    <row r="1536" customFormat="false" ht="15" hidden="false" customHeight="false" outlineLevel="0" collapsed="false">
      <c r="A1536" s="7" t="s">
        <v>10380</v>
      </c>
      <c r="B1536" s="7" t="s">
        <v>10381</v>
      </c>
      <c r="C1536" s="7" t="s">
        <v>10382</v>
      </c>
      <c r="D1536" s="7" t="s">
        <v>746</v>
      </c>
      <c r="E1536" s="7"/>
      <c r="F1536" s="7" t="s">
        <v>101</v>
      </c>
      <c r="G1536" s="7"/>
      <c r="H1536" s="7"/>
      <c r="I1536" s="7" t="s">
        <v>158</v>
      </c>
      <c r="J1536" s="7" t="s">
        <v>104</v>
      </c>
      <c r="K1536" s="7" t="s">
        <v>105</v>
      </c>
      <c r="L1536" s="7" t="s">
        <v>106</v>
      </c>
      <c r="M1536" s="7"/>
      <c r="N1536" s="7" t="s">
        <v>10383</v>
      </c>
      <c r="O1536" s="7" t="s">
        <v>10383</v>
      </c>
      <c r="P1536" s="7" t="s">
        <v>135</v>
      </c>
      <c r="Q1536" s="7"/>
      <c r="R1536" s="7" t="s">
        <v>109</v>
      </c>
      <c r="S1536" s="7" t="s">
        <v>110</v>
      </c>
      <c r="T1536" s="7" t="n">
        <v>0.458</v>
      </c>
      <c r="U1536" s="7" t="n">
        <v>1</v>
      </c>
      <c r="V1536" s="7" t="s">
        <v>90</v>
      </c>
      <c r="W1536" s="7"/>
      <c r="X1536" s="7" t="s">
        <v>3616</v>
      </c>
      <c r="Y1536" s="7" t="s">
        <v>10383</v>
      </c>
      <c r="Z1536" s="7"/>
      <c r="AA1536" s="7"/>
      <c r="AB1536" s="7"/>
      <c r="AC1536" s="7" t="n">
        <v>4</v>
      </c>
      <c r="AD1536" s="7" t="s">
        <v>7611</v>
      </c>
      <c r="AE1536" s="7" t="s">
        <v>744</v>
      </c>
      <c r="AF1536" s="7" t="s">
        <v>10382</v>
      </c>
      <c r="AG1536" s="7" t="s">
        <v>744</v>
      </c>
      <c r="AH1536" s="7" t="s">
        <v>3616</v>
      </c>
      <c r="AI1536" s="7"/>
      <c r="AJ1536" s="7"/>
      <c r="AK1536" s="7"/>
      <c r="AL1536" s="7"/>
      <c r="AM1536" s="7"/>
      <c r="AN1536" s="7"/>
      <c r="AO1536" s="7" t="s">
        <v>744</v>
      </c>
      <c r="AP1536" s="7" t="s">
        <v>746</v>
      </c>
      <c r="AQ1536" s="7"/>
      <c r="AR1536" s="7"/>
      <c r="AS1536" s="7"/>
      <c r="AT1536" s="7"/>
      <c r="AU1536" s="7"/>
      <c r="AV1536" s="7"/>
      <c r="AW1536" s="7" t="s">
        <v>744</v>
      </c>
      <c r="AX1536" s="7" t="s">
        <v>10383</v>
      </c>
      <c r="AY1536" s="7"/>
      <c r="AZ1536" s="7"/>
      <c r="BA1536" s="7"/>
      <c r="BB1536" s="7"/>
      <c r="BC1536" s="7"/>
      <c r="BD1536" s="7" t="s">
        <v>747</v>
      </c>
      <c r="BE1536" s="7" t="s">
        <v>127</v>
      </c>
      <c r="BF1536" s="8"/>
      <c r="BG1536" s="8"/>
      <c r="BH1536" s="8"/>
      <c r="BI1536" s="8"/>
      <c r="BJ1536" s="8"/>
      <c r="BK1536" s="8"/>
      <c r="BL1536" s="8"/>
      <c r="BM1536" s="8"/>
      <c r="BN1536" s="8"/>
      <c r="BO1536" s="8"/>
      <c r="BP1536" s="8"/>
      <c r="BQ1536" s="8"/>
      <c r="BR1536" s="8"/>
      <c r="BS1536" s="8"/>
    </row>
    <row r="1537" customFormat="false" ht="15" hidden="false" customHeight="false" outlineLevel="0" collapsed="false">
      <c r="A1537" s="7" t="s">
        <v>10384</v>
      </c>
      <c r="B1537" s="7" t="s">
        <v>10385</v>
      </c>
      <c r="C1537" s="7" t="s">
        <v>10386</v>
      </c>
      <c r="D1537" s="7" t="s">
        <v>10387</v>
      </c>
      <c r="E1537" s="7" t="s">
        <v>516</v>
      </c>
      <c r="F1537" s="7" t="s">
        <v>516</v>
      </c>
      <c r="G1537" s="7" t="s">
        <v>2455</v>
      </c>
      <c r="H1537" s="7"/>
      <c r="I1537" s="7" t="s">
        <v>158</v>
      </c>
      <c r="J1537" s="7" t="s">
        <v>104</v>
      </c>
      <c r="K1537" s="7" t="s">
        <v>105</v>
      </c>
      <c r="L1537" s="7" t="s">
        <v>106</v>
      </c>
      <c r="M1537" s="7"/>
      <c r="N1537" s="7" t="s">
        <v>10388</v>
      </c>
      <c r="O1537" s="7"/>
      <c r="P1537" s="7" t="s">
        <v>135</v>
      </c>
      <c r="Q1537" s="7"/>
      <c r="R1537" s="7" t="s">
        <v>135</v>
      </c>
      <c r="S1537" s="7" t="s">
        <v>136</v>
      </c>
      <c r="T1537" s="7" t="n">
        <v>0.453</v>
      </c>
      <c r="U1537" s="7" t="n">
        <v>1</v>
      </c>
      <c r="V1537" s="7" t="s">
        <v>90</v>
      </c>
      <c r="W1537" s="7"/>
      <c r="X1537" s="7" t="s">
        <v>9197</v>
      </c>
      <c r="Y1537" s="7" t="s">
        <v>10388</v>
      </c>
      <c r="Z1537" s="7"/>
      <c r="AA1537" s="7"/>
      <c r="AB1537" s="7"/>
      <c r="AC1537" s="7" t="n">
        <v>6</v>
      </c>
      <c r="AD1537" s="7" t="s">
        <v>1235</v>
      </c>
      <c r="AE1537" s="7" t="s">
        <v>744</v>
      </c>
      <c r="AF1537" s="7" t="s">
        <v>10386</v>
      </c>
      <c r="AG1537" s="7" t="s">
        <v>744</v>
      </c>
      <c r="AH1537" s="7" t="s">
        <v>9197</v>
      </c>
      <c r="AI1537" s="7"/>
      <c r="AJ1537" s="7"/>
      <c r="AK1537" s="7"/>
      <c r="AL1537" s="7"/>
      <c r="AM1537" s="7" t="s">
        <v>744</v>
      </c>
      <c r="AN1537" s="7" t="s">
        <v>10389</v>
      </c>
      <c r="AO1537" s="7" t="s">
        <v>744</v>
      </c>
      <c r="AP1537" s="7" t="s">
        <v>10387</v>
      </c>
      <c r="AQ1537" s="7" t="s">
        <v>744</v>
      </c>
      <c r="AR1537" s="7" t="s">
        <v>516</v>
      </c>
      <c r="AS1537" s="7"/>
      <c r="AT1537" s="7"/>
      <c r="AU1537" s="7"/>
      <c r="AV1537" s="7"/>
      <c r="AW1537" s="7" t="s">
        <v>744</v>
      </c>
      <c r="AX1537" s="7" t="s">
        <v>10388</v>
      </c>
      <c r="AY1537" s="7"/>
      <c r="AZ1537" s="7"/>
      <c r="BA1537" s="7"/>
      <c r="BB1537" s="7"/>
      <c r="BC1537" s="7"/>
      <c r="BD1537" s="7"/>
      <c r="BE1537" s="7" t="s">
        <v>127</v>
      </c>
      <c r="BF1537" s="8"/>
      <c r="BG1537" s="8"/>
      <c r="BH1537" s="8"/>
      <c r="BI1537" s="8"/>
      <c r="BJ1537" s="8"/>
      <c r="BK1537" s="8"/>
      <c r="BL1537" s="8"/>
      <c r="BM1537" s="8"/>
      <c r="BN1537" s="8"/>
      <c r="BO1537" s="8"/>
      <c r="BP1537" s="8"/>
      <c r="BQ1537" s="8"/>
      <c r="BR1537" s="8"/>
      <c r="BS1537" s="8"/>
    </row>
    <row r="1538" customFormat="false" ht="15" hidden="false" customHeight="false" outlineLevel="0" collapsed="false">
      <c r="A1538" s="7" t="s">
        <v>10390</v>
      </c>
      <c r="B1538" s="7" t="s">
        <v>10391</v>
      </c>
      <c r="C1538" s="7" t="s">
        <v>10392</v>
      </c>
      <c r="D1538" s="7" t="s">
        <v>10393</v>
      </c>
      <c r="E1538" s="7" t="s">
        <v>819</v>
      </c>
      <c r="F1538" s="7" t="s">
        <v>819</v>
      </c>
      <c r="G1538" s="7"/>
      <c r="H1538" s="7"/>
      <c r="I1538" s="7" t="s">
        <v>158</v>
      </c>
      <c r="J1538" s="7" t="s">
        <v>104</v>
      </c>
      <c r="K1538" s="7" t="s">
        <v>105</v>
      </c>
      <c r="L1538" s="7" t="s">
        <v>106</v>
      </c>
      <c r="M1538" s="7"/>
      <c r="N1538" s="7" t="s">
        <v>10394</v>
      </c>
      <c r="O1538" s="7" t="s">
        <v>10394</v>
      </c>
      <c r="P1538" s="7" t="s">
        <v>135</v>
      </c>
      <c r="Q1538" s="7"/>
      <c r="R1538" s="7" t="s">
        <v>109</v>
      </c>
      <c r="S1538" s="7" t="s">
        <v>110</v>
      </c>
      <c r="T1538" s="7" t="n">
        <v>0.623</v>
      </c>
      <c r="U1538" s="7" t="n">
        <v>1</v>
      </c>
      <c r="V1538" s="7" t="s">
        <v>90</v>
      </c>
      <c r="W1538" s="7"/>
      <c r="X1538" s="7" t="s">
        <v>9197</v>
      </c>
      <c r="Y1538" s="7" t="s">
        <v>10394</v>
      </c>
      <c r="Z1538" s="7"/>
      <c r="AA1538" s="7"/>
      <c r="AB1538" s="7"/>
      <c r="AC1538" s="7" t="n">
        <v>5</v>
      </c>
      <c r="AD1538" s="7" t="s">
        <v>743</v>
      </c>
      <c r="AE1538" s="7" t="s">
        <v>744</v>
      </c>
      <c r="AF1538" s="7" t="s">
        <v>10392</v>
      </c>
      <c r="AG1538" s="7" t="s">
        <v>744</v>
      </c>
      <c r="AH1538" s="7" t="s">
        <v>9197</v>
      </c>
      <c r="AI1538" s="7"/>
      <c r="AJ1538" s="7"/>
      <c r="AK1538" s="7"/>
      <c r="AL1538" s="7"/>
      <c r="AM1538" s="7"/>
      <c r="AN1538" s="7"/>
      <c r="AO1538" s="7" t="s">
        <v>744</v>
      </c>
      <c r="AP1538" s="7" t="s">
        <v>10393</v>
      </c>
      <c r="AQ1538" s="7" t="s">
        <v>744</v>
      </c>
      <c r="AR1538" s="7" t="s">
        <v>819</v>
      </c>
      <c r="AS1538" s="7"/>
      <c r="AT1538" s="7"/>
      <c r="AU1538" s="7"/>
      <c r="AV1538" s="7"/>
      <c r="AW1538" s="7" t="s">
        <v>744</v>
      </c>
      <c r="AX1538" s="7" t="s">
        <v>10394</v>
      </c>
      <c r="AY1538" s="7"/>
      <c r="AZ1538" s="7"/>
      <c r="BA1538" s="7"/>
      <c r="BB1538" s="7"/>
      <c r="BC1538" s="7"/>
      <c r="BD1538" s="7"/>
      <c r="BE1538" s="7" t="s">
        <v>127</v>
      </c>
      <c r="BF1538" s="8"/>
      <c r="BG1538" s="8"/>
      <c r="BH1538" s="8"/>
      <c r="BI1538" s="8"/>
      <c r="BJ1538" s="8"/>
      <c r="BK1538" s="8"/>
      <c r="BL1538" s="8"/>
      <c r="BM1538" s="8"/>
      <c r="BN1538" s="8"/>
      <c r="BO1538" s="8"/>
      <c r="BP1538" s="8"/>
      <c r="BQ1538" s="8"/>
      <c r="BR1538" s="8"/>
      <c r="BS1538" s="8"/>
    </row>
    <row r="1539" customFormat="false" ht="15" hidden="false" customHeight="false" outlineLevel="0" collapsed="false">
      <c r="A1539" s="7" t="s">
        <v>10395</v>
      </c>
      <c r="B1539" s="7" t="s">
        <v>10396</v>
      </c>
      <c r="C1539" s="7" t="s">
        <v>10397</v>
      </c>
      <c r="D1539" s="7" t="s">
        <v>746</v>
      </c>
      <c r="E1539" s="7"/>
      <c r="F1539" s="7" t="s">
        <v>101</v>
      </c>
      <c r="G1539" s="7"/>
      <c r="H1539" s="7"/>
      <c r="I1539" s="7" t="s">
        <v>158</v>
      </c>
      <c r="J1539" s="7" t="s">
        <v>104</v>
      </c>
      <c r="K1539" s="7" t="s">
        <v>105</v>
      </c>
      <c r="L1539" s="7" t="s">
        <v>106</v>
      </c>
      <c r="M1539" s="7"/>
      <c r="N1539" s="7" t="s">
        <v>10398</v>
      </c>
      <c r="O1539" s="7" t="s">
        <v>10398</v>
      </c>
      <c r="P1539" s="7" t="s">
        <v>135</v>
      </c>
      <c r="Q1539" s="7"/>
      <c r="R1539" s="7" t="s">
        <v>109</v>
      </c>
      <c r="S1539" s="7" t="s">
        <v>110</v>
      </c>
      <c r="T1539" s="7" t="n">
        <v>0.364</v>
      </c>
      <c r="U1539" s="7" t="n">
        <v>1</v>
      </c>
      <c r="V1539" s="7" t="s">
        <v>90</v>
      </c>
      <c r="W1539" s="7"/>
      <c r="X1539" s="7" t="s">
        <v>9197</v>
      </c>
      <c r="Y1539" s="7" t="s">
        <v>10398</v>
      </c>
      <c r="Z1539" s="7"/>
      <c r="AA1539" s="7"/>
      <c r="AB1539" s="7"/>
      <c r="AC1539" s="7" t="n">
        <v>4</v>
      </c>
      <c r="AD1539" s="7" t="s">
        <v>7611</v>
      </c>
      <c r="AE1539" s="7" t="s">
        <v>744</v>
      </c>
      <c r="AF1539" s="7" t="s">
        <v>10397</v>
      </c>
      <c r="AG1539" s="7" t="s">
        <v>744</v>
      </c>
      <c r="AH1539" s="7" t="s">
        <v>9197</v>
      </c>
      <c r="AI1539" s="7"/>
      <c r="AJ1539" s="7"/>
      <c r="AK1539" s="7"/>
      <c r="AL1539" s="7"/>
      <c r="AM1539" s="7"/>
      <c r="AN1539" s="7"/>
      <c r="AO1539" s="7" t="s">
        <v>744</v>
      </c>
      <c r="AP1539" s="7" t="s">
        <v>746</v>
      </c>
      <c r="AQ1539" s="7"/>
      <c r="AR1539" s="7"/>
      <c r="AS1539" s="7"/>
      <c r="AT1539" s="7"/>
      <c r="AU1539" s="7"/>
      <c r="AV1539" s="7"/>
      <c r="AW1539" s="7" t="s">
        <v>744</v>
      </c>
      <c r="AX1539" s="7" t="s">
        <v>10398</v>
      </c>
      <c r="AY1539" s="7"/>
      <c r="AZ1539" s="7"/>
      <c r="BA1539" s="7"/>
      <c r="BB1539" s="7"/>
      <c r="BC1539" s="7"/>
      <c r="BD1539" s="7" t="s">
        <v>747</v>
      </c>
      <c r="BE1539" s="7" t="s">
        <v>127</v>
      </c>
      <c r="BF1539" s="8"/>
      <c r="BG1539" s="8"/>
      <c r="BH1539" s="8"/>
      <c r="BI1539" s="8"/>
      <c r="BJ1539" s="8"/>
      <c r="BK1539" s="8"/>
      <c r="BL1539" s="8"/>
      <c r="BM1539" s="8"/>
      <c r="BN1539" s="8"/>
      <c r="BO1539" s="8"/>
      <c r="BP1539" s="8"/>
      <c r="BQ1539" s="8"/>
      <c r="BR1539" s="8"/>
      <c r="BS1539" s="8"/>
    </row>
    <row r="1540" customFormat="false" ht="15" hidden="false" customHeight="false" outlineLevel="0" collapsed="false">
      <c r="A1540" s="7" t="s">
        <v>10399</v>
      </c>
      <c r="B1540" s="7" t="s">
        <v>10400</v>
      </c>
      <c r="C1540" s="7" t="s">
        <v>10401</v>
      </c>
      <c r="D1540" s="7" t="s">
        <v>10402</v>
      </c>
      <c r="E1540" s="7" t="s">
        <v>737</v>
      </c>
      <c r="F1540" s="7" t="s">
        <v>737</v>
      </c>
      <c r="G1540" s="7"/>
      <c r="H1540" s="7"/>
      <c r="I1540" s="7" t="s">
        <v>374</v>
      </c>
      <c r="J1540" s="7" t="s">
        <v>104</v>
      </c>
      <c r="K1540" s="7" t="s">
        <v>105</v>
      </c>
      <c r="L1540" s="7" t="s">
        <v>106</v>
      </c>
      <c r="M1540" s="7"/>
      <c r="N1540" s="7" t="s">
        <v>10403</v>
      </c>
      <c r="O1540" s="7"/>
      <c r="P1540" s="7" t="s">
        <v>135</v>
      </c>
      <c r="Q1540" s="7"/>
      <c r="R1540" s="7" t="s">
        <v>135</v>
      </c>
      <c r="S1540" s="7" t="s">
        <v>136</v>
      </c>
      <c r="T1540" s="7" t="n">
        <v>0.202</v>
      </c>
      <c r="U1540" s="7" t="n">
        <v>1</v>
      </c>
      <c r="V1540" s="7" t="s">
        <v>90</v>
      </c>
      <c r="W1540" s="7"/>
      <c r="X1540" s="7" t="s">
        <v>2366</v>
      </c>
      <c r="Y1540" s="7" t="s">
        <v>10403</v>
      </c>
      <c r="Z1540" s="7"/>
      <c r="AA1540" s="7"/>
      <c r="AB1540" s="7"/>
      <c r="AC1540" s="7" t="n">
        <v>5</v>
      </c>
      <c r="AD1540" s="7" t="s">
        <v>743</v>
      </c>
      <c r="AE1540" s="7" t="s">
        <v>744</v>
      </c>
      <c r="AF1540" s="7" t="s">
        <v>10401</v>
      </c>
      <c r="AG1540" s="7" t="s">
        <v>744</v>
      </c>
      <c r="AH1540" s="7" t="s">
        <v>2366</v>
      </c>
      <c r="AI1540" s="7"/>
      <c r="AJ1540" s="7"/>
      <c r="AK1540" s="7"/>
      <c r="AL1540" s="7"/>
      <c r="AM1540" s="7"/>
      <c r="AN1540" s="7"/>
      <c r="AO1540" s="7" t="s">
        <v>744</v>
      </c>
      <c r="AP1540" s="7" t="s">
        <v>10402</v>
      </c>
      <c r="AQ1540" s="7" t="s">
        <v>744</v>
      </c>
      <c r="AR1540" s="7" t="s">
        <v>737</v>
      </c>
      <c r="AS1540" s="7"/>
      <c r="AT1540" s="7"/>
      <c r="AU1540" s="7"/>
      <c r="AV1540" s="7"/>
      <c r="AW1540" s="7" t="s">
        <v>744</v>
      </c>
      <c r="AX1540" s="7" t="s">
        <v>10403</v>
      </c>
      <c r="AY1540" s="7"/>
      <c r="AZ1540" s="7"/>
      <c r="BA1540" s="7"/>
      <c r="BB1540" s="7"/>
      <c r="BC1540" s="7"/>
      <c r="BD1540" s="7"/>
      <c r="BE1540" s="7" t="s">
        <v>127</v>
      </c>
      <c r="BF1540" s="8"/>
      <c r="BG1540" s="8"/>
      <c r="BH1540" s="8"/>
      <c r="BI1540" s="8"/>
      <c r="BJ1540" s="8"/>
      <c r="BK1540" s="8"/>
      <c r="BL1540" s="8"/>
      <c r="BM1540" s="8"/>
      <c r="BN1540" s="8"/>
      <c r="BO1540" s="8"/>
      <c r="BP1540" s="8"/>
      <c r="BQ1540" s="8"/>
      <c r="BR1540" s="8"/>
      <c r="BS1540" s="8"/>
    </row>
    <row r="1541" customFormat="false" ht="15" hidden="false" customHeight="false" outlineLevel="0" collapsed="false">
      <c r="A1541" s="7" t="s">
        <v>10404</v>
      </c>
      <c r="B1541" s="7" t="s">
        <v>10405</v>
      </c>
      <c r="C1541" s="7" t="s">
        <v>10406</v>
      </c>
      <c r="D1541" s="7" t="s">
        <v>10407</v>
      </c>
      <c r="E1541" s="7" t="s">
        <v>1966</v>
      </c>
      <c r="F1541" s="7" t="s">
        <v>1966</v>
      </c>
      <c r="G1541" s="7"/>
      <c r="H1541" s="7"/>
      <c r="I1541" s="7" t="s">
        <v>158</v>
      </c>
      <c r="J1541" s="7" t="s">
        <v>104</v>
      </c>
      <c r="K1541" s="7" t="s">
        <v>105</v>
      </c>
      <c r="L1541" s="7" t="s">
        <v>2470</v>
      </c>
      <c r="M1541" s="7"/>
      <c r="N1541" s="7" t="s">
        <v>10408</v>
      </c>
      <c r="O1541" s="7"/>
      <c r="P1541" s="7" t="s">
        <v>135</v>
      </c>
      <c r="Q1541" s="7"/>
      <c r="R1541" s="7" t="s">
        <v>135</v>
      </c>
      <c r="S1541" s="7" t="s">
        <v>136</v>
      </c>
      <c r="T1541" s="7" t="n">
        <v>0.459</v>
      </c>
      <c r="U1541" s="7" t="n">
        <v>1</v>
      </c>
      <c r="V1541" s="7" t="s">
        <v>90</v>
      </c>
      <c r="W1541" s="7"/>
      <c r="X1541" s="7" t="s">
        <v>9680</v>
      </c>
      <c r="Y1541" s="7" t="s">
        <v>10408</v>
      </c>
      <c r="Z1541" s="7"/>
      <c r="AA1541" s="7"/>
      <c r="AB1541" s="7"/>
      <c r="AC1541" s="7" t="n">
        <v>6</v>
      </c>
      <c r="AD1541" s="7" t="s">
        <v>1235</v>
      </c>
      <c r="AE1541" s="7" t="s">
        <v>744</v>
      </c>
      <c r="AF1541" s="7" t="s">
        <v>10406</v>
      </c>
      <c r="AG1541" s="7" t="s">
        <v>744</v>
      </c>
      <c r="AH1541" s="7" t="s">
        <v>9680</v>
      </c>
      <c r="AI1541" s="7"/>
      <c r="AJ1541" s="7"/>
      <c r="AK1541" s="7"/>
      <c r="AL1541" s="7"/>
      <c r="AM1541" s="7" t="s">
        <v>744</v>
      </c>
      <c r="AN1541" s="7" t="s">
        <v>10409</v>
      </c>
      <c r="AO1541" s="7" t="s">
        <v>744</v>
      </c>
      <c r="AP1541" s="7" t="s">
        <v>10407</v>
      </c>
      <c r="AQ1541" s="7" t="s">
        <v>744</v>
      </c>
      <c r="AR1541" s="7" t="s">
        <v>1966</v>
      </c>
      <c r="AS1541" s="7"/>
      <c r="AT1541" s="7"/>
      <c r="AU1541" s="7"/>
      <c r="AV1541" s="7"/>
      <c r="AW1541" s="7" t="s">
        <v>744</v>
      </c>
      <c r="AX1541" s="7" t="s">
        <v>10408</v>
      </c>
      <c r="AY1541" s="7"/>
      <c r="AZ1541" s="7"/>
      <c r="BA1541" s="7"/>
      <c r="BB1541" s="7"/>
      <c r="BC1541" s="7"/>
      <c r="BD1541" s="7"/>
      <c r="BE1541" s="7" t="s">
        <v>127</v>
      </c>
      <c r="BF1541" s="8"/>
      <c r="BG1541" s="8"/>
      <c r="BH1541" s="8"/>
      <c r="BI1541" s="8"/>
      <c r="BJ1541" s="8"/>
      <c r="BK1541" s="8"/>
      <c r="BL1541" s="8"/>
      <c r="BM1541" s="8"/>
      <c r="BN1541" s="8"/>
      <c r="BO1541" s="8"/>
      <c r="BP1541" s="8"/>
      <c r="BQ1541" s="8"/>
      <c r="BR1541" s="8"/>
      <c r="BS1541" s="8"/>
    </row>
    <row r="1542" customFormat="false" ht="15" hidden="false" customHeight="false" outlineLevel="0" collapsed="false">
      <c r="A1542" s="7" t="s">
        <v>10410</v>
      </c>
      <c r="B1542" s="7" t="s">
        <v>10411</v>
      </c>
      <c r="C1542" s="7" t="s">
        <v>10412</v>
      </c>
      <c r="D1542" s="7" t="s">
        <v>746</v>
      </c>
      <c r="E1542" s="7"/>
      <c r="F1542" s="7" t="s">
        <v>101</v>
      </c>
      <c r="G1542" s="7"/>
      <c r="H1542" s="7"/>
      <c r="I1542" s="7" t="s">
        <v>158</v>
      </c>
      <c r="J1542" s="7" t="s">
        <v>104</v>
      </c>
      <c r="K1542" s="7" t="s">
        <v>105</v>
      </c>
      <c r="L1542" s="7" t="s">
        <v>106</v>
      </c>
      <c r="M1542" s="7"/>
      <c r="N1542" s="7" t="s">
        <v>10413</v>
      </c>
      <c r="O1542" s="7" t="s">
        <v>10413</v>
      </c>
      <c r="P1542" s="7" t="s">
        <v>135</v>
      </c>
      <c r="Q1542" s="7"/>
      <c r="R1542" s="7" t="s">
        <v>109</v>
      </c>
      <c r="S1542" s="7" t="s">
        <v>110</v>
      </c>
      <c r="T1542" s="7" t="n">
        <v>0.268</v>
      </c>
      <c r="U1542" s="7" t="n">
        <v>1</v>
      </c>
      <c r="V1542" s="7" t="s">
        <v>90</v>
      </c>
      <c r="W1542" s="7"/>
      <c r="X1542" s="7" t="s">
        <v>10414</v>
      </c>
      <c r="Y1542" s="7" t="s">
        <v>10413</v>
      </c>
      <c r="Z1542" s="7"/>
      <c r="AA1542" s="7"/>
      <c r="AB1542" s="7"/>
      <c r="AC1542" s="7" t="n">
        <v>4</v>
      </c>
      <c r="AD1542" s="7" t="s">
        <v>7611</v>
      </c>
      <c r="AE1542" s="7" t="s">
        <v>744</v>
      </c>
      <c r="AF1542" s="7" t="s">
        <v>10412</v>
      </c>
      <c r="AG1542" s="7" t="s">
        <v>744</v>
      </c>
      <c r="AH1542" s="7" t="s">
        <v>10414</v>
      </c>
      <c r="AI1542" s="7"/>
      <c r="AJ1542" s="7"/>
      <c r="AK1542" s="7"/>
      <c r="AL1542" s="7"/>
      <c r="AM1542" s="7"/>
      <c r="AN1542" s="7"/>
      <c r="AO1542" s="7" t="s">
        <v>744</v>
      </c>
      <c r="AP1542" s="7" t="s">
        <v>746</v>
      </c>
      <c r="AQ1542" s="7"/>
      <c r="AR1542" s="7"/>
      <c r="AS1542" s="7"/>
      <c r="AT1542" s="7"/>
      <c r="AU1542" s="7"/>
      <c r="AV1542" s="7"/>
      <c r="AW1542" s="7" t="s">
        <v>744</v>
      </c>
      <c r="AX1542" s="7" t="s">
        <v>10413</v>
      </c>
      <c r="AY1542" s="7"/>
      <c r="AZ1542" s="7"/>
      <c r="BA1542" s="7"/>
      <c r="BB1542" s="7"/>
      <c r="BC1542" s="7"/>
      <c r="BD1542" s="7" t="s">
        <v>747</v>
      </c>
      <c r="BE1542" s="7" t="s">
        <v>127</v>
      </c>
      <c r="BF1542" s="8"/>
      <c r="BG1542" s="8"/>
      <c r="BH1542" s="8"/>
      <c r="BI1542" s="8"/>
      <c r="BJ1542" s="8"/>
      <c r="BK1542" s="8"/>
      <c r="BL1542" s="8"/>
      <c r="BM1542" s="8"/>
      <c r="BN1542" s="8"/>
      <c r="BO1542" s="8"/>
      <c r="BP1542" s="8"/>
      <c r="BQ1542" s="8"/>
      <c r="BR1542" s="8"/>
      <c r="BS1542" s="8"/>
    </row>
    <row r="1543" customFormat="false" ht="15" hidden="false" customHeight="false" outlineLevel="0" collapsed="false">
      <c r="A1543" s="7" t="s">
        <v>10415</v>
      </c>
      <c r="B1543" s="7" t="s">
        <v>10416</v>
      </c>
      <c r="C1543" s="7" t="s">
        <v>10417</v>
      </c>
      <c r="D1543" s="7" t="s">
        <v>746</v>
      </c>
      <c r="E1543" s="7"/>
      <c r="F1543" s="7" t="s">
        <v>101</v>
      </c>
      <c r="G1543" s="7"/>
      <c r="H1543" s="7"/>
      <c r="I1543" s="7" t="s">
        <v>158</v>
      </c>
      <c r="J1543" s="7" t="s">
        <v>104</v>
      </c>
      <c r="K1543" s="7" t="s">
        <v>105</v>
      </c>
      <c r="L1543" s="7" t="s">
        <v>106</v>
      </c>
      <c r="M1543" s="7"/>
      <c r="N1543" s="7" t="s">
        <v>10418</v>
      </c>
      <c r="O1543" s="7" t="s">
        <v>10418</v>
      </c>
      <c r="P1543" s="7" t="s">
        <v>135</v>
      </c>
      <c r="Q1543" s="7"/>
      <c r="R1543" s="7" t="s">
        <v>109</v>
      </c>
      <c r="S1543" s="7" t="s">
        <v>110</v>
      </c>
      <c r="T1543" s="7" t="n">
        <v>0.617</v>
      </c>
      <c r="U1543" s="7" t="n">
        <v>1</v>
      </c>
      <c r="V1543" s="7" t="s">
        <v>90</v>
      </c>
      <c r="W1543" s="7"/>
      <c r="X1543" s="7" t="s">
        <v>10419</v>
      </c>
      <c r="Y1543" s="7" t="s">
        <v>10418</v>
      </c>
      <c r="Z1543" s="7"/>
      <c r="AA1543" s="7"/>
      <c r="AB1543" s="7"/>
      <c r="AC1543" s="7" t="n">
        <v>4</v>
      </c>
      <c r="AD1543" s="7" t="s">
        <v>7611</v>
      </c>
      <c r="AE1543" s="7" t="s">
        <v>744</v>
      </c>
      <c r="AF1543" s="7" t="s">
        <v>10417</v>
      </c>
      <c r="AG1543" s="7" t="s">
        <v>744</v>
      </c>
      <c r="AH1543" s="7" t="s">
        <v>10419</v>
      </c>
      <c r="AI1543" s="7"/>
      <c r="AJ1543" s="7"/>
      <c r="AK1543" s="7"/>
      <c r="AL1543" s="7"/>
      <c r="AM1543" s="7"/>
      <c r="AN1543" s="7"/>
      <c r="AO1543" s="7" t="s">
        <v>744</v>
      </c>
      <c r="AP1543" s="7" t="s">
        <v>746</v>
      </c>
      <c r="AQ1543" s="7"/>
      <c r="AR1543" s="7"/>
      <c r="AS1543" s="7"/>
      <c r="AT1543" s="7"/>
      <c r="AU1543" s="7"/>
      <c r="AV1543" s="7"/>
      <c r="AW1543" s="7" t="s">
        <v>744</v>
      </c>
      <c r="AX1543" s="7" t="s">
        <v>10418</v>
      </c>
      <c r="AY1543" s="7"/>
      <c r="AZ1543" s="7"/>
      <c r="BA1543" s="7"/>
      <c r="BB1543" s="7"/>
      <c r="BC1543" s="7"/>
      <c r="BD1543" s="7" t="s">
        <v>747</v>
      </c>
      <c r="BE1543" s="7" t="s">
        <v>127</v>
      </c>
      <c r="BF1543" s="8"/>
      <c r="BG1543" s="8"/>
      <c r="BH1543" s="8"/>
      <c r="BI1543" s="8"/>
      <c r="BJ1543" s="8"/>
      <c r="BK1543" s="8"/>
      <c r="BL1543" s="8"/>
      <c r="BM1543" s="8"/>
      <c r="BN1543" s="8"/>
      <c r="BO1543" s="8"/>
      <c r="BP1543" s="8"/>
      <c r="BQ1543" s="8"/>
      <c r="BR1543" s="8"/>
      <c r="BS1543" s="8"/>
    </row>
    <row r="1544" customFormat="false" ht="15" hidden="false" customHeight="false" outlineLevel="0" collapsed="false">
      <c r="A1544" s="7" t="s">
        <v>10420</v>
      </c>
      <c r="B1544" s="7" t="s">
        <v>10421</v>
      </c>
      <c r="C1544" s="7" t="s">
        <v>10422</v>
      </c>
      <c r="D1544" s="7" t="s">
        <v>746</v>
      </c>
      <c r="E1544" s="7"/>
      <c r="F1544" s="7" t="s">
        <v>101</v>
      </c>
      <c r="G1544" s="7"/>
      <c r="H1544" s="7"/>
      <c r="I1544" s="7" t="s">
        <v>158</v>
      </c>
      <c r="J1544" s="7" t="s">
        <v>104</v>
      </c>
      <c r="K1544" s="7" t="s">
        <v>105</v>
      </c>
      <c r="L1544" s="7" t="s">
        <v>106</v>
      </c>
      <c r="M1544" s="7"/>
      <c r="N1544" s="7" t="s">
        <v>10423</v>
      </c>
      <c r="O1544" s="7" t="s">
        <v>10423</v>
      </c>
      <c r="P1544" s="7" t="s">
        <v>135</v>
      </c>
      <c r="Q1544" s="7"/>
      <c r="R1544" s="7" t="s">
        <v>109</v>
      </c>
      <c r="S1544" s="7" t="s">
        <v>110</v>
      </c>
      <c r="T1544" s="7" t="n">
        <v>0.442</v>
      </c>
      <c r="U1544" s="7" t="n">
        <v>1</v>
      </c>
      <c r="V1544" s="7" t="s">
        <v>90</v>
      </c>
      <c r="W1544" s="7"/>
      <c r="X1544" s="7" t="s">
        <v>6212</v>
      </c>
      <c r="Y1544" s="7" t="s">
        <v>10423</v>
      </c>
      <c r="Z1544" s="7"/>
      <c r="AA1544" s="7"/>
      <c r="AB1544" s="7"/>
      <c r="AC1544" s="7" t="n">
        <v>4</v>
      </c>
      <c r="AD1544" s="7" t="s">
        <v>7611</v>
      </c>
      <c r="AE1544" s="7" t="s">
        <v>744</v>
      </c>
      <c r="AF1544" s="7" t="s">
        <v>10422</v>
      </c>
      <c r="AG1544" s="7" t="s">
        <v>744</v>
      </c>
      <c r="AH1544" s="7" t="s">
        <v>6212</v>
      </c>
      <c r="AI1544" s="7"/>
      <c r="AJ1544" s="7"/>
      <c r="AK1544" s="7"/>
      <c r="AL1544" s="7"/>
      <c r="AM1544" s="7"/>
      <c r="AN1544" s="7"/>
      <c r="AO1544" s="7" t="s">
        <v>744</v>
      </c>
      <c r="AP1544" s="7" t="s">
        <v>746</v>
      </c>
      <c r="AQ1544" s="7"/>
      <c r="AR1544" s="7"/>
      <c r="AS1544" s="7"/>
      <c r="AT1544" s="7"/>
      <c r="AU1544" s="7"/>
      <c r="AV1544" s="7"/>
      <c r="AW1544" s="7" t="s">
        <v>744</v>
      </c>
      <c r="AX1544" s="7" t="s">
        <v>10423</v>
      </c>
      <c r="AY1544" s="7"/>
      <c r="AZ1544" s="7"/>
      <c r="BA1544" s="7"/>
      <c r="BB1544" s="7"/>
      <c r="BC1544" s="7"/>
      <c r="BD1544" s="7" t="s">
        <v>747</v>
      </c>
      <c r="BE1544" s="7" t="s">
        <v>127</v>
      </c>
      <c r="BF1544" s="8"/>
      <c r="BG1544" s="8"/>
      <c r="BH1544" s="8"/>
      <c r="BI1544" s="8"/>
      <c r="BJ1544" s="8"/>
      <c r="BK1544" s="8"/>
      <c r="BL1544" s="8"/>
      <c r="BM1544" s="8"/>
      <c r="BN1544" s="8"/>
      <c r="BO1544" s="8"/>
      <c r="BP1544" s="8"/>
      <c r="BQ1544" s="8"/>
      <c r="BR1544" s="8"/>
      <c r="BS1544" s="8"/>
    </row>
    <row r="1545" customFormat="false" ht="15" hidden="false" customHeight="false" outlineLevel="0" collapsed="false">
      <c r="A1545" s="7" t="s">
        <v>10424</v>
      </c>
      <c r="B1545" s="7" t="s">
        <v>10425</v>
      </c>
      <c r="C1545" s="7" t="s">
        <v>10426</v>
      </c>
      <c r="D1545" s="7" t="s">
        <v>746</v>
      </c>
      <c r="E1545" s="7"/>
      <c r="F1545" s="7" t="s">
        <v>101</v>
      </c>
      <c r="G1545" s="7"/>
      <c r="H1545" s="7"/>
      <c r="I1545" s="7" t="s">
        <v>158</v>
      </c>
      <c r="J1545" s="7" t="s">
        <v>104</v>
      </c>
      <c r="K1545" s="7" t="s">
        <v>105</v>
      </c>
      <c r="L1545" s="7" t="s">
        <v>106</v>
      </c>
      <c r="M1545" s="7"/>
      <c r="N1545" s="7" t="s">
        <v>10427</v>
      </c>
      <c r="O1545" s="7" t="s">
        <v>10427</v>
      </c>
      <c r="P1545" s="7" t="s">
        <v>135</v>
      </c>
      <c r="Q1545" s="7"/>
      <c r="R1545" s="7" t="s">
        <v>109</v>
      </c>
      <c r="S1545" s="7" t="s">
        <v>110</v>
      </c>
      <c r="T1545" s="7" t="n">
        <v>0.31</v>
      </c>
      <c r="U1545" s="7" t="n">
        <v>1</v>
      </c>
      <c r="V1545" s="7" t="s">
        <v>90</v>
      </c>
      <c r="W1545" s="7"/>
      <c r="X1545" s="7" t="s">
        <v>5571</v>
      </c>
      <c r="Y1545" s="7" t="s">
        <v>10427</v>
      </c>
      <c r="Z1545" s="7"/>
      <c r="AA1545" s="7"/>
      <c r="AB1545" s="7"/>
      <c r="AC1545" s="7" t="n">
        <v>4</v>
      </c>
      <c r="AD1545" s="7" t="s">
        <v>7611</v>
      </c>
      <c r="AE1545" s="7" t="s">
        <v>744</v>
      </c>
      <c r="AF1545" s="7" t="s">
        <v>10426</v>
      </c>
      <c r="AG1545" s="7" t="s">
        <v>744</v>
      </c>
      <c r="AH1545" s="7" t="s">
        <v>5571</v>
      </c>
      <c r="AI1545" s="7"/>
      <c r="AJ1545" s="7"/>
      <c r="AK1545" s="7"/>
      <c r="AL1545" s="7"/>
      <c r="AM1545" s="7"/>
      <c r="AN1545" s="7"/>
      <c r="AO1545" s="7" t="s">
        <v>744</v>
      </c>
      <c r="AP1545" s="7" t="s">
        <v>746</v>
      </c>
      <c r="AQ1545" s="7"/>
      <c r="AR1545" s="7"/>
      <c r="AS1545" s="7"/>
      <c r="AT1545" s="7"/>
      <c r="AU1545" s="7"/>
      <c r="AV1545" s="7"/>
      <c r="AW1545" s="7" t="s">
        <v>744</v>
      </c>
      <c r="AX1545" s="7" t="s">
        <v>10427</v>
      </c>
      <c r="AY1545" s="7"/>
      <c r="AZ1545" s="7"/>
      <c r="BA1545" s="7"/>
      <c r="BB1545" s="7"/>
      <c r="BC1545" s="7"/>
      <c r="BD1545" s="7" t="s">
        <v>747</v>
      </c>
      <c r="BE1545" s="7" t="s">
        <v>127</v>
      </c>
      <c r="BF1545" s="8"/>
      <c r="BG1545" s="8"/>
      <c r="BH1545" s="8"/>
      <c r="BI1545" s="8"/>
      <c r="BJ1545" s="8"/>
      <c r="BK1545" s="8"/>
      <c r="BL1545" s="8"/>
      <c r="BM1545" s="8"/>
      <c r="BN1545" s="8"/>
      <c r="BO1545" s="8"/>
      <c r="BP1545" s="8"/>
      <c r="BQ1545" s="8"/>
      <c r="BR1545" s="8"/>
      <c r="BS1545" s="8"/>
    </row>
    <row r="1546" customFormat="false" ht="15" hidden="false" customHeight="false" outlineLevel="0" collapsed="false">
      <c r="A1546" s="7" t="s">
        <v>10428</v>
      </c>
      <c r="B1546" s="7" t="s">
        <v>10429</v>
      </c>
      <c r="C1546" s="7" t="s">
        <v>10430</v>
      </c>
      <c r="D1546" s="7" t="s">
        <v>746</v>
      </c>
      <c r="E1546" s="7"/>
      <c r="F1546" s="7" t="s">
        <v>101</v>
      </c>
      <c r="G1546" s="7"/>
      <c r="H1546" s="7"/>
      <c r="I1546" s="7" t="s">
        <v>158</v>
      </c>
      <c r="J1546" s="7" t="s">
        <v>104</v>
      </c>
      <c r="K1546" s="7" t="s">
        <v>105</v>
      </c>
      <c r="L1546" s="7" t="s">
        <v>106</v>
      </c>
      <c r="M1546" s="7"/>
      <c r="N1546" s="7" t="s">
        <v>10431</v>
      </c>
      <c r="O1546" s="7" t="s">
        <v>10431</v>
      </c>
      <c r="P1546" s="7" t="s">
        <v>135</v>
      </c>
      <c r="Q1546" s="7"/>
      <c r="R1546" s="7" t="s">
        <v>109</v>
      </c>
      <c r="S1546" s="7" t="s">
        <v>110</v>
      </c>
      <c r="T1546" s="7" t="n">
        <v>0.345</v>
      </c>
      <c r="U1546" s="7" t="n">
        <v>1</v>
      </c>
      <c r="V1546" s="7" t="s">
        <v>90</v>
      </c>
      <c r="W1546" s="7"/>
      <c r="X1546" s="7" t="s">
        <v>2320</v>
      </c>
      <c r="Y1546" s="7" t="s">
        <v>10431</v>
      </c>
      <c r="Z1546" s="7"/>
      <c r="AA1546" s="7"/>
      <c r="AB1546" s="7"/>
      <c r="AC1546" s="7" t="n">
        <v>4</v>
      </c>
      <c r="AD1546" s="7" t="s">
        <v>7611</v>
      </c>
      <c r="AE1546" s="7" t="s">
        <v>744</v>
      </c>
      <c r="AF1546" s="7" t="s">
        <v>10430</v>
      </c>
      <c r="AG1546" s="7" t="s">
        <v>744</v>
      </c>
      <c r="AH1546" s="7" t="s">
        <v>2320</v>
      </c>
      <c r="AI1546" s="7"/>
      <c r="AJ1546" s="7"/>
      <c r="AK1546" s="7"/>
      <c r="AL1546" s="7"/>
      <c r="AM1546" s="7"/>
      <c r="AN1546" s="7"/>
      <c r="AO1546" s="7" t="s">
        <v>744</v>
      </c>
      <c r="AP1546" s="7" t="s">
        <v>746</v>
      </c>
      <c r="AQ1546" s="7"/>
      <c r="AR1546" s="7"/>
      <c r="AS1546" s="7"/>
      <c r="AT1546" s="7"/>
      <c r="AU1546" s="7"/>
      <c r="AV1546" s="7"/>
      <c r="AW1546" s="7" t="s">
        <v>744</v>
      </c>
      <c r="AX1546" s="7" t="s">
        <v>10431</v>
      </c>
      <c r="AY1546" s="7"/>
      <c r="AZ1546" s="7"/>
      <c r="BA1546" s="7"/>
      <c r="BB1546" s="7"/>
      <c r="BC1546" s="7"/>
      <c r="BD1546" s="7" t="s">
        <v>747</v>
      </c>
      <c r="BE1546" s="7" t="s">
        <v>127</v>
      </c>
      <c r="BF1546" s="8"/>
      <c r="BG1546" s="8"/>
      <c r="BH1546" s="8"/>
      <c r="BI1546" s="8"/>
      <c r="BJ1546" s="8"/>
      <c r="BK1546" s="8"/>
      <c r="BL1546" s="8"/>
      <c r="BM1546" s="8"/>
      <c r="BN1546" s="8"/>
      <c r="BO1546" s="8"/>
      <c r="BP1546" s="8"/>
      <c r="BQ1546" s="8"/>
      <c r="BR1546" s="8"/>
      <c r="BS1546" s="8"/>
    </row>
    <row r="1547" customFormat="false" ht="15" hidden="false" customHeight="false" outlineLevel="0" collapsed="false">
      <c r="A1547" s="7" t="s">
        <v>10432</v>
      </c>
      <c r="B1547" s="7" t="s">
        <v>10433</v>
      </c>
      <c r="C1547" s="7" t="s">
        <v>10434</v>
      </c>
      <c r="D1547" s="7" t="s">
        <v>746</v>
      </c>
      <c r="E1547" s="7"/>
      <c r="F1547" s="7" t="s">
        <v>101</v>
      </c>
      <c r="G1547" s="7"/>
      <c r="H1547" s="7"/>
      <c r="I1547" s="7" t="s">
        <v>158</v>
      </c>
      <c r="J1547" s="7" t="s">
        <v>104</v>
      </c>
      <c r="K1547" s="7" t="s">
        <v>105</v>
      </c>
      <c r="L1547" s="7" t="s">
        <v>106</v>
      </c>
      <c r="M1547" s="7"/>
      <c r="N1547" s="7" t="s">
        <v>10435</v>
      </c>
      <c r="O1547" s="7" t="s">
        <v>10435</v>
      </c>
      <c r="P1547" s="7" t="s">
        <v>135</v>
      </c>
      <c r="Q1547" s="7"/>
      <c r="R1547" s="7" t="s">
        <v>109</v>
      </c>
      <c r="S1547" s="7" t="s">
        <v>110</v>
      </c>
      <c r="T1547" s="7" t="n">
        <v>0.412</v>
      </c>
      <c r="U1547" s="7" t="n">
        <v>1</v>
      </c>
      <c r="V1547" s="7" t="s">
        <v>90</v>
      </c>
      <c r="W1547" s="7"/>
      <c r="X1547" s="7" t="s">
        <v>10436</v>
      </c>
      <c r="Y1547" s="7" t="s">
        <v>10435</v>
      </c>
      <c r="Z1547" s="7"/>
      <c r="AA1547" s="7"/>
      <c r="AB1547" s="7"/>
      <c r="AC1547" s="7" t="n">
        <v>4</v>
      </c>
      <c r="AD1547" s="7" t="s">
        <v>7611</v>
      </c>
      <c r="AE1547" s="7" t="s">
        <v>744</v>
      </c>
      <c r="AF1547" s="7" t="s">
        <v>10434</v>
      </c>
      <c r="AG1547" s="7" t="s">
        <v>744</v>
      </c>
      <c r="AH1547" s="7" t="s">
        <v>10436</v>
      </c>
      <c r="AI1547" s="7"/>
      <c r="AJ1547" s="7"/>
      <c r="AK1547" s="7"/>
      <c r="AL1547" s="7"/>
      <c r="AM1547" s="7"/>
      <c r="AN1547" s="7"/>
      <c r="AO1547" s="7" t="s">
        <v>744</v>
      </c>
      <c r="AP1547" s="7" t="s">
        <v>746</v>
      </c>
      <c r="AQ1547" s="7"/>
      <c r="AR1547" s="7"/>
      <c r="AS1547" s="7"/>
      <c r="AT1547" s="7"/>
      <c r="AU1547" s="7"/>
      <c r="AV1547" s="7"/>
      <c r="AW1547" s="7" t="s">
        <v>744</v>
      </c>
      <c r="AX1547" s="7" t="s">
        <v>10435</v>
      </c>
      <c r="AY1547" s="7"/>
      <c r="AZ1547" s="7"/>
      <c r="BA1547" s="7"/>
      <c r="BB1547" s="7"/>
      <c r="BC1547" s="7"/>
      <c r="BD1547" s="7" t="s">
        <v>747</v>
      </c>
      <c r="BE1547" s="7" t="s">
        <v>127</v>
      </c>
      <c r="BF1547" s="8"/>
      <c r="BG1547" s="8"/>
      <c r="BH1547" s="8"/>
      <c r="BI1547" s="8"/>
      <c r="BJ1547" s="8"/>
      <c r="BK1547" s="8"/>
      <c r="BL1547" s="8"/>
      <c r="BM1547" s="8"/>
      <c r="BN1547" s="8"/>
      <c r="BO1547" s="8"/>
      <c r="BP1547" s="8"/>
      <c r="BQ1547" s="8"/>
      <c r="BR1547" s="8"/>
      <c r="BS1547" s="8"/>
    </row>
    <row r="1548" customFormat="false" ht="15" hidden="false" customHeight="false" outlineLevel="0" collapsed="false">
      <c r="A1548" s="7" t="s">
        <v>10437</v>
      </c>
      <c r="B1548" s="7" t="s">
        <v>10438</v>
      </c>
      <c r="C1548" s="7" t="s">
        <v>10439</v>
      </c>
      <c r="D1548" s="7" t="s">
        <v>746</v>
      </c>
      <c r="E1548" s="7"/>
      <c r="F1548" s="7" t="s">
        <v>101</v>
      </c>
      <c r="G1548" s="7"/>
      <c r="H1548" s="7"/>
      <c r="I1548" s="7" t="s">
        <v>158</v>
      </c>
      <c r="J1548" s="7" t="s">
        <v>104</v>
      </c>
      <c r="K1548" s="7" t="s">
        <v>105</v>
      </c>
      <c r="L1548" s="7" t="s">
        <v>106</v>
      </c>
      <c r="M1548" s="7"/>
      <c r="N1548" s="7" t="s">
        <v>10440</v>
      </c>
      <c r="O1548" s="7" t="s">
        <v>10440</v>
      </c>
      <c r="P1548" s="7" t="s">
        <v>135</v>
      </c>
      <c r="Q1548" s="7"/>
      <c r="R1548" s="7" t="s">
        <v>109</v>
      </c>
      <c r="S1548" s="7" t="s">
        <v>110</v>
      </c>
      <c r="T1548" s="7" t="n">
        <v>0.463</v>
      </c>
      <c r="U1548" s="7" t="n">
        <v>1</v>
      </c>
      <c r="V1548" s="7" t="s">
        <v>90</v>
      </c>
      <c r="W1548" s="7"/>
      <c r="X1548" s="7" t="s">
        <v>5628</v>
      </c>
      <c r="Y1548" s="7" t="s">
        <v>10440</v>
      </c>
      <c r="Z1548" s="7"/>
      <c r="AA1548" s="7"/>
      <c r="AB1548" s="7"/>
      <c r="AC1548" s="7" t="n">
        <v>4</v>
      </c>
      <c r="AD1548" s="7" t="s">
        <v>7611</v>
      </c>
      <c r="AE1548" s="7" t="s">
        <v>744</v>
      </c>
      <c r="AF1548" s="7" t="s">
        <v>10439</v>
      </c>
      <c r="AG1548" s="7" t="s">
        <v>744</v>
      </c>
      <c r="AH1548" s="7" t="s">
        <v>5628</v>
      </c>
      <c r="AI1548" s="7"/>
      <c r="AJ1548" s="7"/>
      <c r="AK1548" s="7"/>
      <c r="AL1548" s="7"/>
      <c r="AM1548" s="7"/>
      <c r="AN1548" s="7"/>
      <c r="AO1548" s="7" t="s">
        <v>744</v>
      </c>
      <c r="AP1548" s="7" t="s">
        <v>746</v>
      </c>
      <c r="AQ1548" s="7"/>
      <c r="AR1548" s="7"/>
      <c r="AS1548" s="7"/>
      <c r="AT1548" s="7"/>
      <c r="AU1548" s="7"/>
      <c r="AV1548" s="7"/>
      <c r="AW1548" s="7" t="s">
        <v>744</v>
      </c>
      <c r="AX1548" s="7" t="s">
        <v>10440</v>
      </c>
      <c r="AY1548" s="7"/>
      <c r="AZ1548" s="7"/>
      <c r="BA1548" s="7"/>
      <c r="BB1548" s="7"/>
      <c r="BC1548" s="7"/>
      <c r="BD1548" s="7" t="s">
        <v>747</v>
      </c>
      <c r="BE1548" s="7" t="s">
        <v>127</v>
      </c>
      <c r="BF1548" s="8"/>
      <c r="BG1548" s="8"/>
      <c r="BH1548" s="8"/>
      <c r="BI1548" s="8"/>
      <c r="BJ1548" s="8"/>
      <c r="BK1548" s="8"/>
      <c r="BL1548" s="8"/>
      <c r="BM1548" s="8"/>
      <c r="BN1548" s="8"/>
      <c r="BO1548" s="8"/>
      <c r="BP1548" s="8"/>
      <c r="BQ1548" s="8"/>
      <c r="BR1548" s="8"/>
      <c r="BS1548" s="8"/>
    </row>
    <row r="1549" customFormat="false" ht="15" hidden="false" customHeight="false" outlineLevel="0" collapsed="false">
      <c r="A1549" s="7" t="s">
        <v>10441</v>
      </c>
      <c r="B1549" s="7" t="s">
        <v>10442</v>
      </c>
      <c r="C1549" s="7" t="s">
        <v>10443</v>
      </c>
      <c r="D1549" s="7" t="s">
        <v>746</v>
      </c>
      <c r="E1549" s="7"/>
      <c r="F1549" s="7" t="s">
        <v>101</v>
      </c>
      <c r="G1549" s="7"/>
      <c r="H1549" s="7"/>
      <c r="I1549" s="7" t="s">
        <v>158</v>
      </c>
      <c r="J1549" s="7" t="s">
        <v>104</v>
      </c>
      <c r="K1549" s="7" t="s">
        <v>105</v>
      </c>
      <c r="L1549" s="7" t="s">
        <v>106</v>
      </c>
      <c r="M1549" s="7"/>
      <c r="N1549" s="7" t="s">
        <v>10444</v>
      </c>
      <c r="O1549" s="7" t="s">
        <v>10444</v>
      </c>
      <c r="P1549" s="7" t="s">
        <v>135</v>
      </c>
      <c r="Q1549" s="7"/>
      <c r="R1549" s="7" t="s">
        <v>109</v>
      </c>
      <c r="S1549" s="7" t="s">
        <v>110</v>
      </c>
      <c r="T1549" s="7" t="n">
        <v>0.411</v>
      </c>
      <c r="U1549" s="7" t="n">
        <v>1</v>
      </c>
      <c r="V1549" s="7" t="s">
        <v>90</v>
      </c>
      <c r="W1549" s="7"/>
      <c r="X1549" s="7" t="s">
        <v>10445</v>
      </c>
      <c r="Y1549" s="7" t="s">
        <v>10444</v>
      </c>
      <c r="Z1549" s="7"/>
      <c r="AA1549" s="7"/>
      <c r="AB1549" s="7"/>
      <c r="AC1549" s="7" t="n">
        <v>4</v>
      </c>
      <c r="AD1549" s="7" t="s">
        <v>7611</v>
      </c>
      <c r="AE1549" s="7" t="s">
        <v>744</v>
      </c>
      <c r="AF1549" s="7" t="s">
        <v>10443</v>
      </c>
      <c r="AG1549" s="7" t="s">
        <v>744</v>
      </c>
      <c r="AH1549" s="7" t="s">
        <v>10445</v>
      </c>
      <c r="AI1549" s="7"/>
      <c r="AJ1549" s="7"/>
      <c r="AK1549" s="7"/>
      <c r="AL1549" s="7"/>
      <c r="AM1549" s="7"/>
      <c r="AN1549" s="7"/>
      <c r="AO1549" s="7" t="s">
        <v>744</v>
      </c>
      <c r="AP1549" s="7" t="s">
        <v>746</v>
      </c>
      <c r="AQ1549" s="7"/>
      <c r="AR1549" s="7"/>
      <c r="AS1549" s="7"/>
      <c r="AT1549" s="7"/>
      <c r="AU1549" s="7"/>
      <c r="AV1549" s="7"/>
      <c r="AW1549" s="7" t="s">
        <v>744</v>
      </c>
      <c r="AX1549" s="7" t="s">
        <v>10444</v>
      </c>
      <c r="AY1549" s="7"/>
      <c r="AZ1549" s="7"/>
      <c r="BA1549" s="7"/>
      <c r="BB1549" s="7"/>
      <c r="BC1549" s="7"/>
      <c r="BD1549" s="7" t="s">
        <v>747</v>
      </c>
      <c r="BE1549" s="7" t="s">
        <v>127</v>
      </c>
      <c r="BF1549" s="8"/>
      <c r="BG1549" s="8"/>
      <c r="BH1549" s="8"/>
      <c r="BI1549" s="8"/>
      <c r="BJ1549" s="8"/>
      <c r="BK1549" s="8"/>
      <c r="BL1549" s="8"/>
      <c r="BM1549" s="8"/>
      <c r="BN1549" s="8"/>
      <c r="BO1549" s="8"/>
      <c r="BP1549" s="8"/>
      <c r="BQ1549" s="8"/>
      <c r="BR1549" s="8"/>
      <c r="BS1549" s="8"/>
    </row>
    <row r="1550" customFormat="false" ht="15" hidden="false" customHeight="false" outlineLevel="0" collapsed="false">
      <c r="A1550" s="7" t="s">
        <v>10446</v>
      </c>
      <c r="B1550" s="7" t="s">
        <v>10447</v>
      </c>
      <c r="C1550" s="7" t="s">
        <v>10448</v>
      </c>
      <c r="D1550" s="7" t="s">
        <v>746</v>
      </c>
      <c r="E1550" s="7"/>
      <c r="F1550" s="7" t="s">
        <v>101</v>
      </c>
      <c r="G1550" s="7"/>
      <c r="H1550" s="7"/>
      <c r="I1550" s="7" t="s">
        <v>158</v>
      </c>
      <c r="J1550" s="7" t="s">
        <v>104</v>
      </c>
      <c r="K1550" s="7" t="s">
        <v>105</v>
      </c>
      <c r="L1550" s="7" t="s">
        <v>106</v>
      </c>
      <c r="M1550" s="7"/>
      <c r="N1550" s="7" t="s">
        <v>10449</v>
      </c>
      <c r="O1550" s="7" t="s">
        <v>10449</v>
      </c>
      <c r="P1550" s="7" t="s">
        <v>135</v>
      </c>
      <c r="Q1550" s="7"/>
      <c r="R1550" s="7" t="s">
        <v>109</v>
      </c>
      <c r="S1550" s="7" t="s">
        <v>110</v>
      </c>
      <c r="T1550" s="7" t="n">
        <v>0.324</v>
      </c>
      <c r="U1550" s="7" t="n">
        <v>1</v>
      </c>
      <c r="V1550" s="7" t="s">
        <v>90</v>
      </c>
      <c r="W1550" s="7"/>
      <c r="X1550" s="7" t="s">
        <v>9163</v>
      </c>
      <c r="Y1550" s="7" t="s">
        <v>10449</v>
      </c>
      <c r="Z1550" s="7"/>
      <c r="AA1550" s="7"/>
      <c r="AB1550" s="7"/>
      <c r="AC1550" s="7" t="n">
        <v>4</v>
      </c>
      <c r="AD1550" s="7" t="s">
        <v>7611</v>
      </c>
      <c r="AE1550" s="7" t="s">
        <v>744</v>
      </c>
      <c r="AF1550" s="7" t="s">
        <v>10448</v>
      </c>
      <c r="AG1550" s="7" t="s">
        <v>744</v>
      </c>
      <c r="AH1550" s="7" t="s">
        <v>9163</v>
      </c>
      <c r="AI1550" s="7"/>
      <c r="AJ1550" s="7"/>
      <c r="AK1550" s="7"/>
      <c r="AL1550" s="7"/>
      <c r="AM1550" s="7"/>
      <c r="AN1550" s="7"/>
      <c r="AO1550" s="7" t="s">
        <v>744</v>
      </c>
      <c r="AP1550" s="7" t="s">
        <v>746</v>
      </c>
      <c r="AQ1550" s="7"/>
      <c r="AR1550" s="7"/>
      <c r="AS1550" s="7"/>
      <c r="AT1550" s="7"/>
      <c r="AU1550" s="7"/>
      <c r="AV1550" s="7"/>
      <c r="AW1550" s="7" t="s">
        <v>744</v>
      </c>
      <c r="AX1550" s="7" t="s">
        <v>10449</v>
      </c>
      <c r="AY1550" s="7"/>
      <c r="AZ1550" s="7"/>
      <c r="BA1550" s="7"/>
      <c r="BB1550" s="7"/>
      <c r="BC1550" s="7"/>
      <c r="BD1550" s="7" t="s">
        <v>747</v>
      </c>
      <c r="BE1550" s="7" t="s">
        <v>127</v>
      </c>
      <c r="BF1550" s="8"/>
      <c r="BG1550" s="8"/>
      <c r="BH1550" s="8"/>
      <c r="BI1550" s="8"/>
      <c r="BJ1550" s="8"/>
      <c r="BK1550" s="8"/>
      <c r="BL1550" s="8"/>
      <c r="BM1550" s="8"/>
      <c r="BN1550" s="8"/>
      <c r="BO1550" s="8"/>
      <c r="BP1550" s="8"/>
      <c r="BQ1550" s="8"/>
      <c r="BR1550" s="8"/>
      <c r="BS1550" s="8"/>
    </row>
    <row r="1551" customFormat="false" ht="15" hidden="false" customHeight="false" outlineLevel="0" collapsed="false">
      <c r="A1551" s="7" t="s">
        <v>10450</v>
      </c>
      <c r="B1551" s="7" t="s">
        <v>10451</v>
      </c>
      <c r="C1551" s="7" t="s">
        <v>10452</v>
      </c>
      <c r="D1551" s="7" t="s">
        <v>746</v>
      </c>
      <c r="E1551" s="7" t="s">
        <v>431</v>
      </c>
      <c r="F1551" s="7" t="s">
        <v>431</v>
      </c>
      <c r="G1551" s="7"/>
      <c r="H1551" s="7"/>
      <c r="I1551" s="7" t="s">
        <v>158</v>
      </c>
      <c r="J1551" s="7" t="s">
        <v>104</v>
      </c>
      <c r="K1551" s="7" t="s">
        <v>105</v>
      </c>
      <c r="L1551" s="7" t="s">
        <v>106</v>
      </c>
      <c r="M1551" s="7"/>
      <c r="N1551" s="7" t="s">
        <v>10453</v>
      </c>
      <c r="O1551" s="7" t="s">
        <v>10453</v>
      </c>
      <c r="P1551" s="7" t="s">
        <v>135</v>
      </c>
      <c r="Q1551" s="7"/>
      <c r="R1551" s="7" t="s">
        <v>109</v>
      </c>
      <c r="S1551" s="7" t="s">
        <v>110</v>
      </c>
      <c r="T1551" s="7" t="n">
        <v>0.527</v>
      </c>
      <c r="U1551" s="7" t="n">
        <v>1</v>
      </c>
      <c r="V1551" s="7" t="s">
        <v>90</v>
      </c>
      <c r="W1551" s="7"/>
      <c r="X1551" s="7" t="s">
        <v>9163</v>
      </c>
      <c r="Y1551" s="7" t="s">
        <v>10453</v>
      </c>
      <c r="Z1551" s="7"/>
      <c r="AA1551" s="7"/>
      <c r="AB1551" s="7"/>
      <c r="AC1551" s="7" t="n">
        <v>5</v>
      </c>
      <c r="AD1551" s="7" t="s">
        <v>743</v>
      </c>
      <c r="AE1551" s="7" t="s">
        <v>744</v>
      </c>
      <c r="AF1551" s="7" t="s">
        <v>10452</v>
      </c>
      <c r="AG1551" s="7" t="s">
        <v>744</v>
      </c>
      <c r="AH1551" s="7" t="s">
        <v>9163</v>
      </c>
      <c r="AI1551" s="7"/>
      <c r="AJ1551" s="7"/>
      <c r="AK1551" s="7"/>
      <c r="AL1551" s="7"/>
      <c r="AM1551" s="7"/>
      <c r="AN1551" s="7"/>
      <c r="AO1551" s="7" t="s">
        <v>744</v>
      </c>
      <c r="AP1551" s="7" t="s">
        <v>746</v>
      </c>
      <c r="AQ1551" s="7" t="s">
        <v>744</v>
      </c>
      <c r="AR1551" s="7" t="s">
        <v>431</v>
      </c>
      <c r="AS1551" s="7"/>
      <c r="AT1551" s="7"/>
      <c r="AU1551" s="7"/>
      <c r="AV1551" s="7"/>
      <c r="AW1551" s="7" t="s">
        <v>744</v>
      </c>
      <c r="AX1551" s="7" t="s">
        <v>10453</v>
      </c>
      <c r="AY1551" s="7"/>
      <c r="AZ1551" s="7"/>
      <c r="BA1551" s="7"/>
      <c r="BB1551" s="7"/>
      <c r="BC1551" s="7"/>
      <c r="BD1551" s="7" t="s">
        <v>747</v>
      </c>
      <c r="BE1551" s="7" t="s">
        <v>127</v>
      </c>
      <c r="BF1551" s="8"/>
      <c r="BG1551" s="8"/>
      <c r="BH1551" s="8"/>
      <c r="BI1551" s="8"/>
      <c r="BJ1551" s="8"/>
      <c r="BK1551" s="8"/>
      <c r="BL1551" s="8"/>
      <c r="BM1551" s="8"/>
      <c r="BN1551" s="8"/>
      <c r="BO1551" s="8"/>
      <c r="BP1551" s="8"/>
      <c r="BQ1551" s="8"/>
      <c r="BR1551" s="8"/>
      <c r="BS1551" s="8"/>
    </row>
    <row r="1552" customFormat="false" ht="15" hidden="false" customHeight="false" outlineLevel="0" collapsed="false">
      <c r="A1552" s="7" t="s">
        <v>10454</v>
      </c>
      <c r="B1552" s="7" t="s">
        <v>10455</v>
      </c>
      <c r="C1552" s="7" t="s">
        <v>10456</v>
      </c>
      <c r="D1552" s="7" t="s">
        <v>746</v>
      </c>
      <c r="E1552" s="7" t="s">
        <v>431</v>
      </c>
      <c r="F1552" s="7" t="s">
        <v>431</v>
      </c>
      <c r="G1552" s="7"/>
      <c r="H1552" s="7"/>
      <c r="I1552" s="7" t="s">
        <v>158</v>
      </c>
      <c r="J1552" s="7" t="s">
        <v>104</v>
      </c>
      <c r="K1552" s="7" t="s">
        <v>105</v>
      </c>
      <c r="L1552" s="7" t="s">
        <v>106</v>
      </c>
      <c r="M1552" s="7"/>
      <c r="N1552" s="7" t="s">
        <v>10457</v>
      </c>
      <c r="O1552" s="7" t="s">
        <v>10457</v>
      </c>
      <c r="P1552" s="7" t="s">
        <v>135</v>
      </c>
      <c r="Q1552" s="7"/>
      <c r="R1552" s="7" t="s">
        <v>109</v>
      </c>
      <c r="S1552" s="7" t="s">
        <v>110</v>
      </c>
      <c r="T1552" s="7" t="n">
        <v>0.456</v>
      </c>
      <c r="U1552" s="7" t="n">
        <v>1</v>
      </c>
      <c r="V1552" s="7" t="s">
        <v>90</v>
      </c>
      <c r="W1552" s="7"/>
      <c r="X1552" s="7" t="s">
        <v>9163</v>
      </c>
      <c r="Y1552" s="7" t="s">
        <v>10457</v>
      </c>
      <c r="Z1552" s="7"/>
      <c r="AA1552" s="7"/>
      <c r="AB1552" s="7"/>
      <c r="AC1552" s="7" t="n">
        <v>5</v>
      </c>
      <c r="AD1552" s="7" t="s">
        <v>743</v>
      </c>
      <c r="AE1552" s="7" t="s">
        <v>744</v>
      </c>
      <c r="AF1552" s="7" t="s">
        <v>10456</v>
      </c>
      <c r="AG1552" s="7" t="s">
        <v>744</v>
      </c>
      <c r="AH1552" s="7" t="s">
        <v>9163</v>
      </c>
      <c r="AI1552" s="7"/>
      <c r="AJ1552" s="7"/>
      <c r="AK1552" s="7"/>
      <c r="AL1552" s="7"/>
      <c r="AM1552" s="7"/>
      <c r="AN1552" s="7"/>
      <c r="AO1552" s="7" t="s">
        <v>744</v>
      </c>
      <c r="AP1552" s="7" t="s">
        <v>746</v>
      </c>
      <c r="AQ1552" s="7" t="s">
        <v>744</v>
      </c>
      <c r="AR1552" s="7" t="s">
        <v>431</v>
      </c>
      <c r="AS1552" s="7"/>
      <c r="AT1552" s="7"/>
      <c r="AU1552" s="7"/>
      <c r="AV1552" s="7"/>
      <c r="AW1552" s="7" t="s">
        <v>744</v>
      </c>
      <c r="AX1552" s="7" t="s">
        <v>10457</v>
      </c>
      <c r="AY1552" s="7"/>
      <c r="AZ1552" s="7"/>
      <c r="BA1552" s="7"/>
      <c r="BB1552" s="7"/>
      <c r="BC1552" s="7"/>
      <c r="BD1552" s="7" t="s">
        <v>747</v>
      </c>
      <c r="BE1552" s="7" t="s">
        <v>127</v>
      </c>
      <c r="BF1552" s="8"/>
      <c r="BG1552" s="8"/>
      <c r="BH1552" s="8"/>
      <c r="BI1552" s="8"/>
      <c r="BJ1552" s="8"/>
      <c r="BK1552" s="8"/>
      <c r="BL1552" s="8"/>
      <c r="BM1552" s="8"/>
      <c r="BN1552" s="8"/>
      <c r="BO1552" s="8"/>
      <c r="BP1552" s="8"/>
      <c r="BQ1552" s="8"/>
      <c r="BR1552" s="8"/>
      <c r="BS1552" s="8"/>
    </row>
    <row r="1553" customFormat="false" ht="15" hidden="false" customHeight="false" outlineLevel="0" collapsed="false">
      <c r="A1553" s="7" t="s">
        <v>10458</v>
      </c>
      <c r="B1553" s="7" t="s">
        <v>10459</v>
      </c>
      <c r="C1553" s="7" t="s">
        <v>10460</v>
      </c>
      <c r="D1553" s="7" t="s">
        <v>746</v>
      </c>
      <c r="E1553" s="7" t="s">
        <v>819</v>
      </c>
      <c r="F1553" s="7" t="s">
        <v>819</v>
      </c>
      <c r="G1553" s="7"/>
      <c r="H1553" s="7"/>
      <c r="I1553" s="7" t="s">
        <v>158</v>
      </c>
      <c r="J1553" s="7" t="s">
        <v>104</v>
      </c>
      <c r="K1553" s="7" t="s">
        <v>105</v>
      </c>
      <c r="L1553" s="7" t="s">
        <v>106</v>
      </c>
      <c r="M1553" s="7"/>
      <c r="N1553" s="7" t="s">
        <v>10461</v>
      </c>
      <c r="O1553" s="7" t="s">
        <v>10461</v>
      </c>
      <c r="P1553" s="7" t="s">
        <v>135</v>
      </c>
      <c r="Q1553" s="7"/>
      <c r="R1553" s="7" t="s">
        <v>109</v>
      </c>
      <c r="S1553" s="7" t="s">
        <v>110</v>
      </c>
      <c r="T1553" s="7" t="n">
        <v>0.437</v>
      </c>
      <c r="U1553" s="7" t="n">
        <v>1</v>
      </c>
      <c r="V1553" s="7" t="s">
        <v>90</v>
      </c>
      <c r="W1553" s="7"/>
      <c r="X1553" s="7" t="s">
        <v>1284</v>
      </c>
      <c r="Y1553" s="7" t="s">
        <v>10461</v>
      </c>
      <c r="Z1553" s="7"/>
      <c r="AA1553" s="7"/>
      <c r="AB1553" s="7"/>
      <c r="AC1553" s="7" t="n">
        <v>5</v>
      </c>
      <c r="AD1553" s="7" t="s">
        <v>743</v>
      </c>
      <c r="AE1553" s="7" t="s">
        <v>744</v>
      </c>
      <c r="AF1553" s="7" t="s">
        <v>10460</v>
      </c>
      <c r="AG1553" s="7" t="s">
        <v>744</v>
      </c>
      <c r="AH1553" s="7" t="s">
        <v>1284</v>
      </c>
      <c r="AI1553" s="7"/>
      <c r="AJ1553" s="7"/>
      <c r="AK1553" s="7"/>
      <c r="AL1553" s="7"/>
      <c r="AM1553" s="7"/>
      <c r="AN1553" s="7"/>
      <c r="AO1553" s="7" t="s">
        <v>744</v>
      </c>
      <c r="AP1553" s="7" t="s">
        <v>746</v>
      </c>
      <c r="AQ1553" s="7" t="s">
        <v>744</v>
      </c>
      <c r="AR1553" s="7" t="s">
        <v>819</v>
      </c>
      <c r="AS1553" s="7"/>
      <c r="AT1553" s="7"/>
      <c r="AU1553" s="7"/>
      <c r="AV1553" s="7"/>
      <c r="AW1553" s="7" t="s">
        <v>744</v>
      </c>
      <c r="AX1553" s="7" t="s">
        <v>10461</v>
      </c>
      <c r="AY1553" s="7"/>
      <c r="AZ1553" s="7"/>
      <c r="BA1553" s="7"/>
      <c r="BB1553" s="7"/>
      <c r="BC1553" s="7"/>
      <c r="BD1553" s="7" t="s">
        <v>747</v>
      </c>
      <c r="BE1553" s="7" t="s">
        <v>127</v>
      </c>
      <c r="BF1553" s="8"/>
      <c r="BG1553" s="8"/>
      <c r="BH1553" s="8"/>
      <c r="BI1553" s="8"/>
      <c r="BJ1553" s="8"/>
      <c r="BK1553" s="8"/>
      <c r="BL1553" s="8"/>
      <c r="BM1553" s="8"/>
      <c r="BN1553" s="8"/>
      <c r="BO1553" s="8"/>
      <c r="BP1553" s="8"/>
      <c r="BQ1553" s="8"/>
      <c r="BR1553" s="8"/>
      <c r="BS1553" s="8"/>
    </row>
    <row r="1554" customFormat="false" ht="15" hidden="false" customHeight="false" outlineLevel="0" collapsed="false">
      <c r="A1554" s="7" t="s">
        <v>10462</v>
      </c>
      <c r="B1554" s="7" t="s">
        <v>10463</v>
      </c>
      <c r="C1554" s="7" t="s">
        <v>10464</v>
      </c>
      <c r="D1554" s="7" t="s">
        <v>10465</v>
      </c>
      <c r="E1554" s="7" t="s">
        <v>3127</v>
      </c>
      <c r="F1554" s="7" t="s">
        <v>3127</v>
      </c>
      <c r="G1554" s="7"/>
      <c r="H1554" s="7"/>
      <c r="I1554" s="7" t="s">
        <v>132</v>
      </c>
      <c r="J1554" s="7" t="s">
        <v>104</v>
      </c>
      <c r="K1554" s="7" t="s">
        <v>105</v>
      </c>
      <c r="L1554" s="7" t="s">
        <v>106</v>
      </c>
      <c r="M1554" s="7"/>
      <c r="N1554" s="7" t="s">
        <v>10466</v>
      </c>
      <c r="O1554" s="7" t="s">
        <v>10466</v>
      </c>
      <c r="P1554" s="7" t="s">
        <v>135</v>
      </c>
      <c r="Q1554" s="7"/>
      <c r="R1554" s="7" t="s">
        <v>109</v>
      </c>
      <c r="S1554" s="7" t="s">
        <v>110</v>
      </c>
      <c r="T1554" s="7" t="n">
        <v>0.411</v>
      </c>
      <c r="U1554" s="7" t="n">
        <v>1</v>
      </c>
      <c r="V1554" s="7" t="s">
        <v>90</v>
      </c>
      <c r="W1554" s="7"/>
      <c r="X1554" s="7" t="s">
        <v>4848</v>
      </c>
      <c r="Y1554" s="7" t="s">
        <v>10466</v>
      </c>
      <c r="Z1554" s="7"/>
      <c r="AA1554" s="7"/>
      <c r="AB1554" s="7"/>
      <c r="AC1554" s="7" t="n">
        <v>5</v>
      </c>
      <c r="AD1554" s="7" t="s">
        <v>743</v>
      </c>
      <c r="AE1554" s="7" t="s">
        <v>744</v>
      </c>
      <c r="AF1554" s="7" t="s">
        <v>10464</v>
      </c>
      <c r="AG1554" s="7" t="s">
        <v>744</v>
      </c>
      <c r="AH1554" s="7" t="s">
        <v>4848</v>
      </c>
      <c r="AI1554" s="7"/>
      <c r="AJ1554" s="7"/>
      <c r="AK1554" s="7"/>
      <c r="AL1554" s="7"/>
      <c r="AM1554" s="7"/>
      <c r="AN1554" s="7"/>
      <c r="AO1554" s="7" t="s">
        <v>744</v>
      </c>
      <c r="AP1554" s="7" t="s">
        <v>10465</v>
      </c>
      <c r="AQ1554" s="7" t="s">
        <v>744</v>
      </c>
      <c r="AR1554" s="7" t="s">
        <v>3127</v>
      </c>
      <c r="AS1554" s="7"/>
      <c r="AT1554" s="7"/>
      <c r="AU1554" s="7"/>
      <c r="AV1554" s="7"/>
      <c r="AW1554" s="7" t="s">
        <v>744</v>
      </c>
      <c r="AX1554" s="7" t="s">
        <v>10466</v>
      </c>
      <c r="AY1554" s="7"/>
      <c r="AZ1554" s="7"/>
      <c r="BA1554" s="7"/>
      <c r="BB1554" s="7"/>
      <c r="BC1554" s="7"/>
      <c r="BD1554" s="7" t="s">
        <v>440</v>
      </c>
      <c r="BE1554" s="7" t="s">
        <v>127</v>
      </c>
      <c r="BF1554" s="8"/>
      <c r="BG1554" s="8"/>
      <c r="BH1554" s="8"/>
      <c r="BI1554" s="8"/>
      <c r="BJ1554" s="8"/>
      <c r="BK1554" s="8"/>
      <c r="BL1554" s="8"/>
      <c r="BM1554" s="8"/>
      <c r="BN1554" s="8"/>
      <c r="BO1554" s="8"/>
      <c r="BP1554" s="8"/>
      <c r="BQ1554" s="8"/>
      <c r="BR1554" s="8"/>
      <c r="BS1554" s="8"/>
    </row>
    <row r="1555" customFormat="false" ht="15" hidden="false" customHeight="false" outlineLevel="0" collapsed="false">
      <c r="A1555" s="7" t="s">
        <v>10467</v>
      </c>
      <c r="B1555" s="7" t="s">
        <v>10468</v>
      </c>
      <c r="C1555" s="7" t="s">
        <v>10469</v>
      </c>
      <c r="D1555" s="7" t="s">
        <v>10470</v>
      </c>
      <c r="E1555" s="7" t="s">
        <v>737</v>
      </c>
      <c r="F1555" s="7" t="s">
        <v>737</v>
      </c>
      <c r="G1555" s="7"/>
      <c r="H1555" s="7"/>
      <c r="I1555" s="7" t="s">
        <v>158</v>
      </c>
      <c r="J1555" s="7" t="s">
        <v>104</v>
      </c>
      <c r="K1555" s="7" t="s">
        <v>105</v>
      </c>
      <c r="L1555" s="7" t="s">
        <v>353</v>
      </c>
      <c r="M1555" s="7"/>
      <c r="N1555" s="7" t="s">
        <v>10471</v>
      </c>
      <c r="O1555" s="7" t="s">
        <v>10471</v>
      </c>
      <c r="P1555" s="7" t="s">
        <v>135</v>
      </c>
      <c r="Q1555" s="7"/>
      <c r="R1555" s="7" t="s">
        <v>109</v>
      </c>
      <c r="S1555" s="7" t="s">
        <v>110</v>
      </c>
      <c r="T1555" s="7" t="n">
        <v>0.525</v>
      </c>
      <c r="U1555" s="7" t="n">
        <v>1</v>
      </c>
      <c r="V1555" s="7" t="s">
        <v>90</v>
      </c>
      <c r="W1555" s="7"/>
      <c r="X1555" s="7" t="s">
        <v>7330</v>
      </c>
      <c r="Y1555" s="7" t="s">
        <v>10471</v>
      </c>
      <c r="Z1555" s="7"/>
      <c r="AA1555" s="7"/>
      <c r="AB1555" s="7"/>
      <c r="AC1555" s="7" t="n">
        <v>5</v>
      </c>
      <c r="AD1555" s="7" t="s">
        <v>743</v>
      </c>
      <c r="AE1555" s="7" t="s">
        <v>744</v>
      </c>
      <c r="AF1555" s="7" t="s">
        <v>10469</v>
      </c>
      <c r="AG1555" s="7" t="s">
        <v>744</v>
      </c>
      <c r="AH1555" s="7" t="s">
        <v>7330</v>
      </c>
      <c r="AI1555" s="7"/>
      <c r="AJ1555" s="7"/>
      <c r="AK1555" s="7"/>
      <c r="AL1555" s="7"/>
      <c r="AM1555" s="7"/>
      <c r="AN1555" s="7"/>
      <c r="AO1555" s="7" t="s">
        <v>744</v>
      </c>
      <c r="AP1555" s="7" t="s">
        <v>10470</v>
      </c>
      <c r="AQ1555" s="7" t="s">
        <v>744</v>
      </c>
      <c r="AR1555" s="7" t="s">
        <v>737</v>
      </c>
      <c r="AS1555" s="7"/>
      <c r="AT1555" s="7"/>
      <c r="AU1555" s="7"/>
      <c r="AV1555" s="7"/>
      <c r="AW1555" s="7" t="s">
        <v>744</v>
      </c>
      <c r="AX1555" s="7" t="s">
        <v>10471</v>
      </c>
      <c r="AY1555" s="7"/>
      <c r="AZ1555" s="7"/>
      <c r="BA1555" s="7"/>
      <c r="BB1555" s="7"/>
      <c r="BC1555" s="7"/>
      <c r="BD1555" s="7" t="s">
        <v>440</v>
      </c>
      <c r="BE1555" s="7" t="s">
        <v>127</v>
      </c>
      <c r="BF1555" s="8"/>
      <c r="BG1555" s="8"/>
      <c r="BH1555" s="8"/>
      <c r="BI1555" s="8"/>
      <c r="BJ1555" s="8"/>
      <c r="BK1555" s="8"/>
      <c r="BL1555" s="8"/>
      <c r="BM1555" s="8"/>
      <c r="BN1555" s="8"/>
      <c r="BO1555" s="8"/>
      <c r="BP1555" s="8"/>
      <c r="BQ1555" s="8"/>
      <c r="BR1555" s="8"/>
      <c r="BS1555" s="8"/>
    </row>
    <row r="1556" customFormat="false" ht="15" hidden="false" customHeight="false" outlineLevel="0" collapsed="false">
      <c r="A1556" s="7" t="s">
        <v>10472</v>
      </c>
      <c r="B1556" s="7" t="s">
        <v>10473</v>
      </c>
      <c r="C1556" s="7" t="s">
        <v>10474</v>
      </c>
      <c r="D1556" s="7" t="s">
        <v>746</v>
      </c>
      <c r="E1556" s="7" t="s">
        <v>741</v>
      </c>
      <c r="F1556" s="7" t="s">
        <v>741</v>
      </c>
      <c r="G1556" s="7"/>
      <c r="H1556" s="7"/>
      <c r="I1556" s="7" t="s">
        <v>158</v>
      </c>
      <c r="J1556" s="7" t="s">
        <v>104</v>
      </c>
      <c r="K1556" s="7" t="s">
        <v>105</v>
      </c>
      <c r="L1556" s="7" t="s">
        <v>106</v>
      </c>
      <c r="M1556" s="7"/>
      <c r="N1556" s="7" t="s">
        <v>10475</v>
      </c>
      <c r="O1556" s="7" t="s">
        <v>10475</v>
      </c>
      <c r="P1556" s="7" t="s">
        <v>135</v>
      </c>
      <c r="Q1556" s="7"/>
      <c r="R1556" s="7" t="s">
        <v>109</v>
      </c>
      <c r="S1556" s="7" t="s">
        <v>110</v>
      </c>
      <c r="T1556" s="7" t="n">
        <v>0.551</v>
      </c>
      <c r="U1556" s="7" t="n">
        <v>1</v>
      </c>
      <c r="V1556" s="7" t="s">
        <v>90</v>
      </c>
      <c r="W1556" s="7"/>
      <c r="X1556" s="7" t="s">
        <v>1063</v>
      </c>
      <c r="Y1556" s="7" t="s">
        <v>10475</v>
      </c>
      <c r="Z1556" s="7"/>
      <c r="AA1556" s="7"/>
      <c r="AB1556" s="7"/>
      <c r="AC1556" s="7" t="n">
        <v>5</v>
      </c>
      <c r="AD1556" s="7" t="s">
        <v>743</v>
      </c>
      <c r="AE1556" s="7" t="s">
        <v>744</v>
      </c>
      <c r="AF1556" s="7" t="s">
        <v>10474</v>
      </c>
      <c r="AG1556" s="7" t="s">
        <v>744</v>
      </c>
      <c r="AH1556" s="7" t="s">
        <v>1063</v>
      </c>
      <c r="AI1556" s="7"/>
      <c r="AJ1556" s="7"/>
      <c r="AK1556" s="7"/>
      <c r="AL1556" s="7"/>
      <c r="AM1556" s="7"/>
      <c r="AN1556" s="7"/>
      <c r="AO1556" s="7" t="s">
        <v>744</v>
      </c>
      <c r="AP1556" s="7" t="s">
        <v>746</v>
      </c>
      <c r="AQ1556" s="7" t="s">
        <v>744</v>
      </c>
      <c r="AR1556" s="7" t="s">
        <v>741</v>
      </c>
      <c r="AS1556" s="7"/>
      <c r="AT1556" s="7"/>
      <c r="AU1556" s="7"/>
      <c r="AV1556" s="7"/>
      <c r="AW1556" s="7" t="s">
        <v>744</v>
      </c>
      <c r="AX1556" s="7" t="s">
        <v>10475</v>
      </c>
      <c r="AY1556" s="7"/>
      <c r="AZ1556" s="7"/>
      <c r="BA1556" s="7"/>
      <c r="BB1556" s="7"/>
      <c r="BC1556" s="7"/>
      <c r="BD1556" s="7" t="s">
        <v>747</v>
      </c>
      <c r="BE1556" s="7" t="s">
        <v>127</v>
      </c>
      <c r="BF1556" s="8"/>
      <c r="BG1556" s="8"/>
      <c r="BH1556" s="8"/>
      <c r="BI1556" s="8"/>
      <c r="BJ1556" s="8"/>
      <c r="BK1556" s="8"/>
      <c r="BL1556" s="8"/>
      <c r="BM1556" s="8"/>
      <c r="BN1556" s="8"/>
      <c r="BO1556" s="8"/>
      <c r="BP1556" s="8"/>
      <c r="BQ1556" s="8"/>
      <c r="BR1556" s="8"/>
      <c r="BS1556" s="8"/>
    </row>
    <row r="1557" customFormat="false" ht="15" hidden="false" customHeight="false" outlineLevel="0" collapsed="false">
      <c r="A1557" s="7" t="s">
        <v>10476</v>
      </c>
      <c r="B1557" s="7" t="s">
        <v>10477</v>
      </c>
      <c r="C1557" s="7" t="s">
        <v>10478</v>
      </c>
      <c r="D1557" s="7" t="s">
        <v>10479</v>
      </c>
      <c r="E1557" s="7" t="s">
        <v>2296</v>
      </c>
      <c r="F1557" s="7" t="s">
        <v>2296</v>
      </c>
      <c r="G1557" s="7"/>
      <c r="H1557" s="7"/>
      <c r="I1557" s="7" t="s">
        <v>158</v>
      </c>
      <c r="J1557" s="7" t="s">
        <v>104</v>
      </c>
      <c r="K1557" s="7" t="s">
        <v>105</v>
      </c>
      <c r="L1557" s="7" t="s">
        <v>353</v>
      </c>
      <c r="M1557" s="7"/>
      <c r="N1557" s="7" t="s">
        <v>10480</v>
      </c>
      <c r="O1557" s="7" t="s">
        <v>10480</v>
      </c>
      <c r="P1557" s="7" t="s">
        <v>109</v>
      </c>
      <c r="Q1557" s="7"/>
      <c r="R1557" s="7" t="s">
        <v>109</v>
      </c>
      <c r="S1557" s="7" t="s">
        <v>110</v>
      </c>
      <c r="T1557" s="7" t="n">
        <v>0.445</v>
      </c>
      <c r="U1557" s="7" t="n">
        <v>1</v>
      </c>
      <c r="V1557" s="7" t="s">
        <v>90</v>
      </c>
      <c r="W1557" s="7"/>
      <c r="X1557" s="7" t="s">
        <v>1063</v>
      </c>
      <c r="Y1557" s="7" t="s">
        <v>10480</v>
      </c>
      <c r="Z1557" s="7"/>
      <c r="AA1557" s="7"/>
      <c r="AB1557" s="7"/>
      <c r="AC1557" s="7" t="n">
        <v>5</v>
      </c>
      <c r="AD1557" s="7" t="s">
        <v>743</v>
      </c>
      <c r="AE1557" s="7" t="s">
        <v>744</v>
      </c>
      <c r="AF1557" s="7" t="s">
        <v>10478</v>
      </c>
      <c r="AG1557" s="7" t="s">
        <v>744</v>
      </c>
      <c r="AH1557" s="7" t="s">
        <v>1063</v>
      </c>
      <c r="AI1557" s="7"/>
      <c r="AJ1557" s="7"/>
      <c r="AK1557" s="7"/>
      <c r="AL1557" s="7"/>
      <c r="AM1557" s="7"/>
      <c r="AN1557" s="7"/>
      <c r="AO1557" s="7" t="s">
        <v>744</v>
      </c>
      <c r="AP1557" s="7" t="s">
        <v>10479</v>
      </c>
      <c r="AQ1557" s="7" t="s">
        <v>744</v>
      </c>
      <c r="AR1557" s="7" t="s">
        <v>2296</v>
      </c>
      <c r="AS1557" s="7"/>
      <c r="AT1557" s="7"/>
      <c r="AU1557" s="7"/>
      <c r="AV1557" s="7"/>
      <c r="AW1557" s="7" t="s">
        <v>744</v>
      </c>
      <c r="AX1557" s="7" t="s">
        <v>10480</v>
      </c>
      <c r="AY1557" s="7"/>
      <c r="AZ1557" s="7"/>
      <c r="BA1557" s="7"/>
      <c r="BB1557" s="7"/>
      <c r="BC1557" s="7"/>
      <c r="BD1557" s="7"/>
      <c r="BE1557" s="7" t="s">
        <v>127</v>
      </c>
      <c r="BF1557" s="8"/>
      <c r="BG1557" s="8"/>
      <c r="BH1557" s="8"/>
      <c r="BI1557" s="8"/>
      <c r="BJ1557" s="8"/>
      <c r="BK1557" s="8"/>
      <c r="BL1557" s="8"/>
      <c r="BM1557" s="8"/>
      <c r="BN1557" s="8"/>
      <c r="BO1557" s="8"/>
      <c r="BP1557" s="8"/>
      <c r="BQ1557" s="8"/>
      <c r="BR1557" s="8"/>
      <c r="BS1557" s="8"/>
    </row>
    <row r="1558" customFormat="false" ht="15" hidden="false" customHeight="false" outlineLevel="0" collapsed="false">
      <c r="A1558" s="7" t="s">
        <v>10481</v>
      </c>
      <c r="B1558" s="7" t="s">
        <v>10482</v>
      </c>
      <c r="C1558" s="7" t="s">
        <v>10483</v>
      </c>
      <c r="D1558" s="7" t="s">
        <v>10484</v>
      </c>
      <c r="E1558" s="7"/>
      <c r="F1558" s="7" t="s">
        <v>156</v>
      </c>
      <c r="G1558" s="7"/>
      <c r="H1558" s="7" t="s">
        <v>157</v>
      </c>
      <c r="I1558" s="7" t="s">
        <v>132</v>
      </c>
      <c r="J1558" s="7" t="s">
        <v>159</v>
      </c>
      <c r="K1558" s="7" t="s">
        <v>105</v>
      </c>
      <c r="L1558" s="7" t="s">
        <v>106</v>
      </c>
      <c r="M1558" s="7"/>
      <c r="N1558" s="7" t="s">
        <v>10485</v>
      </c>
      <c r="O1558" s="7"/>
      <c r="P1558" s="7" t="s">
        <v>135</v>
      </c>
      <c r="Q1558" s="7"/>
      <c r="R1558" s="7" t="s">
        <v>135</v>
      </c>
      <c r="S1558" s="7" t="s">
        <v>136</v>
      </c>
      <c r="T1558" s="7" t="n">
        <v>0.348</v>
      </c>
      <c r="U1558" s="7" t="n">
        <v>1</v>
      </c>
      <c r="V1558" s="7" t="s">
        <v>90</v>
      </c>
      <c r="W1558" s="7"/>
      <c r="X1558" s="7" t="s">
        <v>10486</v>
      </c>
      <c r="Y1558" s="7" t="s">
        <v>10485</v>
      </c>
      <c r="Z1558" s="7"/>
      <c r="AA1558" s="7"/>
      <c r="AB1558" s="7"/>
      <c r="AC1558" s="7" t="n">
        <v>4</v>
      </c>
      <c r="AD1558" s="7" t="s">
        <v>7611</v>
      </c>
      <c r="AE1558" s="7" t="s">
        <v>744</v>
      </c>
      <c r="AF1558" s="7" t="s">
        <v>10483</v>
      </c>
      <c r="AG1558" s="7" t="s">
        <v>744</v>
      </c>
      <c r="AH1558" s="7" t="s">
        <v>10486</v>
      </c>
      <c r="AI1558" s="7"/>
      <c r="AJ1558" s="7"/>
      <c r="AK1558" s="7"/>
      <c r="AL1558" s="7"/>
      <c r="AM1558" s="7"/>
      <c r="AN1558" s="7"/>
      <c r="AO1558" s="7" t="s">
        <v>744</v>
      </c>
      <c r="AP1558" s="7" t="s">
        <v>10484</v>
      </c>
      <c r="AQ1558" s="7"/>
      <c r="AR1558" s="7"/>
      <c r="AS1558" s="7"/>
      <c r="AT1558" s="7"/>
      <c r="AU1558" s="7"/>
      <c r="AV1558" s="7"/>
      <c r="AW1558" s="7" t="s">
        <v>744</v>
      </c>
      <c r="AX1558" s="7" t="s">
        <v>10485</v>
      </c>
      <c r="AY1558" s="7"/>
      <c r="AZ1558" s="7"/>
      <c r="BA1558" s="7"/>
      <c r="BB1558" s="7"/>
      <c r="BC1558" s="7"/>
      <c r="BD1558" s="7"/>
      <c r="BE1558" s="7" t="s">
        <v>127</v>
      </c>
      <c r="BF1558" s="8"/>
      <c r="BG1558" s="8"/>
      <c r="BH1558" s="8"/>
      <c r="BI1558" s="8"/>
      <c r="BJ1558" s="8"/>
      <c r="BK1558" s="8"/>
      <c r="BL1558" s="8"/>
      <c r="BM1558" s="8"/>
      <c r="BN1558" s="8"/>
      <c r="BO1558" s="8"/>
      <c r="BP1558" s="8"/>
      <c r="BQ1558" s="8"/>
      <c r="BR1558" s="8"/>
      <c r="BS1558" s="8"/>
    </row>
    <row r="1559" customFormat="false" ht="15" hidden="false" customHeight="false" outlineLevel="0" collapsed="false">
      <c r="A1559" s="7" t="s">
        <v>10487</v>
      </c>
      <c r="B1559" s="7" t="s">
        <v>10488</v>
      </c>
      <c r="C1559" s="7" t="s">
        <v>10489</v>
      </c>
      <c r="D1559" s="7" t="s">
        <v>10490</v>
      </c>
      <c r="E1559" s="7"/>
      <c r="F1559" s="7" t="s">
        <v>101</v>
      </c>
      <c r="G1559" s="7"/>
      <c r="H1559" s="7"/>
      <c r="I1559" s="7" t="s">
        <v>132</v>
      </c>
      <c r="J1559" s="7" t="s">
        <v>104</v>
      </c>
      <c r="K1559" s="7" t="s">
        <v>105</v>
      </c>
      <c r="L1559" s="7" t="s">
        <v>106</v>
      </c>
      <c r="M1559" s="7"/>
      <c r="N1559" s="7" t="s">
        <v>10491</v>
      </c>
      <c r="O1559" s="7"/>
      <c r="P1559" s="7" t="s">
        <v>135</v>
      </c>
      <c r="Q1559" s="7"/>
      <c r="R1559" s="7" t="s">
        <v>135</v>
      </c>
      <c r="S1559" s="7" t="s">
        <v>136</v>
      </c>
      <c r="T1559" s="7" t="n">
        <v>0.338</v>
      </c>
      <c r="U1559" s="7" t="n">
        <v>1</v>
      </c>
      <c r="V1559" s="7" t="s">
        <v>90</v>
      </c>
      <c r="W1559" s="7"/>
      <c r="X1559" s="7" t="s">
        <v>9590</v>
      </c>
      <c r="Y1559" s="7" t="s">
        <v>10491</v>
      </c>
      <c r="Z1559" s="7"/>
      <c r="AA1559" s="7"/>
      <c r="AB1559" s="7"/>
      <c r="AC1559" s="7" t="n">
        <v>4</v>
      </c>
      <c r="AD1559" s="7" t="s">
        <v>7611</v>
      </c>
      <c r="AE1559" s="7" t="s">
        <v>744</v>
      </c>
      <c r="AF1559" s="7" t="s">
        <v>10489</v>
      </c>
      <c r="AG1559" s="7" t="s">
        <v>744</v>
      </c>
      <c r="AH1559" s="7" t="s">
        <v>9590</v>
      </c>
      <c r="AI1559" s="7"/>
      <c r="AJ1559" s="7"/>
      <c r="AK1559" s="7"/>
      <c r="AL1559" s="7"/>
      <c r="AM1559" s="7"/>
      <c r="AN1559" s="7"/>
      <c r="AO1559" s="7" t="s">
        <v>744</v>
      </c>
      <c r="AP1559" s="7" t="s">
        <v>10490</v>
      </c>
      <c r="AQ1559" s="7"/>
      <c r="AR1559" s="7"/>
      <c r="AS1559" s="7"/>
      <c r="AT1559" s="7"/>
      <c r="AU1559" s="7"/>
      <c r="AV1559" s="7"/>
      <c r="AW1559" s="7" t="s">
        <v>744</v>
      </c>
      <c r="AX1559" s="7" t="s">
        <v>10491</v>
      </c>
      <c r="AY1559" s="7"/>
      <c r="AZ1559" s="7"/>
      <c r="BA1559" s="7"/>
      <c r="BB1559" s="7"/>
      <c r="BC1559" s="7"/>
      <c r="BD1559" s="7"/>
      <c r="BE1559" s="7" t="s">
        <v>127</v>
      </c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</row>
    <row r="1560" customFormat="false" ht="15" hidden="false" customHeight="false" outlineLevel="0" collapsed="false">
      <c r="A1560" s="7" t="s">
        <v>10492</v>
      </c>
      <c r="B1560" s="7" t="s">
        <v>10493</v>
      </c>
      <c r="C1560" s="7" t="s">
        <v>10494</v>
      </c>
      <c r="D1560" s="7" t="s">
        <v>8134</v>
      </c>
      <c r="E1560" s="7" t="s">
        <v>431</v>
      </c>
      <c r="F1560" s="7" t="s">
        <v>431</v>
      </c>
      <c r="G1560" s="7"/>
      <c r="H1560" s="7"/>
      <c r="I1560" s="7" t="s">
        <v>132</v>
      </c>
      <c r="J1560" s="7" t="s">
        <v>104</v>
      </c>
      <c r="K1560" s="7" t="s">
        <v>105</v>
      </c>
      <c r="L1560" s="7" t="s">
        <v>106</v>
      </c>
      <c r="M1560" s="7"/>
      <c r="N1560" s="7" t="s">
        <v>10495</v>
      </c>
      <c r="O1560" s="7" t="s">
        <v>10495</v>
      </c>
      <c r="P1560" s="7" t="s">
        <v>135</v>
      </c>
      <c r="Q1560" s="7"/>
      <c r="R1560" s="7" t="s">
        <v>109</v>
      </c>
      <c r="S1560" s="7" t="s">
        <v>110</v>
      </c>
      <c r="T1560" s="7" t="n">
        <v>0.706</v>
      </c>
      <c r="U1560" s="7" t="n">
        <v>1</v>
      </c>
      <c r="V1560" s="7" t="s">
        <v>90</v>
      </c>
      <c r="W1560" s="7"/>
      <c r="X1560" s="7" t="s">
        <v>9590</v>
      </c>
      <c r="Y1560" s="7" t="s">
        <v>10495</v>
      </c>
      <c r="Z1560" s="7"/>
      <c r="AA1560" s="7"/>
      <c r="AB1560" s="7"/>
      <c r="AC1560" s="7" t="n">
        <v>5</v>
      </c>
      <c r="AD1560" s="7" t="s">
        <v>743</v>
      </c>
      <c r="AE1560" s="7" t="s">
        <v>744</v>
      </c>
      <c r="AF1560" s="7" t="s">
        <v>10494</v>
      </c>
      <c r="AG1560" s="7" t="s">
        <v>744</v>
      </c>
      <c r="AH1560" s="7" t="s">
        <v>9590</v>
      </c>
      <c r="AI1560" s="7"/>
      <c r="AJ1560" s="7"/>
      <c r="AK1560" s="7"/>
      <c r="AL1560" s="7"/>
      <c r="AM1560" s="7"/>
      <c r="AN1560" s="7"/>
      <c r="AO1560" s="7" t="s">
        <v>744</v>
      </c>
      <c r="AP1560" s="7" t="s">
        <v>8134</v>
      </c>
      <c r="AQ1560" s="7" t="s">
        <v>744</v>
      </c>
      <c r="AR1560" s="7" t="s">
        <v>431</v>
      </c>
      <c r="AS1560" s="7"/>
      <c r="AT1560" s="7"/>
      <c r="AU1560" s="7"/>
      <c r="AV1560" s="7"/>
      <c r="AW1560" s="7" t="s">
        <v>744</v>
      </c>
      <c r="AX1560" s="7" t="s">
        <v>10495</v>
      </c>
      <c r="AY1560" s="7"/>
      <c r="AZ1560" s="7"/>
      <c r="BA1560" s="7"/>
      <c r="BB1560" s="7"/>
      <c r="BC1560" s="7"/>
      <c r="BD1560" s="7" t="s">
        <v>10496</v>
      </c>
      <c r="BE1560" s="7" t="s">
        <v>127</v>
      </c>
      <c r="BF1560" s="8"/>
      <c r="BG1560" s="8"/>
      <c r="BH1560" s="8"/>
      <c r="BI1560" s="8"/>
      <c r="BJ1560" s="8"/>
      <c r="BK1560" s="8"/>
      <c r="BL1560" s="8"/>
      <c r="BM1560" s="8"/>
      <c r="BN1560" s="8"/>
      <c r="BO1560" s="8"/>
      <c r="BP1560" s="8"/>
      <c r="BQ1560" s="8"/>
      <c r="BR1560" s="8"/>
      <c r="BS1560" s="8"/>
    </row>
    <row r="1561" customFormat="false" ht="15" hidden="false" customHeight="false" outlineLevel="0" collapsed="false">
      <c r="A1561" s="7" t="s">
        <v>10497</v>
      </c>
      <c r="B1561" s="7" t="s">
        <v>10498</v>
      </c>
      <c r="C1561" s="7" t="s">
        <v>10499</v>
      </c>
      <c r="D1561" s="7" t="s">
        <v>10500</v>
      </c>
      <c r="E1561" s="7"/>
      <c r="F1561" s="7" t="s">
        <v>101</v>
      </c>
      <c r="G1561" s="7"/>
      <c r="H1561" s="7"/>
      <c r="I1561" s="7" t="s">
        <v>158</v>
      </c>
      <c r="J1561" s="7" t="s">
        <v>104</v>
      </c>
      <c r="K1561" s="7" t="s">
        <v>105</v>
      </c>
      <c r="L1561" s="7" t="s">
        <v>106</v>
      </c>
      <c r="M1561" s="7"/>
      <c r="N1561" s="7" t="s">
        <v>10501</v>
      </c>
      <c r="O1561" s="7" t="s">
        <v>10501</v>
      </c>
      <c r="P1561" s="7" t="s">
        <v>135</v>
      </c>
      <c r="Q1561" s="7"/>
      <c r="R1561" s="7" t="s">
        <v>109</v>
      </c>
      <c r="S1561" s="7" t="s">
        <v>110</v>
      </c>
      <c r="T1561" s="7" t="n">
        <v>0.332</v>
      </c>
      <c r="U1561" s="7" t="n">
        <v>1</v>
      </c>
      <c r="V1561" s="7" t="s">
        <v>90</v>
      </c>
      <c r="W1561" s="7"/>
      <c r="X1561" s="7" t="s">
        <v>10502</v>
      </c>
      <c r="Y1561" s="7" t="s">
        <v>10501</v>
      </c>
      <c r="Z1561" s="7"/>
      <c r="AA1561" s="7"/>
      <c r="AB1561" s="7"/>
      <c r="AC1561" s="7" t="n">
        <v>4</v>
      </c>
      <c r="AD1561" s="7" t="s">
        <v>7611</v>
      </c>
      <c r="AE1561" s="7" t="s">
        <v>744</v>
      </c>
      <c r="AF1561" s="7" t="s">
        <v>10499</v>
      </c>
      <c r="AG1561" s="7" t="s">
        <v>744</v>
      </c>
      <c r="AH1561" s="7" t="s">
        <v>10502</v>
      </c>
      <c r="AI1561" s="7"/>
      <c r="AJ1561" s="7"/>
      <c r="AK1561" s="7"/>
      <c r="AL1561" s="7"/>
      <c r="AM1561" s="7"/>
      <c r="AN1561" s="7"/>
      <c r="AO1561" s="7" t="s">
        <v>744</v>
      </c>
      <c r="AP1561" s="7" t="s">
        <v>10500</v>
      </c>
      <c r="AQ1561" s="7"/>
      <c r="AR1561" s="7"/>
      <c r="AS1561" s="7"/>
      <c r="AT1561" s="7"/>
      <c r="AU1561" s="7"/>
      <c r="AV1561" s="7"/>
      <c r="AW1561" s="7" t="s">
        <v>744</v>
      </c>
      <c r="AX1561" s="7" t="s">
        <v>10501</v>
      </c>
      <c r="AY1561" s="7"/>
      <c r="AZ1561" s="7"/>
      <c r="BA1561" s="7"/>
      <c r="BB1561" s="7"/>
      <c r="BC1561" s="7"/>
      <c r="BD1561" s="7"/>
      <c r="BE1561" s="7" t="s">
        <v>127</v>
      </c>
      <c r="BF1561" s="8"/>
      <c r="BG1561" s="8"/>
      <c r="BH1561" s="8"/>
      <c r="BI1561" s="8"/>
      <c r="BJ1561" s="8"/>
      <c r="BK1561" s="8"/>
      <c r="BL1561" s="8"/>
      <c r="BM1561" s="8"/>
      <c r="BN1561" s="8"/>
      <c r="BO1561" s="8"/>
      <c r="BP1561" s="8"/>
      <c r="BQ1561" s="8"/>
      <c r="BR1561" s="8"/>
      <c r="BS1561" s="8"/>
    </row>
    <row r="1562" customFormat="false" ht="15" hidden="false" customHeight="false" outlineLevel="0" collapsed="false">
      <c r="A1562" s="7" t="s">
        <v>10503</v>
      </c>
      <c r="B1562" s="7" t="s">
        <v>10504</v>
      </c>
      <c r="C1562" s="7" t="s">
        <v>10505</v>
      </c>
      <c r="D1562" s="7" t="s">
        <v>746</v>
      </c>
      <c r="E1562" s="7" t="s">
        <v>741</v>
      </c>
      <c r="F1562" s="7" t="s">
        <v>741</v>
      </c>
      <c r="G1562" s="7"/>
      <c r="H1562" s="7"/>
      <c r="I1562" s="7" t="s">
        <v>158</v>
      </c>
      <c r="J1562" s="7" t="s">
        <v>104</v>
      </c>
      <c r="K1562" s="7" t="s">
        <v>105</v>
      </c>
      <c r="L1562" s="7" t="s">
        <v>106</v>
      </c>
      <c r="M1562" s="7"/>
      <c r="N1562" s="7" t="s">
        <v>10506</v>
      </c>
      <c r="O1562" s="7" t="s">
        <v>10506</v>
      </c>
      <c r="P1562" s="7" t="s">
        <v>135</v>
      </c>
      <c r="Q1562" s="7"/>
      <c r="R1562" s="7" t="s">
        <v>109</v>
      </c>
      <c r="S1562" s="7" t="s">
        <v>110</v>
      </c>
      <c r="T1562" s="7" t="n">
        <v>0.465</v>
      </c>
      <c r="U1562" s="7" t="n">
        <v>1</v>
      </c>
      <c r="V1562" s="7" t="s">
        <v>90</v>
      </c>
      <c r="W1562" s="7"/>
      <c r="X1562" s="7" t="s">
        <v>10507</v>
      </c>
      <c r="Y1562" s="7" t="s">
        <v>10506</v>
      </c>
      <c r="Z1562" s="7"/>
      <c r="AA1562" s="7"/>
      <c r="AB1562" s="7"/>
      <c r="AC1562" s="7" t="n">
        <v>5</v>
      </c>
      <c r="AD1562" s="7" t="s">
        <v>743</v>
      </c>
      <c r="AE1562" s="7" t="s">
        <v>744</v>
      </c>
      <c r="AF1562" s="7" t="s">
        <v>10505</v>
      </c>
      <c r="AG1562" s="7" t="s">
        <v>744</v>
      </c>
      <c r="AH1562" s="7" t="s">
        <v>10507</v>
      </c>
      <c r="AI1562" s="7"/>
      <c r="AJ1562" s="7"/>
      <c r="AK1562" s="7"/>
      <c r="AL1562" s="7"/>
      <c r="AM1562" s="7"/>
      <c r="AN1562" s="7"/>
      <c r="AO1562" s="7" t="s">
        <v>744</v>
      </c>
      <c r="AP1562" s="7" t="s">
        <v>746</v>
      </c>
      <c r="AQ1562" s="7" t="s">
        <v>744</v>
      </c>
      <c r="AR1562" s="7" t="s">
        <v>741</v>
      </c>
      <c r="AS1562" s="7"/>
      <c r="AT1562" s="7"/>
      <c r="AU1562" s="7"/>
      <c r="AV1562" s="7"/>
      <c r="AW1562" s="7" t="s">
        <v>744</v>
      </c>
      <c r="AX1562" s="7" t="s">
        <v>10506</v>
      </c>
      <c r="AY1562" s="7"/>
      <c r="AZ1562" s="7"/>
      <c r="BA1562" s="7"/>
      <c r="BB1562" s="7"/>
      <c r="BC1562" s="7"/>
      <c r="BD1562" s="7" t="s">
        <v>747</v>
      </c>
      <c r="BE1562" s="7" t="s">
        <v>127</v>
      </c>
      <c r="BF1562" s="8"/>
      <c r="BG1562" s="8"/>
      <c r="BH1562" s="8"/>
      <c r="BI1562" s="8"/>
      <c r="BJ1562" s="8"/>
      <c r="BK1562" s="8"/>
      <c r="BL1562" s="8"/>
      <c r="BM1562" s="8"/>
      <c r="BN1562" s="8"/>
      <c r="BO1562" s="8"/>
      <c r="BP1562" s="8"/>
      <c r="BQ1562" s="8"/>
      <c r="BR1562" s="8"/>
      <c r="BS1562" s="8"/>
    </row>
    <row r="1563" customFormat="false" ht="15" hidden="false" customHeight="false" outlineLevel="0" collapsed="false">
      <c r="A1563" s="7" t="s">
        <v>10508</v>
      </c>
      <c r="B1563" s="7" t="s">
        <v>10509</v>
      </c>
      <c r="C1563" s="7" t="s">
        <v>10510</v>
      </c>
      <c r="D1563" s="7" t="s">
        <v>746</v>
      </c>
      <c r="E1563" s="7" t="s">
        <v>741</v>
      </c>
      <c r="F1563" s="7" t="s">
        <v>741</v>
      </c>
      <c r="G1563" s="7"/>
      <c r="H1563" s="7"/>
      <c r="I1563" s="7" t="s">
        <v>158</v>
      </c>
      <c r="J1563" s="7" t="s">
        <v>104</v>
      </c>
      <c r="K1563" s="7" t="s">
        <v>105</v>
      </c>
      <c r="L1563" s="7" t="s">
        <v>106</v>
      </c>
      <c r="M1563" s="7"/>
      <c r="N1563" s="7" t="s">
        <v>10511</v>
      </c>
      <c r="O1563" s="7" t="s">
        <v>10511</v>
      </c>
      <c r="P1563" s="7" t="s">
        <v>135</v>
      </c>
      <c r="Q1563" s="7"/>
      <c r="R1563" s="7" t="s">
        <v>109</v>
      </c>
      <c r="S1563" s="7" t="s">
        <v>110</v>
      </c>
      <c r="T1563" s="7" t="n">
        <v>0.595</v>
      </c>
      <c r="U1563" s="7" t="n">
        <v>1</v>
      </c>
      <c r="V1563" s="7" t="s">
        <v>90</v>
      </c>
      <c r="W1563" s="7"/>
      <c r="X1563" s="7" t="s">
        <v>10507</v>
      </c>
      <c r="Y1563" s="7" t="s">
        <v>10511</v>
      </c>
      <c r="Z1563" s="7"/>
      <c r="AA1563" s="7"/>
      <c r="AB1563" s="7"/>
      <c r="AC1563" s="7" t="n">
        <v>5</v>
      </c>
      <c r="AD1563" s="7" t="s">
        <v>743</v>
      </c>
      <c r="AE1563" s="7" t="s">
        <v>744</v>
      </c>
      <c r="AF1563" s="7" t="s">
        <v>10510</v>
      </c>
      <c r="AG1563" s="7" t="s">
        <v>744</v>
      </c>
      <c r="AH1563" s="7" t="s">
        <v>10507</v>
      </c>
      <c r="AI1563" s="7"/>
      <c r="AJ1563" s="7"/>
      <c r="AK1563" s="7"/>
      <c r="AL1563" s="7"/>
      <c r="AM1563" s="7"/>
      <c r="AN1563" s="7"/>
      <c r="AO1563" s="7" t="s">
        <v>744</v>
      </c>
      <c r="AP1563" s="7" t="s">
        <v>746</v>
      </c>
      <c r="AQ1563" s="7" t="s">
        <v>744</v>
      </c>
      <c r="AR1563" s="7" t="s">
        <v>741</v>
      </c>
      <c r="AS1563" s="7"/>
      <c r="AT1563" s="7"/>
      <c r="AU1563" s="7"/>
      <c r="AV1563" s="7"/>
      <c r="AW1563" s="7" t="s">
        <v>744</v>
      </c>
      <c r="AX1563" s="7" t="s">
        <v>10511</v>
      </c>
      <c r="AY1563" s="7"/>
      <c r="AZ1563" s="7"/>
      <c r="BA1563" s="7"/>
      <c r="BB1563" s="7"/>
      <c r="BC1563" s="7"/>
      <c r="BD1563" s="7" t="s">
        <v>747</v>
      </c>
      <c r="BE1563" s="7" t="s">
        <v>127</v>
      </c>
      <c r="BF1563" s="8"/>
      <c r="BG1563" s="8"/>
      <c r="BH1563" s="8"/>
      <c r="BI1563" s="8"/>
      <c r="BJ1563" s="8"/>
      <c r="BK1563" s="8"/>
      <c r="BL1563" s="8"/>
      <c r="BM1563" s="8"/>
      <c r="BN1563" s="8"/>
      <c r="BO1563" s="8"/>
      <c r="BP1563" s="8"/>
      <c r="BQ1563" s="8"/>
      <c r="BR1563" s="8"/>
      <c r="BS1563" s="8"/>
    </row>
    <row r="1564" customFormat="false" ht="15" hidden="false" customHeight="false" outlineLevel="0" collapsed="false">
      <c r="A1564" s="7" t="s">
        <v>10512</v>
      </c>
      <c r="B1564" s="7" t="s">
        <v>10513</v>
      </c>
      <c r="C1564" s="7" t="s">
        <v>10514</v>
      </c>
      <c r="D1564" s="7" t="s">
        <v>746</v>
      </c>
      <c r="E1564" s="7" t="s">
        <v>741</v>
      </c>
      <c r="F1564" s="7" t="s">
        <v>741</v>
      </c>
      <c r="G1564" s="7"/>
      <c r="H1564" s="7"/>
      <c r="I1564" s="7" t="s">
        <v>158</v>
      </c>
      <c r="J1564" s="7" t="s">
        <v>104</v>
      </c>
      <c r="K1564" s="7" t="s">
        <v>105</v>
      </c>
      <c r="L1564" s="7" t="s">
        <v>106</v>
      </c>
      <c r="M1564" s="7"/>
      <c r="N1564" s="7" t="s">
        <v>10515</v>
      </c>
      <c r="O1564" s="7" t="s">
        <v>10515</v>
      </c>
      <c r="P1564" s="7" t="s">
        <v>135</v>
      </c>
      <c r="Q1564" s="7"/>
      <c r="R1564" s="7" t="s">
        <v>109</v>
      </c>
      <c r="S1564" s="7" t="s">
        <v>110</v>
      </c>
      <c r="T1564" s="7" t="n">
        <v>0.473</v>
      </c>
      <c r="U1564" s="7" t="n">
        <v>1</v>
      </c>
      <c r="V1564" s="7" t="s">
        <v>90</v>
      </c>
      <c r="W1564" s="7"/>
      <c r="X1564" s="7" t="s">
        <v>10507</v>
      </c>
      <c r="Y1564" s="7" t="s">
        <v>10515</v>
      </c>
      <c r="Z1564" s="7"/>
      <c r="AA1564" s="7"/>
      <c r="AB1564" s="7"/>
      <c r="AC1564" s="7" t="n">
        <v>5</v>
      </c>
      <c r="AD1564" s="7" t="s">
        <v>743</v>
      </c>
      <c r="AE1564" s="7" t="s">
        <v>744</v>
      </c>
      <c r="AF1564" s="7" t="s">
        <v>10514</v>
      </c>
      <c r="AG1564" s="7" t="s">
        <v>744</v>
      </c>
      <c r="AH1564" s="7" t="s">
        <v>10507</v>
      </c>
      <c r="AI1564" s="7"/>
      <c r="AJ1564" s="7"/>
      <c r="AK1564" s="7"/>
      <c r="AL1564" s="7"/>
      <c r="AM1564" s="7"/>
      <c r="AN1564" s="7"/>
      <c r="AO1564" s="7" t="s">
        <v>744</v>
      </c>
      <c r="AP1564" s="7" t="s">
        <v>746</v>
      </c>
      <c r="AQ1564" s="7" t="s">
        <v>744</v>
      </c>
      <c r="AR1564" s="7" t="s">
        <v>741</v>
      </c>
      <c r="AS1564" s="7"/>
      <c r="AT1564" s="7"/>
      <c r="AU1564" s="7"/>
      <c r="AV1564" s="7"/>
      <c r="AW1564" s="7" t="s">
        <v>744</v>
      </c>
      <c r="AX1564" s="7" t="s">
        <v>10515</v>
      </c>
      <c r="AY1564" s="7"/>
      <c r="AZ1564" s="7"/>
      <c r="BA1564" s="7"/>
      <c r="BB1564" s="7"/>
      <c r="BC1564" s="7"/>
      <c r="BD1564" s="7" t="s">
        <v>747</v>
      </c>
      <c r="BE1564" s="7" t="s">
        <v>127</v>
      </c>
      <c r="BF1564" s="8"/>
      <c r="BG1564" s="8"/>
      <c r="BH1564" s="8"/>
      <c r="BI1564" s="8"/>
      <c r="BJ1564" s="8"/>
      <c r="BK1564" s="8"/>
      <c r="BL1564" s="8"/>
      <c r="BM1564" s="8"/>
      <c r="BN1564" s="8"/>
      <c r="BO1564" s="8"/>
      <c r="BP1564" s="8"/>
      <c r="BQ1564" s="8"/>
      <c r="BR1564" s="8"/>
      <c r="BS1564" s="8"/>
    </row>
    <row r="1565" customFormat="false" ht="15" hidden="false" customHeight="false" outlineLevel="0" collapsed="false">
      <c r="A1565" s="7" t="s">
        <v>10516</v>
      </c>
      <c r="B1565" s="7" t="s">
        <v>10517</v>
      </c>
      <c r="C1565" s="7" t="s">
        <v>10518</v>
      </c>
      <c r="D1565" s="7" t="s">
        <v>10519</v>
      </c>
      <c r="E1565" s="7"/>
      <c r="F1565" s="7" t="s">
        <v>101</v>
      </c>
      <c r="G1565" s="7"/>
      <c r="H1565" s="7"/>
      <c r="I1565" s="7" t="s">
        <v>132</v>
      </c>
      <c r="J1565" s="7" t="s">
        <v>104</v>
      </c>
      <c r="K1565" s="7" t="s">
        <v>105</v>
      </c>
      <c r="L1565" s="7" t="s">
        <v>106</v>
      </c>
      <c r="M1565" s="7"/>
      <c r="N1565" s="7" t="s">
        <v>10520</v>
      </c>
      <c r="O1565" s="7"/>
      <c r="P1565" s="7" t="s">
        <v>135</v>
      </c>
      <c r="Q1565" s="7"/>
      <c r="R1565" s="7" t="s">
        <v>135</v>
      </c>
      <c r="S1565" s="7" t="s">
        <v>136</v>
      </c>
      <c r="T1565" s="7" t="n">
        <v>0.374</v>
      </c>
      <c r="U1565" s="7" t="n">
        <v>1</v>
      </c>
      <c r="V1565" s="7" t="s">
        <v>90</v>
      </c>
      <c r="W1565" s="7"/>
      <c r="X1565" s="7" t="s">
        <v>6302</v>
      </c>
      <c r="Y1565" s="7" t="s">
        <v>10520</v>
      </c>
      <c r="Z1565" s="7"/>
      <c r="AA1565" s="7"/>
      <c r="AB1565" s="7"/>
      <c r="AC1565" s="7" t="n">
        <v>4</v>
      </c>
      <c r="AD1565" s="7" t="s">
        <v>7611</v>
      </c>
      <c r="AE1565" s="7" t="s">
        <v>744</v>
      </c>
      <c r="AF1565" s="7" t="s">
        <v>10518</v>
      </c>
      <c r="AG1565" s="7" t="s">
        <v>744</v>
      </c>
      <c r="AH1565" s="7" t="s">
        <v>6302</v>
      </c>
      <c r="AI1565" s="7"/>
      <c r="AJ1565" s="7"/>
      <c r="AK1565" s="7"/>
      <c r="AL1565" s="7"/>
      <c r="AM1565" s="7"/>
      <c r="AN1565" s="7"/>
      <c r="AO1565" s="7" t="s">
        <v>744</v>
      </c>
      <c r="AP1565" s="7" t="s">
        <v>10519</v>
      </c>
      <c r="AQ1565" s="7"/>
      <c r="AR1565" s="7"/>
      <c r="AS1565" s="7"/>
      <c r="AT1565" s="7"/>
      <c r="AU1565" s="7"/>
      <c r="AV1565" s="7"/>
      <c r="AW1565" s="7" t="s">
        <v>744</v>
      </c>
      <c r="AX1565" s="7" t="s">
        <v>10520</v>
      </c>
      <c r="AY1565" s="7"/>
      <c r="AZ1565" s="7"/>
      <c r="BA1565" s="7"/>
      <c r="BB1565" s="7"/>
      <c r="BC1565" s="7"/>
      <c r="BD1565" s="7"/>
      <c r="BE1565" s="7" t="s">
        <v>127</v>
      </c>
      <c r="BF1565" s="8"/>
      <c r="BG1565" s="8"/>
      <c r="BH1565" s="8"/>
      <c r="BI1565" s="8"/>
      <c r="BJ1565" s="8"/>
      <c r="BK1565" s="8"/>
      <c r="BL1565" s="8"/>
      <c r="BM1565" s="8"/>
      <c r="BN1565" s="8"/>
      <c r="BO1565" s="8"/>
      <c r="BP1565" s="8"/>
      <c r="BQ1565" s="8"/>
      <c r="BR1565" s="8"/>
      <c r="BS1565" s="8"/>
    </row>
    <row r="1566" customFormat="false" ht="15" hidden="false" customHeight="false" outlineLevel="0" collapsed="false">
      <c r="A1566" s="7" t="s">
        <v>10521</v>
      </c>
      <c r="B1566" s="7" t="s">
        <v>10522</v>
      </c>
      <c r="C1566" s="7" t="s">
        <v>10523</v>
      </c>
      <c r="D1566" s="7" t="s">
        <v>10524</v>
      </c>
      <c r="E1566" s="7" t="s">
        <v>431</v>
      </c>
      <c r="F1566" s="7" t="s">
        <v>431</v>
      </c>
      <c r="G1566" s="7"/>
      <c r="H1566" s="7"/>
      <c r="I1566" s="7" t="s">
        <v>158</v>
      </c>
      <c r="J1566" s="7" t="s">
        <v>104</v>
      </c>
      <c r="K1566" s="7" t="s">
        <v>105</v>
      </c>
      <c r="L1566" s="7" t="s">
        <v>106</v>
      </c>
      <c r="M1566" s="7"/>
      <c r="N1566" s="7" t="s">
        <v>10525</v>
      </c>
      <c r="O1566" s="7" t="s">
        <v>10525</v>
      </c>
      <c r="P1566" s="7" t="s">
        <v>135</v>
      </c>
      <c r="Q1566" s="7"/>
      <c r="R1566" s="7" t="s">
        <v>109</v>
      </c>
      <c r="S1566" s="7" t="s">
        <v>110</v>
      </c>
      <c r="T1566" s="7" t="n">
        <v>0.457</v>
      </c>
      <c r="U1566" s="7" t="n">
        <v>1</v>
      </c>
      <c r="V1566" s="7" t="s">
        <v>90</v>
      </c>
      <c r="W1566" s="7"/>
      <c r="X1566" s="7" t="s">
        <v>6302</v>
      </c>
      <c r="Y1566" s="7" t="s">
        <v>10525</v>
      </c>
      <c r="Z1566" s="7"/>
      <c r="AA1566" s="7"/>
      <c r="AB1566" s="7"/>
      <c r="AC1566" s="7" t="n">
        <v>6</v>
      </c>
      <c r="AD1566" s="7" t="s">
        <v>1235</v>
      </c>
      <c r="AE1566" s="7" t="s">
        <v>744</v>
      </c>
      <c r="AF1566" s="7" t="s">
        <v>10523</v>
      </c>
      <c r="AG1566" s="7" t="s">
        <v>744</v>
      </c>
      <c r="AH1566" s="7" t="s">
        <v>6302</v>
      </c>
      <c r="AI1566" s="7"/>
      <c r="AJ1566" s="7"/>
      <c r="AK1566" s="7"/>
      <c r="AL1566" s="7"/>
      <c r="AM1566" s="7" t="s">
        <v>744</v>
      </c>
      <c r="AN1566" s="7" t="s">
        <v>10526</v>
      </c>
      <c r="AO1566" s="7" t="s">
        <v>744</v>
      </c>
      <c r="AP1566" s="7" t="s">
        <v>10524</v>
      </c>
      <c r="AQ1566" s="7" t="s">
        <v>744</v>
      </c>
      <c r="AR1566" s="7" t="s">
        <v>431</v>
      </c>
      <c r="AS1566" s="7"/>
      <c r="AT1566" s="7"/>
      <c r="AU1566" s="7"/>
      <c r="AV1566" s="7"/>
      <c r="AW1566" s="7" t="s">
        <v>744</v>
      </c>
      <c r="AX1566" s="7" t="s">
        <v>10525</v>
      </c>
      <c r="AY1566" s="7"/>
      <c r="AZ1566" s="7"/>
      <c r="BA1566" s="7"/>
      <c r="BB1566" s="7"/>
      <c r="BC1566" s="7"/>
      <c r="BD1566" s="7" t="s">
        <v>440</v>
      </c>
      <c r="BE1566" s="7" t="s">
        <v>127</v>
      </c>
      <c r="BF1566" s="8"/>
      <c r="BG1566" s="8"/>
      <c r="BH1566" s="8"/>
      <c r="BI1566" s="8"/>
      <c r="BJ1566" s="8"/>
      <c r="BK1566" s="8"/>
      <c r="BL1566" s="8"/>
      <c r="BM1566" s="8"/>
      <c r="BN1566" s="8"/>
      <c r="BO1566" s="8"/>
      <c r="BP1566" s="8"/>
      <c r="BQ1566" s="8"/>
      <c r="BR1566" s="8"/>
      <c r="BS1566" s="8"/>
    </row>
    <row r="1567" customFormat="false" ht="15" hidden="false" customHeight="false" outlineLevel="0" collapsed="false">
      <c r="A1567" s="7" t="s">
        <v>10527</v>
      </c>
      <c r="B1567" s="7" t="s">
        <v>10528</v>
      </c>
      <c r="C1567" s="7" t="s">
        <v>10529</v>
      </c>
      <c r="D1567" s="7" t="s">
        <v>10530</v>
      </c>
      <c r="E1567" s="7" t="s">
        <v>888</v>
      </c>
      <c r="F1567" s="7" t="s">
        <v>888</v>
      </c>
      <c r="G1567" s="7"/>
      <c r="H1567" s="7"/>
      <c r="I1567" s="7" t="s">
        <v>158</v>
      </c>
      <c r="J1567" s="7" t="s">
        <v>104</v>
      </c>
      <c r="K1567" s="7" t="s">
        <v>105</v>
      </c>
      <c r="L1567" s="7" t="s">
        <v>353</v>
      </c>
      <c r="M1567" s="7"/>
      <c r="N1567" s="7" t="s">
        <v>10531</v>
      </c>
      <c r="O1567" s="7" t="s">
        <v>10531</v>
      </c>
      <c r="P1567" s="7" t="s">
        <v>109</v>
      </c>
      <c r="Q1567" s="7"/>
      <c r="R1567" s="7" t="s">
        <v>109</v>
      </c>
      <c r="S1567" s="7" t="s">
        <v>110</v>
      </c>
      <c r="T1567" s="7" t="n">
        <v>0.624</v>
      </c>
      <c r="U1567" s="7" t="n">
        <v>1</v>
      </c>
      <c r="V1567" s="7" t="s">
        <v>90</v>
      </c>
      <c r="W1567" s="7"/>
      <c r="X1567" s="7" t="s">
        <v>2405</v>
      </c>
      <c r="Y1567" s="7" t="s">
        <v>10531</v>
      </c>
      <c r="Z1567" s="7"/>
      <c r="AA1567" s="7"/>
      <c r="AB1567" s="7"/>
      <c r="AC1567" s="7" t="n">
        <v>5</v>
      </c>
      <c r="AD1567" s="7" t="s">
        <v>743</v>
      </c>
      <c r="AE1567" s="7" t="s">
        <v>744</v>
      </c>
      <c r="AF1567" s="7" t="s">
        <v>10529</v>
      </c>
      <c r="AG1567" s="7" t="s">
        <v>744</v>
      </c>
      <c r="AH1567" s="7" t="s">
        <v>2405</v>
      </c>
      <c r="AI1567" s="7"/>
      <c r="AJ1567" s="7"/>
      <c r="AK1567" s="7"/>
      <c r="AL1567" s="7"/>
      <c r="AM1567" s="7"/>
      <c r="AN1567" s="7"/>
      <c r="AO1567" s="7" t="s">
        <v>744</v>
      </c>
      <c r="AP1567" s="7" t="s">
        <v>10530</v>
      </c>
      <c r="AQ1567" s="7" t="s">
        <v>744</v>
      </c>
      <c r="AR1567" s="7" t="s">
        <v>888</v>
      </c>
      <c r="AS1567" s="7"/>
      <c r="AT1567" s="7"/>
      <c r="AU1567" s="7"/>
      <c r="AV1567" s="7"/>
      <c r="AW1567" s="7" t="s">
        <v>744</v>
      </c>
      <c r="AX1567" s="7" t="s">
        <v>10531</v>
      </c>
      <c r="AY1567" s="7"/>
      <c r="AZ1567" s="7"/>
      <c r="BA1567" s="7"/>
      <c r="BB1567" s="7"/>
      <c r="BC1567" s="7"/>
      <c r="BD1567" s="7"/>
      <c r="BE1567" s="7" t="s">
        <v>127</v>
      </c>
      <c r="BF1567" s="8"/>
      <c r="BG1567" s="8"/>
      <c r="BH1567" s="8"/>
      <c r="BI1567" s="8"/>
      <c r="BJ1567" s="8"/>
      <c r="BK1567" s="8"/>
      <c r="BL1567" s="8"/>
      <c r="BM1567" s="8"/>
      <c r="BN1567" s="8"/>
      <c r="BO1567" s="8"/>
      <c r="BP1567" s="8"/>
      <c r="BQ1567" s="8"/>
      <c r="BR1567" s="8"/>
      <c r="BS1567" s="8"/>
    </row>
    <row r="1568" customFormat="false" ht="15" hidden="false" customHeight="false" outlineLevel="0" collapsed="false">
      <c r="A1568" s="7" t="s">
        <v>10532</v>
      </c>
      <c r="B1568" s="7" t="s">
        <v>10533</v>
      </c>
      <c r="C1568" s="7" t="s">
        <v>10534</v>
      </c>
      <c r="D1568" s="7" t="s">
        <v>2402</v>
      </c>
      <c r="E1568" s="7" t="s">
        <v>444</v>
      </c>
      <c r="F1568" s="7" t="s">
        <v>444</v>
      </c>
      <c r="G1568" s="7"/>
      <c r="H1568" s="7"/>
      <c r="I1568" s="7" t="s">
        <v>158</v>
      </c>
      <c r="J1568" s="7" t="s">
        <v>104</v>
      </c>
      <c r="K1568" s="7" t="s">
        <v>105</v>
      </c>
      <c r="L1568" s="7" t="s">
        <v>353</v>
      </c>
      <c r="M1568" s="7"/>
      <c r="N1568" s="7" t="s">
        <v>2406</v>
      </c>
      <c r="O1568" s="7" t="s">
        <v>2406</v>
      </c>
      <c r="P1568" s="7" t="s">
        <v>109</v>
      </c>
      <c r="Q1568" s="7"/>
      <c r="R1568" s="7" t="s">
        <v>109</v>
      </c>
      <c r="S1568" s="7" t="s">
        <v>110</v>
      </c>
      <c r="T1568" s="7" t="n">
        <v>0.372</v>
      </c>
      <c r="U1568" s="7" t="n">
        <v>1</v>
      </c>
      <c r="V1568" s="7" t="s">
        <v>90</v>
      </c>
      <c r="W1568" s="7"/>
      <c r="X1568" s="7" t="s">
        <v>2405</v>
      </c>
      <c r="Y1568" s="7" t="s">
        <v>2406</v>
      </c>
      <c r="Z1568" s="7"/>
      <c r="AA1568" s="7"/>
      <c r="AB1568" s="7"/>
      <c r="AC1568" s="7" t="n">
        <v>5</v>
      </c>
      <c r="AD1568" s="7" t="s">
        <v>743</v>
      </c>
      <c r="AE1568" s="7" t="s">
        <v>744</v>
      </c>
      <c r="AF1568" s="7" t="s">
        <v>10534</v>
      </c>
      <c r="AG1568" s="7" t="s">
        <v>744</v>
      </c>
      <c r="AH1568" s="7" t="s">
        <v>2405</v>
      </c>
      <c r="AI1568" s="7"/>
      <c r="AJ1568" s="7"/>
      <c r="AK1568" s="7"/>
      <c r="AL1568" s="7"/>
      <c r="AM1568" s="7"/>
      <c r="AN1568" s="7"/>
      <c r="AO1568" s="7" t="s">
        <v>744</v>
      </c>
      <c r="AP1568" s="7" t="s">
        <v>2402</v>
      </c>
      <c r="AQ1568" s="7" t="s">
        <v>744</v>
      </c>
      <c r="AR1568" s="7" t="s">
        <v>444</v>
      </c>
      <c r="AS1568" s="7"/>
      <c r="AT1568" s="7"/>
      <c r="AU1568" s="7"/>
      <c r="AV1568" s="7"/>
      <c r="AW1568" s="7" t="s">
        <v>744</v>
      </c>
      <c r="AX1568" s="7" t="s">
        <v>2406</v>
      </c>
      <c r="AY1568" s="7"/>
      <c r="AZ1568" s="7"/>
      <c r="BA1568" s="7"/>
      <c r="BB1568" s="7"/>
      <c r="BC1568" s="7"/>
      <c r="BD1568" s="7"/>
      <c r="BE1568" s="7" t="s">
        <v>127</v>
      </c>
      <c r="BF1568" s="8"/>
      <c r="BG1568" s="8"/>
      <c r="BH1568" s="8"/>
      <c r="BI1568" s="8"/>
      <c r="BJ1568" s="8"/>
      <c r="BK1568" s="8"/>
      <c r="BL1568" s="8"/>
      <c r="BM1568" s="8"/>
      <c r="BN1568" s="8"/>
      <c r="BO1568" s="8"/>
      <c r="BP1568" s="8"/>
      <c r="BQ1568" s="8"/>
      <c r="BR1568" s="8"/>
      <c r="BS1568" s="8"/>
    </row>
    <row r="1569" customFormat="false" ht="15" hidden="false" customHeight="false" outlineLevel="0" collapsed="false">
      <c r="A1569" s="7" t="s">
        <v>10535</v>
      </c>
      <c r="B1569" s="7" t="s">
        <v>10536</v>
      </c>
      <c r="C1569" s="7" t="s">
        <v>10537</v>
      </c>
      <c r="D1569" s="7" t="s">
        <v>10538</v>
      </c>
      <c r="E1569" s="7" t="s">
        <v>888</v>
      </c>
      <c r="F1569" s="7" t="s">
        <v>888</v>
      </c>
      <c r="G1569" s="7"/>
      <c r="H1569" s="7"/>
      <c r="I1569" s="7" t="s">
        <v>132</v>
      </c>
      <c r="J1569" s="7" t="s">
        <v>104</v>
      </c>
      <c r="K1569" s="7" t="s">
        <v>105</v>
      </c>
      <c r="L1569" s="7" t="s">
        <v>106</v>
      </c>
      <c r="M1569" s="7"/>
      <c r="N1569" s="7" t="s">
        <v>10539</v>
      </c>
      <c r="O1569" s="7" t="s">
        <v>10539</v>
      </c>
      <c r="P1569" s="7" t="s">
        <v>135</v>
      </c>
      <c r="Q1569" s="7"/>
      <c r="R1569" s="7" t="s">
        <v>109</v>
      </c>
      <c r="S1569" s="7" t="s">
        <v>110</v>
      </c>
      <c r="T1569" s="7" t="n">
        <v>0.542</v>
      </c>
      <c r="U1569" s="7" t="n">
        <v>1</v>
      </c>
      <c r="V1569" s="7" t="s">
        <v>90</v>
      </c>
      <c r="W1569" s="7"/>
      <c r="X1569" s="7" t="s">
        <v>1237</v>
      </c>
      <c r="Y1569" s="7" t="s">
        <v>10539</v>
      </c>
      <c r="Z1569" s="7"/>
      <c r="AA1569" s="7"/>
      <c r="AB1569" s="7"/>
      <c r="AC1569" s="7" t="n">
        <v>6</v>
      </c>
      <c r="AD1569" s="7" t="s">
        <v>1235</v>
      </c>
      <c r="AE1569" s="7" t="s">
        <v>744</v>
      </c>
      <c r="AF1569" s="7" t="s">
        <v>10537</v>
      </c>
      <c r="AG1569" s="7" t="s">
        <v>744</v>
      </c>
      <c r="AH1569" s="7" t="s">
        <v>1237</v>
      </c>
      <c r="AI1569" s="7"/>
      <c r="AJ1569" s="7"/>
      <c r="AK1569" s="7"/>
      <c r="AL1569" s="7"/>
      <c r="AM1569" s="7" t="s">
        <v>744</v>
      </c>
      <c r="AN1569" s="7" t="s">
        <v>10540</v>
      </c>
      <c r="AO1569" s="7" t="s">
        <v>744</v>
      </c>
      <c r="AP1569" s="7" t="s">
        <v>10538</v>
      </c>
      <c r="AQ1569" s="7" t="s">
        <v>744</v>
      </c>
      <c r="AR1569" s="7" t="s">
        <v>888</v>
      </c>
      <c r="AS1569" s="7"/>
      <c r="AT1569" s="7"/>
      <c r="AU1569" s="7"/>
      <c r="AV1569" s="7"/>
      <c r="AW1569" s="7" t="s">
        <v>744</v>
      </c>
      <c r="AX1569" s="7" t="s">
        <v>10539</v>
      </c>
      <c r="AY1569" s="7"/>
      <c r="AZ1569" s="7"/>
      <c r="BA1569" s="7"/>
      <c r="BB1569" s="7"/>
      <c r="BC1569" s="7"/>
      <c r="BD1569" s="7"/>
      <c r="BE1569" s="7" t="s">
        <v>127</v>
      </c>
      <c r="BF1569" s="8"/>
      <c r="BG1569" s="8"/>
      <c r="BH1569" s="8"/>
      <c r="BI1569" s="8"/>
      <c r="BJ1569" s="8"/>
      <c r="BK1569" s="8"/>
      <c r="BL1569" s="8"/>
      <c r="BM1569" s="8"/>
      <c r="BN1569" s="8"/>
      <c r="BO1569" s="8"/>
      <c r="BP1569" s="8"/>
      <c r="BQ1569" s="8"/>
      <c r="BR1569" s="8"/>
      <c r="BS1569" s="8"/>
    </row>
    <row r="1570" customFormat="false" ht="15" hidden="false" customHeight="false" outlineLevel="0" collapsed="false">
      <c r="A1570" s="7" t="s">
        <v>10541</v>
      </c>
      <c r="B1570" s="7" t="s">
        <v>10542</v>
      </c>
      <c r="C1570" s="7" t="s">
        <v>10543</v>
      </c>
      <c r="D1570" s="7" t="s">
        <v>7044</v>
      </c>
      <c r="E1570" s="7" t="s">
        <v>737</v>
      </c>
      <c r="F1570" s="7" t="s">
        <v>737</v>
      </c>
      <c r="G1570" s="7"/>
      <c r="H1570" s="7"/>
      <c r="I1570" s="7" t="s">
        <v>132</v>
      </c>
      <c r="J1570" s="7" t="s">
        <v>104</v>
      </c>
      <c r="K1570" s="7" t="s">
        <v>105</v>
      </c>
      <c r="L1570" s="7" t="s">
        <v>106</v>
      </c>
      <c r="M1570" s="7"/>
      <c r="N1570" s="7" t="s">
        <v>10544</v>
      </c>
      <c r="O1570" s="7"/>
      <c r="P1570" s="7" t="s">
        <v>135</v>
      </c>
      <c r="Q1570" s="7"/>
      <c r="R1570" s="7" t="s">
        <v>135</v>
      </c>
      <c r="S1570" s="7" t="s">
        <v>136</v>
      </c>
      <c r="T1570" s="7" t="n">
        <v>0.468</v>
      </c>
      <c r="U1570" s="7" t="n">
        <v>1</v>
      </c>
      <c r="V1570" s="7" t="s">
        <v>90</v>
      </c>
      <c r="W1570" s="7"/>
      <c r="X1570" s="7" t="s">
        <v>1237</v>
      </c>
      <c r="Y1570" s="7" t="s">
        <v>10544</v>
      </c>
      <c r="Z1570" s="7"/>
      <c r="AA1570" s="7"/>
      <c r="AB1570" s="7"/>
      <c r="AC1570" s="7" t="n">
        <v>6</v>
      </c>
      <c r="AD1570" s="7" t="s">
        <v>1235</v>
      </c>
      <c r="AE1570" s="7" t="s">
        <v>744</v>
      </c>
      <c r="AF1570" s="7" t="s">
        <v>10543</v>
      </c>
      <c r="AG1570" s="7" t="s">
        <v>744</v>
      </c>
      <c r="AH1570" s="7" t="s">
        <v>1237</v>
      </c>
      <c r="AI1570" s="7"/>
      <c r="AJ1570" s="7"/>
      <c r="AK1570" s="7"/>
      <c r="AL1570" s="7"/>
      <c r="AM1570" s="7" t="s">
        <v>744</v>
      </c>
      <c r="AN1570" s="7" t="s">
        <v>10545</v>
      </c>
      <c r="AO1570" s="7" t="s">
        <v>744</v>
      </c>
      <c r="AP1570" s="7" t="s">
        <v>7044</v>
      </c>
      <c r="AQ1570" s="7" t="s">
        <v>744</v>
      </c>
      <c r="AR1570" s="7" t="s">
        <v>737</v>
      </c>
      <c r="AS1570" s="7"/>
      <c r="AT1570" s="7"/>
      <c r="AU1570" s="7"/>
      <c r="AV1570" s="7"/>
      <c r="AW1570" s="7" t="s">
        <v>744</v>
      </c>
      <c r="AX1570" s="7" t="s">
        <v>10544</v>
      </c>
      <c r="AY1570" s="7"/>
      <c r="AZ1570" s="7"/>
      <c r="BA1570" s="7"/>
      <c r="BB1570" s="7"/>
      <c r="BC1570" s="7"/>
      <c r="BD1570" s="7"/>
      <c r="BE1570" s="7" t="s">
        <v>127</v>
      </c>
      <c r="BF1570" s="8"/>
      <c r="BG1570" s="8"/>
      <c r="BH1570" s="8"/>
      <c r="BI1570" s="8"/>
      <c r="BJ1570" s="8"/>
      <c r="BK1570" s="8"/>
      <c r="BL1570" s="8"/>
      <c r="BM1570" s="8"/>
      <c r="BN1570" s="8"/>
      <c r="BO1570" s="8"/>
      <c r="BP1570" s="8"/>
      <c r="BQ1570" s="8"/>
      <c r="BR1570" s="8"/>
      <c r="BS1570" s="8"/>
    </row>
    <row r="1571" customFormat="false" ht="15" hidden="false" customHeight="false" outlineLevel="0" collapsed="false">
      <c r="A1571" s="7" t="s">
        <v>10546</v>
      </c>
      <c r="B1571" s="7" t="s">
        <v>10547</v>
      </c>
      <c r="C1571" s="7" t="s">
        <v>10548</v>
      </c>
      <c r="D1571" s="7" t="s">
        <v>10549</v>
      </c>
      <c r="E1571" s="7" t="s">
        <v>410</v>
      </c>
      <c r="F1571" s="7" t="s">
        <v>410</v>
      </c>
      <c r="G1571" s="7"/>
      <c r="H1571" s="7"/>
      <c r="I1571" s="7" t="s">
        <v>132</v>
      </c>
      <c r="J1571" s="7" t="s">
        <v>104</v>
      </c>
      <c r="K1571" s="7" t="s">
        <v>105</v>
      </c>
      <c r="L1571" s="7" t="s">
        <v>106</v>
      </c>
      <c r="M1571" s="7"/>
      <c r="N1571" s="7" t="s">
        <v>10550</v>
      </c>
      <c r="O1571" s="7" t="s">
        <v>10550</v>
      </c>
      <c r="P1571" s="7" t="s">
        <v>109</v>
      </c>
      <c r="Q1571" s="7"/>
      <c r="R1571" s="7" t="s">
        <v>109</v>
      </c>
      <c r="S1571" s="7" t="s">
        <v>110</v>
      </c>
      <c r="T1571" s="7" t="n">
        <v>0.339</v>
      </c>
      <c r="U1571" s="7" t="n">
        <v>1</v>
      </c>
      <c r="V1571" s="7" t="s">
        <v>90</v>
      </c>
      <c r="W1571" s="7"/>
      <c r="X1571" s="7" t="s">
        <v>1237</v>
      </c>
      <c r="Y1571" s="7" t="s">
        <v>10550</v>
      </c>
      <c r="Z1571" s="7"/>
      <c r="AA1571" s="7"/>
      <c r="AB1571" s="7"/>
      <c r="AC1571" s="7" t="n">
        <v>5</v>
      </c>
      <c r="AD1571" s="7" t="s">
        <v>743</v>
      </c>
      <c r="AE1571" s="7" t="s">
        <v>744</v>
      </c>
      <c r="AF1571" s="7" t="s">
        <v>10548</v>
      </c>
      <c r="AG1571" s="7" t="s">
        <v>744</v>
      </c>
      <c r="AH1571" s="7" t="s">
        <v>1237</v>
      </c>
      <c r="AI1571" s="7"/>
      <c r="AJ1571" s="7"/>
      <c r="AK1571" s="7"/>
      <c r="AL1571" s="7"/>
      <c r="AM1571" s="7"/>
      <c r="AN1571" s="7"/>
      <c r="AO1571" s="7" t="s">
        <v>744</v>
      </c>
      <c r="AP1571" s="7" t="s">
        <v>10549</v>
      </c>
      <c r="AQ1571" s="7" t="s">
        <v>744</v>
      </c>
      <c r="AR1571" s="7" t="s">
        <v>410</v>
      </c>
      <c r="AS1571" s="7"/>
      <c r="AT1571" s="7"/>
      <c r="AU1571" s="7"/>
      <c r="AV1571" s="7"/>
      <c r="AW1571" s="7" t="s">
        <v>744</v>
      </c>
      <c r="AX1571" s="7" t="s">
        <v>10550</v>
      </c>
      <c r="AY1571" s="7"/>
      <c r="AZ1571" s="7"/>
      <c r="BA1571" s="7"/>
      <c r="BB1571" s="7"/>
      <c r="BC1571" s="7"/>
      <c r="BD1571" s="7"/>
      <c r="BE1571" s="7" t="s">
        <v>127</v>
      </c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</row>
    <row r="1572" customFormat="false" ht="15" hidden="false" customHeight="false" outlineLevel="0" collapsed="false">
      <c r="A1572" s="7" t="s">
        <v>10551</v>
      </c>
      <c r="B1572" s="7" t="s">
        <v>10552</v>
      </c>
      <c r="C1572" s="7" t="s">
        <v>10553</v>
      </c>
      <c r="D1572" s="7" t="s">
        <v>10554</v>
      </c>
      <c r="E1572" s="7" t="s">
        <v>444</v>
      </c>
      <c r="F1572" s="7" t="s">
        <v>444</v>
      </c>
      <c r="G1572" s="7"/>
      <c r="H1572" s="7"/>
      <c r="I1572" s="7" t="s">
        <v>158</v>
      </c>
      <c r="J1572" s="7" t="s">
        <v>104</v>
      </c>
      <c r="K1572" s="7" t="s">
        <v>105</v>
      </c>
      <c r="L1572" s="7" t="s">
        <v>353</v>
      </c>
      <c r="M1572" s="7"/>
      <c r="N1572" s="7" t="s">
        <v>10555</v>
      </c>
      <c r="O1572" s="7" t="s">
        <v>10555</v>
      </c>
      <c r="P1572" s="7" t="s">
        <v>109</v>
      </c>
      <c r="Q1572" s="7"/>
      <c r="R1572" s="7" t="s">
        <v>109</v>
      </c>
      <c r="S1572" s="7" t="s">
        <v>110</v>
      </c>
      <c r="T1572" s="7" t="n">
        <v>0.377</v>
      </c>
      <c r="U1572" s="7" t="n">
        <v>1</v>
      </c>
      <c r="V1572" s="7" t="s">
        <v>90</v>
      </c>
      <c r="W1572" s="7"/>
      <c r="X1572" s="7" t="s">
        <v>1237</v>
      </c>
      <c r="Y1572" s="7" t="s">
        <v>10555</v>
      </c>
      <c r="Z1572" s="7"/>
      <c r="AA1572" s="7"/>
      <c r="AB1572" s="7"/>
      <c r="AC1572" s="7" t="n">
        <v>5</v>
      </c>
      <c r="AD1572" s="7" t="s">
        <v>743</v>
      </c>
      <c r="AE1572" s="7" t="s">
        <v>744</v>
      </c>
      <c r="AF1572" s="7" t="s">
        <v>10553</v>
      </c>
      <c r="AG1572" s="7" t="s">
        <v>744</v>
      </c>
      <c r="AH1572" s="7" t="s">
        <v>1237</v>
      </c>
      <c r="AI1572" s="7"/>
      <c r="AJ1572" s="7"/>
      <c r="AK1572" s="7"/>
      <c r="AL1572" s="7"/>
      <c r="AM1572" s="7"/>
      <c r="AN1572" s="7"/>
      <c r="AO1572" s="7" t="s">
        <v>744</v>
      </c>
      <c r="AP1572" s="7" t="s">
        <v>10554</v>
      </c>
      <c r="AQ1572" s="7" t="s">
        <v>744</v>
      </c>
      <c r="AR1572" s="7" t="s">
        <v>444</v>
      </c>
      <c r="AS1572" s="7"/>
      <c r="AT1572" s="7"/>
      <c r="AU1572" s="7"/>
      <c r="AV1572" s="7"/>
      <c r="AW1572" s="7" t="s">
        <v>744</v>
      </c>
      <c r="AX1572" s="7" t="s">
        <v>10555</v>
      </c>
      <c r="AY1572" s="7"/>
      <c r="AZ1572" s="7"/>
      <c r="BA1572" s="7"/>
      <c r="BB1572" s="7"/>
      <c r="BC1572" s="7"/>
      <c r="BD1572" s="7"/>
      <c r="BE1572" s="7" t="s">
        <v>127</v>
      </c>
      <c r="BF1572" s="8"/>
      <c r="BG1572" s="8"/>
      <c r="BH1572" s="8"/>
      <c r="BI1572" s="8"/>
      <c r="BJ1572" s="8"/>
      <c r="BK1572" s="8"/>
      <c r="BL1572" s="8"/>
      <c r="BM1572" s="8"/>
      <c r="BN1572" s="8"/>
      <c r="BO1572" s="8"/>
      <c r="BP1572" s="8"/>
      <c r="BQ1572" s="8"/>
      <c r="BR1572" s="8"/>
      <c r="BS1572" s="8"/>
    </row>
    <row r="1573" customFormat="false" ht="15" hidden="false" customHeight="false" outlineLevel="0" collapsed="false">
      <c r="A1573" s="7" t="s">
        <v>10556</v>
      </c>
      <c r="B1573" s="7" t="s">
        <v>10557</v>
      </c>
      <c r="C1573" s="7" t="s">
        <v>10558</v>
      </c>
      <c r="D1573" s="7" t="s">
        <v>746</v>
      </c>
      <c r="E1573" s="7" t="s">
        <v>741</v>
      </c>
      <c r="F1573" s="7" t="s">
        <v>741</v>
      </c>
      <c r="G1573" s="7"/>
      <c r="H1573" s="7"/>
      <c r="I1573" s="7" t="s">
        <v>158</v>
      </c>
      <c r="J1573" s="7" t="s">
        <v>104</v>
      </c>
      <c r="K1573" s="7" t="s">
        <v>105</v>
      </c>
      <c r="L1573" s="7" t="s">
        <v>106</v>
      </c>
      <c r="M1573" s="7"/>
      <c r="N1573" s="7" t="s">
        <v>10559</v>
      </c>
      <c r="O1573" s="7" t="s">
        <v>10559</v>
      </c>
      <c r="P1573" s="7" t="s">
        <v>135</v>
      </c>
      <c r="Q1573" s="7"/>
      <c r="R1573" s="7" t="s">
        <v>109</v>
      </c>
      <c r="S1573" s="7" t="s">
        <v>110</v>
      </c>
      <c r="T1573" s="7" t="n">
        <v>0.34</v>
      </c>
      <c r="U1573" s="7" t="n">
        <v>1</v>
      </c>
      <c r="V1573" s="7" t="s">
        <v>90</v>
      </c>
      <c r="W1573" s="7"/>
      <c r="X1573" s="7" t="s">
        <v>5477</v>
      </c>
      <c r="Y1573" s="7" t="s">
        <v>10559</v>
      </c>
      <c r="Z1573" s="7"/>
      <c r="AA1573" s="7"/>
      <c r="AB1573" s="7"/>
      <c r="AC1573" s="7" t="n">
        <v>5</v>
      </c>
      <c r="AD1573" s="7" t="s">
        <v>743</v>
      </c>
      <c r="AE1573" s="7" t="s">
        <v>744</v>
      </c>
      <c r="AF1573" s="7" t="s">
        <v>10558</v>
      </c>
      <c r="AG1573" s="7" t="s">
        <v>744</v>
      </c>
      <c r="AH1573" s="7" t="s">
        <v>5477</v>
      </c>
      <c r="AI1573" s="7"/>
      <c r="AJ1573" s="7"/>
      <c r="AK1573" s="7"/>
      <c r="AL1573" s="7"/>
      <c r="AM1573" s="7"/>
      <c r="AN1573" s="7"/>
      <c r="AO1573" s="7" t="s">
        <v>744</v>
      </c>
      <c r="AP1573" s="7" t="s">
        <v>746</v>
      </c>
      <c r="AQ1573" s="7" t="s">
        <v>744</v>
      </c>
      <c r="AR1573" s="7" t="s">
        <v>741</v>
      </c>
      <c r="AS1573" s="7"/>
      <c r="AT1573" s="7"/>
      <c r="AU1573" s="7"/>
      <c r="AV1573" s="7"/>
      <c r="AW1573" s="7" t="s">
        <v>744</v>
      </c>
      <c r="AX1573" s="7" t="s">
        <v>10559</v>
      </c>
      <c r="AY1573" s="7"/>
      <c r="AZ1573" s="7"/>
      <c r="BA1573" s="7"/>
      <c r="BB1573" s="7"/>
      <c r="BC1573" s="7"/>
      <c r="BD1573" s="7" t="s">
        <v>747</v>
      </c>
      <c r="BE1573" s="7" t="s">
        <v>127</v>
      </c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</row>
    <row r="1574" customFormat="false" ht="15" hidden="false" customHeight="false" outlineLevel="0" collapsed="false">
      <c r="A1574" s="7" t="s">
        <v>10560</v>
      </c>
      <c r="B1574" s="7" t="s">
        <v>10561</v>
      </c>
      <c r="C1574" s="7" t="s">
        <v>10562</v>
      </c>
      <c r="D1574" s="7" t="s">
        <v>10563</v>
      </c>
      <c r="E1574" s="7"/>
      <c r="F1574" s="7" t="s">
        <v>101</v>
      </c>
      <c r="G1574" s="7"/>
      <c r="H1574" s="7"/>
      <c r="I1574" s="7" t="s">
        <v>374</v>
      </c>
      <c r="J1574" s="7" t="s">
        <v>104</v>
      </c>
      <c r="K1574" s="7" t="s">
        <v>105</v>
      </c>
      <c r="L1574" s="7" t="s">
        <v>106</v>
      </c>
      <c r="M1574" s="7"/>
      <c r="N1574" s="7" t="s">
        <v>10564</v>
      </c>
      <c r="O1574" s="7"/>
      <c r="P1574" s="7" t="s">
        <v>135</v>
      </c>
      <c r="Q1574" s="7"/>
      <c r="R1574" s="7" t="s">
        <v>135</v>
      </c>
      <c r="S1574" s="7" t="s">
        <v>136</v>
      </c>
      <c r="T1574" s="7" t="n">
        <v>0.483</v>
      </c>
      <c r="U1574" s="7" t="n">
        <v>1</v>
      </c>
      <c r="V1574" s="7" t="s">
        <v>90</v>
      </c>
      <c r="W1574" s="7"/>
      <c r="X1574" s="7" t="s">
        <v>5477</v>
      </c>
      <c r="Y1574" s="7" t="s">
        <v>10564</v>
      </c>
      <c r="Z1574" s="7"/>
      <c r="AA1574" s="7"/>
      <c r="AB1574" s="7"/>
      <c r="AC1574" s="7" t="n">
        <v>4</v>
      </c>
      <c r="AD1574" s="7" t="s">
        <v>7611</v>
      </c>
      <c r="AE1574" s="7" t="s">
        <v>744</v>
      </c>
      <c r="AF1574" s="7" t="s">
        <v>10562</v>
      </c>
      <c r="AG1574" s="7" t="s">
        <v>744</v>
      </c>
      <c r="AH1574" s="7" t="s">
        <v>5477</v>
      </c>
      <c r="AI1574" s="7"/>
      <c r="AJ1574" s="7"/>
      <c r="AK1574" s="7"/>
      <c r="AL1574" s="7"/>
      <c r="AM1574" s="7"/>
      <c r="AN1574" s="7"/>
      <c r="AO1574" s="7" t="s">
        <v>744</v>
      </c>
      <c r="AP1574" s="7" t="s">
        <v>10563</v>
      </c>
      <c r="AQ1574" s="7"/>
      <c r="AR1574" s="7"/>
      <c r="AS1574" s="7"/>
      <c r="AT1574" s="7"/>
      <c r="AU1574" s="7"/>
      <c r="AV1574" s="7"/>
      <c r="AW1574" s="7" t="s">
        <v>744</v>
      </c>
      <c r="AX1574" s="7" t="s">
        <v>10564</v>
      </c>
      <c r="AY1574" s="7"/>
      <c r="AZ1574" s="7"/>
      <c r="BA1574" s="7"/>
      <c r="BB1574" s="7"/>
      <c r="BC1574" s="7"/>
      <c r="BD1574" s="7"/>
      <c r="BE1574" s="7" t="s">
        <v>127</v>
      </c>
      <c r="BF1574" s="8"/>
      <c r="BG1574" s="8"/>
      <c r="BH1574" s="8"/>
      <c r="BI1574" s="8"/>
      <c r="BJ1574" s="8"/>
      <c r="BK1574" s="8"/>
      <c r="BL1574" s="8"/>
      <c r="BM1574" s="8"/>
      <c r="BN1574" s="8"/>
      <c r="BO1574" s="8"/>
      <c r="BP1574" s="8"/>
      <c r="BQ1574" s="8"/>
      <c r="BR1574" s="8"/>
      <c r="BS1574" s="8"/>
    </row>
    <row r="1575" customFormat="false" ht="15" hidden="false" customHeight="false" outlineLevel="0" collapsed="false">
      <c r="A1575" s="7" t="s">
        <v>10565</v>
      </c>
      <c r="B1575" s="7" t="s">
        <v>10566</v>
      </c>
      <c r="C1575" s="7" t="s">
        <v>10567</v>
      </c>
      <c r="D1575" s="7" t="s">
        <v>10568</v>
      </c>
      <c r="E1575" s="7"/>
      <c r="F1575" s="7" t="s">
        <v>101</v>
      </c>
      <c r="G1575" s="7"/>
      <c r="H1575" s="7"/>
      <c r="I1575" s="7" t="s">
        <v>374</v>
      </c>
      <c r="J1575" s="7" t="s">
        <v>104</v>
      </c>
      <c r="K1575" s="7" t="s">
        <v>105</v>
      </c>
      <c r="L1575" s="7" t="s">
        <v>106</v>
      </c>
      <c r="M1575" s="7"/>
      <c r="N1575" s="7" t="s">
        <v>10569</v>
      </c>
      <c r="O1575" s="7"/>
      <c r="P1575" s="7" t="s">
        <v>135</v>
      </c>
      <c r="Q1575" s="7"/>
      <c r="R1575" s="7" t="s">
        <v>135</v>
      </c>
      <c r="S1575" s="7" t="s">
        <v>136</v>
      </c>
      <c r="T1575" s="7" t="n">
        <v>0.304</v>
      </c>
      <c r="U1575" s="7" t="n">
        <v>1</v>
      </c>
      <c r="V1575" s="7" t="s">
        <v>90</v>
      </c>
      <c r="W1575" s="7"/>
      <c r="X1575" s="7" t="s">
        <v>5477</v>
      </c>
      <c r="Y1575" s="7" t="s">
        <v>10569</v>
      </c>
      <c r="Z1575" s="7"/>
      <c r="AA1575" s="7"/>
      <c r="AB1575" s="7"/>
      <c r="AC1575" s="7" t="n">
        <v>4</v>
      </c>
      <c r="AD1575" s="7" t="s">
        <v>7611</v>
      </c>
      <c r="AE1575" s="7" t="s">
        <v>744</v>
      </c>
      <c r="AF1575" s="7" t="s">
        <v>10567</v>
      </c>
      <c r="AG1575" s="7" t="s">
        <v>744</v>
      </c>
      <c r="AH1575" s="7" t="s">
        <v>5477</v>
      </c>
      <c r="AI1575" s="7"/>
      <c r="AJ1575" s="7"/>
      <c r="AK1575" s="7"/>
      <c r="AL1575" s="7"/>
      <c r="AM1575" s="7"/>
      <c r="AN1575" s="7"/>
      <c r="AO1575" s="7" t="s">
        <v>744</v>
      </c>
      <c r="AP1575" s="7" t="s">
        <v>10568</v>
      </c>
      <c r="AQ1575" s="7"/>
      <c r="AR1575" s="7"/>
      <c r="AS1575" s="7"/>
      <c r="AT1575" s="7"/>
      <c r="AU1575" s="7"/>
      <c r="AV1575" s="7"/>
      <c r="AW1575" s="7" t="s">
        <v>744</v>
      </c>
      <c r="AX1575" s="7" t="s">
        <v>10569</v>
      </c>
      <c r="AY1575" s="7"/>
      <c r="AZ1575" s="7"/>
      <c r="BA1575" s="7"/>
      <c r="BB1575" s="7"/>
      <c r="BC1575" s="7"/>
      <c r="BD1575" s="7"/>
      <c r="BE1575" s="7" t="s">
        <v>127</v>
      </c>
      <c r="BF1575" s="8"/>
      <c r="BG1575" s="8"/>
      <c r="BH1575" s="8"/>
      <c r="BI1575" s="8"/>
      <c r="BJ1575" s="8"/>
      <c r="BK1575" s="8"/>
      <c r="BL1575" s="8"/>
      <c r="BM1575" s="8"/>
      <c r="BN1575" s="8"/>
      <c r="BO1575" s="8"/>
      <c r="BP1575" s="8"/>
      <c r="BQ1575" s="8"/>
      <c r="BR1575" s="8"/>
      <c r="BS1575" s="8"/>
    </row>
    <row r="1576" customFormat="false" ht="15" hidden="false" customHeight="false" outlineLevel="0" collapsed="false">
      <c r="A1576" s="7" t="s">
        <v>10570</v>
      </c>
      <c r="B1576" s="7" t="s">
        <v>10571</v>
      </c>
      <c r="C1576" s="7" t="s">
        <v>10572</v>
      </c>
      <c r="D1576" s="7" t="s">
        <v>10573</v>
      </c>
      <c r="E1576" s="7"/>
      <c r="F1576" s="7" t="s">
        <v>101</v>
      </c>
      <c r="G1576" s="7"/>
      <c r="H1576" s="7"/>
      <c r="I1576" s="7" t="s">
        <v>374</v>
      </c>
      <c r="J1576" s="7" t="s">
        <v>104</v>
      </c>
      <c r="K1576" s="7" t="s">
        <v>105</v>
      </c>
      <c r="L1576" s="7" t="s">
        <v>106</v>
      </c>
      <c r="M1576" s="7"/>
      <c r="N1576" s="7" t="s">
        <v>10574</v>
      </c>
      <c r="O1576" s="7"/>
      <c r="P1576" s="7" t="s">
        <v>135</v>
      </c>
      <c r="Q1576" s="7"/>
      <c r="R1576" s="7" t="s">
        <v>135</v>
      </c>
      <c r="S1576" s="7" t="s">
        <v>136</v>
      </c>
      <c r="T1576" s="7" t="n">
        <v>0.312</v>
      </c>
      <c r="U1576" s="7" t="n">
        <v>1</v>
      </c>
      <c r="V1576" s="7" t="s">
        <v>90</v>
      </c>
      <c r="W1576" s="7"/>
      <c r="X1576" s="7" t="s">
        <v>5477</v>
      </c>
      <c r="Y1576" s="7" t="s">
        <v>10574</v>
      </c>
      <c r="Z1576" s="7"/>
      <c r="AA1576" s="7"/>
      <c r="AB1576" s="7"/>
      <c r="AC1576" s="7" t="n">
        <v>4</v>
      </c>
      <c r="AD1576" s="7" t="s">
        <v>7611</v>
      </c>
      <c r="AE1576" s="7" t="s">
        <v>744</v>
      </c>
      <c r="AF1576" s="7" t="s">
        <v>10572</v>
      </c>
      <c r="AG1576" s="7" t="s">
        <v>744</v>
      </c>
      <c r="AH1576" s="7" t="s">
        <v>5477</v>
      </c>
      <c r="AI1576" s="7"/>
      <c r="AJ1576" s="7"/>
      <c r="AK1576" s="7"/>
      <c r="AL1576" s="7"/>
      <c r="AM1576" s="7"/>
      <c r="AN1576" s="7"/>
      <c r="AO1576" s="7" t="s">
        <v>744</v>
      </c>
      <c r="AP1576" s="7" t="s">
        <v>10573</v>
      </c>
      <c r="AQ1576" s="7"/>
      <c r="AR1576" s="7"/>
      <c r="AS1576" s="7"/>
      <c r="AT1576" s="7"/>
      <c r="AU1576" s="7"/>
      <c r="AV1576" s="7"/>
      <c r="AW1576" s="7" t="s">
        <v>744</v>
      </c>
      <c r="AX1576" s="7" t="s">
        <v>10574</v>
      </c>
      <c r="AY1576" s="7"/>
      <c r="AZ1576" s="7"/>
      <c r="BA1576" s="7"/>
      <c r="BB1576" s="7"/>
      <c r="BC1576" s="7"/>
      <c r="BD1576" s="7"/>
      <c r="BE1576" s="7" t="s">
        <v>127</v>
      </c>
      <c r="BF1576" s="8"/>
      <c r="BG1576" s="8"/>
      <c r="BH1576" s="8"/>
      <c r="BI1576" s="8"/>
      <c r="BJ1576" s="8"/>
      <c r="BK1576" s="8"/>
      <c r="BL1576" s="8"/>
      <c r="BM1576" s="8"/>
      <c r="BN1576" s="8"/>
      <c r="BO1576" s="8"/>
      <c r="BP1576" s="8"/>
      <c r="BQ1576" s="8"/>
      <c r="BR1576" s="8"/>
      <c r="BS1576" s="8"/>
    </row>
    <row r="1577" customFormat="false" ht="15" hidden="false" customHeight="false" outlineLevel="0" collapsed="false">
      <c r="A1577" s="7" t="s">
        <v>10575</v>
      </c>
      <c r="B1577" s="7" t="s">
        <v>10576</v>
      </c>
      <c r="C1577" s="7" t="s">
        <v>10577</v>
      </c>
      <c r="D1577" s="7" t="s">
        <v>10578</v>
      </c>
      <c r="E1577" s="7"/>
      <c r="F1577" s="7" t="s">
        <v>101</v>
      </c>
      <c r="G1577" s="7"/>
      <c r="H1577" s="7"/>
      <c r="I1577" s="7" t="s">
        <v>158</v>
      </c>
      <c r="J1577" s="7" t="s">
        <v>104</v>
      </c>
      <c r="K1577" s="7" t="s">
        <v>105</v>
      </c>
      <c r="L1577" s="7" t="s">
        <v>106</v>
      </c>
      <c r="M1577" s="7"/>
      <c r="N1577" s="7" t="s">
        <v>10579</v>
      </c>
      <c r="O1577" s="7"/>
      <c r="P1577" s="7" t="s">
        <v>135</v>
      </c>
      <c r="Q1577" s="7"/>
      <c r="R1577" s="7" t="s">
        <v>135</v>
      </c>
      <c r="S1577" s="7" t="s">
        <v>136</v>
      </c>
      <c r="T1577" s="7" t="n">
        <v>0.545</v>
      </c>
      <c r="U1577" s="7" t="n">
        <v>1</v>
      </c>
      <c r="V1577" s="7" t="s">
        <v>90</v>
      </c>
      <c r="W1577" s="7"/>
      <c r="X1577" s="7" t="s">
        <v>5477</v>
      </c>
      <c r="Y1577" s="7" t="s">
        <v>10579</v>
      </c>
      <c r="Z1577" s="7"/>
      <c r="AA1577" s="7"/>
      <c r="AB1577" s="7"/>
      <c r="AC1577" s="7" t="n">
        <v>4</v>
      </c>
      <c r="AD1577" s="7" t="s">
        <v>7611</v>
      </c>
      <c r="AE1577" s="7" t="s">
        <v>744</v>
      </c>
      <c r="AF1577" s="7" t="s">
        <v>10577</v>
      </c>
      <c r="AG1577" s="7" t="s">
        <v>744</v>
      </c>
      <c r="AH1577" s="7" t="s">
        <v>5477</v>
      </c>
      <c r="AI1577" s="7"/>
      <c r="AJ1577" s="7"/>
      <c r="AK1577" s="7"/>
      <c r="AL1577" s="7"/>
      <c r="AM1577" s="7"/>
      <c r="AN1577" s="7"/>
      <c r="AO1577" s="7" t="s">
        <v>744</v>
      </c>
      <c r="AP1577" s="7" t="s">
        <v>10578</v>
      </c>
      <c r="AQ1577" s="7"/>
      <c r="AR1577" s="7"/>
      <c r="AS1577" s="7"/>
      <c r="AT1577" s="7"/>
      <c r="AU1577" s="7"/>
      <c r="AV1577" s="7"/>
      <c r="AW1577" s="7" t="s">
        <v>744</v>
      </c>
      <c r="AX1577" s="7" t="s">
        <v>10579</v>
      </c>
      <c r="AY1577" s="7"/>
      <c r="AZ1577" s="7"/>
      <c r="BA1577" s="7"/>
      <c r="BB1577" s="7"/>
      <c r="BC1577" s="7"/>
      <c r="BD1577" s="7"/>
      <c r="BE1577" s="7" t="s">
        <v>127</v>
      </c>
      <c r="BF1577" s="8"/>
      <c r="BG1577" s="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8"/>
      <c r="BS1577" s="8"/>
    </row>
    <row r="1578" customFormat="false" ht="15" hidden="false" customHeight="false" outlineLevel="0" collapsed="false">
      <c r="A1578" s="7" t="s">
        <v>10580</v>
      </c>
      <c r="B1578" s="7" t="s">
        <v>10581</v>
      </c>
      <c r="C1578" s="7" t="s">
        <v>10582</v>
      </c>
      <c r="D1578" s="7" t="s">
        <v>10583</v>
      </c>
      <c r="E1578" s="7"/>
      <c r="F1578" s="7" t="s">
        <v>101</v>
      </c>
      <c r="G1578" s="7"/>
      <c r="H1578" s="7"/>
      <c r="I1578" s="7" t="s">
        <v>158</v>
      </c>
      <c r="J1578" s="7" t="s">
        <v>104</v>
      </c>
      <c r="K1578" s="7" t="s">
        <v>105</v>
      </c>
      <c r="L1578" s="7" t="s">
        <v>106</v>
      </c>
      <c r="M1578" s="7"/>
      <c r="N1578" s="7" t="s">
        <v>10584</v>
      </c>
      <c r="O1578" s="7"/>
      <c r="P1578" s="7" t="s">
        <v>135</v>
      </c>
      <c r="Q1578" s="7"/>
      <c r="R1578" s="7" t="s">
        <v>135</v>
      </c>
      <c r="S1578" s="7" t="s">
        <v>136</v>
      </c>
      <c r="T1578" s="7" t="n">
        <v>0.324</v>
      </c>
      <c r="U1578" s="7" t="n">
        <v>1</v>
      </c>
      <c r="V1578" s="7" t="s">
        <v>90</v>
      </c>
      <c r="W1578" s="7"/>
      <c r="X1578" s="7" t="s">
        <v>5477</v>
      </c>
      <c r="Y1578" s="7" t="s">
        <v>10584</v>
      </c>
      <c r="Z1578" s="7"/>
      <c r="AA1578" s="7"/>
      <c r="AB1578" s="7"/>
      <c r="AC1578" s="7" t="n">
        <v>4</v>
      </c>
      <c r="AD1578" s="7" t="s">
        <v>7611</v>
      </c>
      <c r="AE1578" s="7" t="s">
        <v>744</v>
      </c>
      <c r="AF1578" s="7" t="s">
        <v>10582</v>
      </c>
      <c r="AG1578" s="7" t="s">
        <v>744</v>
      </c>
      <c r="AH1578" s="7" t="s">
        <v>5477</v>
      </c>
      <c r="AI1578" s="7"/>
      <c r="AJ1578" s="7"/>
      <c r="AK1578" s="7"/>
      <c r="AL1578" s="7"/>
      <c r="AM1578" s="7"/>
      <c r="AN1578" s="7"/>
      <c r="AO1578" s="7" t="s">
        <v>744</v>
      </c>
      <c r="AP1578" s="7" t="s">
        <v>10583</v>
      </c>
      <c r="AQ1578" s="7"/>
      <c r="AR1578" s="7"/>
      <c r="AS1578" s="7"/>
      <c r="AT1578" s="7"/>
      <c r="AU1578" s="7"/>
      <c r="AV1578" s="7"/>
      <c r="AW1578" s="7" t="s">
        <v>744</v>
      </c>
      <c r="AX1578" s="7" t="s">
        <v>10584</v>
      </c>
      <c r="AY1578" s="7"/>
      <c r="AZ1578" s="7"/>
      <c r="BA1578" s="7"/>
      <c r="BB1578" s="7"/>
      <c r="BC1578" s="7"/>
      <c r="BD1578" s="7"/>
      <c r="BE1578" s="7" t="s">
        <v>127</v>
      </c>
      <c r="BF1578" s="8"/>
      <c r="BG1578" s="8"/>
      <c r="BH1578" s="8"/>
      <c r="BI1578" s="8"/>
      <c r="BJ1578" s="8"/>
      <c r="BK1578" s="8"/>
      <c r="BL1578" s="8"/>
      <c r="BM1578" s="8"/>
      <c r="BN1578" s="8"/>
      <c r="BO1578" s="8"/>
      <c r="BP1578" s="8"/>
      <c r="BQ1578" s="8"/>
      <c r="BR1578" s="8"/>
      <c r="BS1578" s="8"/>
    </row>
    <row r="1579" customFormat="false" ht="15" hidden="false" customHeight="false" outlineLevel="0" collapsed="false">
      <c r="A1579" s="7" t="s">
        <v>10585</v>
      </c>
      <c r="B1579" s="7" t="s">
        <v>10586</v>
      </c>
      <c r="C1579" s="7" t="s">
        <v>10587</v>
      </c>
      <c r="D1579" s="7" t="s">
        <v>10588</v>
      </c>
      <c r="E1579" s="7"/>
      <c r="F1579" s="7" t="s">
        <v>156</v>
      </c>
      <c r="G1579" s="7"/>
      <c r="H1579" s="7" t="s">
        <v>157</v>
      </c>
      <c r="I1579" s="7" t="s">
        <v>132</v>
      </c>
      <c r="J1579" s="7" t="s">
        <v>159</v>
      </c>
      <c r="K1579" s="7" t="s">
        <v>105</v>
      </c>
      <c r="L1579" s="7" t="s">
        <v>106</v>
      </c>
      <c r="M1579" s="7"/>
      <c r="N1579" s="7" t="s">
        <v>10589</v>
      </c>
      <c r="O1579" s="7"/>
      <c r="P1579" s="7" t="s">
        <v>135</v>
      </c>
      <c r="Q1579" s="7"/>
      <c r="R1579" s="7" t="s">
        <v>135</v>
      </c>
      <c r="S1579" s="7" t="s">
        <v>136</v>
      </c>
      <c r="T1579" s="7" t="n">
        <v>0.298</v>
      </c>
      <c r="U1579" s="7" t="n">
        <v>1</v>
      </c>
      <c r="V1579" s="7" t="s">
        <v>90</v>
      </c>
      <c r="W1579" s="7"/>
      <c r="X1579" s="7" t="s">
        <v>5477</v>
      </c>
      <c r="Y1579" s="7" t="s">
        <v>10589</v>
      </c>
      <c r="Z1579" s="7"/>
      <c r="AA1579" s="7"/>
      <c r="AB1579" s="7"/>
      <c r="AC1579" s="7" t="n">
        <v>5</v>
      </c>
      <c r="AD1579" s="7" t="s">
        <v>1897</v>
      </c>
      <c r="AE1579" s="7" t="s">
        <v>744</v>
      </c>
      <c r="AF1579" s="7" t="s">
        <v>10587</v>
      </c>
      <c r="AG1579" s="7" t="s">
        <v>744</v>
      </c>
      <c r="AH1579" s="7" t="s">
        <v>5477</v>
      </c>
      <c r="AI1579" s="7"/>
      <c r="AJ1579" s="7"/>
      <c r="AK1579" s="7"/>
      <c r="AL1579" s="7"/>
      <c r="AM1579" s="7" t="s">
        <v>744</v>
      </c>
      <c r="AN1579" s="7" t="s">
        <v>10590</v>
      </c>
      <c r="AO1579" s="7" t="s">
        <v>744</v>
      </c>
      <c r="AP1579" s="7" t="s">
        <v>10588</v>
      </c>
      <c r="AQ1579" s="7"/>
      <c r="AR1579" s="7"/>
      <c r="AS1579" s="7"/>
      <c r="AT1579" s="7"/>
      <c r="AU1579" s="7"/>
      <c r="AV1579" s="7"/>
      <c r="AW1579" s="7" t="s">
        <v>744</v>
      </c>
      <c r="AX1579" s="7" t="s">
        <v>10589</v>
      </c>
      <c r="AY1579" s="7"/>
      <c r="AZ1579" s="7"/>
      <c r="BA1579" s="7"/>
      <c r="BB1579" s="7"/>
      <c r="BC1579" s="7"/>
      <c r="BD1579" s="7"/>
      <c r="BE1579" s="7" t="s">
        <v>127</v>
      </c>
      <c r="BF1579" s="8"/>
      <c r="BG1579" s="8"/>
      <c r="BH1579" s="8"/>
      <c r="BI1579" s="8"/>
      <c r="BJ1579" s="8"/>
      <c r="BK1579" s="8"/>
      <c r="BL1579" s="8"/>
      <c r="BM1579" s="8"/>
      <c r="BN1579" s="8"/>
      <c r="BO1579" s="8"/>
      <c r="BP1579" s="8"/>
      <c r="BQ1579" s="8"/>
      <c r="BR1579" s="8"/>
      <c r="BS1579" s="8"/>
    </row>
    <row r="1580" customFormat="false" ht="15" hidden="false" customHeight="false" outlineLevel="0" collapsed="false">
      <c r="A1580" s="7" t="s">
        <v>10591</v>
      </c>
      <c r="B1580" s="7" t="s">
        <v>10592</v>
      </c>
      <c r="C1580" s="7" t="s">
        <v>10593</v>
      </c>
      <c r="D1580" s="7" t="s">
        <v>10594</v>
      </c>
      <c r="E1580" s="7"/>
      <c r="F1580" s="7" t="s">
        <v>156</v>
      </c>
      <c r="G1580" s="7"/>
      <c r="H1580" s="7" t="s">
        <v>157</v>
      </c>
      <c r="I1580" s="7" t="s">
        <v>158</v>
      </c>
      <c r="J1580" s="7" t="s">
        <v>159</v>
      </c>
      <c r="K1580" s="7" t="s">
        <v>105</v>
      </c>
      <c r="L1580" s="7" t="s">
        <v>106</v>
      </c>
      <c r="M1580" s="7"/>
      <c r="N1580" s="7" t="s">
        <v>10595</v>
      </c>
      <c r="O1580" s="7"/>
      <c r="P1580" s="7" t="s">
        <v>135</v>
      </c>
      <c r="Q1580" s="7"/>
      <c r="R1580" s="7" t="s">
        <v>135</v>
      </c>
      <c r="S1580" s="7" t="s">
        <v>136</v>
      </c>
      <c r="T1580" s="7" t="n">
        <v>0.451</v>
      </c>
      <c r="U1580" s="7" t="n">
        <v>1</v>
      </c>
      <c r="V1580" s="7" t="s">
        <v>90</v>
      </c>
      <c r="W1580" s="7"/>
      <c r="X1580" s="7" t="s">
        <v>5477</v>
      </c>
      <c r="Y1580" s="7" t="s">
        <v>10595</v>
      </c>
      <c r="Z1580" s="7"/>
      <c r="AA1580" s="7"/>
      <c r="AB1580" s="7"/>
      <c r="AC1580" s="7" t="n">
        <v>4</v>
      </c>
      <c r="AD1580" s="7" t="s">
        <v>7611</v>
      </c>
      <c r="AE1580" s="7" t="s">
        <v>744</v>
      </c>
      <c r="AF1580" s="7" t="s">
        <v>10593</v>
      </c>
      <c r="AG1580" s="7" t="s">
        <v>744</v>
      </c>
      <c r="AH1580" s="7" t="s">
        <v>5477</v>
      </c>
      <c r="AI1580" s="7"/>
      <c r="AJ1580" s="7"/>
      <c r="AK1580" s="7"/>
      <c r="AL1580" s="7"/>
      <c r="AM1580" s="7"/>
      <c r="AN1580" s="7"/>
      <c r="AO1580" s="7" t="s">
        <v>744</v>
      </c>
      <c r="AP1580" s="7" t="s">
        <v>10594</v>
      </c>
      <c r="AQ1580" s="7"/>
      <c r="AR1580" s="7"/>
      <c r="AS1580" s="7"/>
      <c r="AT1580" s="7"/>
      <c r="AU1580" s="7"/>
      <c r="AV1580" s="7"/>
      <c r="AW1580" s="7" t="s">
        <v>744</v>
      </c>
      <c r="AX1580" s="7" t="s">
        <v>10595</v>
      </c>
      <c r="AY1580" s="7"/>
      <c r="AZ1580" s="7"/>
      <c r="BA1580" s="7"/>
      <c r="BB1580" s="7"/>
      <c r="BC1580" s="7"/>
      <c r="BD1580" s="7"/>
      <c r="BE1580" s="7" t="s">
        <v>127</v>
      </c>
      <c r="BF1580" s="8"/>
      <c r="BG1580" s="8"/>
      <c r="BH1580" s="8"/>
      <c r="BI1580" s="8"/>
      <c r="BJ1580" s="8"/>
      <c r="BK1580" s="8"/>
      <c r="BL1580" s="8"/>
      <c r="BM1580" s="8"/>
      <c r="BN1580" s="8"/>
      <c r="BO1580" s="8"/>
      <c r="BP1580" s="8"/>
      <c r="BQ1580" s="8"/>
      <c r="BR1580" s="8"/>
      <c r="BS1580" s="8"/>
    </row>
    <row r="1581" customFormat="false" ht="15" hidden="false" customHeight="false" outlineLevel="0" collapsed="false">
      <c r="A1581" s="7" t="s">
        <v>10596</v>
      </c>
      <c r="B1581" s="7" t="s">
        <v>10597</v>
      </c>
      <c r="C1581" s="7" t="s">
        <v>10598</v>
      </c>
      <c r="D1581" s="7" t="s">
        <v>10599</v>
      </c>
      <c r="E1581" s="7"/>
      <c r="F1581" s="7" t="s">
        <v>101</v>
      </c>
      <c r="G1581" s="7"/>
      <c r="H1581" s="7"/>
      <c r="I1581" s="7" t="s">
        <v>132</v>
      </c>
      <c r="J1581" s="7" t="s">
        <v>104</v>
      </c>
      <c r="K1581" s="7" t="s">
        <v>105</v>
      </c>
      <c r="L1581" s="7" t="s">
        <v>106</v>
      </c>
      <c r="M1581" s="7"/>
      <c r="N1581" s="7" t="s">
        <v>10600</v>
      </c>
      <c r="O1581" s="7"/>
      <c r="P1581" s="7" t="s">
        <v>135</v>
      </c>
      <c r="Q1581" s="7"/>
      <c r="R1581" s="7" t="s">
        <v>135</v>
      </c>
      <c r="S1581" s="7" t="s">
        <v>136</v>
      </c>
      <c r="T1581" s="7" t="n">
        <v>0.303</v>
      </c>
      <c r="U1581" s="7" t="n">
        <v>1</v>
      </c>
      <c r="V1581" s="7" t="s">
        <v>90</v>
      </c>
      <c r="W1581" s="7"/>
      <c r="X1581" s="7" t="s">
        <v>5477</v>
      </c>
      <c r="Y1581" s="7" t="s">
        <v>10600</v>
      </c>
      <c r="Z1581" s="7"/>
      <c r="AA1581" s="7"/>
      <c r="AB1581" s="7"/>
      <c r="AC1581" s="7" t="n">
        <v>4</v>
      </c>
      <c r="AD1581" s="7" t="s">
        <v>7611</v>
      </c>
      <c r="AE1581" s="7" t="s">
        <v>744</v>
      </c>
      <c r="AF1581" s="7" t="s">
        <v>10598</v>
      </c>
      <c r="AG1581" s="7" t="s">
        <v>744</v>
      </c>
      <c r="AH1581" s="7" t="s">
        <v>5477</v>
      </c>
      <c r="AI1581" s="7"/>
      <c r="AJ1581" s="7"/>
      <c r="AK1581" s="7"/>
      <c r="AL1581" s="7"/>
      <c r="AM1581" s="7"/>
      <c r="AN1581" s="7"/>
      <c r="AO1581" s="7" t="s">
        <v>744</v>
      </c>
      <c r="AP1581" s="7" t="s">
        <v>10599</v>
      </c>
      <c r="AQ1581" s="7"/>
      <c r="AR1581" s="7"/>
      <c r="AS1581" s="7"/>
      <c r="AT1581" s="7"/>
      <c r="AU1581" s="7"/>
      <c r="AV1581" s="7"/>
      <c r="AW1581" s="7" t="s">
        <v>744</v>
      </c>
      <c r="AX1581" s="7" t="s">
        <v>10600</v>
      </c>
      <c r="AY1581" s="7"/>
      <c r="AZ1581" s="7"/>
      <c r="BA1581" s="7"/>
      <c r="BB1581" s="7"/>
      <c r="BC1581" s="7"/>
      <c r="BD1581" s="7"/>
      <c r="BE1581" s="7" t="s">
        <v>127</v>
      </c>
      <c r="BF1581" s="8"/>
      <c r="BG1581" s="8"/>
      <c r="BH1581" s="8"/>
      <c r="BI1581" s="8"/>
      <c r="BJ1581" s="8"/>
      <c r="BK1581" s="8"/>
      <c r="BL1581" s="8"/>
      <c r="BM1581" s="8"/>
      <c r="BN1581" s="8"/>
      <c r="BO1581" s="8"/>
      <c r="BP1581" s="8"/>
      <c r="BQ1581" s="8"/>
      <c r="BR1581" s="8"/>
      <c r="BS1581" s="8"/>
    </row>
    <row r="1582" customFormat="false" ht="15" hidden="false" customHeight="false" outlineLevel="0" collapsed="false">
      <c r="A1582" s="7" t="s">
        <v>10601</v>
      </c>
      <c r="B1582" s="7" t="s">
        <v>10602</v>
      </c>
      <c r="C1582" s="7" t="s">
        <v>10603</v>
      </c>
      <c r="D1582" s="7" t="s">
        <v>10604</v>
      </c>
      <c r="E1582" s="7" t="s">
        <v>737</v>
      </c>
      <c r="F1582" s="7" t="s">
        <v>737</v>
      </c>
      <c r="G1582" s="7"/>
      <c r="H1582" s="7"/>
      <c r="I1582" s="7" t="s">
        <v>132</v>
      </c>
      <c r="J1582" s="7" t="s">
        <v>104</v>
      </c>
      <c r="K1582" s="7" t="s">
        <v>105</v>
      </c>
      <c r="L1582" s="7" t="s">
        <v>106</v>
      </c>
      <c r="M1582" s="7"/>
      <c r="N1582" s="7" t="s">
        <v>10605</v>
      </c>
      <c r="O1582" s="7" t="s">
        <v>10605</v>
      </c>
      <c r="P1582" s="7" t="s">
        <v>109</v>
      </c>
      <c r="Q1582" s="7"/>
      <c r="R1582" s="7" t="s">
        <v>109</v>
      </c>
      <c r="S1582" s="7" t="s">
        <v>110</v>
      </c>
      <c r="T1582" s="7" t="n">
        <v>0.336</v>
      </c>
      <c r="U1582" s="7" t="n">
        <v>1</v>
      </c>
      <c r="V1582" s="7" t="s">
        <v>90</v>
      </c>
      <c r="W1582" s="7"/>
      <c r="X1582" s="7" t="s">
        <v>5477</v>
      </c>
      <c r="Y1582" s="7" t="s">
        <v>10605</v>
      </c>
      <c r="Z1582" s="7"/>
      <c r="AA1582" s="7"/>
      <c r="AB1582" s="7"/>
      <c r="AC1582" s="7" t="n">
        <v>5</v>
      </c>
      <c r="AD1582" s="7" t="s">
        <v>743</v>
      </c>
      <c r="AE1582" s="7" t="s">
        <v>744</v>
      </c>
      <c r="AF1582" s="7" t="s">
        <v>10603</v>
      </c>
      <c r="AG1582" s="7" t="s">
        <v>744</v>
      </c>
      <c r="AH1582" s="7" t="s">
        <v>5477</v>
      </c>
      <c r="AI1582" s="7"/>
      <c r="AJ1582" s="7"/>
      <c r="AK1582" s="7"/>
      <c r="AL1582" s="7"/>
      <c r="AM1582" s="7"/>
      <c r="AN1582" s="7"/>
      <c r="AO1582" s="7" t="s">
        <v>744</v>
      </c>
      <c r="AP1582" s="7" t="s">
        <v>10604</v>
      </c>
      <c r="AQ1582" s="7" t="s">
        <v>744</v>
      </c>
      <c r="AR1582" s="7" t="s">
        <v>737</v>
      </c>
      <c r="AS1582" s="7"/>
      <c r="AT1582" s="7"/>
      <c r="AU1582" s="7"/>
      <c r="AV1582" s="7"/>
      <c r="AW1582" s="7" t="s">
        <v>744</v>
      </c>
      <c r="AX1582" s="7" t="s">
        <v>10605</v>
      </c>
      <c r="AY1582" s="7"/>
      <c r="AZ1582" s="7"/>
      <c r="BA1582" s="7"/>
      <c r="BB1582" s="7"/>
      <c r="BC1582" s="7"/>
      <c r="BD1582" s="7"/>
      <c r="BE1582" s="7" t="s">
        <v>127</v>
      </c>
      <c r="BF1582" s="8"/>
      <c r="BG1582" s="8"/>
      <c r="BH1582" s="8"/>
      <c r="BI1582" s="8"/>
      <c r="BJ1582" s="8"/>
      <c r="BK1582" s="8"/>
      <c r="BL1582" s="8"/>
      <c r="BM1582" s="8"/>
      <c r="BN1582" s="8"/>
      <c r="BO1582" s="8"/>
      <c r="BP1582" s="8"/>
      <c r="BQ1582" s="8"/>
      <c r="BR1582" s="8"/>
      <c r="BS1582" s="8"/>
    </row>
    <row r="1583" customFormat="false" ht="15" hidden="false" customHeight="false" outlineLevel="0" collapsed="false">
      <c r="A1583" s="7" t="s">
        <v>10606</v>
      </c>
      <c r="B1583" s="7" t="s">
        <v>10607</v>
      </c>
      <c r="C1583" s="7" t="s">
        <v>10608</v>
      </c>
      <c r="D1583" s="7" t="s">
        <v>4839</v>
      </c>
      <c r="E1583" s="7" t="s">
        <v>819</v>
      </c>
      <c r="F1583" s="7" t="s">
        <v>819</v>
      </c>
      <c r="G1583" s="7"/>
      <c r="H1583" s="7"/>
      <c r="I1583" s="7" t="s">
        <v>158</v>
      </c>
      <c r="J1583" s="7" t="s">
        <v>104</v>
      </c>
      <c r="K1583" s="7" t="s">
        <v>105</v>
      </c>
      <c r="L1583" s="7" t="s">
        <v>106</v>
      </c>
      <c r="M1583" s="7"/>
      <c r="N1583" s="7" t="s">
        <v>10609</v>
      </c>
      <c r="O1583" s="7" t="s">
        <v>10609</v>
      </c>
      <c r="P1583" s="7" t="s">
        <v>135</v>
      </c>
      <c r="Q1583" s="7"/>
      <c r="R1583" s="7" t="s">
        <v>109</v>
      </c>
      <c r="S1583" s="7" t="s">
        <v>110</v>
      </c>
      <c r="T1583" s="7" t="n">
        <v>0.466</v>
      </c>
      <c r="U1583" s="7" t="n">
        <v>1</v>
      </c>
      <c r="V1583" s="7" t="s">
        <v>90</v>
      </c>
      <c r="W1583" s="7"/>
      <c r="X1583" s="7" t="s">
        <v>5477</v>
      </c>
      <c r="Y1583" s="7" t="s">
        <v>10609</v>
      </c>
      <c r="Z1583" s="7"/>
      <c r="AA1583" s="7"/>
      <c r="AB1583" s="7"/>
      <c r="AC1583" s="7" t="n">
        <v>5</v>
      </c>
      <c r="AD1583" s="7" t="s">
        <v>743</v>
      </c>
      <c r="AE1583" s="7" t="s">
        <v>744</v>
      </c>
      <c r="AF1583" s="7" t="s">
        <v>10608</v>
      </c>
      <c r="AG1583" s="7" t="s">
        <v>744</v>
      </c>
      <c r="AH1583" s="7" t="s">
        <v>5477</v>
      </c>
      <c r="AI1583" s="7"/>
      <c r="AJ1583" s="7"/>
      <c r="AK1583" s="7"/>
      <c r="AL1583" s="7"/>
      <c r="AM1583" s="7"/>
      <c r="AN1583" s="7"/>
      <c r="AO1583" s="7" t="s">
        <v>744</v>
      </c>
      <c r="AP1583" s="7" t="s">
        <v>4839</v>
      </c>
      <c r="AQ1583" s="7" t="s">
        <v>744</v>
      </c>
      <c r="AR1583" s="7" t="s">
        <v>819</v>
      </c>
      <c r="AS1583" s="7"/>
      <c r="AT1583" s="7"/>
      <c r="AU1583" s="7"/>
      <c r="AV1583" s="7"/>
      <c r="AW1583" s="7" t="s">
        <v>744</v>
      </c>
      <c r="AX1583" s="7" t="s">
        <v>10609</v>
      </c>
      <c r="AY1583" s="7"/>
      <c r="AZ1583" s="7"/>
      <c r="BA1583" s="7"/>
      <c r="BB1583" s="7"/>
      <c r="BC1583" s="7"/>
      <c r="BD1583" s="7" t="s">
        <v>440</v>
      </c>
      <c r="BE1583" s="7" t="s">
        <v>127</v>
      </c>
      <c r="BF1583" s="8"/>
      <c r="BG1583" s="8"/>
      <c r="BH1583" s="8"/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</row>
    <row r="1584" customFormat="false" ht="15" hidden="false" customHeight="false" outlineLevel="0" collapsed="false">
      <c r="A1584" s="7" t="s">
        <v>10610</v>
      </c>
      <c r="B1584" s="7" t="s">
        <v>10611</v>
      </c>
      <c r="C1584" s="7" t="s">
        <v>10612</v>
      </c>
      <c r="D1584" s="7" t="s">
        <v>746</v>
      </c>
      <c r="E1584" s="7"/>
      <c r="F1584" s="7" t="s">
        <v>101</v>
      </c>
      <c r="G1584" s="7"/>
      <c r="H1584" s="7"/>
      <c r="I1584" s="7" t="s">
        <v>158</v>
      </c>
      <c r="J1584" s="7" t="s">
        <v>104</v>
      </c>
      <c r="K1584" s="7" t="s">
        <v>105</v>
      </c>
      <c r="L1584" s="7" t="s">
        <v>106</v>
      </c>
      <c r="M1584" s="7"/>
      <c r="N1584" s="7" t="s">
        <v>10613</v>
      </c>
      <c r="O1584" s="7" t="s">
        <v>10613</v>
      </c>
      <c r="P1584" s="7" t="s">
        <v>135</v>
      </c>
      <c r="Q1584" s="7"/>
      <c r="R1584" s="7" t="s">
        <v>109</v>
      </c>
      <c r="S1584" s="7" t="s">
        <v>110</v>
      </c>
      <c r="T1584" s="7" t="n">
        <v>0.386</v>
      </c>
      <c r="U1584" s="7" t="n">
        <v>1</v>
      </c>
      <c r="V1584" s="7" t="s">
        <v>90</v>
      </c>
      <c r="W1584" s="7"/>
      <c r="X1584" s="7" t="s">
        <v>5477</v>
      </c>
      <c r="Y1584" s="7" t="s">
        <v>10613</v>
      </c>
      <c r="Z1584" s="7"/>
      <c r="AA1584" s="7"/>
      <c r="AB1584" s="7"/>
      <c r="AC1584" s="7" t="n">
        <v>4</v>
      </c>
      <c r="AD1584" s="7" t="s">
        <v>7611</v>
      </c>
      <c r="AE1584" s="7" t="s">
        <v>744</v>
      </c>
      <c r="AF1584" s="7" t="s">
        <v>10612</v>
      </c>
      <c r="AG1584" s="7" t="s">
        <v>744</v>
      </c>
      <c r="AH1584" s="7" t="s">
        <v>5477</v>
      </c>
      <c r="AI1584" s="7"/>
      <c r="AJ1584" s="7"/>
      <c r="AK1584" s="7"/>
      <c r="AL1584" s="7"/>
      <c r="AM1584" s="7"/>
      <c r="AN1584" s="7"/>
      <c r="AO1584" s="7" t="s">
        <v>744</v>
      </c>
      <c r="AP1584" s="7" t="s">
        <v>746</v>
      </c>
      <c r="AQ1584" s="7"/>
      <c r="AR1584" s="7"/>
      <c r="AS1584" s="7"/>
      <c r="AT1584" s="7"/>
      <c r="AU1584" s="7"/>
      <c r="AV1584" s="7"/>
      <c r="AW1584" s="7" t="s">
        <v>744</v>
      </c>
      <c r="AX1584" s="7" t="s">
        <v>10613</v>
      </c>
      <c r="AY1584" s="7"/>
      <c r="AZ1584" s="7"/>
      <c r="BA1584" s="7"/>
      <c r="BB1584" s="7"/>
      <c r="BC1584" s="7"/>
      <c r="BD1584" s="7" t="s">
        <v>747</v>
      </c>
      <c r="BE1584" s="7" t="s">
        <v>127</v>
      </c>
      <c r="BF1584" s="8"/>
      <c r="BG1584" s="8"/>
      <c r="BH1584" s="8"/>
      <c r="BI1584" s="8"/>
      <c r="BJ1584" s="8"/>
      <c r="BK1584" s="8"/>
      <c r="BL1584" s="8"/>
      <c r="BM1584" s="8"/>
      <c r="BN1584" s="8"/>
      <c r="BO1584" s="8"/>
      <c r="BP1584" s="8"/>
      <c r="BQ1584" s="8"/>
      <c r="BR1584" s="8"/>
      <c r="BS1584" s="8"/>
    </row>
    <row r="1585" customFormat="false" ht="15" hidden="false" customHeight="false" outlineLevel="0" collapsed="false">
      <c r="A1585" s="7" t="s">
        <v>10614</v>
      </c>
      <c r="B1585" s="7" t="s">
        <v>7885</v>
      </c>
      <c r="C1585" s="7" t="s">
        <v>10615</v>
      </c>
      <c r="D1585" s="7" t="s">
        <v>10616</v>
      </c>
      <c r="E1585" s="7" t="s">
        <v>82</v>
      </c>
      <c r="F1585" s="7" t="s">
        <v>82</v>
      </c>
      <c r="G1585" s="7"/>
      <c r="H1585" s="7"/>
      <c r="I1585" s="7" t="s">
        <v>158</v>
      </c>
      <c r="J1585" s="7" t="s">
        <v>104</v>
      </c>
      <c r="K1585" s="7" t="s">
        <v>105</v>
      </c>
      <c r="L1585" s="7" t="s">
        <v>106</v>
      </c>
      <c r="M1585" s="7"/>
      <c r="N1585" s="7" t="s">
        <v>7886</v>
      </c>
      <c r="O1585" s="7" t="s">
        <v>7886</v>
      </c>
      <c r="P1585" s="7" t="s">
        <v>135</v>
      </c>
      <c r="Q1585" s="7"/>
      <c r="R1585" s="7" t="s">
        <v>109</v>
      </c>
      <c r="S1585" s="7" t="s">
        <v>110</v>
      </c>
      <c r="T1585" s="7" t="n">
        <v>0.387</v>
      </c>
      <c r="U1585" s="7" t="n">
        <v>1</v>
      </c>
      <c r="V1585" s="7" t="s">
        <v>90</v>
      </c>
      <c r="W1585" s="7"/>
      <c r="X1585" s="7" t="s">
        <v>5477</v>
      </c>
      <c r="Y1585" s="7" t="s">
        <v>7886</v>
      </c>
      <c r="Z1585" s="7"/>
      <c r="AA1585" s="7"/>
      <c r="AB1585" s="7"/>
      <c r="AC1585" s="7" t="n">
        <v>5</v>
      </c>
      <c r="AD1585" s="7" t="s">
        <v>743</v>
      </c>
      <c r="AE1585" s="7" t="s">
        <v>744</v>
      </c>
      <c r="AF1585" s="7" t="s">
        <v>10615</v>
      </c>
      <c r="AG1585" s="7" t="s">
        <v>744</v>
      </c>
      <c r="AH1585" s="7" t="s">
        <v>5477</v>
      </c>
      <c r="AI1585" s="7"/>
      <c r="AJ1585" s="7"/>
      <c r="AK1585" s="7"/>
      <c r="AL1585" s="7"/>
      <c r="AM1585" s="7"/>
      <c r="AN1585" s="7"/>
      <c r="AO1585" s="7" t="s">
        <v>744</v>
      </c>
      <c r="AP1585" s="7" t="s">
        <v>10616</v>
      </c>
      <c r="AQ1585" s="7" t="s">
        <v>744</v>
      </c>
      <c r="AR1585" s="7" t="s">
        <v>82</v>
      </c>
      <c r="AS1585" s="7"/>
      <c r="AT1585" s="7"/>
      <c r="AU1585" s="7"/>
      <c r="AV1585" s="7"/>
      <c r="AW1585" s="7" t="s">
        <v>744</v>
      </c>
      <c r="AX1585" s="7" t="s">
        <v>7886</v>
      </c>
      <c r="AY1585" s="7"/>
      <c r="AZ1585" s="7"/>
      <c r="BA1585" s="7"/>
      <c r="BB1585" s="7"/>
      <c r="BC1585" s="7"/>
      <c r="BD1585" s="7" t="s">
        <v>220</v>
      </c>
      <c r="BE1585" s="7" t="s">
        <v>127</v>
      </c>
      <c r="BF1585" s="8"/>
      <c r="BG1585" s="8"/>
      <c r="BH1585" s="8"/>
      <c r="BI1585" s="8"/>
      <c r="BJ1585" s="8"/>
      <c r="BK1585" s="8"/>
      <c r="BL1585" s="8"/>
      <c r="BM1585" s="8"/>
      <c r="BN1585" s="8"/>
      <c r="BO1585" s="8"/>
      <c r="BP1585" s="8"/>
      <c r="BQ1585" s="8"/>
      <c r="BR1585" s="8"/>
      <c r="BS1585" s="8"/>
    </row>
    <row r="1586" customFormat="false" ht="15" hidden="false" customHeight="false" outlineLevel="0" collapsed="false">
      <c r="A1586" s="7" t="s">
        <v>10617</v>
      </c>
      <c r="B1586" s="7" t="s">
        <v>10618</v>
      </c>
      <c r="C1586" s="7" t="s">
        <v>10619</v>
      </c>
      <c r="D1586" s="7" t="s">
        <v>746</v>
      </c>
      <c r="E1586" s="7" t="s">
        <v>741</v>
      </c>
      <c r="F1586" s="7" t="s">
        <v>741</v>
      </c>
      <c r="G1586" s="7"/>
      <c r="H1586" s="7"/>
      <c r="I1586" s="7" t="s">
        <v>158</v>
      </c>
      <c r="J1586" s="7" t="s">
        <v>104</v>
      </c>
      <c r="K1586" s="7" t="s">
        <v>105</v>
      </c>
      <c r="L1586" s="7" t="s">
        <v>106</v>
      </c>
      <c r="M1586" s="7"/>
      <c r="N1586" s="7" t="s">
        <v>10620</v>
      </c>
      <c r="O1586" s="7" t="s">
        <v>10620</v>
      </c>
      <c r="P1586" s="7" t="s">
        <v>135</v>
      </c>
      <c r="Q1586" s="7"/>
      <c r="R1586" s="7" t="s">
        <v>109</v>
      </c>
      <c r="S1586" s="7" t="s">
        <v>110</v>
      </c>
      <c r="T1586" s="7" t="n">
        <v>0.498</v>
      </c>
      <c r="U1586" s="7" t="n">
        <v>1</v>
      </c>
      <c r="V1586" s="7" t="s">
        <v>90</v>
      </c>
      <c r="W1586" s="7"/>
      <c r="X1586" s="7" t="s">
        <v>5477</v>
      </c>
      <c r="Y1586" s="7" t="s">
        <v>10620</v>
      </c>
      <c r="Z1586" s="7"/>
      <c r="AA1586" s="7"/>
      <c r="AB1586" s="7"/>
      <c r="AC1586" s="7" t="n">
        <v>5</v>
      </c>
      <c r="AD1586" s="7" t="s">
        <v>743</v>
      </c>
      <c r="AE1586" s="7" t="s">
        <v>744</v>
      </c>
      <c r="AF1586" s="7" t="s">
        <v>10619</v>
      </c>
      <c r="AG1586" s="7" t="s">
        <v>744</v>
      </c>
      <c r="AH1586" s="7" t="s">
        <v>5477</v>
      </c>
      <c r="AI1586" s="7"/>
      <c r="AJ1586" s="7"/>
      <c r="AK1586" s="7"/>
      <c r="AL1586" s="7"/>
      <c r="AM1586" s="7"/>
      <c r="AN1586" s="7"/>
      <c r="AO1586" s="7" t="s">
        <v>744</v>
      </c>
      <c r="AP1586" s="7" t="s">
        <v>746</v>
      </c>
      <c r="AQ1586" s="7" t="s">
        <v>744</v>
      </c>
      <c r="AR1586" s="7" t="s">
        <v>741</v>
      </c>
      <c r="AS1586" s="7"/>
      <c r="AT1586" s="7"/>
      <c r="AU1586" s="7"/>
      <c r="AV1586" s="7"/>
      <c r="AW1586" s="7" t="s">
        <v>744</v>
      </c>
      <c r="AX1586" s="7" t="s">
        <v>10620</v>
      </c>
      <c r="AY1586" s="7"/>
      <c r="AZ1586" s="7"/>
      <c r="BA1586" s="7"/>
      <c r="BB1586" s="7"/>
      <c r="BC1586" s="7"/>
      <c r="BD1586" s="7" t="s">
        <v>747</v>
      </c>
      <c r="BE1586" s="7" t="s">
        <v>127</v>
      </c>
      <c r="BF1586" s="8"/>
      <c r="BG1586" s="8"/>
      <c r="BH1586" s="8"/>
      <c r="BI1586" s="8"/>
      <c r="BJ1586" s="8"/>
      <c r="BK1586" s="8"/>
      <c r="BL1586" s="8"/>
      <c r="BM1586" s="8"/>
      <c r="BN1586" s="8"/>
      <c r="BO1586" s="8"/>
      <c r="BP1586" s="8"/>
      <c r="BQ1586" s="8"/>
      <c r="BR1586" s="8"/>
      <c r="BS1586" s="8"/>
    </row>
    <row r="1587" customFormat="false" ht="15" hidden="false" customHeight="false" outlineLevel="0" collapsed="false">
      <c r="A1587" s="7" t="s">
        <v>10621</v>
      </c>
      <c r="B1587" s="7" t="s">
        <v>10622</v>
      </c>
      <c r="C1587" s="7" t="s">
        <v>10623</v>
      </c>
      <c r="D1587" s="7" t="s">
        <v>10500</v>
      </c>
      <c r="E1587" s="7" t="s">
        <v>819</v>
      </c>
      <c r="F1587" s="7" t="s">
        <v>819</v>
      </c>
      <c r="G1587" s="7"/>
      <c r="H1587" s="7"/>
      <c r="I1587" s="7" t="s">
        <v>158</v>
      </c>
      <c r="J1587" s="7" t="s">
        <v>104</v>
      </c>
      <c r="K1587" s="7" t="s">
        <v>105</v>
      </c>
      <c r="L1587" s="7" t="s">
        <v>353</v>
      </c>
      <c r="M1587" s="7"/>
      <c r="N1587" s="7" t="s">
        <v>10624</v>
      </c>
      <c r="O1587" s="7"/>
      <c r="P1587" s="7" t="s">
        <v>135</v>
      </c>
      <c r="Q1587" s="7"/>
      <c r="R1587" s="7" t="s">
        <v>135</v>
      </c>
      <c r="S1587" s="7" t="s">
        <v>136</v>
      </c>
      <c r="T1587" s="7" t="n">
        <v>0.394</v>
      </c>
      <c r="U1587" s="7" t="n">
        <v>1</v>
      </c>
      <c r="V1587" s="7" t="s">
        <v>90</v>
      </c>
      <c r="W1587" s="7"/>
      <c r="X1587" s="7" t="s">
        <v>4045</v>
      </c>
      <c r="Y1587" s="7" t="s">
        <v>10624</v>
      </c>
      <c r="Z1587" s="7"/>
      <c r="AA1587" s="7"/>
      <c r="AB1587" s="7"/>
      <c r="AC1587" s="7" t="n">
        <v>5</v>
      </c>
      <c r="AD1587" s="7" t="s">
        <v>743</v>
      </c>
      <c r="AE1587" s="7" t="s">
        <v>744</v>
      </c>
      <c r="AF1587" s="7" t="s">
        <v>10623</v>
      </c>
      <c r="AG1587" s="7" t="s">
        <v>744</v>
      </c>
      <c r="AH1587" s="7" t="s">
        <v>4045</v>
      </c>
      <c r="AI1587" s="7"/>
      <c r="AJ1587" s="7"/>
      <c r="AK1587" s="7"/>
      <c r="AL1587" s="7"/>
      <c r="AM1587" s="7"/>
      <c r="AN1587" s="7"/>
      <c r="AO1587" s="7" t="s">
        <v>744</v>
      </c>
      <c r="AP1587" s="7" t="s">
        <v>10500</v>
      </c>
      <c r="AQ1587" s="7" t="s">
        <v>744</v>
      </c>
      <c r="AR1587" s="7" t="s">
        <v>819</v>
      </c>
      <c r="AS1587" s="7"/>
      <c r="AT1587" s="7"/>
      <c r="AU1587" s="7"/>
      <c r="AV1587" s="7"/>
      <c r="AW1587" s="7" t="s">
        <v>744</v>
      </c>
      <c r="AX1587" s="7" t="s">
        <v>10624</v>
      </c>
      <c r="AY1587" s="7"/>
      <c r="AZ1587" s="7"/>
      <c r="BA1587" s="7"/>
      <c r="BB1587" s="7"/>
      <c r="BC1587" s="7"/>
      <c r="BD1587" s="7"/>
      <c r="BE1587" s="7" t="s">
        <v>127</v>
      </c>
      <c r="BF1587" s="8"/>
      <c r="BG1587" s="8"/>
      <c r="BH1587" s="8"/>
      <c r="BI1587" s="8"/>
      <c r="BJ1587" s="8"/>
      <c r="BK1587" s="8"/>
      <c r="BL1587" s="8"/>
      <c r="BM1587" s="8"/>
      <c r="BN1587" s="8"/>
      <c r="BO1587" s="8"/>
      <c r="BP1587" s="8"/>
      <c r="BQ1587" s="8"/>
      <c r="BR1587" s="8"/>
      <c r="BS1587" s="8"/>
    </row>
    <row r="1588" customFormat="false" ht="15" hidden="false" customHeight="false" outlineLevel="0" collapsed="false">
      <c r="A1588" s="7" t="s">
        <v>10625</v>
      </c>
      <c r="B1588" s="7" t="s">
        <v>10626</v>
      </c>
      <c r="C1588" s="7" t="s">
        <v>10627</v>
      </c>
      <c r="D1588" s="7" t="s">
        <v>10628</v>
      </c>
      <c r="E1588" s="7"/>
      <c r="F1588" s="7" t="s">
        <v>101</v>
      </c>
      <c r="G1588" s="7"/>
      <c r="H1588" s="7"/>
      <c r="I1588" s="7" t="s">
        <v>132</v>
      </c>
      <c r="J1588" s="7" t="s">
        <v>104</v>
      </c>
      <c r="K1588" s="7" t="s">
        <v>105</v>
      </c>
      <c r="L1588" s="7" t="s">
        <v>106</v>
      </c>
      <c r="M1588" s="7"/>
      <c r="N1588" s="7" t="s">
        <v>10629</v>
      </c>
      <c r="O1588" s="7"/>
      <c r="P1588" s="7" t="s">
        <v>135</v>
      </c>
      <c r="Q1588" s="7"/>
      <c r="R1588" s="7" t="s">
        <v>135</v>
      </c>
      <c r="S1588" s="7" t="s">
        <v>136</v>
      </c>
      <c r="T1588" s="7" t="n">
        <v>0.491</v>
      </c>
      <c r="U1588" s="7" t="n">
        <v>1</v>
      </c>
      <c r="V1588" s="7" t="s">
        <v>90</v>
      </c>
      <c r="W1588" s="7"/>
      <c r="X1588" s="7" t="s">
        <v>3389</v>
      </c>
      <c r="Y1588" s="7" t="s">
        <v>10629</v>
      </c>
      <c r="Z1588" s="7"/>
      <c r="AA1588" s="7"/>
      <c r="AB1588" s="7"/>
      <c r="AC1588" s="7" t="n">
        <v>5</v>
      </c>
      <c r="AD1588" s="7" t="s">
        <v>1897</v>
      </c>
      <c r="AE1588" s="7" t="s">
        <v>744</v>
      </c>
      <c r="AF1588" s="7" t="s">
        <v>10627</v>
      </c>
      <c r="AG1588" s="7" t="s">
        <v>744</v>
      </c>
      <c r="AH1588" s="7" t="s">
        <v>3389</v>
      </c>
      <c r="AI1588" s="7"/>
      <c r="AJ1588" s="7"/>
      <c r="AK1588" s="7"/>
      <c r="AL1588" s="7"/>
      <c r="AM1588" s="7" t="s">
        <v>744</v>
      </c>
      <c r="AN1588" s="7" t="s">
        <v>10630</v>
      </c>
      <c r="AO1588" s="7" t="s">
        <v>744</v>
      </c>
      <c r="AP1588" s="7" t="s">
        <v>10628</v>
      </c>
      <c r="AQ1588" s="7"/>
      <c r="AR1588" s="7"/>
      <c r="AS1588" s="7"/>
      <c r="AT1588" s="7"/>
      <c r="AU1588" s="7"/>
      <c r="AV1588" s="7"/>
      <c r="AW1588" s="7" t="s">
        <v>744</v>
      </c>
      <c r="AX1588" s="7" t="s">
        <v>10629</v>
      </c>
      <c r="AY1588" s="7"/>
      <c r="AZ1588" s="7"/>
      <c r="BA1588" s="7"/>
      <c r="BB1588" s="7"/>
      <c r="BC1588" s="7"/>
      <c r="BD1588" s="7"/>
      <c r="BE1588" s="7" t="s">
        <v>127</v>
      </c>
      <c r="BF1588" s="8"/>
      <c r="BG1588" s="8"/>
      <c r="BH1588" s="8"/>
      <c r="BI1588" s="8"/>
      <c r="BJ1588" s="8"/>
      <c r="BK1588" s="8"/>
      <c r="BL1588" s="8"/>
      <c r="BM1588" s="8"/>
      <c r="BN1588" s="8"/>
      <c r="BO1588" s="8"/>
      <c r="BP1588" s="8"/>
      <c r="BQ1588" s="8"/>
      <c r="BR1588" s="8"/>
      <c r="BS1588" s="8"/>
    </row>
    <row r="1589" customFormat="false" ht="15" hidden="false" customHeight="false" outlineLevel="0" collapsed="false">
      <c r="A1589" s="7" t="s">
        <v>10631</v>
      </c>
      <c r="B1589" s="7" t="s">
        <v>10632</v>
      </c>
      <c r="C1589" s="7" t="s">
        <v>10633</v>
      </c>
      <c r="D1589" s="7" t="s">
        <v>10634</v>
      </c>
      <c r="E1589" s="7"/>
      <c r="F1589" s="7" t="s">
        <v>101</v>
      </c>
      <c r="G1589" s="7"/>
      <c r="H1589" s="7"/>
      <c r="I1589" s="7" t="s">
        <v>158</v>
      </c>
      <c r="J1589" s="7" t="s">
        <v>104</v>
      </c>
      <c r="K1589" s="7" t="s">
        <v>105</v>
      </c>
      <c r="L1589" s="7" t="s">
        <v>106</v>
      </c>
      <c r="M1589" s="7"/>
      <c r="N1589" s="7" t="s">
        <v>10635</v>
      </c>
      <c r="O1589" s="7"/>
      <c r="P1589" s="7" t="s">
        <v>135</v>
      </c>
      <c r="Q1589" s="7"/>
      <c r="R1589" s="7" t="s">
        <v>135</v>
      </c>
      <c r="S1589" s="7" t="s">
        <v>136</v>
      </c>
      <c r="T1589" s="7" t="n">
        <v>0.497</v>
      </c>
      <c r="U1589" s="7" t="n">
        <v>1</v>
      </c>
      <c r="V1589" s="7" t="s">
        <v>90</v>
      </c>
      <c r="W1589" s="7"/>
      <c r="X1589" s="7" t="s">
        <v>1258</v>
      </c>
      <c r="Y1589" s="7" t="s">
        <v>10635</v>
      </c>
      <c r="Z1589" s="7"/>
      <c r="AA1589" s="7"/>
      <c r="AB1589" s="7"/>
      <c r="AC1589" s="7" t="n">
        <v>5</v>
      </c>
      <c r="AD1589" s="7" t="s">
        <v>1897</v>
      </c>
      <c r="AE1589" s="7" t="s">
        <v>744</v>
      </c>
      <c r="AF1589" s="7" t="s">
        <v>10633</v>
      </c>
      <c r="AG1589" s="7" t="s">
        <v>744</v>
      </c>
      <c r="AH1589" s="7" t="s">
        <v>1258</v>
      </c>
      <c r="AI1589" s="7"/>
      <c r="AJ1589" s="7"/>
      <c r="AK1589" s="7"/>
      <c r="AL1589" s="7"/>
      <c r="AM1589" s="7" t="s">
        <v>744</v>
      </c>
      <c r="AN1589" s="7" t="s">
        <v>10636</v>
      </c>
      <c r="AO1589" s="7" t="s">
        <v>744</v>
      </c>
      <c r="AP1589" s="7" t="s">
        <v>10634</v>
      </c>
      <c r="AQ1589" s="7"/>
      <c r="AR1589" s="7"/>
      <c r="AS1589" s="7"/>
      <c r="AT1589" s="7"/>
      <c r="AU1589" s="7"/>
      <c r="AV1589" s="7"/>
      <c r="AW1589" s="7" t="s">
        <v>744</v>
      </c>
      <c r="AX1589" s="7" t="s">
        <v>10635</v>
      </c>
      <c r="AY1589" s="7"/>
      <c r="AZ1589" s="7"/>
      <c r="BA1589" s="7"/>
      <c r="BB1589" s="7"/>
      <c r="BC1589" s="7"/>
      <c r="BD1589" s="7"/>
      <c r="BE1589" s="7" t="s">
        <v>127</v>
      </c>
      <c r="BF1589" s="8"/>
      <c r="BG1589" s="8"/>
      <c r="BH1589" s="8"/>
      <c r="BI1589" s="8"/>
      <c r="BJ1589" s="8"/>
      <c r="BK1589" s="8"/>
      <c r="BL1589" s="8"/>
      <c r="BM1589" s="8"/>
      <c r="BN1589" s="8"/>
      <c r="BO1589" s="8"/>
      <c r="BP1589" s="8"/>
      <c r="BQ1589" s="8"/>
      <c r="BR1589" s="8"/>
      <c r="BS1589" s="8"/>
    </row>
    <row r="1590" customFormat="false" ht="15" hidden="false" customHeight="false" outlineLevel="0" collapsed="false">
      <c r="A1590" s="7" t="s">
        <v>10637</v>
      </c>
      <c r="B1590" s="7" t="s">
        <v>10638</v>
      </c>
      <c r="C1590" s="7" t="s">
        <v>10639</v>
      </c>
      <c r="D1590" s="7" t="s">
        <v>10640</v>
      </c>
      <c r="E1590" s="7"/>
      <c r="F1590" s="7" t="s">
        <v>101</v>
      </c>
      <c r="G1590" s="7"/>
      <c r="H1590" s="7"/>
      <c r="I1590" s="7" t="s">
        <v>158</v>
      </c>
      <c r="J1590" s="7" t="s">
        <v>104</v>
      </c>
      <c r="K1590" s="7" t="s">
        <v>105</v>
      </c>
      <c r="L1590" s="7" t="s">
        <v>106</v>
      </c>
      <c r="M1590" s="7"/>
      <c r="N1590" s="7" t="s">
        <v>10641</v>
      </c>
      <c r="O1590" s="7"/>
      <c r="P1590" s="7" t="s">
        <v>135</v>
      </c>
      <c r="Q1590" s="7"/>
      <c r="R1590" s="7" t="s">
        <v>135</v>
      </c>
      <c r="S1590" s="7" t="s">
        <v>136</v>
      </c>
      <c r="T1590" s="7" t="n">
        <v>0.511</v>
      </c>
      <c r="U1590" s="7" t="n">
        <v>1</v>
      </c>
      <c r="V1590" s="7" t="s">
        <v>90</v>
      </c>
      <c r="W1590" s="7"/>
      <c r="X1590" s="7" t="s">
        <v>1258</v>
      </c>
      <c r="Y1590" s="7" t="s">
        <v>10641</v>
      </c>
      <c r="Z1590" s="7"/>
      <c r="AA1590" s="7"/>
      <c r="AB1590" s="7"/>
      <c r="AC1590" s="7" t="n">
        <v>4</v>
      </c>
      <c r="AD1590" s="7" t="s">
        <v>7611</v>
      </c>
      <c r="AE1590" s="7" t="s">
        <v>744</v>
      </c>
      <c r="AF1590" s="7" t="s">
        <v>10639</v>
      </c>
      <c r="AG1590" s="7" t="s">
        <v>744</v>
      </c>
      <c r="AH1590" s="7" t="s">
        <v>1258</v>
      </c>
      <c r="AI1590" s="7"/>
      <c r="AJ1590" s="7"/>
      <c r="AK1590" s="7"/>
      <c r="AL1590" s="7"/>
      <c r="AM1590" s="7"/>
      <c r="AN1590" s="7"/>
      <c r="AO1590" s="7" t="s">
        <v>744</v>
      </c>
      <c r="AP1590" s="7" t="s">
        <v>10640</v>
      </c>
      <c r="AQ1590" s="7"/>
      <c r="AR1590" s="7"/>
      <c r="AS1590" s="7"/>
      <c r="AT1590" s="7"/>
      <c r="AU1590" s="7"/>
      <c r="AV1590" s="7"/>
      <c r="AW1590" s="7" t="s">
        <v>744</v>
      </c>
      <c r="AX1590" s="7" t="s">
        <v>10641</v>
      </c>
      <c r="AY1590" s="7"/>
      <c r="AZ1590" s="7"/>
      <c r="BA1590" s="7"/>
      <c r="BB1590" s="7"/>
      <c r="BC1590" s="7"/>
      <c r="BD1590" s="7"/>
      <c r="BE1590" s="7" t="s">
        <v>127</v>
      </c>
      <c r="BF1590" s="8"/>
      <c r="BG1590" s="8"/>
      <c r="BH1590" s="8"/>
      <c r="BI1590" s="8"/>
      <c r="BJ1590" s="8"/>
      <c r="BK1590" s="8"/>
      <c r="BL1590" s="8"/>
      <c r="BM1590" s="8"/>
      <c r="BN1590" s="8"/>
      <c r="BO1590" s="8"/>
      <c r="BP1590" s="8"/>
      <c r="BQ1590" s="8"/>
      <c r="BR1590" s="8"/>
      <c r="BS1590" s="8"/>
    </row>
    <row r="1591" customFormat="false" ht="15" hidden="false" customHeight="false" outlineLevel="0" collapsed="false">
      <c r="A1591" s="7" t="s">
        <v>10642</v>
      </c>
      <c r="B1591" s="7" t="s">
        <v>10643</v>
      </c>
      <c r="C1591" s="7" t="s">
        <v>10644</v>
      </c>
      <c r="D1591" s="7" t="s">
        <v>9622</v>
      </c>
      <c r="E1591" s="7" t="s">
        <v>737</v>
      </c>
      <c r="F1591" s="7" t="s">
        <v>737</v>
      </c>
      <c r="G1591" s="7" t="s">
        <v>4658</v>
      </c>
      <c r="H1591" s="7"/>
      <c r="I1591" s="7" t="s">
        <v>158</v>
      </c>
      <c r="J1591" s="7" t="s">
        <v>104</v>
      </c>
      <c r="K1591" s="7" t="s">
        <v>105</v>
      </c>
      <c r="L1591" s="7" t="s">
        <v>106</v>
      </c>
      <c r="M1591" s="7"/>
      <c r="N1591" s="7" t="s">
        <v>10645</v>
      </c>
      <c r="O1591" s="7" t="s">
        <v>10645</v>
      </c>
      <c r="P1591" s="7" t="s">
        <v>135</v>
      </c>
      <c r="Q1591" s="7"/>
      <c r="R1591" s="7" t="s">
        <v>109</v>
      </c>
      <c r="S1591" s="7" t="s">
        <v>110</v>
      </c>
      <c r="T1591" s="7" t="n">
        <v>0.464</v>
      </c>
      <c r="U1591" s="7" t="n">
        <v>1</v>
      </c>
      <c r="V1591" s="7" t="s">
        <v>90</v>
      </c>
      <c r="W1591" s="7"/>
      <c r="X1591" s="7" t="s">
        <v>1258</v>
      </c>
      <c r="Y1591" s="7" t="s">
        <v>10645</v>
      </c>
      <c r="Z1591" s="7"/>
      <c r="AA1591" s="7"/>
      <c r="AB1591" s="7"/>
      <c r="AC1591" s="7" t="n">
        <v>6</v>
      </c>
      <c r="AD1591" s="7" t="s">
        <v>1235</v>
      </c>
      <c r="AE1591" s="7" t="s">
        <v>744</v>
      </c>
      <c r="AF1591" s="7" t="s">
        <v>10644</v>
      </c>
      <c r="AG1591" s="7" t="s">
        <v>744</v>
      </c>
      <c r="AH1591" s="7" t="s">
        <v>1258</v>
      </c>
      <c r="AI1591" s="7"/>
      <c r="AJ1591" s="7"/>
      <c r="AK1591" s="7"/>
      <c r="AL1591" s="7"/>
      <c r="AM1591" s="7" t="s">
        <v>744</v>
      </c>
      <c r="AN1591" s="7" t="s">
        <v>10646</v>
      </c>
      <c r="AO1591" s="7" t="s">
        <v>744</v>
      </c>
      <c r="AP1591" s="7" t="s">
        <v>9622</v>
      </c>
      <c r="AQ1591" s="7" t="s">
        <v>744</v>
      </c>
      <c r="AR1591" s="7" t="s">
        <v>737</v>
      </c>
      <c r="AS1591" s="7"/>
      <c r="AT1591" s="7"/>
      <c r="AU1591" s="7"/>
      <c r="AV1591" s="7"/>
      <c r="AW1591" s="7" t="s">
        <v>744</v>
      </c>
      <c r="AX1591" s="7" t="s">
        <v>10645</v>
      </c>
      <c r="AY1591" s="7"/>
      <c r="AZ1591" s="7"/>
      <c r="BA1591" s="7"/>
      <c r="BB1591" s="7"/>
      <c r="BC1591" s="7"/>
      <c r="BD1591" s="7"/>
      <c r="BE1591" s="7" t="s">
        <v>127</v>
      </c>
      <c r="BF1591" s="8"/>
      <c r="BG1591" s="8"/>
      <c r="BH1591" s="8"/>
      <c r="BI1591" s="8"/>
      <c r="BJ1591" s="8"/>
      <c r="BK1591" s="8"/>
      <c r="BL1591" s="8"/>
      <c r="BM1591" s="8"/>
      <c r="BN1591" s="8"/>
      <c r="BO1591" s="8"/>
      <c r="BP1591" s="8"/>
      <c r="BQ1591" s="8"/>
      <c r="BR1591" s="8"/>
      <c r="BS1591" s="8"/>
    </row>
    <row r="1592" customFormat="false" ht="15" hidden="false" customHeight="false" outlineLevel="0" collapsed="false">
      <c r="A1592" s="7" t="s">
        <v>10647</v>
      </c>
      <c r="B1592" s="7" t="s">
        <v>10648</v>
      </c>
      <c r="C1592" s="7" t="s">
        <v>10649</v>
      </c>
      <c r="D1592" s="7" t="s">
        <v>9622</v>
      </c>
      <c r="E1592" s="7" t="s">
        <v>737</v>
      </c>
      <c r="F1592" s="7" t="s">
        <v>737</v>
      </c>
      <c r="G1592" s="7" t="s">
        <v>4658</v>
      </c>
      <c r="H1592" s="7"/>
      <c r="I1592" s="7" t="s">
        <v>158</v>
      </c>
      <c r="J1592" s="7" t="s">
        <v>104</v>
      </c>
      <c r="K1592" s="7" t="s">
        <v>105</v>
      </c>
      <c r="L1592" s="7" t="s">
        <v>106</v>
      </c>
      <c r="M1592" s="7"/>
      <c r="N1592" s="7" t="s">
        <v>10650</v>
      </c>
      <c r="O1592" s="7" t="s">
        <v>10650</v>
      </c>
      <c r="P1592" s="7" t="s">
        <v>135</v>
      </c>
      <c r="Q1592" s="7"/>
      <c r="R1592" s="7" t="s">
        <v>109</v>
      </c>
      <c r="S1592" s="7" t="s">
        <v>110</v>
      </c>
      <c r="T1592" s="7" t="n">
        <v>0.247</v>
      </c>
      <c r="U1592" s="7" t="n">
        <v>1</v>
      </c>
      <c r="V1592" s="7" t="s">
        <v>90</v>
      </c>
      <c r="W1592" s="7"/>
      <c r="X1592" s="7" t="s">
        <v>1258</v>
      </c>
      <c r="Y1592" s="7" t="s">
        <v>10650</v>
      </c>
      <c r="Z1592" s="7"/>
      <c r="AA1592" s="7"/>
      <c r="AB1592" s="7"/>
      <c r="AC1592" s="7" t="n">
        <v>6</v>
      </c>
      <c r="AD1592" s="7" t="s">
        <v>1235</v>
      </c>
      <c r="AE1592" s="7" t="s">
        <v>744</v>
      </c>
      <c r="AF1592" s="7" t="s">
        <v>10649</v>
      </c>
      <c r="AG1592" s="7" t="s">
        <v>744</v>
      </c>
      <c r="AH1592" s="7" t="s">
        <v>1258</v>
      </c>
      <c r="AI1592" s="7"/>
      <c r="AJ1592" s="7"/>
      <c r="AK1592" s="7"/>
      <c r="AL1592" s="7"/>
      <c r="AM1592" s="7" t="s">
        <v>744</v>
      </c>
      <c r="AN1592" s="7" t="s">
        <v>10651</v>
      </c>
      <c r="AO1592" s="7" t="s">
        <v>744</v>
      </c>
      <c r="AP1592" s="7" t="s">
        <v>9622</v>
      </c>
      <c r="AQ1592" s="7" t="s">
        <v>744</v>
      </c>
      <c r="AR1592" s="7" t="s">
        <v>737</v>
      </c>
      <c r="AS1592" s="7"/>
      <c r="AT1592" s="7"/>
      <c r="AU1592" s="7"/>
      <c r="AV1592" s="7"/>
      <c r="AW1592" s="7" t="s">
        <v>744</v>
      </c>
      <c r="AX1592" s="7" t="s">
        <v>10650</v>
      </c>
      <c r="AY1592" s="7"/>
      <c r="AZ1592" s="7"/>
      <c r="BA1592" s="7"/>
      <c r="BB1592" s="7"/>
      <c r="BC1592" s="7"/>
      <c r="BD1592" s="7"/>
      <c r="BE1592" s="7" t="s">
        <v>127</v>
      </c>
      <c r="BF1592" s="8"/>
      <c r="BG1592" s="8"/>
      <c r="BH1592" s="8"/>
      <c r="BI1592" s="8"/>
      <c r="BJ1592" s="8"/>
      <c r="BK1592" s="8"/>
      <c r="BL1592" s="8"/>
      <c r="BM1592" s="8"/>
      <c r="BN1592" s="8"/>
      <c r="BO1592" s="8"/>
      <c r="BP1592" s="8"/>
      <c r="BQ1592" s="8"/>
      <c r="BR1592" s="8"/>
      <c r="BS1592" s="8"/>
    </row>
    <row r="1593" customFormat="false" ht="15" hidden="false" customHeight="false" outlineLevel="0" collapsed="false">
      <c r="A1593" s="7" t="s">
        <v>10652</v>
      </c>
      <c r="B1593" s="7" t="s">
        <v>10653</v>
      </c>
      <c r="C1593" s="7" t="s">
        <v>10654</v>
      </c>
      <c r="D1593" s="7" t="s">
        <v>10655</v>
      </c>
      <c r="E1593" s="7" t="s">
        <v>677</v>
      </c>
      <c r="F1593" s="7" t="s">
        <v>677</v>
      </c>
      <c r="G1593" s="7"/>
      <c r="H1593" s="7"/>
      <c r="I1593" s="7" t="s">
        <v>132</v>
      </c>
      <c r="J1593" s="7" t="s">
        <v>104</v>
      </c>
      <c r="K1593" s="7" t="s">
        <v>105</v>
      </c>
      <c r="L1593" s="7" t="s">
        <v>106</v>
      </c>
      <c r="M1593" s="7"/>
      <c r="N1593" s="7" t="s">
        <v>10656</v>
      </c>
      <c r="O1593" s="7" t="s">
        <v>10656</v>
      </c>
      <c r="P1593" s="7" t="s">
        <v>135</v>
      </c>
      <c r="Q1593" s="7"/>
      <c r="R1593" s="7" t="s">
        <v>109</v>
      </c>
      <c r="S1593" s="7" t="s">
        <v>110</v>
      </c>
      <c r="T1593" s="7" t="n">
        <v>0.36</v>
      </c>
      <c r="U1593" s="7" t="n">
        <v>1</v>
      </c>
      <c r="V1593" s="7" t="s">
        <v>90</v>
      </c>
      <c r="W1593" s="7"/>
      <c r="X1593" s="7" t="s">
        <v>1258</v>
      </c>
      <c r="Y1593" s="7" t="s">
        <v>10656</v>
      </c>
      <c r="Z1593" s="7"/>
      <c r="AA1593" s="7"/>
      <c r="AB1593" s="7"/>
      <c r="AC1593" s="7" t="n">
        <v>6</v>
      </c>
      <c r="AD1593" s="7" t="s">
        <v>1235</v>
      </c>
      <c r="AE1593" s="7" t="s">
        <v>744</v>
      </c>
      <c r="AF1593" s="7" t="s">
        <v>10654</v>
      </c>
      <c r="AG1593" s="7" t="s">
        <v>744</v>
      </c>
      <c r="AH1593" s="7" t="s">
        <v>1258</v>
      </c>
      <c r="AI1593" s="7"/>
      <c r="AJ1593" s="7"/>
      <c r="AK1593" s="7"/>
      <c r="AL1593" s="7"/>
      <c r="AM1593" s="7" t="s">
        <v>744</v>
      </c>
      <c r="AN1593" s="7" t="s">
        <v>10657</v>
      </c>
      <c r="AO1593" s="7" t="s">
        <v>744</v>
      </c>
      <c r="AP1593" s="7" t="s">
        <v>10655</v>
      </c>
      <c r="AQ1593" s="7" t="s">
        <v>744</v>
      </c>
      <c r="AR1593" s="7" t="s">
        <v>677</v>
      </c>
      <c r="AS1593" s="7"/>
      <c r="AT1593" s="7"/>
      <c r="AU1593" s="7"/>
      <c r="AV1593" s="7"/>
      <c r="AW1593" s="7" t="s">
        <v>744</v>
      </c>
      <c r="AX1593" s="7" t="s">
        <v>10656</v>
      </c>
      <c r="AY1593" s="7"/>
      <c r="AZ1593" s="7"/>
      <c r="BA1593" s="7"/>
      <c r="BB1593" s="7"/>
      <c r="BC1593" s="7"/>
      <c r="BD1593" s="7"/>
      <c r="BE1593" s="7" t="s">
        <v>127</v>
      </c>
      <c r="BF1593" s="8"/>
      <c r="BG1593" s="8"/>
      <c r="BH1593" s="8"/>
      <c r="BI1593" s="8"/>
      <c r="BJ1593" s="8"/>
      <c r="BK1593" s="8"/>
      <c r="BL1593" s="8"/>
      <c r="BM1593" s="8"/>
      <c r="BN1593" s="8"/>
      <c r="BO1593" s="8"/>
      <c r="BP1593" s="8"/>
      <c r="BQ1593" s="8"/>
      <c r="BR1593" s="8"/>
      <c r="BS1593" s="8"/>
    </row>
    <row r="1594" customFormat="false" ht="15" hidden="false" customHeight="false" outlineLevel="0" collapsed="false">
      <c r="A1594" s="7" t="s">
        <v>10658</v>
      </c>
      <c r="B1594" s="7" t="s">
        <v>10659</v>
      </c>
      <c r="C1594" s="7" t="s">
        <v>10660</v>
      </c>
      <c r="D1594" s="7" t="s">
        <v>9622</v>
      </c>
      <c r="E1594" s="7" t="s">
        <v>737</v>
      </c>
      <c r="F1594" s="7" t="s">
        <v>737</v>
      </c>
      <c r="G1594" s="7" t="s">
        <v>4658</v>
      </c>
      <c r="H1594" s="7"/>
      <c r="I1594" s="7" t="s">
        <v>158</v>
      </c>
      <c r="J1594" s="7" t="s">
        <v>104</v>
      </c>
      <c r="K1594" s="7" t="s">
        <v>105</v>
      </c>
      <c r="L1594" s="7" t="s">
        <v>106</v>
      </c>
      <c r="M1594" s="7"/>
      <c r="N1594" s="7" t="s">
        <v>10661</v>
      </c>
      <c r="O1594" s="7" t="s">
        <v>10661</v>
      </c>
      <c r="P1594" s="7" t="s">
        <v>135</v>
      </c>
      <c r="Q1594" s="7"/>
      <c r="R1594" s="7" t="s">
        <v>109</v>
      </c>
      <c r="S1594" s="7" t="s">
        <v>110</v>
      </c>
      <c r="T1594" s="7" t="n">
        <v>0.225</v>
      </c>
      <c r="U1594" s="7" t="n">
        <v>1</v>
      </c>
      <c r="V1594" s="7" t="s">
        <v>90</v>
      </c>
      <c r="W1594" s="7"/>
      <c r="X1594" s="7" t="s">
        <v>1258</v>
      </c>
      <c r="Y1594" s="7" t="s">
        <v>10661</v>
      </c>
      <c r="Z1594" s="7"/>
      <c r="AA1594" s="7"/>
      <c r="AB1594" s="7"/>
      <c r="AC1594" s="7" t="n">
        <v>6</v>
      </c>
      <c r="AD1594" s="7" t="s">
        <v>1235</v>
      </c>
      <c r="AE1594" s="7" t="s">
        <v>744</v>
      </c>
      <c r="AF1594" s="7" t="s">
        <v>10660</v>
      </c>
      <c r="AG1594" s="7" t="s">
        <v>744</v>
      </c>
      <c r="AH1594" s="7" t="s">
        <v>1258</v>
      </c>
      <c r="AI1594" s="7"/>
      <c r="AJ1594" s="7"/>
      <c r="AK1594" s="7"/>
      <c r="AL1594" s="7"/>
      <c r="AM1594" s="7" t="s">
        <v>744</v>
      </c>
      <c r="AN1594" s="7" t="s">
        <v>10662</v>
      </c>
      <c r="AO1594" s="7" t="s">
        <v>744</v>
      </c>
      <c r="AP1594" s="7" t="s">
        <v>9622</v>
      </c>
      <c r="AQ1594" s="7" t="s">
        <v>744</v>
      </c>
      <c r="AR1594" s="7" t="s">
        <v>737</v>
      </c>
      <c r="AS1594" s="7"/>
      <c r="AT1594" s="7"/>
      <c r="AU1594" s="7"/>
      <c r="AV1594" s="7"/>
      <c r="AW1594" s="7" t="s">
        <v>744</v>
      </c>
      <c r="AX1594" s="7" t="s">
        <v>10661</v>
      </c>
      <c r="AY1594" s="7"/>
      <c r="AZ1594" s="7"/>
      <c r="BA1594" s="7"/>
      <c r="BB1594" s="7"/>
      <c r="BC1594" s="7"/>
      <c r="BD1594" s="7"/>
      <c r="BE1594" s="7" t="s">
        <v>127</v>
      </c>
      <c r="BF1594" s="8"/>
      <c r="BG1594" s="8"/>
      <c r="BH1594" s="8"/>
      <c r="BI1594" s="8"/>
      <c r="BJ1594" s="8"/>
      <c r="BK1594" s="8"/>
      <c r="BL1594" s="8"/>
      <c r="BM1594" s="8"/>
      <c r="BN1594" s="8"/>
      <c r="BO1594" s="8"/>
      <c r="BP1594" s="8"/>
      <c r="BQ1594" s="8"/>
      <c r="BR1594" s="8"/>
      <c r="BS1594" s="8"/>
    </row>
    <row r="1595" customFormat="false" ht="15" hidden="false" customHeight="false" outlineLevel="0" collapsed="false">
      <c r="A1595" s="7" t="s">
        <v>10663</v>
      </c>
      <c r="B1595" s="7" t="s">
        <v>10664</v>
      </c>
      <c r="C1595" s="7" t="s">
        <v>10665</v>
      </c>
      <c r="D1595" s="7" t="s">
        <v>10666</v>
      </c>
      <c r="E1595" s="7" t="s">
        <v>888</v>
      </c>
      <c r="F1595" s="7" t="s">
        <v>888</v>
      </c>
      <c r="G1595" s="7"/>
      <c r="H1595" s="7"/>
      <c r="I1595" s="7" t="s">
        <v>158</v>
      </c>
      <c r="J1595" s="7" t="s">
        <v>104</v>
      </c>
      <c r="K1595" s="7" t="s">
        <v>105</v>
      </c>
      <c r="L1595" s="7" t="s">
        <v>106</v>
      </c>
      <c r="M1595" s="7"/>
      <c r="N1595" s="7" t="s">
        <v>10667</v>
      </c>
      <c r="O1595" s="7" t="s">
        <v>10667</v>
      </c>
      <c r="P1595" s="7" t="s">
        <v>135</v>
      </c>
      <c r="Q1595" s="7"/>
      <c r="R1595" s="7" t="s">
        <v>109</v>
      </c>
      <c r="S1595" s="7" t="s">
        <v>110</v>
      </c>
      <c r="T1595" s="7" t="n">
        <v>0.828</v>
      </c>
      <c r="U1595" s="7" t="n">
        <v>1</v>
      </c>
      <c r="V1595" s="7" t="s">
        <v>90</v>
      </c>
      <c r="W1595" s="7"/>
      <c r="X1595" s="7" t="s">
        <v>1258</v>
      </c>
      <c r="Y1595" s="7" t="s">
        <v>10667</v>
      </c>
      <c r="Z1595" s="7"/>
      <c r="AA1595" s="7"/>
      <c r="AB1595" s="7"/>
      <c r="AC1595" s="7" t="n">
        <v>6</v>
      </c>
      <c r="AD1595" s="7" t="s">
        <v>1235</v>
      </c>
      <c r="AE1595" s="7" t="s">
        <v>744</v>
      </c>
      <c r="AF1595" s="7" t="s">
        <v>10665</v>
      </c>
      <c r="AG1595" s="7" t="s">
        <v>744</v>
      </c>
      <c r="AH1595" s="7" t="s">
        <v>1258</v>
      </c>
      <c r="AI1595" s="7"/>
      <c r="AJ1595" s="7"/>
      <c r="AK1595" s="7"/>
      <c r="AL1595" s="7"/>
      <c r="AM1595" s="7" t="s">
        <v>744</v>
      </c>
      <c r="AN1595" s="7" t="s">
        <v>10668</v>
      </c>
      <c r="AO1595" s="7" t="s">
        <v>744</v>
      </c>
      <c r="AP1595" s="7" t="s">
        <v>10666</v>
      </c>
      <c r="AQ1595" s="7" t="s">
        <v>744</v>
      </c>
      <c r="AR1595" s="7" t="s">
        <v>888</v>
      </c>
      <c r="AS1595" s="7"/>
      <c r="AT1595" s="7"/>
      <c r="AU1595" s="7"/>
      <c r="AV1595" s="7"/>
      <c r="AW1595" s="7" t="s">
        <v>744</v>
      </c>
      <c r="AX1595" s="7" t="s">
        <v>10667</v>
      </c>
      <c r="AY1595" s="7"/>
      <c r="AZ1595" s="7"/>
      <c r="BA1595" s="7"/>
      <c r="BB1595" s="7"/>
      <c r="BC1595" s="7"/>
      <c r="BD1595" s="7" t="s">
        <v>10669</v>
      </c>
      <c r="BE1595" s="7" t="s">
        <v>127</v>
      </c>
      <c r="BF1595" s="8"/>
      <c r="BG1595" s="8"/>
      <c r="BH1595" s="8"/>
      <c r="BI1595" s="8"/>
      <c r="BJ1595" s="8"/>
      <c r="BK1595" s="8"/>
      <c r="BL1595" s="8"/>
      <c r="BM1595" s="8"/>
      <c r="BN1595" s="8"/>
      <c r="BO1595" s="8"/>
      <c r="BP1595" s="8"/>
      <c r="BQ1595" s="8"/>
      <c r="BR1595" s="8"/>
      <c r="BS1595" s="8"/>
    </row>
    <row r="1596" customFormat="false" ht="15" hidden="false" customHeight="false" outlineLevel="0" collapsed="false">
      <c r="A1596" s="7" t="s">
        <v>10670</v>
      </c>
      <c r="B1596" s="7" t="s">
        <v>10671</v>
      </c>
      <c r="C1596" s="7" t="s">
        <v>10672</v>
      </c>
      <c r="D1596" s="7" t="s">
        <v>9622</v>
      </c>
      <c r="E1596" s="7" t="s">
        <v>737</v>
      </c>
      <c r="F1596" s="7" t="s">
        <v>737</v>
      </c>
      <c r="G1596" s="7" t="s">
        <v>4658</v>
      </c>
      <c r="H1596" s="7"/>
      <c r="I1596" s="7" t="s">
        <v>158</v>
      </c>
      <c r="J1596" s="7" t="s">
        <v>104</v>
      </c>
      <c r="K1596" s="7" t="s">
        <v>105</v>
      </c>
      <c r="L1596" s="7" t="s">
        <v>106</v>
      </c>
      <c r="M1596" s="7"/>
      <c r="N1596" s="7" t="s">
        <v>10673</v>
      </c>
      <c r="O1596" s="7" t="s">
        <v>10673</v>
      </c>
      <c r="P1596" s="7" t="s">
        <v>135</v>
      </c>
      <c r="Q1596" s="7"/>
      <c r="R1596" s="7" t="s">
        <v>109</v>
      </c>
      <c r="S1596" s="7" t="s">
        <v>110</v>
      </c>
      <c r="T1596" s="7" t="n">
        <v>0.282</v>
      </c>
      <c r="U1596" s="7" t="n">
        <v>1</v>
      </c>
      <c r="V1596" s="7" t="s">
        <v>90</v>
      </c>
      <c r="W1596" s="7"/>
      <c r="X1596" s="7" t="s">
        <v>1258</v>
      </c>
      <c r="Y1596" s="7" t="s">
        <v>10673</v>
      </c>
      <c r="Z1596" s="7"/>
      <c r="AA1596" s="7"/>
      <c r="AB1596" s="7"/>
      <c r="AC1596" s="7" t="n">
        <v>6</v>
      </c>
      <c r="AD1596" s="7" t="s">
        <v>1235</v>
      </c>
      <c r="AE1596" s="7" t="s">
        <v>744</v>
      </c>
      <c r="AF1596" s="7" t="s">
        <v>10672</v>
      </c>
      <c r="AG1596" s="7" t="s">
        <v>744</v>
      </c>
      <c r="AH1596" s="7" t="s">
        <v>1258</v>
      </c>
      <c r="AI1596" s="7"/>
      <c r="AJ1596" s="7"/>
      <c r="AK1596" s="7"/>
      <c r="AL1596" s="7"/>
      <c r="AM1596" s="7" t="s">
        <v>744</v>
      </c>
      <c r="AN1596" s="7" t="s">
        <v>10674</v>
      </c>
      <c r="AO1596" s="7" t="s">
        <v>744</v>
      </c>
      <c r="AP1596" s="7" t="s">
        <v>9622</v>
      </c>
      <c r="AQ1596" s="7" t="s">
        <v>744</v>
      </c>
      <c r="AR1596" s="7" t="s">
        <v>737</v>
      </c>
      <c r="AS1596" s="7"/>
      <c r="AT1596" s="7"/>
      <c r="AU1596" s="7"/>
      <c r="AV1596" s="7"/>
      <c r="AW1596" s="7" t="s">
        <v>744</v>
      </c>
      <c r="AX1596" s="7" t="s">
        <v>10673</v>
      </c>
      <c r="AY1596" s="7"/>
      <c r="AZ1596" s="7"/>
      <c r="BA1596" s="7"/>
      <c r="BB1596" s="7"/>
      <c r="BC1596" s="7"/>
      <c r="BD1596" s="7"/>
      <c r="BE1596" s="7" t="s">
        <v>127</v>
      </c>
      <c r="BF1596" s="8"/>
      <c r="BG1596" s="8"/>
      <c r="BH1596" s="8"/>
      <c r="BI1596" s="8"/>
      <c r="BJ1596" s="8"/>
      <c r="BK1596" s="8"/>
      <c r="BL1596" s="8"/>
      <c r="BM1596" s="8"/>
      <c r="BN1596" s="8"/>
      <c r="BO1596" s="8"/>
      <c r="BP1596" s="8"/>
      <c r="BQ1596" s="8"/>
      <c r="BR1596" s="8"/>
      <c r="BS1596" s="8"/>
    </row>
    <row r="1597" customFormat="false" ht="15" hidden="false" customHeight="false" outlineLevel="0" collapsed="false">
      <c r="A1597" s="7" t="s">
        <v>10675</v>
      </c>
      <c r="B1597" s="7" t="s">
        <v>10676</v>
      </c>
      <c r="C1597" s="7" t="s">
        <v>10677</v>
      </c>
      <c r="D1597" s="7" t="s">
        <v>10678</v>
      </c>
      <c r="E1597" s="7" t="s">
        <v>516</v>
      </c>
      <c r="F1597" s="7" t="s">
        <v>516</v>
      </c>
      <c r="G1597" s="7"/>
      <c r="H1597" s="7"/>
      <c r="I1597" s="7" t="s">
        <v>158</v>
      </c>
      <c r="J1597" s="7" t="s">
        <v>104</v>
      </c>
      <c r="K1597" s="7" t="s">
        <v>105</v>
      </c>
      <c r="L1597" s="7" t="s">
        <v>106</v>
      </c>
      <c r="M1597" s="7"/>
      <c r="N1597" s="7" t="s">
        <v>10679</v>
      </c>
      <c r="O1597" s="7" t="s">
        <v>10679</v>
      </c>
      <c r="P1597" s="7" t="s">
        <v>135</v>
      </c>
      <c r="Q1597" s="7"/>
      <c r="R1597" s="7" t="s">
        <v>109</v>
      </c>
      <c r="S1597" s="7" t="s">
        <v>110</v>
      </c>
      <c r="T1597" s="7" t="n">
        <v>0.531</v>
      </c>
      <c r="U1597" s="7" t="n">
        <v>1</v>
      </c>
      <c r="V1597" s="7" t="s">
        <v>90</v>
      </c>
      <c r="W1597" s="7"/>
      <c r="X1597" s="7" t="s">
        <v>10680</v>
      </c>
      <c r="Y1597" s="7" t="s">
        <v>10679</v>
      </c>
      <c r="Z1597" s="7"/>
      <c r="AA1597" s="7"/>
      <c r="AB1597" s="7"/>
      <c r="AC1597" s="7" t="n">
        <v>5</v>
      </c>
      <c r="AD1597" s="7" t="s">
        <v>743</v>
      </c>
      <c r="AE1597" s="7" t="s">
        <v>744</v>
      </c>
      <c r="AF1597" s="7" t="s">
        <v>10677</v>
      </c>
      <c r="AG1597" s="7" t="s">
        <v>744</v>
      </c>
      <c r="AH1597" s="7" t="s">
        <v>10680</v>
      </c>
      <c r="AI1597" s="7"/>
      <c r="AJ1597" s="7"/>
      <c r="AK1597" s="7"/>
      <c r="AL1597" s="7"/>
      <c r="AM1597" s="7"/>
      <c r="AN1597" s="7"/>
      <c r="AO1597" s="7" t="s">
        <v>744</v>
      </c>
      <c r="AP1597" s="7" t="s">
        <v>10678</v>
      </c>
      <c r="AQ1597" s="7" t="s">
        <v>744</v>
      </c>
      <c r="AR1597" s="7" t="s">
        <v>516</v>
      </c>
      <c r="AS1597" s="7"/>
      <c r="AT1597" s="7"/>
      <c r="AU1597" s="7"/>
      <c r="AV1597" s="7"/>
      <c r="AW1597" s="7" t="s">
        <v>744</v>
      </c>
      <c r="AX1597" s="7" t="s">
        <v>10679</v>
      </c>
      <c r="AY1597" s="7"/>
      <c r="AZ1597" s="7"/>
      <c r="BA1597" s="7"/>
      <c r="BB1597" s="7"/>
      <c r="BC1597" s="7"/>
      <c r="BD1597" s="7"/>
      <c r="BE1597" s="7" t="s">
        <v>127</v>
      </c>
      <c r="BF1597" s="8"/>
      <c r="BG1597" s="8"/>
      <c r="BH1597" s="8"/>
      <c r="BI1597" s="8"/>
      <c r="BJ1597" s="8"/>
      <c r="BK1597" s="8"/>
      <c r="BL1597" s="8"/>
      <c r="BM1597" s="8"/>
      <c r="BN1597" s="8"/>
      <c r="BO1597" s="8"/>
      <c r="BP1597" s="8"/>
      <c r="BQ1597" s="8"/>
      <c r="BR1597" s="8"/>
      <c r="BS1597" s="8"/>
    </row>
    <row r="1598" customFormat="false" ht="15" hidden="false" customHeight="false" outlineLevel="0" collapsed="false">
      <c r="A1598" s="7" t="s">
        <v>10681</v>
      </c>
      <c r="B1598" s="7" t="s">
        <v>10682</v>
      </c>
      <c r="C1598" s="7" t="s">
        <v>10683</v>
      </c>
      <c r="D1598" s="7" t="s">
        <v>10684</v>
      </c>
      <c r="E1598" s="7" t="s">
        <v>507</v>
      </c>
      <c r="F1598" s="7" t="s">
        <v>507</v>
      </c>
      <c r="G1598" s="7"/>
      <c r="H1598" s="7"/>
      <c r="I1598" s="7" t="s">
        <v>132</v>
      </c>
      <c r="J1598" s="7" t="s">
        <v>104</v>
      </c>
      <c r="K1598" s="7" t="s">
        <v>105</v>
      </c>
      <c r="L1598" s="7" t="s">
        <v>106</v>
      </c>
      <c r="M1598" s="7"/>
      <c r="N1598" s="7" t="s">
        <v>10685</v>
      </c>
      <c r="O1598" s="7" t="s">
        <v>10685</v>
      </c>
      <c r="P1598" s="7" t="s">
        <v>135</v>
      </c>
      <c r="Q1598" s="7"/>
      <c r="R1598" s="7" t="s">
        <v>109</v>
      </c>
      <c r="S1598" s="7" t="s">
        <v>110</v>
      </c>
      <c r="T1598" s="7" t="n">
        <v>0.277</v>
      </c>
      <c r="U1598" s="7" t="n">
        <v>1</v>
      </c>
      <c r="V1598" s="7" t="s">
        <v>90</v>
      </c>
      <c r="W1598" s="7"/>
      <c r="X1598" s="7" t="s">
        <v>10680</v>
      </c>
      <c r="Y1598" s="7" t="s">
        <v>10685</v>
      </c>
      <c r="Z1598" s="7"/>
      <c r="AA1598" s="7"/>
      <c r="AB1598" s="7"/>
      <c r="AC1598" s="7" t="n">
        <v>6</v>
      </c>
      <c r="AD1598" s="7" t="s">
        <v>1235</v>
      </c>
      <c r="AE1598" s="7" t="s">
        <v>744</v>
      </c>
      <c r="AF1598" s="7" t="s">
        <v>10683</v>
      </c>
      <c r="AG1598" s="7" t="s">
        <v>744</v>
      </c>
      <c r="AH1598" s="7" t="s">
        <v>10680</v>
      </c>
      <c r="AI1598" s="7"/>
      <c r="AJ1598" s="7"/>
      <c r="AK1598" s="7"/>
      <c r="AL1598" s="7"/>
      <c r="AM1598" s="7" t="s">
        <v>744</v>
      </c>
      <c r="AN1598" s="7" t="s">
        <v>10686</v>
      </c>
      <c r="AO1598" s="7" t="s">
        <v>744</v>
      </c>
      <c r="AP1598" s="7" t="s">
        <v>10684</v>
      </c>
      <c r="AQ1598" s="7" t="s">
        <v>744</v>
      </c>
      <c r="AR1598" s="7" t="s">
        <v>507</v>
      </c>
      <c r="AS1598" s="7"/>
      <c r="AT1598" s="7"/>
      <c r="AU1598" s="7"/>
      <c r="AV1598" s="7"/>
      <c r="AW1598" s="7" t="s">
        <v>744</v>
      </c>
      <c r="AX1598" s="7" t="s">
        <v>10685</v>
      </c>
      <c r="AY1598" s="7"/>
      <c r="AZ1598" s="7"/>
      <c r="BA1598" s="7"/>
      <c r="BB1598" s="7"/>
      <c r="BC1598" s="7"/>
      <c r="BD1598" s="7"/>
      <c r="BE1598" s="7" t="s">
        <v>127</v>
      </c>
      <c r="BF1598" s="8"/>
      <c r="BG1598" s="8"/>
      <c r="BH1598" s="8"/>
      <c r="BI1598" s="8"/>
      <c r="BJ1598" s="8"/>
      <c r="BK1598" s="8"/>
      <c r="BL1598" s="8"/>
      <c r="BM1598" s="8"/>
      <c r="BN1598" s="8"/>
      <c r="BO1598" s="8"/>
      <c r="BP1598" s="8"/>
      <c r="BQ1598" s="8"/>
      <c r="BR1598" s="8"/>
      <c r="BS1598" s="8"/>
    </row>
    <row r="1599" customFormat="false" ht="15" hidden="false" customHeight="false" outlineLevel="0" collapsed="false">
      <c r="A1599" s="7" t="s">
        <v>10687</v>
      </c>
      <c r="B1599" s="7" t="s">
        <v>10688</v>
      </c>
      <c r="C1599" s="7" t="s">
        <v>10689</v>
      </c>
      <c r="D1599" s="7" t="s">
        <v>10690</v>
      </c>
      <c r="E1599" s="7" t="s">
        <v>888</v>
      </c>
      <c r="F1599" s="7" t="s">
        <v>888</v>
      </c>
      <c r="G1599" s="7"/>
      <c r="H1599" s="7"/>
      <c r="I1599" s="7" t="s">
        <v>158</v>
      </c>
      <c r="J1599" s="7" t="s">
        <v>104</v>
      </c>
      <c r="K1599" s="7" t="s">
        <v>105</v>
      </c>
      <c r="L1599" s="7" t="s">
        <v>106</v>
      </c>
      <c r="M1599" s="7"/>
      <c r="N1599" s="7" t="s">
        <v>10691</v>
      </c>
      <c r="O1599" s="7" t="s">
        <v>10691</v>
      </c>
      <c r="P1599" s="7" t="s">
        <v>135</v>
      </c>
      <c r="Q1599" s="7"/>
      <c r="R1599" s="7" t="s">
        <v>109</v>
      </c>
      <c r="S1599" s="7" t="s">
        <v>110</v>
      </c>
      <c r="T1599" s="7" t="n">
        <v>0.462</v>
      </c>
      <c r="U1599" s="7" t="n">
        <v>1</v>
      </c>
      <c r="V1599" s="7" t="s">
        <v>90</v>
      </c>
      <c r="W1599" s="7"/>
      <c r="X1599" s="7" t="s">
        <v>10692</v>
      </c>
      <c r="Y1599" s="7" t="s">
        <v>10691</v>
      </c>
      <c r="Z1599" s="7"/>
      <c r="AA1599" s="7"/>
      <c r="AB1599" s="7"/>
      <c r="AC1599" s="7" t="n">
        <v>6</v>
      </c>
      <c r="AD1599" s="7" t="s">
        <v>1235</v>
      </c>
      <c r="AE1599" s="7" t="s">
        <v>744</v>
      </c>
      <c r="AF1599" s="7" t="s">
        <v>10689</v>
      </c>
      <c r="AG1599" s="7" t="s">
        <v>744</v>
      </c>
      <c r="AH1599" s="7" t="s">
        <v>10692</v>
      </c>
      <c r="AI1599" s="7"/>
      <c r="AJ1599" s="7"/>
      <c r="AK1599" s="7"/>
      <c r="AL1599" s="7"/>
      <c r="AM1599" s="7" t="s">
        <v>744</v>
      </c>
      <c r="AN1599" s="7" t="s">
        <v>10540</v>
      </c>
      <c r="AO1599" s="7" t="s">
        <v>744</v>
      </c>
      <c r="AP1599" s="7" t="s">
        <v>10690</v>
      </c>
      <c r="AQ1599" s="7" t="s">
        <v>744</v>
      </c>
      <c r="AR1599" s="7" t="s">
        <v>888</v>
      </c>
      <c r="AS1599" s="7"/>
      <c r="AT1599" s="7"/>
      <c r="AU1599" s="7"/>
      <c r="AV1599" s="7"/>
      <c r="AW1599" s="7" t="s">
        <v>744</v>
      </c>
      <c r="AX1599" s="7" t="s">
        <v>10691</v>
      </c>
      <c r="AY1599" s="7"/>
      <c r="AZ1599" s="7"/>
      <c r="BA1599" s="7"/>
      <c r="BB1599" s="7"/>
      <c r="BC1599" s="7"/>
      <c r="BD1599" s="7"/>
      <c r="BE1599" s="7" t="s">
        <v>127</v>
      </c>
      <c r="BF1599" s="8"/>
      <c r="BG1599" s="8"/>
      <c r="BH1599" s="8"/>
      <c r="BI1599" s="8"/>
      <c r="BJ1599" s="8"/>
      <c r="BK1599" s="8"/>
      <c r="BL1599" s="8"/>
      <c r="BM1599" s="8"/>
      <c r="BN1599" s="8"/>
      <c r="BO1599" s="8"/>
      <c r="BP1599" s="8"/>
      <c r="BQ1599" s="8"/>
      <c r="BR1599" s="8"/>
      <c r="BS1599" s="8"/>
    </row>
    <row r="1600" customFormat="false" ht="15" hidden="false" customHeight="false" outlineLevel="0" collapsed="false">
      <c r="A1600" s="7" t="s">
        <v>10693</v>
      </c>
      <c r="B1600" s="7" t="s">
        <v>10694</v>
      </c>
      <c r="C1600" s="7" t="s">
        <v>10695</v>
      </c>
      <c r="D1600" s="7" t="s">
        <v>10690</v>
      </c>
      <c r="E1600" s="7" t="s">
        <v>888</v>
      </c>
      <c r="F1600" s="7" t="s">
        <v>888</v>
      </c>
      <c r="G1600" s="7"/>
      <c r="H1600" s="7"/>
      <c r="I1600" s="7" t="s">
        <v>158</v>
      </c>
      <c r="J1600" s="7" t="s">
        <v>104</v>
      </c>
      <c r="K1600" s="7" t="s">
        <v>105</v>
      </c>
      <c r="L1600" s="7" t="s">
        <v>106</v>
      </c>
      <c r="M1600" s="7"/>
      <c r="N1600" s="7" t="s">
        <v>10696</v>
      </c>
      <c r="O1600" s="7" t="s">
        <v>10696</v>
      </c>
      <c r="P1600" s="7" t="s">
        <v>135</v>
      </c>
      <c r="Q1600" s="7"/>
      <c r="R1600" s="7" t="s">
        <v>109</v>
      </c>
      <c r="S1600" s="7" t="s">
        <v>110</v>
      </c>
      <c r="T1600" s="7" t="n">
        <v>0.549</v>
      </c>
      <c r="U1600" s="7" t="n">
        <v>1</v>
      </c>
      <c r="V1600" s="7" t="s">
        <v>90</v>
      </c>
      <c r="W1600" s="7"/>
      <c r="X1600" s="7" t="s">
        <v>10692</v>
      </c>
      <c r="Y1600" s="7" t="s">
        <v>10696</v>
      </c>
      <c r="Z1600" s="7"/>
      <c r="AA1600" s="7"/>
      <c r="AB1600" s="7"/>
      <c r="AC1600" s="7" t="n">
        <v>6</v>
      </c>
      <c r="AD1600" s="7" t="s">
        <v>1235</v>
      </c>
      <c r="AE1600" s="7" t="s">
        <v>744</v>
      </c>
      <c r="AF1600" s="7" t="s">
        <v>10695</v>
      </c>
      <c r="AG1600" s="7" t="s">
        <v>744</v>
      </c>
      <c r="AH1600" s="7" t="s">
        <v>10692</v>
      </c>
      <c r="AI1600" s="7"/>
      <c r="AJ1600" s="7"/>
      <c r="AK1600" s="7"/>
      <c r="AL1600" s="7"/>
      <c r="AM1600" s="7" t="s">
        <v>744</v>
      </c>
      <c r="AN1600" s="7" t="s">
        <v>10697</v>
      </c>
      <c r="AO1600" s="7" t="s">
        <v>744</v>
      </c>
      <c r="AP1600" s="7" t="s">
        <v>10690</v>
      </c>
      <c r="AQ1600" s="7" t="s">
        <v>744</v>
      </c>
      <c r="AR1600" s="7" t="s">
        <v>888</v>
      </c>
      <c r="AS1600" s="7"/>
      <c r="AT1600" s="7"/>
      <c r="AU1600" s="7"/>
      <c r="AV1600" s="7"/>
      <c r="AW1600" s="7" t="s">
        <v>744</v>
      </c>
      <c r="AX1600" s="7" t="s">
        <v>10696</v>
      </c>
      <c r="AY1600" s="7"/>
      <c r="AZ1600" s="7"/>
      <c r="BA1600" s="7"/>
      <c r="BB1600" s="7"/>
      <c r="BC1600" s="7"/>
      <c r="BD1600" s="7"/>
      <c r="BE1600" s="7" t="s">
        <v>127</v>
      </c>
      <c r="BF1600" s="8"/>
      <c r="BG1600" s="8"/>
      <c r="BH1600" s="8"/>
      <c r="BI1600" s="8"/>
      <c r="BJ1600" s="8"/>
      <c r="BK1600" s="8"/>
      <c r="BL1600" s="8"/>
      <c r="BM1600" s="8"/>
      <c r="BN1600" s="8"/>
      <c r="BO1600" s="8"/>
      <c r="BP1600" s="8"/>
      <c r="BQ1600" s="8"/>
      <c r="BR1600" s="8"/>
      <c r="BS1600" s="8"/>
    </row>
    <row r="1601" customFormat="false" ht="15" hidden="false" customHeight="false" outlineLevel="0" collapsed="false">
      <c r="A1601" s="7" t="s">
        <v>10698</v>
      </c>
      <c r="B1601" s="7" t="s">
        <v>10699</v>
      </c>
      <c r="C1601" s="7" t="s">
        <v>10700</v>
      </c>
      <c r="D1601" s="7" t="s">
        <v>10690</v>
      </c>
      <c r="E1601" s="7" t="s">
        <v>888</v>
      </c>
      <c r="F1601" s="7" t="s">
        <v>888</v>
      </c>
      <c r="G1601" s="7"/>
      <c r="H1601" s="7"/>
      <c r="I1601" s="7" t="s">
        <v>158</v>
      </c>
      <c r="J1601" s="7" t="s">
        <v>104</v>
      </c>
      <c r="K1601" s="7" t="s">
        <v>105</v>
      </c>
      <c r="L1601" s="7" t="s">
        <v>106</v>
      </c>
      <c r="M1601" s="7"/>
      <c r="N1601" s="7" t="s">
        <v>10701</v>
      </c>
      <c r="O1601" s="7" t="s">
        <v>10701</v>
      </c>
      <c r="P1601" s="7" t="s">
        <v>135</v>
      </c>
      <c r="Q1601" s="7"/>
      <c r="R1601" s="7" t="s">
        <v>109</v>
      </c>
      <c r="S1601" s="7" t="s">
        <v>110</v>
      </c>
      <c r="T1601" s="7" t="n">
        <v>0.408</v>
      </c>
      <c r="U1601" s="7" t="n">
        <v>1</v>
      </c>
      <c r="V1601" s="7" t="s">
        <v>90</v>
      </c>
      <c r="W1601" s="7"/>
      <c r="X1601" s="7" t="s">
        <v>10692</v>
      </c>
      <c r="Y1601" s="7" t="s">
        <v>10701</v>
      </c>
      <c r="Z1601" s="7"/>
      <c r="AA1601" s="7"/>
      <c r="AB1601" s="7"/>
      <c r="AC1601" s="7" t="n">
        <v>6</v>
      </c>
      <c r="AD1601" s="7" t="s">
        <v>1235</v>
      </c>
      <c r="AE1601" s="7" t="s">
        <v>744</v>
      </c>
      <c r="AF1601" s="7" t="s">
        <v>10700</v>
      </c>
      <c r="AG1601" s="7" t="s">
        <v>744</v>
      </c>
      <c r="AH1601" s="7" t="s">
        <v>10692</v>
      </c>
      <c r="AI1601" s="7"/>
      <c r="AJ1601" s="7"/>
      <c r="AK1601" s="7"/>
      <c r="AL1601" s="7"/>
      <c r="AM1601" s="7" t="s">
        <v>744</v>
      </c>
      <c r="AN1601" s="7" t="s">
        <v>10702</v>
      </c>
      <c r="AO1601" s="7" t="s">
        <v>744</v>
      </c>
      <c r="AP1601" s="7" t="s">
        <v>10690</v>
      </c>
      <c r="AQ1601" s="7" t="s">
        <v>744</v>
      </c>
      <c r="AR1601" s="7" t="s">
        <v>888</v>
      </c>
      <c r="AS1601" s="7"/>
      <c r="AT1601" s="7"/>
      <c r="AU1601" s="7"/>
      <c r="AV1601" s="7"/>
      <c r="AW1601" s="7" t="s">
        <v>744</v>
      </c>
      <c r="AX1601" s="7" t="s">
        <v>10701</v>
      </c>
      <c r="AY1601" s="7"/>
      <c r="AZ1601" s="7"/>
      <c r="BA1601" s="7"/>
      <c r="BB1601" s="7"/>
      <c r="BC1601" s="7"/>
      <c r="BD1601" s="7"/>
      <c r="BE1601" s="7" t="s">
        <v>127</v>
      </c>
      <c r="BF1601" s="8"/>
      <c r="BG1601" s="8"/>
      <c r="BH1601" s="8"/>
      <c r="BI1601" s="8"/>
      <c r="BJ1601" s="8"/>
      <c r="BK1601" s="8"/>
      <c r="BL1601" s="8"/>
      <c r="BM1601" s="8"/>
      <c r="BN1601" s="8"/>
      <c r="BO1601" s="8"/>
      <c r="BP1601" s="8"/>
      <c r="BQ1601" s="8"/>
      <c r="BR1601" s="8"/>
      <c r="BS1601" s="8"/>
    </row>
    <row r="1602" customFormat="false" ht="15" hidden="false" customHeight="false" outlineLevel="0" collapsed="false">
      <c r="A1602" s="7" t="s">
        <v>10703</v>
      </c>
      <c r="B1602" s="7" t="s">
        <v>10704</v>
      </c>
      <c r="C1602" s="7" t="s">
        <v>10705</v>
      </c>
      <c r="D1602" s="7" t="s">
        <v>10690</v>
      </c>
      <c r="E1602" s="7" t="s">
        <v>888</v>
      </c>
      <c r="F1602" s="7" t="s">
        <v>888</v>
      </c>
      <c r="G1602" s="7"/>
      <c r="H1602" s="7"/>
      <c r="I1602" s="7" t="s">
        <v>158</v>
      </c>
      <c r="J1602" s="7" t="s">
        <v>104</v>
      </c>
      <c r="K1602" s="7" t="s">
        <v>105</v>
      </c>
      <c r="L1602" s="7" t="s">
        <v>106</v>
      </c>
      <c r="M1602" s="7"/>
      <c r="N1602" s="7" t="s">
        <v>10706</v>
      </c>
      <c r="O1602" s="7" t="s">
        <v>10706</v>
      </c>
      <c r="P1602" s="7" t="s">
        <v>135</v>
      </c>
      <c r="Q1602" s="7"/>
      <c r="R1602" s="7" t="s">
        <v>109</v>
      </c>
      <c r="S1602" s="7" t="s">
        <v>110</v>
      </c>
      <c r="T1602" s="7" t="n">
        <v>0.4</v>
      </c>
      <c r="U1602" s="7" t="n">
        <v>1</v>
      </c>
      <c r="V1602" s="7" t="s">
        <v>90</v>
      </c>
      <c r="W1602" s="7"/>
      <c r="X1602" s="7" t="s">
        <v>10692</v>
      </c>
      <c r="Y1602" s="7" t="s">
        <v>10706</v>
      </c>
      <c r="Z1602" s="7"/>
      <c r="AA1602" s="7"/>
      <c r="AB1602" s="7"/>
      <c r="AC1602" s="7" t="n">
        <v>6</v>
      </c>
      <c r="AD1602" s="7" t="s">
        <v>1235</v>
      </c>
      <c r="AE1602" s="7" t="s">
        <v>744</v>
      </c>
      <c r="AF1602" s="7" t="s">
        <v>10705</v>
      </c>
      <c r="AG1602" s="7" t="s">
        <v>744</v>
      </c>
      <c r="AH1602" s="7" t="s">
        <v>10692</v>
      </c>
      <c r="AI1602" s="7"/>
      <c r="AJ1602" s="7"/>
      <c r="AK1602" s="7"/>
      <c r="AL1602" s="7"/>
      <c r="AM1602" s="7" t="s">
        <v>744</v>
      </c>
      <c r="AN1602" s="7" t="s">
        <v>10707</v>
      </c>
      <c r="AO1602" s="7" t="s">
        <v>744</v>
      </c>
      <c r="AP1602" s="7" t="s">
        <v>10690</v>
      </c>
      <c r="AQ1602" s="7" t="s">
        <v>744</v>
      </c>
      <c r="AR1602" s="7" t="s">
        <v>888</v>
      </c>
      <c r="AS1602" s="7"/>
      <c r="AT1602" s="7"/>
      <c r="AU1602" s="7"/>
      <c r="AV1602" s="7"/>
      <c r="AW1602" s="7" t="s">
        <v>744</v>
      </c>
      <c r="AX1602" s="7" t="s">
        <v>10706</v>
      </c>
      <c r="AY1602" s="7"/>
      <c r="AZ1602" s="7"/>
      <c r="BA1602" s="7"/>
      <c r="BB1602" s="7"/>
      <c r="BC1602" s="7"/>
      <c r="BD1602" s="7"/>
      <c r="BE1602" s="7" t="s">
        <v>127</v>
      </c>
      <c r="BF1602" s="8"/>
      <c r="BG1602" s="8"/>
      <c r="BH1602" s="8"/>
      <c r="BI1602" s="8"/>
      <c r="BJ1602" s="8"/>
      <c r="BK1602" s="8"/>
      <c r="BL1602" s="8"/>
      <c r="BM1602" s="8"/>
      <c r="BN1602" s="8"/>
      <c r="BO1602" s="8"/>
      <c r="BP1602" s="8"/>
      <c r="BQ1602" s="8"/>
      <c r="BR1602" s="8"/>
      <c r="BS1602" s="8"/>
    </row>
    <row r="1603" customFormat="false" ht="15" hidden="false" customHeight="false" outlineLevel="0" collapsed="false">
      <c r="A1603" s="7" t="s">
        <v>10708</v>
      </c>
      <c r="B1603" s="7" t="s">
        <v>10709</v>
      </c>
      <c r="C1603" s="7" t="s">
        <v>10710</v>
      </c>
      <c r="D1603" s="7" t="s">
        <v>746</v>
      </c>
      <c r="E1603" s="7" t="s">
        <v>741</v>
      </c>
      <c r="F1603" s="7" t="s">
        <v>741</v>
      </c>
      <c r="G1603" s="7"/>
      <c r="H1603" s="7"/>
      <c r="I1603" s="7" t="s">
        <v>158</v>
      </c>
      <c r="J1603" s="7" t="s">
        <v>104</v>
      </c>
      <c r="K1603" s="7" t="s">
        <v>105</v>
      </c>
      <c r="L1603" s="7" t="s">
        <v>106</v>
      </c>
      <c r="M1603" s="7"/>
      <c r="N1603" s="7" t="s">
        <v>10711</v>
      </c>
      <c r="O1603" s="7" t="s">
        <v>10711</v>
      </c>
      <c r="P1603" s="7" t="s">
        <v>135</v>
      </c>
      <c r="Q1603" s="7"/>
      <c r="R1603" s="7" t="s">
        <v>109</v>
      </c>
      <c r="S1603" s="7" t="s">
        <v>110</v>
      </c>
      <c r="T1603" s="7" t="n">
        <v>0.343</v>
      </c>
      <c r="U1603" s="7" t="n">
        <v>1</v>
      </c>
      <c r="V1603" s="7" t="s">
        <v>90</v>
      </c>
      <c r="W1603" s="7"/>
      <c r="X1603" s="7" t="s">
        <v>9312</v>
      </c>
      <c r="Y1603" s="7" t="s">
        <v>10711</v>
      </c>
      <c r="Z1603" s="7"/>
      <c r="AA1603" s="7"/>
      <c r="AB1603" s="7"/>
      <c r="AC1603" s="7" t="n">
        <v>5</v>
      </c>
      <c r="AD1603" s="7" t="s">
        <v>743</v>
      </c>
      <c r="AE1603" s="7" t="s">
        <v>744</v>
      </c>
      <c r="AF1603" s="7" t="s">
        <v>10710</v>
      </c>
      <c r="AG1603" s="7" t="s">
        <v>744</v>
      </c>
      <c r="AH1603" s="7" t="s">
        <v>9312</v>
      </c>
      <c r="AI1603" s="7"/>
      <c r="AJ1603" s="7"/>
      <c r="AK1603" s="7"/>
      <c r="AL1603" s="7"/>
      <c r="AM1603" s="7"/>
      <c r="AN1603" s="7"/>
      <c r="AO1603" s="7" t="s">
        <v>744</v>
      </c>
      <c r="AP1603" s="7" t="s">
        <v>746</v>
      </c>
      <c r="AQ1603" s="7" t="s">
        <v>744</v>
      </c>
      <c r="AR1603" s="7" t="s">
        <v>741</v>
      </c>
      <c r="AS1603" s="7"/>
      <c r="AT1603" s="7"/>
      <c r="AU1603" s="7"/>
      <c r="AV1603" s="7"/>
      <c r="AW1603" s="7" t="s">
        <v>744</v>
      </c>
      <c r="AX1603" s="7" t="s">
        <v>10711</v>
      </c>
      <c r="AY1603" s="7"/>
      <c r="AZ1603" s="7"/>
      <c r="BA1603" s="7"/>
      <c r="BB1603" s="7"/>
      <c r="BC1603" s="7"/>
      <c r="BD1603" s="7" t="s">
        <v>747</v>
      </c>
      <c r="BE1603" s="7" t="s">
        <v>127</v>
      </c>
      <c r="BF1603" s="8"/>
      <c r="BG1603" s="8"/>
      <c r="BH1603" s="8"/>
      <c r="BI1603" s="8"/>
      <c r="BJ1603" s="8"/>
      <c r="BK1603" s="8"/>
      <c r="BL1603" s="8"/>
      <c r="BM1603" s="8"/>
      <c r="BN1603" s="8"/>
      <c r="BO1603" s="8"/>
      <c r="BP1603" s="8"/>
      <c r="BQ1603" s="8"/>
      <c r="BR1603" s="8"/>
      <c r="BS1603" s="8"/>
    </row>
    <row r="1604" customFormat="false" ht="15" hidden="false" customHeight="false" outlineLevel="0" collapsed="false">
      <c r="A1604" s="7" t="s">
        <v>10712</v>
      </c>
      <c r="B1604" s="7" t="s">
        <v>10713</v>
      </c>
      <c r="C1604" s="7" t="s">
        <v>10714</v>
      </c>
      <c r="D1604" s="7" t="s">
        <v>746</v>
      </c>
      <c r="E1604" s="7" t="s">
        <v>6724</v>
      </c>
      <c r="F1604" s="7" t="s">
        <v>6724</v>
      </c>
      <c r="G1604" s="7"/>
      <c r="H1604" s="7"/>
      <c r="I1604" s="7" t="s">
        <v>158</v>
      </c>
      <c r="J1604" s="7" t="s">
        <v>104</v>
      </c>
      <c r="K1604" s="7" t="s">
        <v>105</v>
      </c>
      <c r="L1604" s="7" t="s">
        <v>106</v>
      </c>
      <c r="M1604" s="7"/>
      <c r="N1604" s="7" t="s">
        <v>10715</v>
      </c>
      <c r="O1604" s="7" t="s">
        <v>10715</v>
      </c>
      <c r="P1604" s="7" t="s">
        <v>135</v>
      </c>
      <c r="Q1604" s="7"/>
      <c r="R1604" s="7" t="s">
        <v>109</v>
      </c>
      <c r="S1604" s="7" t="s">
        <v>110</v>
      </c>
      <c r="T1604" s="7" t="n">
        <v>0.601</v>
      </c>
      <c r="U1604" s="7" t="n">
        <v>1</v>
      </c>
      <c r="V1604" s="7" t="s">
        <v>90</v>
      </c>
      <c r="W1604" s="7"/>
      <c r="X1604" s="7" t="s">
        <v>9312</v>
      </c>
      <c r="Y1604" s="7" t="s">
        <v>10715</v>
      </c>
      <c r="Z1604" s="7"/>
      <c r="AA1604" s="7"/>
      <c r="AB1604" s="7"/>
      <c r="AC1604" s="7" t="n">
        <v>5</v>
      </c>
      <c r="AD1604" s="7" t="s">
        <v>743</v>
      </c>
      <c r="AE1604" s="7" t="s">
        <v>744</v>
      </c>
      <c r="AF1604" s="7" t="s">
        <v>10714</v>
      </c>
      <c r="AG1604" s="7" t="s">
        <v>744</v>
      </c>
      <c r="AH1604" s="7" t="s">
        <v>9312</v>
      </c>
      <c r="AI1604" s="7"/>
      <c r="AJ1604" s="7"/>
      <c r="AK1604" s="7"/>
      <c r="AL1604" s="7"/>
      <c r="AM1604" s="7"/>
      <c r="AN1604" s="7"/>
      <c r="AO1604" s="7" t="s">
        <v>744</v>
      </c>
      <c r="AP1604" s="7" t="s">
        <v>746</v>
      </c>
      <c r="AQ1604" s="7" t="s">
        <v>744</v>
      </c>
      <c r="AR1604" s="7" t="s">
        <v>6724</v>
      </c>
      <c r="AS1604" s="7"/>
      <c r="AT1604" s="7"/>
      <c r="AU1604" s="7"/>
      <c r="AV1604" s="7"/>
      <c r="AW1604" s="7" t="s">
        <v>744</v>
      </c>
      <c r="AX1604" s="7" t="s">
        <v>10715</v>
      </c>
      <c r="AY1604" s="7"/>
      <c r="AZ1604" s="7"/>
      <c r="BA1604" s="7"/>
      <c r="BB1604" s="7"/>
      <c r="BC1604" s="7"/>
      <c r="BD1604" s="7" t="s">
        <v>10716</v>
      </c>
      <c r="BE1604" s="7" t="s">
        <v>127</v>
      </c>
      <c r="BF1604" s="8"/>
      <c r="BG1604" s="8"/>
      <c r="BH1604" s="8"/>
      <c r="BI1604" s="8"/>
      <c r="BJ1604" s="8"/>
      <c r="BK1604" s="8"/>
      <c r="BL1604" s="8"/>
      <c r="BM1604" s="8"/>
      <c r="BN1604" s="8"/>
      <c r="BO1604" s="8"/>
      <c r="BP1604" s="8"/>
      <c r="BQ1604" s="8"/>
      <c r="BR1604" s="8"/>
      <c r="BS1604" s="8"/>
    </row>
    <row r="1605" customFormat="false" ht="15" hidden="false" customHeight="false" outlineLevel="0" collapsed="false">
      <c r="A1605" s="7" t="s">
        <v>10717</v>
      </c>
      <c r="B1605" s="7" t="s">
        <v>10718</v>
      </c>
      <c r="C1605" s="7" t="s">
        <v>10719</v>
      </c>
      <c r="D1605" s="7" t="s">
        <v>746</v>
      </c>
      <c r="E1605" s="7" t="s">
        <v>6724</v>
      </c>
      <c r="F1605" s="7" t="s">
        <v>6724</v>
      </c>
      <c r="G1605" s="7"/>
      <c r="H1605" s="7"/>
      <c r="I1605" s="7" t="s">
        <v>158</v>
      </c>
      <c r="J1605" s="7" t="s">
        <v>104</v>
      </c>
      <c r="K1605" s="7" t="s">
        <v>105</v>
      </c>
      <c r="L1605" s="7" t="s">
        <v>106</v>
      </c>
      <c r="M1605" s="7"/>
      <c r="N1605" s="7" t="s">
        <v>10720</v>
      </c>
      <c r="O1605" s="7" t="s">
        <v>10720</v>
      </c>
      <c r="P1605" s="7" t="s">
        <v>135</v>
      </c>
      <c r="Q1605" s="7"/>
      <c r="R1605" s="7" t="s">
        <v>109</v>
      </c>
      <c r="S1605" s="7" t="s">
        <v>110</v>
      </c>
      <c r="T1605" s="7" t="n">
        <v>0.485</v>
      </c>
      <c r="U1605" s="7" t="n">
        <v>1</v>
      </c>
      <c r="V1605" s="7" t="s">
        <v>90</v>
      </c>
      <c r="W1605" s="7"/>
      <c r="X1605" s="7" t="s">
        <v>9312</v>
      </c>
      <c r="Y1605" s="7" t="s">
        <v>10720</v>
      </c>
      <c r="Z1605" s="7"/>
      <c r="AA1605" s="7"/>
      <c r="AB1605" s="7"/>
      <c r="AC1605" s="7" t="n">
        <v>5</v>
      </c>
      <c r="AD1605" s="7" t="s">
        <v>743</v>
      </c>
      <c r="AE1605" s="7" t="s">
        <v>744</v>
      </c>
      <c r="AF1605" s="7" t="s">
        <v>10719</v>
      </c>
      <c r="AG1605" s="7" t="s">
        <v>744</v>
      </c>
      <c r="AH1605" s="7" t="s">
        <v>9312</v>
      </c>
      <c r="AI1605" s="7"/>
      <c r="AJ1605" s="7"/>
      <c r="AK1605" s="7"/>
      <c r="AL1605" s="7"/>
      <c r="AM1605" s="7"/>
      <c r="AN1605" s="7"/>
      <c r="AO1605" s="7" t="s">
        <v>744</v>
      </c>
      <c r="AP1605" s="7" t="s">
        <v>746</v>
      </c>
      <c r="AQ1605" s="7" t="s">
        <v>744</v>
      </c>
      <c r="AR1605" s="7" t="s">
        <v>6724</v>
      </c>
      <c r="AS1605" s="7"/>
      <c r="AT1605" s="7"/>
      <c r="AU1605" s="7"/>
      <c r="AV1605" s="7"/>
      <c r="AW1605" s="7" t="s">
        <v>744</v>
      </c>
      <c r="AX1605" s="7" t="s">
        <v>10720</v>
      </c>
      <c r="AY1605" s="7"/>
      <c r="AZ1605" s="7"/>
      <c r="BA1605" s="7"/>
      <c r="BB1605" s="7"/>
      <c r="BC1605" s="7"/>
      <c r="BD1605" s="7" t="s">
        <v>10716</v>
      </c>
      <c r="BE1605" s="7" t="s">
        <v>127</v>
      </c>
      <c r="BF1605" s="8"/>
      <c r="BG1605" s="8"/>
      <c r="BH1605" s="8"/>
      <c r="BI1605" s="8"/>
      <c r="BJ1605" s="8"/>
      <c r="BK1605" s="8"/>
      <c r="BL1605" s="8"/>
      <c r="BM1605" s="8"/>
      <c r="BN1605" s="8"/>
      <c r="BO1605" s="8"/>
      <c r="BP1605" s="8"/>
      <c r="BQ1605" s="8"/>
      <c r="BR1605" s="8"/>
      <c r="BS1605" s="8"/>
    </row>
    <row r="1606" customFormat="false" ht="15" hidden="false" customHeight="false" outlineLevel="0" collapsed="false">
      <c r="A1606" s="7" t="s">
        <v>10721</v>
      </c>
      <c r="B1606" s="7" t="s">
        <v>10722</v>
      </c>
      <c r="C1606" s="7" t="s">
        <v>10723</v>
      </c>
      <c r="D1606" s="7" t="s">
        <v>10724</v>
      </c>
      <c r="E1606" s="7" t="s">
        <v>741</v>
      </c>
      <c r="F1606" s="7" t="s">
        <v>741</v>
      </c>
      <c r="G1606" s="7"/>
      <c r="H1606" s="7"/>
      <c r="I1606" s="7" t="s">
        <v>132</v>
      </c>
      <c r="J1606" s="7" t="s">
        <v>104</v>
      </c>
      <c r="K1606" s="7" t="s">
        <v>105</v>
      </c>
      <c r="L1606" s="7" t="s">
        <v>106</v>
      </c>
      <c r="M1606" s="7"/>
      <c r="N1606" s="7" t="s">
        <v>10725</v>
      </c>
      <c r="O1606" s="7" t="s">
        <v>10725</v>
      </c>
      <c r="P1606" s="7" t="s">
        <v>135</v>
      </c>
      <c r="Q1606" s="7"/>
      <c r="R1606" s="7" t="s">
        <v>109</v>
      </c>
      <c r="S1606" s="7" t="s">
        <v>110</v>
      </c>
      <c r="T1606" s="7" t="n">
        <v>0.467</v>
      </c>
      <c r="U1606" s="7" t="n">
        <v>1</v>
      </c>
      <c r="V1606" s="7" t="s">
        <v>90</v>
      </c>
      <c r="W1606" s="7"/>
      <c r="X1606" s="7" t="s">
        <v>9312</v>
      </c>
      <c r="Y1606" s="7" t="s">
        <v>10725</v>
      </c>
      <c r="Z1606" s="7"/>
      <c r="AA1606" s="7"/>
      <c r="AB1606" s="7"/>
      <c r="AC1606" s="7" t="n">
        <v>5</v>
      </c>
      <c r="AD1606" s="7" t="s">
        <v>743</v>
      </c>
      <c r="AE1606" s="7" t="s">
        <v>744</v>
      </c>
      <c r="AF1606" s="7" t="s">
        <v>10723</v>
      </c>
      <c r="AG1606" s="7" t="s">
        <v>744</v>
      </c>
      <c r="AH1606" s="7" t="s">
        <v>9312</v>
      </c>
      <c r="AI1606" s="7"/>
      <c r="AJ1606" s="7"/>
      <c r="AK1606" s="7"/>
      <c r="AL1606" s="7"/>
      <c r="AM1606" s="7"/>
      <c r="AN1606" s="7"/>
      <c r="AO1606" s="7" t="s">
        <v>744</v>
      </c>
      <c r="AP1606" s="7" t="s">
        <v>10724</v>
      </c>
      <c r="AQ1606" s="7" t="s">
        <v>744</v>
      </c>
      <c r="AR1606" s="7" t="s">
        <v>741</v>
      </c>
      <c r="AS1606" s="7"/>
      <c r="AT1606" s="7"/>
      <c r="AU1606" s="7"/>
      <c r="AV1606" s="7"/>
      <c r="AW1606" s="7" t="s">
        <v>744</v>
      </c>
      <c r="AX1606" s="7" t="s">
        <v>10725</v>
      </c>
      <c r="AY1606" s="7"/>
      <c r="AZ1606" s="7"/>
      <c r="BA1606" s="7"/>
      <c r="BB1606" s="7"/>
      <c r="BC1606" s="7"/>
      <c r="BD1606" s="7" t="s">
        <v>440</v>
      </c>
      <c r="BE1606" s="7" t="s">
        <v>127</v>
      </c>
      <c r="BF1606" s="8"/>
      <c r="BG1606" s="8"/>
      <c r="BH1606" s="8"/>
      <c r="BI1606" s="8"/>
      <c r="BJ1606" s="8"/>
      <c r="BK1606" s="8"/>
      <c r="BL1606" s="8"/>
      <c r="BM1606" s="8"/>
      <c r="BN1606" s="8"/>
      <c r="BO1606" s="8"/>
      <c r="BP1606" s="8"/>
      <c r="BQ1606" s="8"/>
      <c r="BR1606" s="8"/>
      <c r="BS1606" s="8"/>
    </row>
    <row r="1607" customFormat="false" ht="15" hidden="false" customHeight="false" outlineLevel="0" collapsed="false">
      <c r="A1607" s="7" t="s">
        <v>10726</v>
      </c>
      <c r="B1607" s="7" t="s">
        <v>10727</v>
      </c>
      <c r="C1607" s="7" t="s">
        <v>10728</v>
      </c>
      <c r="D1607" s="7" t="s">
        <v>10729</v>
      </c>
      <c r="E1607" s="7" t="s">
        <v>431</v>
      </c>
      <c r="F1607" s="7" t="s">
        <v>431</v>
      </c>
      <c r="G1607" s="7"/>
      <c r="H1607" s="7"/>
      <c r="I1607" s="7" t="s">
        <v>158</v>
      </c>
      <c r="J1607" s="7" t="s">
        <v>104</v>
      </c>
      <c r="K1607" s="7" t="s">
        <v>105</v>
      </c>
      <c r="L1607" s="7" t="s">
        <v>106</v>
      </c>
      <c r="M1607" s="7"/>
      <c r="N1607" s="7" t="s">
        <v>10730</v>
      </c>
      <c r="O1607" s="7"/>
      <c r="P1607" s="7" t="s">
        <v>135</v>
      </c>
      <c r="Q1607" s="7"/>
      <c r="R1607" s="7" t="s">
        <v>135</v>
      </c>
      <c r="S1607" s="7" t="s">
        <v>136</v>
      </c>
      <c r="T1607" s="7" t="n">
        <v>0.641</v>
      </c>
      <c r="U1607" s="7" t="n">
        <v>1</v>
      </c>
      <c r="V1607" s="7" t="s">
        <v>90</v>
      </c>
      <c r="W1607" s="7"/>
      <c r="X1607" s="7" t="s">
        <v>9312</v>
      </c>
      <c r="Y1607" s="7" t="s">
        <v>10730</v>
      </c>
      <c r="Z1607" s="7"/>
      <c r="AA1607" s="7"/>
      <c r="AB1607" s="7"/>
      <c r="AC1607" s="7" t="n">
        <v>5</v>
      </c>
      <c r="AD1607" s="7" t="s">
        <v>743</v>
      </c>
      <c r="AE1607" s="7" t="s">
        <v>744</v>
      </c>
      <c r="AF1607" s="7" t="s">
        <v>10728</v>
      </c>
      <c r="AG1607" s="7" t="s">
        <v>744</v>
      </c>
      <c r="AH1607" s="7" t="s">
        <v>9312</v>
      </c>
      <c r="AI1607" s="7"/>
      <c r="AJ1607" s="7"/>
      <c r="AK1607" s="7"/>
      <c r="AL1607" s="7"/>
      <c r="AM1607" s="7"/>
      <c r="AN1607" s="7"/>
      <c r="AO1607" s="7" t="s">
        <v>744</v>
      </c>
      <c r="AP1607" s="7" t="s">
        <v>10729</v>
      </c>
      <c r="AQ1607" s="7" t="s">
        <v>744</v>
      </c>
      <c r="AR1607" s="7" t="s">
        <v>431</v>
      </c>
      <c r="AS1607" s="7"/>
      <c r="AT1607" s="7"/>
      <c r="AU1607" s="7"/>
      <c r="AV1607" s="7"/>
      <c r="AW1607" s="7" t="s">
        <v>744</v>
      </c>
      <c r="AX1607" s="7" t="s">
        <v>10730</v>
      </c>
      <c r="AY1607" s="7"/>
      <c r="AZ1607" s="7"/>
      <c r="BA1607" s="7"/>
      <c r="BB1607" s="7"/>
      <c r="BC1607" s="7"/>
      <c r="BD1607" s="7"/>
      <c r="BE1607" s="7" t="s">
        <v>127</v>
      </c>
      <c r="BF1607" s="8"/>
      <c r="BG1607" s="8"/>
      <c r="BH1607" s="8"/>
      <c r="BI1607" s="8"/>
      <c r="BJ1607" s="8"/>
      <c r="BK1607" s="8"/>
      <c r="BL1607" s="8"/>
      <c r="BM1607" s="8"/>
      <c r="BN1607" s="8"/>
      <c r="BO1607" s="8"/>
      <c r="BP1607" s="8"/>
      <c r="BQ1607" s="8"/>
      <c r="BR1607" s="8"/>
      <c r="BS1607" s="8"/>
    </row>
    <row r="1608" customFormat="false" ht="15" hidden="false" customHeight="false" outlineLevel="0" collapsed="false">
      <c r="A1608" s="7" t="s">
        <v>10731</v>
      </c>
      <c r="B1608" s="7" t="s">
        <v>10732</v>
      </c>
      <c r="C1608" s="7" t="s">
        <v>10733</v>
      </c>
      <c r="D1608" s="7" t="s">
        <v>746</v>
      </c>
      <c r="E1608" s="7" t="s">
        <v>741</v>
      </c>
      <c r="F1608" s="7" t="s">
        <v>741</v>
      </c>
      <c r="G1608" s="7"/>
      <c r="H1608" s="7"/>
      <c r="I1608" s="7" t="s">
        <v>158</v>
      </c>
      <c r="J1608" s="7" t="s">
        <v>104</v>
      </c>
      <c r="K1608" s="7" t="s">
        <v>105</v>
      </c>
      <c r="L1608" s="7" t="s">
        <v>106</v>
      </c>
      <c r="M1608" s="7"/>
      <c r="N1608" s="7" t="s">
        <v>10734</v>
      </c>
      <c r="O1608" s="7" t="s">
        <v>10734</v>
      </c>
      <c r="P1608" s="7" t="s">
        <v>135</v>
      </c>
      <c r="Q1608" s="7"/>
      <c r="R1608" s="7" t="s">
        <v>109</v>
      </c>
      <c r="S1608" s="7" t="s">
        <v>110</v>
      </c>
      <c r="T1608" s="7" t="n">
        <v>0.715</v>
      </c>
      <c r="U1608" s="7" t="n">
        <v>1</v>
      </c>
      <c r="V1608" s="7" t="s">
        <v>90</v>
      </c>
      <c r="W1608" s="7"/>
      <c r="X1608" s="7" t="s">
        <v>6939</v>
      </c>
      <c r="Y1608" s="7" t="s">
        <v>10734</v>
      </c>
      <c r="Z1608" s="7"/>
      <c r="AA1608" s="7"/>
      <c r="AB1608" s="7"/>
      <c r="AC1608" s="7" t="n">
        <v>5</v>
      </c>
      <c r="AD1608" s="7" t="s">
        <v>743</v>
      </c>
      <c r="AE1608" s="7" t="s">
        <v>744</v>
      </c>
      <c r="AF1608" s="7" t="s">
        <v>10733</v>
      </c>
      <c r="AG1608" s="7" t="s">
        <v>744</v>
      </c>
      <c r="AH1608" s="7" t="s">
        <v>6939</v>
      </c>
      <c r="AI1608" s="7"/>
      <c r="AJ1608" s="7"/>
      <c r="AK1608" s="7"/>
      <c r="AL1608" s="7"/>
      <c r="AM1608" s="7"/>
      <c r="AN1608" s="7"/>
      <c r="AO1608" s="7" t="s">
        <v>744</v>
      </c>
      <c r="AP1608" s="7" t="s">
        <v>746</v>
      </c>
      <c r="AQ1608" s="7" t="s">
        <v>744</v>
      </c>
      <c r="AR1608" s="7" t="s">
        <v>741</v>
      </c>
      <c r="AS1608" s="7"/>
      <c r="AT1608" s="7"/>
      <c r="AU1608" s="7"/>
      <c r="AV1608" s="7"/>
      <c r="AW1608" s="7" t="s">
        <v>744</v>
      </c>
      <c r="AX1608" s="7" t="s">
        <v>10734</v>
      </c>
      <c r="AY1608" s="7"/>
      <c r="AZ1608" s="7"/>
      <c r="BA1608" s="7"/>
      <c r="BB1608" s="7"/>
      <c r="BC1608" s="7"/>
      <c r="BD1608" s="7" t="s">
        <v>747</v>
      </c>
      <c r="BE1608" s="7" t="s">
        <v>127</v>
      </c>
      <c r="BF1608" s="8"/>
      <c r="BG1608" s="8"/>
      <c r="BH1608" s="8"/>
      <c r="BI1608" s="8"/>
      <c r="BJ1608" s="8"/>
      <c r="BK1608" s="8"/>
      <c r="BL1608" s="8"/>
      <c r="BM1608" s="8"/>
      <c r="BN1608" s="8"/>
      <c r="BO1608" s="8"/>
      <c r="BP1608" s="8"/>
      <c r="BQ1608" s="8"/>
      <c r="BR1608" s="8"/>
      <c r="BS1608" s="8"/>
    </row>
    <row r="1609" customFormat="false" ht="15" hidden="false" customHeight="false" outlineLevel="0" collapsed="false">
      <c r="A1609" s="7" t="s">
        <v>10735</v>
      </c>
      <c r="B1609" s="7" t="s">
        <v>10736</v>
      </c>
      <c r="C1609" s="7" t="s">
        <v>10737</v>
      </c>
      <c r="D1609" s="7" t="s">
        <v>746</v>
      </c>
      <c r="E1609" s="7" t="s">
        <v>741</v>
      </c>
      <c r="F1609" s="7" t="s">
        <v>741</v>
      </c>
      <c r="G1609" s="7"/>
      <c r="H1609" s="7"/>
      <c r="I1609" s="7" t="s">
        <v>158</v>
      </c>
      <c r="J1609" s="7" t="s">
        <v>104</v>
      </c>
      <c r="K1609" s="7" t="s">
        <v>105</v>
      </c>
      <c r="L1609" s="7" t="s">
        <v>106</v>
      </c>
      <c r="M1609" s="7"/>
      <c r="N1609" s="7" t="s">
        <v>10738</v>
      </c>
      <c r="O1609" s="7" t="s">
        <v>10738</v>
      </c>
      <c r="P1609" s="7" t="s">
        <v>135</v>
      </c>
      <c r="Q1609" s="7"/>
      <c r="R1609" s="7" t="s">
        <v>109</v>
      </c>
      <c r="S1609" s="7" t="s">
        <v>110</v>
      </c>
      <c r="T1609" s="7" t="n">
        <v>0.327</v>
      </c>
      <c r="U1609" s="7" t="n">
        <v>1</v>
      </c>
      <c r="V1609" s="7" t="s">
        <v>90</v>
      </c>
      <c r="W1609" s="7"/>
      <c r="X1609" s="7" t="s">
        <v>6939</v>
      </c>
      <c r="Y1609" s="7" t="s">
        <v>10738</v>
      </c>
      <c r="Z1609" s="7"/>
      <c r="AA1609" s="7"/>
      <c r="AB1609" s="7"/>
      <c r="AC1609" s="7" t="n">
        <v>5</v>
      </c>
      <c r="AD1609" s="7" t="s">
        <v>743</v>
      </c>
      <c r="AE1609" s="7" t="s">
        <v>744</v>
      </c>
      <c r="AF1609" s="7" t="s">
        <v>10737</v>
      </c>
      <c r="AG1609" s="7" t="s">
        <v>744</v>
      </c>
      <c r="AH1609" s="7" t="s">
        <v>6939</v>
      </c>
      <c r="AI1609" s="7"/>
      <c r="AJ1609" s="7"/>
      <c r="AK1609" s="7"/>
      <c r="AL1609" s="7"/>
      <c r="AM1609" s="7"/>
      <c r="AN1609" s="7"/>
      <c r="AO1609" s="7" t="s">
        <v>744</v>
      </c>
      <c r="AP1609" s="7" t="s">
        <v>746</v>
      </c>
      <c r="AQ1609" s="7" t="s">
        <v>744</v>
      </c>
      <c r="AR1609" s="7" t="s">
        <v>741</v>
      </c>
      <c r="AS1609" s="7"/>
      <c r="AT1609" s="7"/>
      <c r="AU1609" s="7"/>
      <c r="AV1609" s="7"/>
      <c r="AW1609" s="7" t="s">
        <v>744</v>
      </c>
      <c r="AX1609" s="7" t="s">
        <v>10738</v>
      </c>
      <c r="AY1609" s="7"/>
      <c r="AZ1609" s="7"/>
      <c r="BA1609" s="7"/>
      <c r="BB1609" s="7"/>
      <c r="BC1609" s="7"/>
      <c r="BD1609" s="7" t="s">
        <v>747</v>
      </c>
      <c r="BE1609" s="7" t="s">
        <v>127</v>
      </c>
      <c r="BF1609" s="8"/>
      <c r="BG1609" s="8"/>
      <c r="BH1609" s="8"/>
      <c r="BI1609" s="8"/>
      <c r="BJ1609" s="8"/>
      <c r="BK1609" s="8"/>
      <c r="BL1609" s="8"/>
      <c r="BM1609" s="8"/>
      <c r="BN1609" s="8"/>
      <c r="BO1609" s="8"/>
      <c r="BP1609" s="8"/>
      <c r="BQ1609" s="8"/>
      <c r="BR1609" s="8"/>
      <c r="BS1609" s="8"/>
    </row>
    <row r="1610" customFormat="false" ht="15" hidden="false" customHeight="false" outlineLevel="0" collapsed="false">
      <c r="A1610" s="7" t="s">
        <v>10739</v>
      </c>
      <c r="B1610" s="7" t="s">
        <v>10740</v>
      </c>
      <c r="C1610" s="7" t="s">
        <v>10741</v>
      </c>
      <c r="D1610" s="7" t="s">
        <v>10742</v>
      </c>
      <c r="E1610" s="7"/>
      <c r="F1610" s="7" t="s">
        <v>101</v>
      </c>
      <c r="G1610" s="7"/>
      <c r="H1610" s="7"/>
      <c r="I1610" s="7" t="s">
        <v>132</v>
      </c>
      <c r="J1610" s="7" t="s">
        <v>104</v>
      </c>
      <c r="K1610" s="7" t="s">
        <v>105</v>
      </c>
      <c r="L1610" s="7" t="s">
        <v>106</v>
      </c>
      <c r="M1610" s="7"/>
      <c r="N1610" s="7" t="s">
        <v>10743</v>
      </c>
      <c r="O1610" s="7"/>
      <c r="P1610" s="7" t="s">
        <v>135</v>
      </c>
      <c r="Q1610" s="7"/>
      <c r="R1610" s="7" t="s">
        <v>135</v>
      </c>
      <c r="S1610" s="7" t="s">
        <v>136</v>
      </c>
      <c r="T1610" s="7" t="n">
        <v>0.528</v>
      </c>
      <c r="U1610" s="7" t="n">
        <v>1</v>
      </c>
      <c r="V1610" s="7" t="s">
        <v>90</v>
      </c>
      <c r="W1610" s="7"/>
      <c r="X1610" s="7" t="s">
        <v>6939</v>
      </c>
      <c r="Y1610" s="7" t="s">
        <v>10743</v>
      </c>
      <c r="Z1610" s="7"/>
      <c r="AA1610" s="7"/>
      <c r="AB1610" s="7"/>
      <c r="AC1610" s="7" t="n">
        <v>4</v>
      </c>
      <c r="AD1610" s="7" t="s">
        <v>7611</v>
      </c>
      <c r="AE1610" s="7" t="s">
        <v>744</v>
      </c>
      <c r="AF1610" s="7" t="s">
        <v>10741</v>
      </c>
      <c r="AG1610" s="7" t="s">
        <v>744</v>
      </c>
      <c r="AH1610" s="7" t="s">
        <v>6939</v>
      </c>
      <c r="AI1610" s="7"/>
      <c r="AJ1610" s="7"/>
      <c r="AK1610" s="7"/>
      <c r="AL1610" s="7"/>
      <c r="AM1610" s="7"/>
      <c r="AN1610" s="7"/>
      <c r="AO1610" s="7" t="s">
        <v>744</v>
      </c>
      <c r="AP1610" s="7" t="s">
        <v>10742</v>
      </c>
      <c r="AQ1610" s="7"/>
      <c r="AR1610" s="7"/>
      <c r="AS1610" s="7"/>
      <c r="AT1610" s="7"/>
      <c r="AU1610" s="7"/>
      <c r="AV1610" s="7"/>
      <c r="AW1610" s="7" t="s">
        <v>744</v>
      </c>
      <c r="AX1610" s="7" t="s">
        <v>10743</v>
      </c>
      <c r="AY1610" s="7"/>
      <c r="AZ1610" s="7"/>
      <c r="BA1610" s="7"/>
      <c r="BB1610" s="7"/>
      <c r="BC1610" s="7"/>
      <c r="BD1610" s="7"/>
      <c r="BE1610" s="7" t="s">
        <v>127</v>
      </c>
      <c r="BF1610" s="8"/>
      <c r="BG1610" s="8"/>
      <c r="BH1610" s="8"/>
      <c r="BI1610" s="8"/>
      <c r="BJ1610" s="8"/>
      <c r="BK1610" s="8"/>
      <c r="BL1610" s="8"/>
      <c r="BM1610" s="8"/>
      <c r="BN1610" s="8"/>
      <c r="BO1610" s="8"/>
      <c r="BP1610" s="8"/>
      <c r="BQ1610" s="8"/>
      <c r="BR1610" s="8"/>
      <c r="BS1610" s="8"/>
    </row>
    <row r="1611" customFormat="false" ht="15" hidden="false" customHeight="false" outlineLevel="0" collapsed="false">
      <c r="A1611" s="7" t="s">
        <v>10744</v>
      </c>
      <c r="B1611" s="7" t="s">
        <v>10745</v>
      </c>
      <c r="C1611" s="7" t="s">
        <v>10746</v>
      </c>
      <c r="D1611" s="7" t="s">
        <v>10747</v>
      </c>
      <c r="E1611" s="7" t="s">
        <v>888</v>
      </c>
      <c r="F1611" s="7" t="s">
        <v>888</v>
      </c>
      <c r="G1611" s="7"/>
      <c r="H1611" s="7"/>
      <c r="I1611" s="7" t="s">
        <v>1639</v>
      </c>
      <c r="J1611" s="7" t="s">
        <v>104</v>
      </c>
      <c r="K1611" s="7" t="s">
        <v>105</v>
      </c>
      <c r="L1611" s="7" t="s">
        <v>106</v>
      </c>
      <c r="M1611" s="7"/>
      <c r="N1611" s="7" t="s">
        <v>10748</v>
      </c>
      <c r="O1611" s="7" t="s">
        <v>10748</v>
      </c>
      <c r="P1611" s="7" t="s">
        <v>109</v>
      </c>
      <c r="Q1611" s="7"/>
      <c r="R1611" s="7" t="s">
        <v>109</v>
      </c>
      <c r="S1611" s="7" t="s">
        <v>110</v>
      </c>
      <c r="T1611" s="7" t="n">
        <v>0.307</v>
      </c>
      <c r="U1611" s="7" t="n">
        <v>1</v>
      </c>
      <c r="V1611" s="7" t="s">
        <v>90</v>
      </c>
      <c r="W1611" s="7"/>
      <c r="X1611" s="7" t="s">
        <v>6939</v>
      </c>
      <c r="Y1611" s="7" t="s">
        <v>10748</v>
      </c>
      <c r="Z1611" s="7"/>
      <c r="AA1611" s="7"/>
      <c r="AB1611" s="7"/>
      <c r="AC1611" s="7" t="n">
        <v>5</v>
      </c>
      <c r="AD1611" s="7" t="s">
        <v>743</v>
      </c>
      <c r="AE1611" s="7" t="s">
        <v>744</v>
      </c>
      <c r="AF1611" s="7" t="s">
        <v>10746</v>
      </c>
      <c r="AG1611" s="7" t="s">
        <v>744</v>
      </c>
      <c r="AH1611" s="7" t="s">
        <v>6939</v>
      </c>
      <c r="AI1611" s="7"/>
      <c r="AJ1611" s="7"/>
      <c r="AK1611" s="7"/>
      <c r="AL1611" s="7"/>
      <c r="AM1611" s="7"/>
      <c r="AN1611" s="7"/>
      <c r="AO1611" s="7" t="s">
        <v>744</v>
      </c>
      <c r="AP1611" s="7" t="s">
        <v>10747</v>
      </c>
      <c r="AQ1611" s="7" t="s">
        <v>744</v>
      </c>
      <c r="AR1611" s="7" t="s">
        <v>888</v>
      </c>
      <c r="AS1611" s="7"/>
      <c r="AT1611" s="7"/>
      <c r="AU1611" s="7"/>
      <c r="AV1611" s="7"/>
      <c r="AW1611" s="7" t="s">
        <v>744</v>
      </c>
      <c r="AX1611" s="7" t="s">
        <v>10748</v>
      </c>
      <c r="AY1611" s="7"/>
      <c r="AZ1611" s="7"/>
      <c r="BA1611" s="7"/>
      <c r="BB1611" s="7"/>
      <c r="BC1611" s="7"/>
      <c r="BD1611" s="7"/>
      <c r="BE1611" s="7" t="s">
        <v>127</v>
      </c>
      <c r="BF1611" s="8"/>
      <c r="BG1611" s="8"/>
      <c r="BH1611" s="8"/>
      <c r="BI1611" s="8"/>
      <c r="BJ1611" s="8"/>
      <c r="BK1611" s="8"/>
      <c r="BL1611" s="8"/>
      <c r="BM1611" s="8"/>
      <c r="BN1611" s="8"/>
      <c r="BO1611" s="8"/>
      <c r="BP1611" s="8"/>
      <c r="BQ1611" s="8"/>
      <c r="BR1611" s="8"/>
      <c r="BS1611" s="8"/>
    </row>
    <row r="1612" customFormat="false" ht="15" hidden="false" customHeight="false" outlineLevel="0" collapsed="false">
      <c r="A1612" s="7" t="s">
        <v>10749</v>
      </c>
      <c r="B1612" s="7" t="s">
        <v>10750</v>
      </c>
      <c r="C1612" s="7" t="s">
        <v>10751</v>
      </c>
      <c r="D1612" s="7" t="s">
        <v>746</v>
      </c>
      <c r="E1612" s="7" t="s">
        <v>741</v>
      </c>
      <c r="F1612" s="7" t="s">
        <v>741</v>
      </c>
      <c r="G1612" s="7"/>
      <c r="H1612" s="7"/>
      <c r="I1612" s="7" t="s">
        <v>158</v>
      </c>
      <c r="J1612" s="7" t="s">
        <v>104</v>
      </c>
      <c r="K1612" s="7" t="s">
        <v>105</v>
      </c>
      <c r="L1612" s="7" t="s">
        <v>353</v>
      </c>
      <c r="M1612" s="7"/>
      <c r="N1612" s="7" t="s">
        <v>10752</v>
      </c>
      <c r="O1612" s="7" t="s">
        <v>10752</v>
      </c>
      <c r="P1612" s="7" t="s">
        <v>135</v>
      </c>
      <c r="Q1612" s="7"/>
      <c r="R1612" s="7" t="s">
        <v>109</v>
      </c>
      <c r="S1612" s="7" t="s">
        <v>110</v>
      </c>
      <c r="T1612" s="7" t="n">
        <v>0.57</v>
      </c>
      <c r="U1612" s="7" t="n">
        <v>1</v>
      </c>
      <c r="V1612" s="7" t="s">
        <v>90</v>
      </c>
      <c r="W1612" s="7"/>
      <c r="X1612" s="7" t="s">
        <v>6939</v>
      </c>
      <c r="Y1612" s="7" t="s">
        <v>10752</v>
      </c>
      <c r="Z1612" s="7"/>
      <c r="AA1612" s="7"/>
      <c r="AB1612" s="7"/>
      <c r="AC1612" s="7" t="n">
        <v>5</v>
      </c>
      <c r="AD1612" s="7" t="s">
        <v>743</v>
      </c>
      <c r="AE1612" s="7" t="s">
        <v>744</v>
      </c>
      <c r="AF1612" s="7" t="s">
        <v>10751</v>
      </c>
      <c r="AG1612" s="7" t="s">
        <v>744</v>
      </c>
      <c r="AH1612" s="7" t="s">
        <v>6939</v>
      </c>
      <c r="AI1612" s="7"/>
      <c r="AJ1612" s="7"/>
      <c r="AK1612" s="7"/>
      <c r="AL1612" s="7"/>
      <c r="AM1612" s="7"/>
      <c r="AN1612" s="7"/>
      <c r="AO1612" s="7" t="s">
        <v>744</v>
      </c>
      <c r="AP1612" s="7" t="s">
        <v>746</v>
      </c>
      <c r="AQ1612" s="7" t="s">
        <v>744</v>
      </c>
      <c r="AR1612" s="7" t="s">
        <v>741</v>
      </c>
      <c r="AS1612" s="7"/>
      <c r="AT1612" s="7"/>
      <c r="AU1612" s="7"/>
      <c r="AV1612" s="7"/>
      <c r="AW1612" s="7" t="s">
        <v>744</v>
      </c>
      <c r="AX1612" s="7" t="s">
        <v>10752</v>
      </c>
      <c r="AY1612" s="7"/>
      <c r="AZ1612" s="7"/>
      <c r="BA1612" s="7"/>
      <c r="BB1612" s="7"/>
      <c r="BC1612" s="7"/>
      <c r="BD1612" s="7" t="s">
        <v>747</v>
      </c>
      <c r="BE1612" s="7" t="s">
        <v>127</v>
      </c>
      <c r="BF1612" s="8"/>
      <c r="BG1612" s="8"/>
      <c r="BH1612" s="8"/>
      <c r="BI1612" s="8"/>
      <c r="BJ1612" s="8"/>
      <c r="BK1612" s="8"/>
      <c r="BL1612" s="8"/>
      <c r="BM1612" s="8"/>
      <c r="BN1612" s="8"/>
      <c r="BO1612" s="8"/>
      <c r="BP1612" s="8"/>
      <c r="BQ1612" s="8"/>
      <c r="BR1612" s="8"/>
      <c r="BS1612" s="8"/>
    </row>
    <row r="1613" customFormat="false" ht="15" hidden="false" customHeight="false" outlineLevel="0" collapsed="false">
      <c r="A1613" s="7" t="s">
        <v>10753</v>
      </c>
      <c r="B1613" s="7" t="s">
        <v>10754</v>
      </c>
      <c r="C1613" s="7" t="s">
        <v>10755</v>
      </c>
      <c r="D1613" s="7" t="s">
        <v>10756</v>
      </c>
      <c r="E1613" s="7" t="s">
        <v>444</v>
      </c>
      <c r="F1613" s="7" t="s">
        <v>444</v>
      </c>
      <c r="G1613" s="7"/>
      <c r="H1613" s="7"/>
      <c r="I1613" s="7" t="s">
        <v>158</v>
      </c>
      <c r="J1613" s="7" t="s">
        <v>104</v>
      </c>
      <c r="K1613" s="7" t="s">
        <v>105</v>
      </c>
      <c r="L1613" s="7" t="s">
        <v>353</v>
      </c>
      <c r="M1613" s="7"/>
      <c r="N1613" s="7" t="s">
        <v>10757</v>
      </c>
      <c r="O1613" s="7" t="s">
        <v>10757</v>
      </c>
      <c r="P1613" s="7" t="s">
        <v>109</v>
      </c>
      <c r="Q1613" s="7"/>
      <c r="R1613" s="7" t="s">
        <v>109</v>
      </c>
      <c r="S1613" s="7" t="s">
        <v>110</v>
      </c>
      <c r="T1613" s="7" t="n">
        <v>0.355</v>
      </c>
      <c r="U1613" s="7" t="n">
        <v>1</v>
      </c>
      <c r="V1613" s="7" t="s">
        <v>90</v>
      </c>
      <c r="W1613" s="7"/>
      <c r="X1613" s="7" t="s">
        <v>10758</v>
      </c>
      <c r="Y1613" s="7" t="s">
        <v>10757</v>
      </c>
      <c r="Z1613" s="7"/>
      <c r="AA1613" s="7"/>
      <c r="AB1613" s="7"/>
      <c r="AC1613" s="7" t="n">
        <v>5</v>
      </c>
      <c r="AD1613" s="7" t="s">
        <v>743</v>
      </c>
      <c r="AE1613" s="7" t="s">
        <v>744</v>
      </c>
      <c r="AF1613" s="7" t="s">
        <v>10755</v>
      </c>
      <c r="AG1613" s="7" t="s">
        <v>744</v>
      </c>
      <c r="AH1613" s="7" t="s">
        <v>10758</v>
      </c>
      <c r="AI1613" s="7"/>
      <c r="AJ1613" s="7"/>
      <c r="AK1613" s="7"/>
      <c r="AL1613" s="7"/>
      <c r="AM1613" s="7"/>
      <c r="AN1613" s="7"/>
      <c r="AO1613" s="7" t="s">
        <v>744</v>
      </c>
      <c r="AP1613" s="7" t="s">
        <v>10756</v>
      </c>
      <c r="AQ1613" s="7" t="s">
        <v>744</v>
      </c>
      <c r="AR1613" s="7" t="s">
        <v>444</v>
      </c>
      <c r="AS1613" s="7"/>
      <c r="AT1613" s="7"/>
      <c r="AU1613" s="7"/>
      <c r="AV1613" s="7"/>
      <c r="AW1613" s="7" t="s">
        <v>744</v>
      </c>
      <c r="AX1613" s="7" t="s">
        <v>10757</v>
      </c>
      <c r="AY1613" s="7"/>
      <c r="AZ1613" s="7"/>
      <c r="BA1613" s="7"/>
      <c r="BB1613" s="7"/>
      <c r="BC1613" s="7"/>
      <c r="BD1613" s="7"/>
      <c r="BE1613" s="7" t="s">
        <v>127</v>
      </c>
      <c r="BF1613" s="8"/>
      <c r="BG1613" s="8"/>
      <c r="BH1613" s="8"/>
      <c r="BI1613" s="8"/>
      <c r="BJ1613" s="8"/>
      <c r="BK1613" s="8"/>
      <c r="BL1613" s="8"/>
      <c r="BM1613" s="8"/>
      <c r="BN1613" s="8"/>
      <c r="BO1613" s="8"/>
      <c r="BP1613" s="8"/>
      <c r="BQ1613" s="8"/>
      <c r="BR1613" s="8"/>
      <c r="BS1613" s="8"/>
    </row>
    <row r="1614" customFormat="false" ht="15" hidden="false" customHeight="false" outlineLevel="0" collapsed="false">
      <c r="A1614" s="7" t="s">
        <v>10759</v>
      </c>
      <c r="B1614" s="7" t="s">
        <v>10760</v>
      </c>
      <c r="C1614" s="7" t="s">
        <v>10761</v>
      </c>
      <c r="D1614" s="7" t="s">
        <v>10762</v>
      </c>
      <c r="E1614" s="7"/>
      <c r="F1614" s="7" t="s">
        <v>156</v>
      </c>
      <c r="G1614" s="7"/>
      <c r="H1614" s="7" t="s">
        <v>157</v>
      </c>
      <c r="I1614" s="7" t="s">
        <v>132</v>
      </c>
      <c r="J1614" s="7" t="s">
        <v>159</v>
      </c>
      <c r="K1614" s="7" t="s">
        <v>105</v>
      </c>
      <c r="L1614" s="7" t="s">
        <v>106</v>
      </c>
      <c r="M1614" s="7"/>
      <c r="N1614" s="7" t="s">
        <v>10763</v>
      </c>
      <c r="O1614" s="7"/>
      <c r="P1614" s="7" t="s">
        <v>135</v>
      </c>
      <c r="Q1614" s="7"/>
      <c r="R1614" s="7" t="s">
        <v>135</v>
      </c>
      <c r="S1614" s="7" t="s">
        <v>136</v>
      </c>
      <c r="T1614" s="7" t="n">
        <v>0.267</v>
      </c>
      <c r="U1614" s="7" t="n">
        <v>1</v>
      </c>
      <c r="V1614" s="7" t="s">
        <v>90</v>
      </c>
      <c r="W1614" s="7"/>
      <c r="X1614" s="7" t="s">
        <v>10764</v>
      </c>
      <c r="Y1614" s="7" t="s">
        <v>10763</v>
      </c>
      <c r="Z1614" s="7"/>
      <c r="AA1614" s="7"/>
      <c r="AB1614" s="7"/>
      <c r="AC1614" s="7" t="n">
        <v>4</v>
      </c>
      <c r="AD1614" s="7" t="s">
        <v>7611</v>
      </c>
      <c r="AE1614" s="7" t="s">
        <v>744</v>
      </c>
      <c r="AF1614" s="7" t="s">
        <v>10761</v>
      </c>
      <c r="AG1614" s="7" t="s">
        <v>744</v>
      </c>
      <c r="AH1614" s="7" t="s">
        <v>10764</v>
      </c>
      <c r="AI1614" s="7"/>
      <c r="AJ1614" s="7"/>
      <c r="AK1614" s="7"/>
      <c r="AL1614" s="7"/>
      <c r="AM1614" s="7"/>
      <c r="AN1614" s="7"/>
      <c r="AO1614" s="7" t="s">
        <v>744</v>
      </c>
      <c r="AP1614" s="7" t="s">
        <v>10762</v>
      </c>
      <c r="AQ1614" s="7"/>
      <c r="AR1614" s="7"/>
      <c r="AS1614" s="7"/>
      <c r="AT1614" s="7"/>
      <c r="AU1614" s="7"/>
      <c r="AV1614" s="7"/>
      <c r="AW1614" s="7" t="s">
        <v>744</v>
      </c>
      <c r="AX1614" s="7" t="s">
        <v>10763</v>
      </c>
      <c r="AY1614" s="7"/>
      <c r="AZ1614" s="7"/>
      <c r="BA1614" s="7"/>
      <c r="BB1614" s="7"/>
      <c r="BC1614" s="7"/>
      <c r="BD1614" s="7"/>
      <c r="BE1614" s="7" t="s">
        <v>127</v>
      </c>
      <c r="BF1614" s="8"/>
      <c r="BG1614" s="8"/>
      <c r="BH1614" s="8"/>
      <c r="BI1614" s="8"/>
      <c r="BJ1614" s="8"/>
      <c r="BK1614" s="8"/>
      <c r="BL1614" s="8"/>
      <c r="BM1614" s="8"/>
      <c r="BN1614" s="8"/>
      <c r="BO1614" s="8"/>
      <c r="BP1614" s="8"/>
      <c r="BQ1614" s="8"/>
      <c r="BR1614" s="8"/>
      <c r="BS1614" s="8"/>
    </row>
    <row r="1615" customFormat="false" ht="15" hidden="false" customHeight="false" outlineLevel="0" collapsed="false">
      <c r="A1615" s="7" t="s">
        <v>10765</v>
      </c>
      <c r="B1615" s="7" t="s">
        <v>10766</v>
      </c>
      <c r="C1615" s="7" t="s">
        <v>10767</v>
      </c>
      <c r="D1615" s="7" t="s">
        <v>10768</v>
      </c>
      <c r="E1615" s="7" t="s">
        <v>737</v>
      </c>
      <c r="F1615" s="7" t="s">
        <v>737</v>
      </c>
      <c r="G1615" s="7"/>
      <c r="H1615" s="7"/>
      <c r="I1615" s="7" t="s">
        <v>158</v>
      </c>
      <c r="J1615" s="7" t="s">
        <v>104</v>
      </c>
      <c r="K1615" s="7" t="s">
        <v>105</v>
      </c>
      <c r="L1615" s="7" t="s">
        <v>353</v>
      </c>
      <c r="M1615" s="7"/>
      <c r="N1615" s="7" t="s">
        <v>10769</v>
      </c>
      <c r="O1615" s="7" t="s">
        <v>10769</v>
      </c>
      <c r="P1615" s="7" t="s">
        <v>135</v>
      </c>
      <c r="Q1615" s="7"/>
      <c r="R1615" s="7" t="s">
        <v>109</v>
      </c>
      <c r="S1615" s="7" t="s">
        <v>110</v>
      </c>
      <c r="T1615" s="7" t="n">
        <v>0.666</v>
      </c>
      <c r="U1615" s="7" t="n">
        <v>1</v>
      </c>
      <c r="V1615" s="7" t="s">
        <v>90</v>
      </c>
      <c r="W1615" s="7"/>
      <c r="X1615" s="7" t="s">
        <v>6920</v>
      </c>
      <c r="Y1615" s="7" t="s">
        <v>10769</v>
      </c>
      <c r="Z1615" s="7"/>
      <c r="AA1615" s="7"/>
      <c r="AB1615" s="7"/>
      <c r="AC1615" s="7" t="n">
        <v>5</v>
      </c>
      <c r="AD1615" s="7" t="s">
        <v>743</v>
      </c>
      <c r="AE1615" s="7" t="s">
        <v>744</v>
      </c>
      <c r="AF1615" s="7" t="s">
        <v>10767</v>
      </c>
      <c r="AG1615" s="7" t="s">
        <v>744</v>
      </c>
      <c r="AH1615" s="7" t="s">
        <v>6920</v>
      </c>
      <c r="AI1615" s="7"/>
      <c r="AJ1615" s="7"/>
      <c r="AK1615" s="7"/>
      <c r="AL1615" s="7"/>
      <c r="AM1615" s="7"/>
      <c r="AN1615" s="7"/>
      <c r="AO1615" s="7" t="s">
        <v>744</v>
      </c>
      <c r="AP1615" s="7" t="s">
        <v>10768</v>
      </c>
      <c r="AQ1615" s="7" t="s">
        <v>744</v>
      </c>
      <c r="AR1615" s="7" t="s">
        <v>737</v>
      </c>
      <c r="AS1615" s="7"/>
      <c r="AT1615" s="7"/>
      <c r="AU1615" s="7"/>
      <c r="AV1615" s="7"/>
      <c r="AW1615" s="7" t="s">
        <v>744</v>
      </c>
      <c r="AX1615" s="7" t="s">
        <v>10769</v>
      </c>
      <c r="AY1615" s="7"/>
      <c r="AZ1615" s="7"/>
      <c r="BA1615" s="7"/>
      <c r="BB1615" s="7"/>
      <c r="BC1615" s="7"/>
      <c r="BD1615" s="7" t="s">
        <v>440</v>
      </c>
      <c r="BE1615" s="7" t="s">
        <v>127</v>
      </c>
      <c r="BF1615" s="8"/>
      <c r="BG1615" s="8"/>
      <c r="BH1615" s="8"/>
      <c r="BI1615" s="8"/>
      <c r="BJ1615" s="8"/>
      <c r="BK1615" s="8"/>
      <c r="BL1615" s="8"/>
      <c r="BM1615" s="8"/>
      <c r="BN1615" s="8"/>
      <c r="BO1615" s="8"/>
      <c r="BP1615" s="8"/>
      <c r="BQ1615" s="8"/>
      <c r="BR1615" s="8"/>
      <c r="BS1615" s="8"/>
    </row>
    <row r="1616" customFormat="false" ht="15" hidden="false" customHeight="false" outlineLevel="0" collapsed="false">
      <c r="A1616" s="7" t="s">
        <v>10770</v>
      </c>
      <c r="B1616" s="7" t="s">
        <v>10771</v>
      </c>
      <c r="C1616" s="7" t="s">
        <v>10772</v>
      </c>
      <c r="D1616" s="7" t="s">
        <v>746</v>
      </c>
      <c r="E1616" s="7" t="s">
        <v>888</v>
      </c>
      <c r="F1616" s="7" t="s">
        <v>888</v>
      </c>
      <c r="G1616" s="7"/>
      <c r="H1616" s="7"/>
      <c r="I1616" s="7" t="s">
        <v>158</v>
      </c>
      <c r="J1616" s="7" t="s">
        <v>104</v>
      </c>
      <c r="K1616" s="7" t="s">
        <v>105</v>
      </c>
      <c r="L1616" s="7" t="s">
        <v>106</v>
      </c>
      <c r="M1616" s="7"/>
      <c r="N1616" s="7" t="s">
        <v>10773</v>
      </c>
      <c r="O1616" s="7" t="s">
        <v>10773</v>
      </c>
      <c r="P1616" s="7" t="s">
        <v>135</v>
      </c>
      <c r="Q1616" s="7"/>
      <c r="R1616" s="7" t="s">
        <v>109</v>
      </c>
      <c r="S1616" s="7" t="s">
        <v>110</v>
      </c>
      <c r="T1616" s="7" t="n">
        <v>0.526</v>
      </c>
      <c r="U1616" s="7" t="n">
        <v>1</v>
      </c>
      <c r="V1616" s="7" t="s">
        <v>90</v>
      </c>
      <c r="W1616" s="7"/>
      <c r="X1616" s="7" t="s">
        <v>6920</v>
      </c>
      <c r="Y1616" s="7" t="s">
        <v>10773</v>
      </c>
      <c r="Z1616" s="7"/>
      <c r="AA1616" s="7"/>
      <c r="AB1616" s="7"/>
      <c r="AC1616" s="7" t="n">
        <v>5</v>
      </c>
      <c r="AD1616" s="7" t="s">
        <v>743</v>
      </c>
      <c r="AE1616" s="7" t="s">
        <v>744</v>
      </c>
      <c r="AF1616" s="7" t="s">
        <v>10772</v>
      </c>
      <c r="AG1616" s="7" t="s">
        <v>744</v>
      </c>
      <c r="AH1616" s="7" t="s">
        <v>6920</v>
      </c>
      <c r="AI1616" s="7"/>
      <c r="AJ1616" s="7"/>
      <c r="AK1616" s="7"/>
      <c r="AL1616" s="7"/>
      <c r="AM1616" s="7"/>
      <c r="AN1616" s="7"/>
      <c r="AO1616" s="7" t="s">
        <v>744</v>
      </c>
      <c r="AP1616" s="7" t="s">
        <v>746</v>
      </c>
      <c r="AQ1616" s="7" t="s">
        <v>744</v>
      </c>
      <c r="AR1616" s="7" t="s">
        <v>888</v>
      </c>
      <c r="AS1616" s="7"/>
      <c r="AT1616" s="7"/>
      <c r="AU1616" s="7"/>
      <c r="AV1616" s="7"/>
      <c r="AW1616" s="7" t="s">
        <v>744</v>
      </c>
      <c r="AX1616" s="7" t="s">
        <v>10773</v>
      </c>
      <c r="AY1616" s="7"/>
      <c r="AZ1616" s="7"/>
      <c r="BA1616" s="7"/>
      <c r="BB1616" s="7"/>
      <c r="BC1616" s="7"/>
      <c r="BD1616" s="7" t="s">
        <v>10774</v>
      </c>
      <c r="BE1616" s="7" t="s">
        <v>127</v>
      </c>
      <c r="BF1616" s="8"/>
      <c r="BG1616" s="8"/>
      <c r="BH1616" s="8"/>
      <c r="BI1616" s="8"/>
      <c r="BJ1616" s="8"/>
      <c r="BK1616" s="8"/>
      <c r="BL1616" s="8"/>
      <c r="BM1616" s="8"/>
      <c r="BN1616" s="8"/>
      <c r="BO1616" s="8"/>
      <c r="BP1616" s="8"/>
      <c r="BQ1616" s="8"/>
      <c r="BR1616" s="8"/>
      <c r="BS1616" s="8"/>
    </row>
    <row r="1617" customFormat="false" ht="15" hidden="false" customHeight="false" outlineLevel="0" collapsed="false">
      <c r="A1617" s="7" t="s">
        <v>10775</v>
      </c>
      <c r="B1617" s="7" t="s">
        <v>10776</v>
      </c>
      <c r="C1617" s="7" t="s">
        <v>10777</v>
      </c>
      <c r="D1617" s="7" t="s">
        <v>10778</v>
      </c>
      <c r="E1617" s="7" t="s">
        <v>677</v>
      </c>
      <c r="F1617" s="7" t="s">
        <v>677</v>
      </c>
      <c r="G1617" s="7"/>
      <c r="H1617" s="7"/>
      <c r="I1617" s="7" t="s">
        <v>158</v>
      </c>
      <c r="J1617" s="7" t="s">
        <v>104</v>
      </c>
      <c r="K1617" s="7" t="s">
        <v>105</v>
      </c>
      <c r="L1617" s="7" t="s">
        <v>106</v>
      </c>
      <c r="M1617" s="7"/>
      <c r="N1617" s="7" t="s">
        <v>10779</v>
      </c>
      <c r="O1617" s="7" t="s">
        <v>10779</v>
      </c>
      <c r="P1617" s="7" t="s">
        <v>135</v>
      </c>
      <c r="Q1617" s="7"/>
      <c r="R1617" s="7" t="s">
        <v>109</v>
      </c>
      <c r="S1617" s="7" t="s">
        <v>110</v>
      </c>
      <c r="T1617" s="7" t="n">
        <v>0.506</v>
      </c>
      <c r="U1617" s="7" t="n">
        <v>1</v>
      </c>
      <c r="V1617" s="7" t="s">
        <v>90</v>
      </c>
      <c r="W1617" s="7"/>
      <c r="X1617" s="7" t="s">
        <v>1265</v>
      </c>
      <c r="Y1617" s="7" t="s">
        <v>10779</v>
      </c>
      <c r="Z1617" s="7"/>
      <c r="AA1617" s="7"/>
      <c r="AB1617" s="7"/>
      <c r="AC1617" s="7" t="n">
        <v>5</v>
      </c>
      <c r="AD1617" s="7" t="s">
        <v>743</v>
      </c>
      <c r="AE1617" s="7" t="s">
        <v>744</v>
      </c>
      <c r="AF1617" s="7" t="s">
        <v>10777</v>
      </c>
      <c r="AG1617" s="7" t="s">
        <v>744</v>
      </c>
      <c r="AH1617" s="7" t="s">
        <v>1265</v>
      </c>
      <c r="AI1617" s="7"/>
      <c r="AJ1617" s="7"/>
      <c r="AK1617" s="7"/>
      <c r="AL1617" s="7"/>
      <c r="AM1617" s="7"/>
      <c r="AN1617" s="7"/>
      <c r="AO1617" s="7" t="s">
        <v>744</v>
      </c>
      <c r="AP1617" s="7" t="s">
        <v>10778</v>
      </c>
      <c r="AQ1617" s="7" t="s">
        <v>744</v>
      </c>
      <c r="AR1617" s="7" t="s">
        <v>677</v>
      </c>
      <c r="AS1617" s="7"/>
      <c r="AT1617" s="7"/>
      <c r="AU1617" s="7"/>
      <c r="AV1617" s="7"/>
      <c r="AW1617" s="7" t="s">
        <v>744</v>
      </c>
      <c r="AX1617" s="7" t="s">
        <v>10779</v>
      </c>
      <c r="AY1617" s="7"/>
      <c r="AZ1617" s="7"/>
      <c r="BA1617" s="7"/>
      <c r="BB1617" s="7"/>
      <c r="BC1617" s="7"/>
      <c r="BD1617" s="7" t="s">
        <v>747</v>
      </c>
      <c r="BE1617" s="7" t="s">
        <v>127</v>
      </c>
      <c r="BF1617" s="8"/>
      <c r="BG1617" s="8"/>
      <c r="BH1617" s="8"/>
      <c r="BI1617" s="8"/>
      <c r="BJ1617" s="8"/>
      <c r="BK1617" s="8"/>
      <c r="BL1617" s="8"/>
      <c r="BM1617" s="8"/>
      <c r="BN1617" s="8"/>
      <c r="BO1617" s="8"/>
      <c r="BP1617" s="8"/>
      <c r="BQ1617" s="8"/>
      <c r="BR1617" s="8"/>
      <c r="BS1617" s="8"/>
    </row>
    <row r="1618" customFormat="false" ht="15" hidden="false" customHeight="false" outlineLevel="0" collapsed="false">
      <c r="A1618" s="7" t="s">
        <v>10780</v>
      </c>
      <c r="B1618" s="7" t="s">
        <v>10781</v>
      </c>
      <c r="C1618" s="7" t="s">
        <v>10782</v>
      </c>
      <c r="D1618" s="7" t="s">
        <v>10690</v>
      </c>
      <c r="E1618" s="7" t="s">
        <v>888</v>
      </c>
      <c r="F1618" s="7" t="s">
        <v>888</v>
      </c>
      <c r="G1618" s="7"/>
      <c r="H1618" s="7"/>
      <c r="I1618" s="7" t="s">
        <v>158</v>
      </c>
      <c r="J1618" s="7" t="s">
        <v>104</v>
      </c>
      <c r="K1618" s="7" t="s">
        <v>105</v>
      </c>
      <c r="L1618" s="7" t="s">
        <v>106</v>
      </c>
      <c r="M1618" s="7"/>
      <c r="N1618" s="7" t="s">
        <v>10783</v>
      </c>
      <c r="O1618" s="7" t="s">
        <v>10783</v>
      </c>
      <c r="P1618" s="7" t="s">
        <v>135</v>
      </c>
      <c r="Q1618" s="7"/>
      <c r="R1618" s="7" t="s">
        <v>109</v>
      </c>
      <c r="S1618" s="7" t="s">
        <v>110</v>
      </c>
      <c r="T1618" s="7" t="n">
        <v>0.469</v>
      </c>
      <c r="U1618" s="7" t="n">
        <v>1</v>
      </c>
      <c r="V1618" s="7" t="s">
        <v>90</v>
      </c>
      <c r="W1618" s="7"/>
      <c r="X1618" s="7" t="s">
        <v>1265</v>
      </c>
      <c r="Y1618" s="7" t="s">
        <v>10783</v>
      </c>
      <c r="Z1618" s="7"/>
      <c r="AA1618" s="7"/>
      <c r="AB1618" s="7"/>
      <c r="AC1618" s="7" t="n">
        <v>6</v>
      </c>
      <c r="AD1618" s="7" t="s">
        <v>1235</v>
      </c>
      <c r="AE1618" s="7" t="s">
        <v>744</v>
      </c>
      <c r="AF1618" s="7" t="s">
        <v>10782</v>
      </c>
      <c r="AG1618" s="7" t="s">
        <v>744</v>
      </c>
      <c r="AH1618" s="7" t="s">
        <v>1265</v>
      </c>
      <c r="AI1618" s="7"/>
      <c r="AJ1618" s="7"/>
      <c r="AK1618" s="7"/>
      <c r="AL1618" s="7"/>
      <c r="AM1618" s="7" t="s">
        <v>744</v>
      </c>
      <c r="AN1618" s="7" t="s">
        <v>10784</v>
      </c>
      <c r="AO1618" s="7" t="s">
        <v>744</v>
      </c>
      <c r="AP1618" s="7" t="s">
        <v>10690</v>
      </c>
      <c r="AQ1618" s="7" t="s">
        <v>744</v>
      </c>
      <c r="AR1618" s="7" t="s">
        <v>888</v>
      </c>
      <c r="AS1618" s="7"/>
      <c r="AT1618" s="7"/>
      <c r="AU1618" s="7"/>
      <c r="AV1618" s="7"/>
      <c r="AW1618" s="7" t="s">
        <v>744</v>
      </c>
      <c r="AX1618" s="7" t="s">
        <v>10783</v>
      </c>
      <c r="AY1618" s="7"/>
      <c r="AZ1618" s="7"/>
      <c r="BA1618" s="7"/>
      <c r="BB1618" s="7"/>
      <c r="BC1618" s="7"/>
      <c r="BD1618" s="7" t="s">
        <v>10785</v>
      </c>
      <c r="BE1618" s="7" t="s">
        <v>127</v>
      </c>
      <c r="BF1618" s="8"/>
      <c r="BG1618" s="8"/>
      <c r="BH1618" s="8"/>
      <c r="BI1618" s="8"/>
      <c r="BJ1618" s="8"/>
      <c r="BK1618" s="8"/>
      <c r="BL1618" s="8"/>
      <c r="BM1618" s="8"/>
      <c r="BN1618" s="8"/>
      <c r="BO1618" s="8"/>
      <c r="BP1618" s="8"/>
      <c r="BQ1618" s="8"/>
      <c r="BR1618" s="8"/>
      <c r="BS1618" s="8"/>
    </row>
    <row r="1619" customFormat="false" ht="15" hidden="false" customHeight="false" outlineLevel="0" collapsed="false">
      <c r="A1619" s="7" t="s">
        <v>10786</v>
      </c>
      <c r="B1619" s="7" t="s">
        <v>10787</v>
      </c>
      <c r="C1619" s="7" t="s">
        <v>10788</v>
      </c>
      <c r="D1619" s="7" t="s">
        <v>10789</v>
      </c>
      <c r="E1619" s="7"/>
      <c r="F1619" s="7" t="s">
        <v>156</v>
      </c>
      <c r="G1619" s="7"/>
      <c r="H1619" s="7" t="s">
        <v>157</v>
      </c>
      <c r="I1619" s="7" t="s">
        <v>132</v>
      </c>
      <c r="J1619" s="7" t="s">
        <v>159</v>
      </c>
      <c r="K1619" s="7" t="s">
        <v>105</v>
      </c>
      <c r="L1619" s="7" t="s">
        <v>106</v>
      </c>
      <c r="M1619" s="7"/>
      <c r="N1619" s="7" t="s">
        <v>10790</v>
      </c>
      <c r="O1619" s="7"/>
      <c r="P1619" s="7" t="s">
        <v>135</v>
      </c>
      <c r="Q1619" s="7"/>
      <c r="R1619" s="7" t="s">
        <v>135</v>
      </c>
      <c r="S1619" s="7" t="s">
        <v>136</v>
      </c>
      <c r="T1619" s="7" t="n">
        <v>0.58</v>
      </c>
      <c r="U1619" s="7" t="n">
        <v>1</v>
      </c>
      <c r="V1619" s="7" t="s">
        <v>90</v>
      </c>
      <c r="W1619" s="7"/>
      <c r="X1619" s="7" t="s">
        <v>1265</v>
      </c>
      <c r="Y1619" s="7" t="s">
        <v>10790</v>
      </c>
      <c r="Z1619" s="7"/>
      <c r="AA1619" s="7"/>
      <c r="AB1619" s="7"/>
      <c r="AC1619" s="7" t="n">
        <v>4</v>
      </c>
      <c r="AD1619" s="7" t="s">
        <v>7611</v>
      </c>
      <c r="AE1619" s="7" t="s">
        <v>744</v>
      </c>
      <c r="AF1619" s="7" t="s">
        <v>10788</v>
      </c>
      <c r="AG1619" s="7" t="s">
        <v>744</v>
      </c>
      <c r="AH1619" s="7" t="s">
        <v>1265</v>
      </c>
      <c r="AI1619" s="7"/>
      <c r="AJ1619" s="7"/>
      <c r="AK1619" s="7"/>
      <c r="AL1619" s="7"/>
      <c r="AM1619" s="7"/>
      <c r="AN1619" s="7"/>
      <c r="AO1619" s="7" t="s">
        <v>744</v>
      </c>
      <c r="AP1619" s="7" t="s">
        <v>10789</v>
      </c>
      <c r="AQ1619" s="7"/>
      <c r="AR1619" s="7"/>
      <c r="AS1619" s="7"/>
      <c r="AT1619" s="7"/>
      <c r="AU1619" s="7"/>
      <c r="AV1619" s="7"/>
      <c r="AW1619" s="7" t="s">
        <v>744</v>
      </c>
      <c r="AX1619" s="7" t="s">
        <v>10790</v>
      </c>
      <c r="AY1619" s="7"/>
      <c r="AZ1619" s="7"/>
      <c r="BA1619" s="7"/>
      <c r="BB1619" s="7"/>
      <c r="BC1619" s="7"/>
      <c r="BD1619" s="7"/>
      <c r="BE1619" s="7" t="s">
        <v>127</v>
      </c>
      <c r="BF1619" s="8"/>
      <c r="BG1619" s="8"/>
      <c r="BH1619" s="8"/>
      <c r="BI1619" s="8"/>
      <c r="BJ1619" s="8"/>
      <c r="BK1619" s="8"/>
      <c r="BL1619" s="8"/>
      <c r="BM1619" s="8"/>
      <c r="BN1619" s="8"/>
      <c r="BO1619" s="8"/>
      <c r="BP1619" s="8"/>
      <c r="BQ1619" s="8"/>
      <c r="BR1619" s="8"/>
      <c r="BS1619" s="8"/>
    </row>
    <row r="1620" customFormat="false" ht="15" hidden="false" customHeight="false" outlineLevel="0" collapsed="false">
      <c r="A1620" s="7" t="s">
        <v>10791</v>
      </c>
      <c r="B1620" s="7" t="s">
        <v>10792</v>
      </c>
      <c r="C1620" s="7" t="s">
        <v>10793</v>
      </c>
      <c r="D1620" s="7" t="s">
        <v>10794</v>
      </c>
      <c r="E1620" s="7"/>
      <c r="F1620" s="7" t="s">
        <v>156</v>
      </c>
      <c r="G1620" s="7"/>
      <c r="H1620" s="7" t="s">
        <v>157</v>
      </c>
      <c r="I1620" s="7" t="s">
        <v>132</v>
      </c>
      <c r="J1620" s="7" t="s">
        <v>159</v>
      </c>
      <c r="K1620" s="7" t="s">
        <v>105</v>
      </c>
      <c r="L1620" s="7" t="s">
        <v>106</v>
      </c>
      <c r="M1620" s="7"/>
      <c r="N1620" s="7" t="s">
        <v>10795</v>
      </c>
      <c r="O1620" s="7"/>
      <c r="P1620" s="7" t="s">
        <v>135</v>
      </c>
      <c r="Q1620" s="7"/>
      <c r="R1620" s="7" t="s">
        <v>135</v>
      </c>
      <c r="S1620" s="7" t="s">
        <v>136</v>
      </c>
      <c r="T1620" s="7" t="n">
        <v>0.542</v>
      </c>
      <c r="U1620" s="7" t="n">
        <v>1</v>
      </c>
      <c r="V1620" s="7" t="s">
        <v>90</v>
      </c>
      <c r="W1620" s="7"/>
      <c r="X1620" s="7" t="s">
        <v>1265</v>
      </c>
      <c r="Y1620" s="7" t="s">
        <v>10795</v>
      </c>
      <c r="Z1620" s="7"/>
      <c r="AA1620" s="7"/>
      <c r="AB1620" s="7"/>
      <c r="AC1620" s="7" t="n">
        <v>4</v>
      </c>
      <c r="AD1620" s="7" t="s">
        <v>7611</v>
      </c>
      <c r="AE1620" s="7" t="s">
        <v>744</v>
      </c>
      <c r="AF1620" s="7" t="s">
        <v>10793</v>
      </c>
      <c r="AG1620" s="7" t="s">
        <v>744</v>
      </c>
      <c r="AH1620" s="7" t="s">
        <v>1265</v>
      </c>
      <c r="AI1620" s="7"/>
      <c r="AJ1620" s="7"/>
      <c r="AK1620" s="7"/>
      <c r="AL1620" s="7"/>
      <c r="AM1620" s="7"/>
      <c r="AN1620" s="7"/>
      <c r="AO1620" s="7" t="s">
        <v>744</v>
      </c>
      <c r="AP1620" s="7" t="s">
        <v>10794</v>
      </c>
      <c r="AQ1620" s="7"/>
      <c r="AR1620" s="7"/>
      <c r="AS1620" s="7"/>
      <c r="AT1620" s="7"/>
      <c r="AU1620" s="7"/>
      <c r="AV1620" s="7"/>
      <c r="AW1620" s="7" t="s">
        <v>744</v>
      </c>
      <c r="AX1620" s="7" t="s">
        <v>10795</v>
      </c>
      <c r="AY1620" s="7"/>
      <c r="AZ1620" s="7"/>
      <c r="BA1620" s="7"/>
      <c r="BB1620" s="7"/>
      <c r="BC1620" s="7"/>
      <c r="BD1620" s="7"/>
      <c r="BE1620" s="7" t="s">
        <v>127</v>
      </c>
      <c r="BF1620" s="8"/>
      <c r="BG1620" s="8"/>
      <c r="BH1620" s="8"/>
      <c r="BI1620" s="8"/>
      <c r="BJ1620" s="8"/>
      <c r="BK1620" s="8"/>
      <c r="BL1620" s="8"/>
      <c r="BM1620" s="8"/>
      <c r="BN1620" s="8"/>
      <c r="BO1620" s="8"/>
      <c r="BP1620" s="8"/>
      <c r="BQ1620" s="8"/>
      <c r="BR1620" s="8"/>
      <c r="BS1620" s="8"/>
    </row>
    <row r="1621" customFormat="false" ht="15" hidden="false" customHeight="false" outlineLevel="0" collapsed="false">
      <c r="A1621" s="7" t="s">
        <v>10796</v>
      </c>
      <c r="B1621" s="7" t="s">
        <v>10797</v>
      </c>
      <c r="C1621" s="7" t="s">
        <v>10798</v>
      </c>
      <c r="D1621" s="7" t="s">
        <v>10799</v>
      </c>
      <c r="E1621" s="7"/>
      <c r="F1621" s="7" t="s">
        <v>156</v>
      </c>
      <c r="G1621" s="7"/>
      <c r="H1621" s="7" t="s">
        <v>157</v>
      </c>
      <c r="I1621" s="7" t="s">
        <v>132</v>
      </c>
      <c r="J1621" s="7" t="s">
        <v>159</v>
      </c>
      <c r="K1621" s="7" t="s">
        <v>105</v>
      </c>
      <c r="L1621" s="7" t="s">
        <v>106</v>
      </c>
      <c r="M1621" s="7"/>
      <c r="N1621" s="7" t="s">
        <v>10800</v>
      </c>
      <c r="O1621" s="7"/>
      <c r="P1621" s="7" t="s">
        <v>135</v>
      </c>
      <c r="Q1621" s="7"/>
      <c r="R1621" s="7" t="s">
        <v>135</v>
      </c>
      <c r="S1621" s="7" t="s">
        <v>136</v>
      </c>
      <c r="T1621" s="7" t="n">
        <v>0.338</v>
      </c>
      <c r="U1621" s="7" t="n">
        <v>1</v>
      </c>
      <c r="V1621" s="7" t="s">
        <v>90</v>
      </c>
      <c r="W1621" s="7"/>
      <c r="X1621" s="7" t="s">
        <v>1265</v>
      </c>
      <c r="Y1621" s="7" t="s">
        <v>10800</v>
      </c>
      <c r="Z1621" s="7"/>
      <c r="AA1621" s="7"/>
      <c r="AB1621" s="7"/>
      <c r="AC1621" s="7" t="n">
        <v>4</v>
      </c>
      <c r="AD1621" s="7" t="s">
        <v>7611</v>
      </c>
      <c r="AE1621" s="7" t="s">
        <v>744</v>
      </c>
      <c r="AF1621" s="7" t="s">
        <v>10798</v>
      </c>
      <c r="AG1621" s="7" t="s">
        <v>744</v>
      </c>
      <c r="AH1621" s="7" t="s">
        <v>1265</v>
      </c>
      <c r="AI1621" s="7"/>
      <c r="AJ1621" s="7"/>
      <c r="AK1621" s="7"/>
      <c r="AL1621" s="7"/>
      <c r="AM1621" s="7"/>
      <c r="AN1621" s="7"/>
      <c r="AO1621" s="7" t="s">
        <v>744</v>
      </c>
      <c r="AP1621" s="7" t="s">
        <v>10799</v>
      </c>
      <c r="AQ1621" s="7"/>
      <c r="AR1621" s="7"/>
      <c r="AS1621" s="7"/>
      <c r="AT1621" s="7"/>
      <c r="AU1621" s="7"/>
      <c r="AV1621" s="7"/>
      <c r="AW1621" s="7" t="s">
        <v>744</v>
      </c>
      <c r="AX1621" s="7" t="s">
        <v>10800</v>
      </c>
      <c r="AY1621" s="7"/>
      <c r="AZ1621" s="7"/>
      <c r="BA1621" s="7"/>
      <c r="BB1621" s="7"/>
      <c r="BC1621" s="7"/>
      <c r="BD1621" s="7"/>
      <c r="BE1621" s="7" t="s">
        <v>127</v>
      </c>
      <c r="BF1621" s="8"/>
      <c r="BG1621" s="8"/>
      <c r="BH1621" s="8"/>
      <c r="BI1621" s="8"/>
      <c r="BJ1621" s="8"/>
      <c r="BK1621" s="8"/>
      <c r="BL1621" s="8"/>
      <c r="BM1621" s="8"/>
      <c r="BN1621" s="8"/>
      <c r="BO1621" s="8"/>
      <c r="BP1621" s="8"/>
      <c r="BQ1621" s="8"/>
      <c r="BR1621" s="8"/>
      <c r="BS1621" s="8"/>
    </row>
    <row r="1622" customFormat="false" ht="15" hidden="false" customHeight="false" outlineLevel="0" collapsed="false">
      <c r="A1622" s="7" t="s">
        <v>10801</v>
      </c>
      <c r="B1622" s="7" t="s">
        <v>10802</v>
      </c>
      <c r="C1622" s="7" t="s">
        <v>10803</v>
      </c>
      <c r="D1622" s="7" t="s">
        <v>3345</v>
      </c>
      <c r="E1622" s="7"/>
      <c r="F1622" s="7" t="s">
        <v>101</v>
      </c>
      <c r="G1622" s="7"/>
      <c r="H1622" s="7"/>
      <c r="I1622" s="7" t="s">
        <v>158</v>
      </c>
      <c r="J1622" s="7" t="s">
        <v>104</v>
      </c>
      <c r="K1622" s="7" t="s">
        <v>105</v>
      </c>
      <c r="L1622" s="7" t="s">
        <v>106</v>
      </c>
      <c r="M1622" s="7"/>
      <c r="N1622" s="7" t="s">
        <v>10804</v>
      </c>
      <c r="O1622" s="7" t="s">
        <v>10804</v>
      </c>
      <c r="P1622" s="7" t="s">
        <v>135</v>
      </c>
      <c r="Q1622" s="7"/>
      <c r="R1622" s="7" t="s">
        <v>109</v>
      </c>
      <c r="S1622" s="7" t="s">
        <v>110</v>
      </c>
      <c r="T1622" s="7" t="n">
        <v>0.491</v>
      </c>
      <c r="U1622" s="7" t="n">
        <v>1</v>
      </c>
      <c r="V1622" s="7" t="s">
        <v>90</v>
      </c>
      <c r="W1622" s="7"/>
      <c r="X1622" s="7" t="s">
        <v>4084</v>
      </c>
      <c r="Y1622" s="7" t="s">
        <v>10804</v>
      </c>
      <c r="Z1622" s="7"/>
      <c r="AA1622" s="7"/>
      <c r="AB1622" s="7"/>
      <c r="AC1622" s="7" t="n">
        <v>5</v>
      </c>
      <c r="AD1622" s="7" t="s">
        <v>1897</v>
      </c>
      <c r="AE1622" s="7" t="s">
        <v>744</v>
      </c>
      <c r="AF1622" s="7" t="s">
        <v>10803</v>
      </c>
      <c r="AG1622" s="7" t="s">
        <v>744</v>
      </c>
      <c r="AH1622" s="7" t="s">
        <v>10805</v>
      </c>
      <c r="AI1622" s="7"/>
      <c r="AJ1622" s="7"/>
      <c r="AK1622" s="7"/>
      <c r="AL1622" s="7"/>
      <c r="AM1622" s="7" t="s">
        <v>744</v>
      </c>
      <c r="AN1622" s="7" t="s">
        <v>10806</v>
      </c>
      <c r="AO1622" s="7" t="s">
        <v>744</v>
      </c>
      <c r="AP1622" s="7" t="s">
        <v>3345</v>
      </c>
      <c r="AQ1622" s="7"/>
      <c r="AR1622" s="7"/>
      <c r="AS1622" s="7"/>
      <c r="AT1622" s="7"/>
      <c r="AU1622" s="7"/>
      <c r="AV1622" s="7"/>
      <c r="AW1622" s="7" t="s">
        <v>744</v>
      </c>
      <c r="AX1622" s="7" t="s">
        <v>10804</v>
      </c>
      <c r="AY1622" s="7"/>
      <c r="AZ1622" s="7"/>
      <c r="BA1622" s="7"/>
      <c r="BB1622" s="7"/>
      <c r="BC1622" s="7"/>
      <c r="BD1622" s="7" t="s">
        <v>1343</v>
      </c>
      <c r="BE1622" s="7" t="s">
        <v>127</v>
      </c>
      <c r="BF1622" s="8"/>
      <c r="BG1622" s="8"/>
      <c r="BH1622" s="8"/>
      <c r="BI1622" s="8"/>
      <c r="BJ1622" s="8"/>
      <c r="BK1622" s="8"/>
      <c r="BL1622" s="8"/>
      <c r="BM1622" s="8"/>
      <c r="BN1622" s="8"/>
      <c r="BO1622" s="8"/>
      <c r="BP1622" s="8"/>
      <c r="BQ1622" s="8"/>
      <c r="BR1622" s="8"/>
      <c r="BS1622" s="8"/>
    </row>
    <row r="1623" customFormat="false" ht="15" hidden="false" customHeight="false" outlineLevel="0" collapsed="false">
      <c r="A1623" s="7" t="s">
        <v>10807</v>
      </c>
      <c r="B1623" s="7" t="s">
        <v>10808</v>
      </c>
      <c r="C1623" s="7" t="s">
        <v>10809</v>
      </c>
      <c r="D1623" s="7" t="s">
        <v>10810</v>
      </c>
      <c r="E1623" s="7" t="s">
        <v>431</v>
      </c>
      <c r="F1623" s="7" t="s">
        <v>431</v>
      </c>
      <c r="G1623" s="7"/>
      <c r="H1623" s="7"/>
      <c r="I1623" s="7" t="s">
        <v>132</v>
      </c>
      <c r="J1623" s="7" t="s">
        <v>104</v>
      </c>
      <c r="K1623" s="7" t="s">
        <v>105</v>
      </c>
      <c r="L1623" s="7" t="s">
        <v>106</v>
      </c>
      <c r="M1623" s="7"/>
      <c r="N1623" s="7" t="s">
        <v>10811</v>
      </c>
      <c r="O1623" s="7" t="s">
        <v>10811</v>
      </c>
      <c r="P1623" s="7" t="s">
        <v>135</v>
      </c>
      <c r="Q1623" s="7"/>
      <c r="R1623" s="7" t="s">
        <v>109</v>
      </c>
      <c r="S1623" s="7" t="s">
        <v>110</v>
      </c>
      <c r="T1623" s="7" t="n">
        <v>0.247</v>
      </c>
      <c r="U1623" s="7" t="n">
        <v>1</v>
      </c>
      <c r="V1623" s="7" t="s">
        <v>90</v>
      </c>
      <c r="W1623" s="7"/>
      <c r="X1623" s="7" t="s">
        <v>10812</v>
      </c>
      <c r="Y1623" s="7" t="s">
        <v>10811</v>
      </c>
      <c r="Z1623" s="7"/>
      <c r="AA1623" s="7"/>
      <c r="AB1623" s="7"/>
      <c r="AC1623" s="7" t="n">
        <v>6</v>
      </c>
      <c r="AD1623" s="7" t="s">
        <v>1235</v>
      </c>
      <c r="AE1623" s="7" t="s">
        <v>744</v>
      </c>
      <c r="AF1623" s="7" t="s">
        <v>10809</v>
      </c>
      <c r="AG1623" s="7" t="s">
        <v>744</v>
      </c>
      <c r="AH1623" s="7" t="s">
        <v>10812</v>
      </c>
      <c r="AI1623" s="7"/>
      <c r="AJ1623" s="7"/>
      <c r="AK1623" s="7"/>
      <c r="AL1623" s="7"/>
      <c r="AM1623" s="7" t="s">
        <v>744</v>
      </c>
      <c r="AN1623" s="7" t="s">
        <v>10813</v>
      </c>
      <c r="AO1623" s="7" t="s">
        <v>744</v>
      </c>
      <c r="AP1623" s="7" t="s">
        <v>10810</v>
      </c>
      <c r="AQ1623" s="7" t="s">
        <v>744</v>
      </c>
      <c r="AR1623" s="7" t="s">
        <v>431</v>
      </c>
      <c r="AS1623" s="7"/>
      <c r="AT1623" s="7"/>
      <c r="AU1623" s="7"/>
      <c r="AV1623" s="7"/>
      <c r="AW1623" s="7" t="s">
        <v>744</v>
      </c>
      <c r="AX1623" s="7" t="s">
        <v>10811</v>
      </c>
      <c r="AY1623" s="7"/>
      <c r="AZ1623" s="7"/>
      <c r="BA1623" s="7"/>
      <c r="BB1623" s="7"/>
      <c r="BC1623" s="7"/>
      <c r="BD1623" s="7"/>
      <c r="BE1623" s="7" t="s">
        <v>127</v>
      </c>
      <c r="BF1623" s="8"/>
      <c r="BG1623" s="8"/>
      <c r="BH1623" s="8"/>
      <c r="BI1623" s="8"/>
      <c r="BJ1623" s="8"/>
      <c r="BK1623" s="8"/>
      <c r="BL1623" s="8"/>
      <c r="BM1623" s="8"/>
      <c r="BN1623" s="8"/>
      <c r="BO1623" s="8"/>
      <c r="BP1623" s="8"/>
      <c r="BQ1623" s="8"/>
      <c r="BR1623" s="8"/>
      <c r="BS1623" s="8"/>
    </row>
    <row r="1624" customFormat="false" ht="15" hidden="false" customHeight="false" outlineLevel="0" collapsed="false">
      <c r="A1624" s="7" t="s">
        <v>10814</v>
      </c>
      <c r="B1624" s="7" t="s">
        <v>10815</v>
      </c>
      <c r="C1624" s="7" t="s">
        <v>10816</v>
      </c>
      <c r="D1624" s="7" t="s">
        <v>10817</v>
      </c>
      <c r="E1624" s="7"/>
      <c r="F1624" s="7" t="s">
        <v>101</v>
      </c>
      <c r="G1624" s="7"/>
      <c r="H1624" s="7"/>
      <c r="I1624" s="7" t="s">
        <v>132</v>
      </c>
      <c r="J1624" s="7" t="s">
        <v>104</v>
      </c>
      <c r="K1624" s="7" t="s">
        <v>105</v>
      </c>
      <c r="L1624" s="7" t="s">
        <v>106</v>
      </c>
      <c r="M1624" s="7"/>
      <c r="N1624" s="7" t="s">
        <v>10818</v>
      </c>
      <c r="O1624" s="7"/>
      <c r="P1624" s="7" t="s">
        <v>135</v>
      </c>
      <c r="Q1624" s="7"/>
      <c r="R1624" s="7" t="s">
        <v>135</v>
      </c>
      <c r="S1624" s="7" t="s">
        <v>136</v>
      </c>
      <c r="T1624" s="7" t="n">
        <v>0.533</v>
      </c>
      <c r="U1624" s="7" t="n">
        <v>1</v>
      </c>
      <c r="V1624" s="7" t="s">
        <v>90</v>
      </c>
      <c r="W1624" s="7"/>
      <c r="X1624" s="7" t="s">
        <v>10812</v>
      </c>
      <c r="Y1624" s="7" t="s">
        <v>10818</v>
      </c>
      <c r="Z1624" s="7"/>
      <c r="AA1624" s="7"/>
      <c r="AB1624" s="7"/>
      <c r="AC1624" s="7" t="n">
        <v>4</v>
      </c>
      <c r="AD1624" s="7" t="s">
        <v>7611</v>
      </c>
      <c r="AE1624" s="7" t="s">
        <v>744</v>
      </c>
      <c r="AF1624" s="7" t="s">
        <v>10816</v>
      </c>
      <c r="AG1624" s="7" t="s">
        <v>744</v>
      </c>
      <c r="AH1624" s="7" t="s">
        <v>10812</v>
      </c>
      <c r="AI1624" s="7"/>
      <c r="AJ1624" s="7"/>
      <c r="AK1624" s="7"/>
      <c r="AL1624" s="7"/>
      <c r="AM1624" s="7"/>
      <c r="AN1624" s="7"/>
      <c r="AO1624" s="7" t="s">
        <v>744</v>
      </c>
      <c r="AP1624" s="7" t="s">
        <v>10817</v>
      </c>
      <c r="AQ1624" s="7"/>
      <c r="AR1624" s="7"/>
      <c r="AS1624" s="7"/>
      <c r="AT1624" s="7"/>
      <c r="AU1624" s="7"/>
      <c r="AV1624" s="7"/>
      <c r="AW1624" s="7" t="s">
        <v>744</v>
      </c>
      <c r="AX1624" s="7" t="s">
        <v>10818</v>
      </c>
      <c r="AY1624" s="7"/>
      <c r="AZ1624" s="7"/>
      <c r="BA1624" s="7"/>
      <c r="BB1624" s="7"/>
      <c r="BC1624" s="7"/>
      <c r="BD1624" s="7"/>
      <c r="BE1624" s="7" t="s">
        <v>127</v>
      </c>
      <c r="BF1624" s="8"/>
      <c r="BG1624" s="8"/>
      <c r="BH1624" s="8"/>
      <c r="BI1624" s="8"/>
      <c r="BJ1624" s="8"/>
      <c r="BK1624" s="8"/>
      <c r="BL1624" s="8"/>
      <c r="BM1624" s="8"/>
      <c r="BN1624" s="8"/>
      <c r="BO1624" s="8"/>
      <c r="BP1624" s="8"/>
      <c r="BQ1624" s="8"/>
      <c r="BR1624" s="8"/>
      <c r="BS1624" s="8"/>
    </row>
    <row r="1625" customFormat="false" ht="15" hidden="false" customHeight="false" outlineLevel="0" collapsed="false">
      <c r="A1625" s="7" t="s">
        <v>10819</v>
      </c>
      <c r="B1625" s="7" t="s">
        <v>10820</v>
      </c>
      <c r="C1625" s="7" t="s">
        <v>10821</v>
      </c>
      <c r="D1625" s="7" t="s">
        <v>10822</v>
      </c>
      <c r="E1625" s="7" t="s">
        <v>3134</v>
      </c>
      <c r="F1625" s="7" t="s">
        <v>3134</v>
      </c>
      <c r="G1625" s="7"/>
      <c r="H1625" s="7"/>
      <c r="I1625" s="7" t="s">
        <v>158</v>
      </c>
      <c r="J1625" s="7" t="s">
        <v>104</v>
      </c>
      <c r="K1625" s="7" t="s">
        <v>105</v>
      </c>
      <c r="L1625" s="7" t="s">
        <v>106</v>
      </c>
      <c r="M1625" s="7"/>
      <c r="N1625" s="7" t="s">
        <v>10823</v>
      </c>
      <c r="O1625" s="7" t="s">
        <v>10823</v>
      </c>
      <c r="P1625" s="7" t="s">
        <v>135</v>
      </c>
      <c r="Q1625" s="7"/>
      <c r="R1625" s="7" t="s">
        <v>109</v>
      </c>
      <c r="S1625" s="7" t="s">
        <v>110</v>
      </c>
      <c r="T1625" s="7" t="n">
        <v>0.561</v>
      </c>
      <c r="U1625" s="7" t="n">
        <v>1</v>
      </c>
      <c r="V1625" s="7" t="s">
        <v>90</v>
      </c>
      <c r="W1625" s="7"/>
      <c r="X1625" s="7" t="s">
        <v>1035</v>
      </c>
      <c r="Y1625" s="7" t="s">
        <v>10823</v>
      </c>
      <c r="Z1625" s="7"/>
      <c r="AA1625" s="7"/>
      <c r="AB1625" s="7"/>
      <c r="AC1625" s="7" t="n">
        <v>6</v>
      </c>
      <c r="AD1625" s="7" t="s">
        <v>1235</v>
      </c>
      <c r="AE1625" s="7" t="s">
        <v>744</v>
      </c>
      <c r="AF1625" s="7" t="s">
        <v>10821</v>
      </c>
      <c r="AG1625" s="7" t="s">
        <v>744</v>
      </c>
      <c r="AH1625" s="7" t="s">
        <v>1035</v>
      </c>
      <c r="AI1625" s="7"/>
      <c r="AJ1625" s="7"/>
      <c r="AK1625" s="7"/>
      <c r="AL1625" s="7"/>
      <c r="AM1625" s="7" t="s">
        <v>744</v>
      </c>
      <c r="AN1625" s="7" t="s">
        <v>10824</v>
      </c>
      <c r="AO1625" s="7" t="s">
        <v>744</v>
      </c>
      <c r="AP1625" s="7" t="s">
        <v>10822</v>
      </c>
      <c r="AQ1625" s="7" t="s">
        <v>744</v>
      </c>
      <c r="AR1625" s="7" t="s">
        <v>3134</v>
      </c>
      <c r="AS1625" s="7"/>
      <c r="AT1625" s="7"/>
      <c r="AU1625" s="7"/>
      <c r="AV1625" s="7"/>
      <c r="AW1625" s="7" t="s">
        <v>744</v>
      </c>
      <c r="AX1625" s="7" t="s">
        <v>10823</v>
      </c>
      <c r="AY1625" s="7"/>
      <c r="AZ1625" s="7"/>
      <c r="BA1625" s="7"/>
      <c r="BB1625" s="7"/>
      <c r="BC1625" s="7"/>
      <c r="BD1625" s="7"/>
      <c r="BE1625" s="7" t="s">
        <v>127</v>
      </c>
      <c r="BF1625" s="8"/>
      <c r="BG1625" s="8"/>
      <c r="BH1625" s="8"/>
      <c r="BI1625" s="8"/>
      <c r="BJ1625" s="8"/>
      <c r="BK1625" s="8"/>
      <c r="BL1625" s="8"/>
      <c r="BM1625" s="8"/>
      <c r="BN1625" s="8"/>
      <c r="BO1625" s="8"/>
      <c r="BP1625" s="8"/>
      <c r="BQ1625" s="8"/>
      <c r="BR1625" s="8"/>
      <c r="BS1625" s="8"/>
    </row>
    <row r="1626" customFormat="false" ht="15" hidden="false" customHeight="false" outlineLevel="0" collapsed="false">
      <c r="A1626" s="7" t="s">
        <v>10825</v>
      </c>
      <c r="B1626" s="7" t="s">
        <v>10826</v>
      </c>
      <c r="C1626" s="7" t="s">
        <v>10827</v>
      </c>
      <c r="D1626" s="7" t="s">
        <v>10828</v>
      </c>
      <c r="E1626" s="7"/>
      <c r="F1626" s="7" t="s">
        <v>101</v>
      </c>
      <c r="G1626" s="7"/>
      <c r="H1626" s="7"/>
      <c r="I1626" s="7" t="s">
        <v>158</v>
      </c>
      <c r="J1626" s="7" t="s">
        <v>104</v>
      </c>
      <c r="K1626" s="7" t="s">
        <v>105</v>
      </c>
      <c r="L1626" s="7" t="s">
        <v>353</v>
      </c>
      <c r="M1626" s="7"/>
      <c r="N1626" s="7" t="s">
        <v>10829</v>
      </c>
      <c r="O1626" s="7"/>
      <c r="P1626" s="7" t="s">
        <v>135</v>
      </c>
      <c r="Q1626" s="7"/>
      <c r="R1626" s="7" t="s">
        <v>135</v>
      </c>
      <c r="S1626" s="7" t="s">
        <v>136</v>
      </c>
      <c r="T1626" s="7" t="n">
        <v>0.379</v>
      </c>
      <c r="U1626" s="7" t="n">
        <v>1</v>
      </c>
      <c r="V1626" s="7" t="s">
        <v>90</v>
      </c>
      <c r="W1626" s="7"/>
      <c r="X1626" s="7" t="s">
        <v>1035</v>
      </c>
      <c r="Y1626" s="7" t="s">
        <v>10829</v>
      </c>
      <c r="Z1626" s="7"/>
      <c r="AA1626" s="7"/>
      <c r="AB1626" s="7"/>
      <c r="AC1626" s="7" t="n">
        <v>4</v>
      </c>
      <c r="AD1626" s="7" t="s">
        <v>7611</v>
      </c>
      <c r="AE1626" s="7" t="s">
        <v>744</v>
      </c>
      <c r="AF1626" s="7" t="s">
        <v>10827</v>
      </c>
      <c r="AG1626" s="7" t="s">
        <v>744</v>
      </c>
      <c r="AH1626" s="7" t="s">
        <v>1035</v>
      </c>
      <c r="AI1626" s="7"/>
      <c r="AJ1626" s="7"/>
      <c r="AK1626" s="7"/>
      <c r="AL1626" s="7"/>
      <c r="AM1626" s="7"/>
      <c r="AN1626" s="7"/>
      <c r="AO1626" s="7" t="s">
        <v>744</v>
      </c>
      <c r="AP1626" s="7" t="s">
        <v>10828</v>
      </c>
      <c r="AQ1626" s="7"/>
      <c r="AR1626" s="7"/>
      <c r="AS1626" s="7"/>
      <c r="AT1626" s="7"/>
      <c r="AU1626" s="7"/>
      <c r="AV1626" s="7"/>
      <c r="AW1626" s="7" t="s">
        <v>744</v>
      </c>
      <c r="AX1626" s="7" t="s">
        <v>10829</v>
      </c>
      <c r="AY1626" s="7"/>
      <c r="AZ1626" s="7"/>
      <c r="BA1626" s="7"/>
      <c r="BB1626" s="7"/>
      <c r="BC1626" s="7"/>
      <c r="BD1626" s="7"/>
      <c r="BE1626" s="7" t="s">
        <v>127</v>
      </c>
      <c r="BF1626" s="8"/>
      <c r="BG1626" s="8"/>
      <c r="BH1626" s="8"/>
      <c r="BI1626" s="8"/>
      <c r="BJ1626" s="8"/>
      <c r="BK1626" s="8"/>
      <c r="BL1626" s="8"/>
      <c r="BM1626" s="8"/>
      <c r="BN1626" s="8"/>
      <c r="BO1626" s="8"/>
      <c r="BP1626" s="8"/>
      <c r="BQ1626" s="8"/>
      <c r="BR1626" s="8"/>
      <c r="BS1626" s="8"/>
    </row>
    <row r="1627" customFormat="false" ht="15" hidden="false" customHeight="false" outlineLevel="0" collapsed="false">
      <c r="A1627" s="7" t="s">
        <v>10830</v>
      </c>
      <c r="B1627" s="7" t="s">
        <v>10831</v>
      </c>
      <c r="C1627" s="7" t="s">
        <v>10832</v>
      </c>
      <c r="D1627" s="7" t="s">
        <v>10833</v>
      </c>
      <c r="E1627" s="7" t="s">
        <v>431</v>
      </c>
      <c r="F1627" s="7" t="s">
        <v>431</v>
      </c>
      <c r="G1627" s="7"/>
      <c r="H1627" s="7"/>
      <c r="I1627" s="7" t="s">
        <v>132</v>
      </c>
      <c r="J1627" s="7" t="s">
        <v>104</v>
      </c>
      <c r="K1627" s="7" t="s">
        <v>105</v>
      </c>
      <c r="L1627" s="7" t="s">
        <v>106</v>
      </c>
      <c r="M1627" s="7"/>
      <c r="N1627" s="7" t="s">
        <v>10834</v>
      </c>
      <c r="O1627" s="7" t="s">
        <v>10834</v>
      </c>
      <c r="P1627" s="7" t="s">
        <v>135</v>
      </c>
      <c r="Q1627" s="7"/>
      <c r="R1627" s="7" t="s">
        <v>109</v>
      </c>
      <c r="S1627" s="7" t="s">
        <v>110</v>
      </c>
      <c r="T1627" s="7" t="n">
        <v>0.365</v>
      </c>
      <c r="U1627" s="7" t="n">
        <v>1</v>
      </c>
      <c r="V1627" s="7" t="s">
        <v>90</v>
      </c>
      <c r="W1627" s="7"/>
      <c r="X1627" s="7" t="s">
        <v>1035</v>
      </c>
      <c r="Y1627" s="7" t="s">
        <v>10834</v>
      </c>
      <c r="Z1627" s="7"/>
      <c r="AA1627" s="7"/>
      <c r="AB1627" s="7"/>
      <c r="AC1627" s="7" t="n">
        <v>6</v>
      </c>
      <c r="AD1627" s="7" t="s">
        <v>1235</v>
      </c>
      <c r="AE1627" s="7" t="s">
        <v>744</v>
      </c>
      <c r="AF1627" s="7" t="s">
        <v>10832</v>
      </c>
      <c r="AG1627" s="7" t="s">
        <v>744</v>
      </c>
      <c r="AH1627" s="7" t="s">
        <v>1035</v>
      </c>
      <c r="AI1627" s="7"/>
      <c r="AJ1627" s="7"/>
      <c r="AK1627" s="7"/>
      <c r="AL1627" s="7"/>
      <c r="AM1627" s="7" t="s">
        <v>744</v>
      </c>
      <c r="AN1627" s="7" t="s">
        <v>10835</v>
      </c>
      <c r="AO1627" s="7" t="s">
        <v>744</v>
      </c>
      <c r="AP1627" s="7" t="s">
        <v>10833</v>
      </c>
      <c r="AQ1627" s="7" t="s">
        <v>744</v>
      </c>
      <c r="AR1627" s="7" t="s">
        <v>431</v>
      </c>
      <c r="AS1627" s="7"/>
      <c r="AT1627" s="7"/>
      <c r="AU1627" s="7"/>
      <c r="AV1627" s="7"/>
      <c r="AW1627" s="7" t="s">
        <v>744</v>
      </c>
      <c r="AX1627" s="7" t="s">
        <v>10834</v>
      </c>
      <c r="AY1627" s="7"/>
      <c r="AZ1627" s="7"/>
      <c r="BA1627" s="7"/>
      <c r="BB1627" s="7"/>
      <c r="BC1627" s="7"/>
      <c r="BD1627" s="7"/>
      <c r="BE1627" s="7" t="s">
        <v>127</v>
      </c>
      <c r="BF1627" s="8"/>
      <c r="BG1627" s="8"/>
      <c r="BH1627" s="8"/>
      <c r="BI1627" s="8"/>
      <c r="BJ1627" s="8"/>
      <c r="BK1627" s="8"/>
      <c r="BL1627" s="8"/>
      <c r="BM1627" s="8"/>
      <c r="BN1627" s="8"/>
      <c r="BO1627" s="8"/>
      <c r="BP1627" s="8"/>
      <c r="BQ1627" s="8"/>
      <c r="BR1627" s="8"/>
      <c r="BS1627" s="8"/>
    </row>
    <row r="1628" customFormat="false" ht="15" hidden="false" customHeight="false" outlineLevel="0" collapsed="false">
      <c r="A1628" s="7" t="s">
        <v>10836</v>
      </c>
      <c r="B1628" s="7" t="s">
        <v>10837</v>
      </c>
      <c r="C1628" s="7" t="s">
        <v>10838</v>
      </c>
      <c r="D1628" s="7" t="s">
        <v>10839</v>
      </c>
      <c r="E1628" s="7"/>
      <c r="F1628" s="7" t="s">
        <v>101</v>
      </c>
      <c r="G1628" s="7"/>
      <c r="H1628" s="7"/>
      <c r="I1628" s="7" t="s">
        <v>158</v>
      </c>
      <c r="J1628" s="7" t="s">
        <v>104</v>
      </c>
      <c r="K1628" s="7" t="s">
        <v>105</v>
      </c>
      <c r="L1628" s="7" t="s">
        <v>106</v>
      </c>
      <c r="M1628" s="7"/>
      <c r="N1628" s="7" t="s">
        <v>10840</v>
      </c>
      <c r="O1628" s="7"/>
      <c r="P1628" s="7" t="s">
        <v>135</v>
      </c>
      <c r="Q1628" s="7"/>
      <c r="R1628" s="7" t="s">
        <v>135</v>
      </c>
      <c r="S1628" s="7" t="s">
        <v>136</v>
      </c>
      <c r="T1628" s="7" t="n">
        <v>0.309</v>
      </c>
      <c r="U1628" s="7" t="n">
        <v>1</v>
      </c>
      <c r="V1628" s="7" t="s">
        <v>90</v>
      </c>
      <c r="W1628" s="7"/>
      <c r="X1628" s="7" t="s">
        <v>1035</v>
      </c>
      <c r="Y1628" s="7" t="s">
        <v>10840</v>
      </c>
      <c r="Z1628" s="7"/>
      <c r="AA1628" s="7"/>
      <c r="AB1628" s="7"/>
      <c r="AC1628" s="7" t="n">
        <v>4</v>
      </c>
      <c r="AD1628" s="7" t="s">
        <v>7611</v>
      </c>
      <c r="AE1628" s="7" t="s">
        <v>744</v>
      </c>
      <c r="AF1628" s="7" t="s">
        <v>10838</v>
      </c>
      <c r="AG1628" s="7" t="s">
        <v>744</v>
      </c>
      <c r="AH1628" s="7" t="s">
        <v>1035</v>
      </c>
      <c r="AI1628" s="7"/>
      <c r="AJ1628" s="7"/>
      <c r="AK1628" s="7"/>
      <c r="AL1628" s="7"/>
      <c r="AM1628" s="7"/>
      <c r="AN1628" s="7"/>
      <c r="AO1628" s="7" t="s">
        <v>744</v>
      </c>
      <c r="AP1628" s="7" t="s">
        <v>10839</v>
      </c>
      <c r="AQ1628" s="7"/>
      <c r="AR1628" s="7"/>
      <c r="AS1628" s="7"/>
      <c r="AT1628" s="7"/>
      <c r="AU1628" s="7"/>
      <c r="AV1628" s="7"/>
      <c r="AW1628" s="7" t="s">
        <v>744</v>
      </c>
      <c r="AX1628" s="7" t="s">
        <v>10840</v>
      </c>
      <c r="AY1628" s="7"/>
      <c r="AZ1628" s="7"/>
      <c r="BA1628" s="7"/>
      <c r="BB1628" s="7"/>
      <c r="BC1628" s="7"/>
      <c r="BD1628" s="7" t="s">
        <v>1343</v>
      </c>
      <c r="BE1628" s="7" t="s">
        <v>127</v>
      </c>
      <c r="BF1628" s="8"/>
      <c r="BG1628" s="8"/>
      <c r="BH1628" s="8"/>
      <c r="BI1628" s="8"/>
      <c r="BJ1628" s="8"/>
      <c r="BK1628" s="8"/>
      <c r="BL1628" s="8"/>
      <c r="BM1628" s="8"/>
      <c r="BN1628" s="8"/>
      <c r="BO1628" s="8"/>
      <c r="BP1628" s="8"/>
      <c r="BQ1628" s="8"/>
      <c r="BR1628" s="8"/>
      <c r="BS1628" s="8"/>
    </row>
    <row r="1629" customFormat="false" ht="15" hidden="false" customHeight="false" outlineLevel="0" collapsed="false">
      <c r="A1629" s="7" t="s">
        <v>10841</v>
      </c>
      <c r="B1629" s="7" t="s">
        <v>10842</v>
      </c>
      <c r="C1629" s="7" t="s">
        <v>10843</v>
      </c>
      <c r="D1629" s="7" t="s">
        <v>746</v>
      </c>
      <c r="E1629" s="7" t="s">
        <v>741</v>
      </c>
      <c r="F1629" s="7" t="s">
        <v>741</v>
      </c>
      <c r="G1629" s="7"/>
      <c r="H1629" s="7"/>
      <c r="I1629" s="7" t="s">
        <v>158</v>
      </c>
      <c r="J1629" s="7" t="s">
        <v>104</v>
      </c>
      <c r="K1629" s="7" t="s">
        <v>105</v>
      </c>
      <c r="L1629" s="7" t="s">
        <v>106</v>
      </c>
      <c r="M1629" s="7"/>
      <c r="N1629" s="7" t="s">
        <v>10844</v>
      </c>
      <c r="O1629" s="7" t="s">
        <v>10844</v>
      </c>
      <c r="P1629" s="7" t="s">
        <v>135</v>
      </c>
      <c r="Q1629" s="7"/>
      <c r="R1629" s="7" t="s">
        <v>109</v>
      </c>
      <c r="S1629" s="7" t="s">
        <v>110</v>
      </c>
      <c r="T1629" s="7" t="n">
        <v>0.576</v>
      </c>
      <c r="U1629" s="7" t="n">
        <v>1</v>
      </c>
      <c r="V1629" s="7" t="s">
        <v>90</v>
      </c>
      <c r="W1629" s="7"/>
      <c r="X1629" s="7" t="s">
        <v>10845</v>
      </c>
      <c r="Y1629" s="7" t="s">
        <v>10844</v>
      </c>
      <c r="Z1629" s="7"/>
      <c r="AA1629" s="7"/>
      <c r="AB1629" s="7"/>
      <c r="AC1629" s="7" t="n">
        <v>5</v>
      </c>
      <c r="AD1629" s="7" t="s">
        <v>743</v>
      </c>
      <c r="AE1629" s="7" t="s">
        <v>744</v>
      </c>
      <c r="AF1629" s="7" t="s">
        <v>10843</v>
      </c>
      <c r="AG1629" s="7" t="s">
        <v>744</v>
      </c>
      <c r="AH1629" s="7" t="s">
        <v>10845</v>
      </c>
      <c r="AI1629" s="7"/>
      <c r="AJ1629" s="7"/>
      <c r="AK1629" s="7"/>
      <c r="AL1629" s="7"/>
      <c r="AM1629" s="7"/>
      <c r="AN1629" s="7"/>
      <c r="AO1629" s="7" t="s">
        <v>744</v>
      </c>
      <c r="AP1629" s="7" t="s">
        <v>746</v>
      </c>
      <c r="AQ1629" s="7" t="s">
        <v>744</v>
      </c>
      <c r="AR1629" s="7" t="s">
        <v>741</v>
      </c>
      <c r="AS1629" s="7"/>
      <c r="AT1629" s="7"/>
      <c r="AU1629" s="7"/>
      <c r="AV1629" s="7"/>
      <c r="AW1629" s="7" t="s">
        <v>744</v>
      </c>
      <c r="AX1629" s="7" t="s">
        <v>10844</v>
      </c>
      <c r="AY1629" s="7"/>
      <c r="AZ1629" s="7"/>
      <c r="BA1629" s="7"/>
      <c r="BB1629" s="7"/>
      <c r="BC1629" s="7"/>
      <c r="BD1629" s="7" t="s">
        <v>747</v>
      </c>
      <c r="BE1629" s="7" t="s">
        <v>127</v>
      </c>
      <c r="BF1629" s="8"/>
      <c r="BG1629" s="8"/>
      <c r="BH1629" s="8"/>
      <c r="BI1629" s="8"/>
      <c r="BJ1629" s="8"/>
      <c r="BK1629" s="8"/>
      <c r="BL1629" s="8"/>
      <c r="BM1629" s="8"/>
      <c r="BN1629" s="8"/>
      <c r="BO1629" s="8"/>
      <c r="BP1629" s="8"/>
      <c r="BQ1629" s="8"/>
      <c r="BR1629" s="8"/>
      <c r="BS1629" s="8"/>
    </row>
    <row r="1630" customFormat="false" ht="15" hidden="false" customHeight="false" outlineLevel="0" collapsed="false">
      <c r="A1630" s="7" t="s">
        <v>10846</v>
      </c>
      <c r="B1630" s="7" t="s">
        <v>10847</v>
      </c>
      <c r="C1630" s="7" t="s">
        <v>10848</v>
      </c>
      <c r="D1630" s="7" t="s">
        <v>10849</v>
      </c>
      <c r="E1630" s="7"/>
      <c r="F1630" s="7" t="s">
        <v>156</v>
      </c>
      <c r="G1630" s="7"/>
      <c r="H1630" s="7" t="s">
        <v>157</v>
      </c>
      <c r="I1630" s="7" t="s">
        <v>132</v>
      </c>
      <c r="J1630" s="7" t="s">
        <v>159</v>
      </c>
      <c r="K1630" s="7" t="s">
        <v>105</v>
      </c>
      <c r="L1630" s="7" t="s">
        <v>106</v>
      </c>
      <c r="M1630" s="7"/>
      <c r="N1630" s="7" t="s">
        <v>10850</v>
      </c>
      <c r="O1630" s="7"/>
      <c r="P1630" s="7" t="s">
        <v>135</v>
      </c>
      <c r="Q1630" s="7"/>
      <c r="R1630" s="7" t="s">
        <v>135</v>
      </c>
      <c r="S1630" s="7" t="s">
        <v>136</v>
      </c>
      <c r="T1630" s="7" t="n">
        <v>0.706</v>
      </c>
      <c r="U1630" s="7" t="n">
        <v>1</v>
      </c>
      <c r="V1630" s="7" t="s">
        <v>90</v>
      </c>
      <c r="W1630" s="7"/>
      <c r="X1630" s="7" t="s">
        <v>10845</v>
      </c>
      <c r="Y1630" s="7" t="s">
        <v>10850</v>
      </c>
      <c r="Z1630" s="7"/>
      <c r="AA1630" s="7"/>
      <c r="AB1630" s="7"/>
      <c r="AC1630" s="7" t="n">
        <v>4</v>
      </c>
      <c r="AD1630" s="7" t="s">
        <v>7611</v>
      </c>
      <c r="AE1630" s="7" t="s">
        <v>744</v>
      </c>
      <c r="AF1630" s="7" t="s">
        <v>10848</v>
      </c>
      <c r="AG1630" s="7" t="s">
        <v>744</v>
      </c>
      <c r="AH1630" s="7" t="s">
        <v>10845</v>
      </c>
      <c r="AI1630" s="7"/>
      <c r="AJ1630" s="7"/>
      <c r="AK1630" s="7"/>
      <c r="AL1630" s="7"/>
      <c r="AM1630" s="7"/>
      <c r="AN1630" s="7"/>
      <c r="AO1630" s="7" t="s">
        <v>744</v>
      </c>
      <c r="AP1630" s="7" t="s">
        <v>10849</v>
      </c>
      <c r="AQ1630" s="7"/>
      <c r="AR1630" s="7"/>
      <c r="AS1630" s="7"/>
      <c r="AT1630" s="7"/>
      <c r="AU1630" s="7"/>
      <c r="AV1630" s="7"/>
      <c r="AW1630" s="7" t="s">
        <v>744</v>
      </c>
      <c r="AX1630" s="7" t="s">
        <v>10850</v>
      </c>
      <c r="AY1630" s="7"/>
      <c r="AZ1630" s="7"/>
      <c r="BA1630" s="7"/>
      <c r="BB1630" s="7"/>
      <c r="BC1630" s="7"/>
      <c r="BD1630" s="7"/>
      <c r="BE1630" s="7" t="s">
        <v>127</v>
      </c>
      <c r="BF1630" s="8"/>
      <c r="BG1630" s="8"/>
      <c r="BH1630" s="8"/>
      <c r="BI1630" s="8"/>
      <c r="BJ1630" s="8"/>
      <c r="BK1630" s="8"/>
      <c r="BL1630" s="8"/>
      <c r="BM1630" s="8"/>
      <c r="BN1630" s="8"/>
      <c r="BO1630" s="8"/>
      <c r="BP1630" s="8"/>
      <c r="BQ1630" s="8"/>
      <c r="BR1630" s="8"/>
      <c r="BS1630" s="8"/>
    </row>
    <row r="1631" customFormat="false" ht="15" hidden="false" customHeight="false" outlineLevel="0" collapsed="false">
      <c r="A1631" s="7" t="s">
        <v>10851</v>
      </c>
      <c r="B1631" s="7" t="s">
        <v>10852</v>
      </c>
      <c r="C1631" s="7" t="s">
        <v>10853</v>
      </c>
      <c r="D1631" s="7" t="s">
        <v>10854</v>
      </c>
      <c r="E1631" s="7" t="s">
        <v>1966</v>
      </c>
      <c r="F1631" s="7" t="s">
        <v>1966</v>
      </c>
      <c r="G1631" s="7"/>
      <c r="H1631" s="7"/>
      <c r="I1631" s="7" t="s">
        <v>158</v>
      </c>
      <c r="J1631" s="7" t="s">
        <v>104</v>
      </c>
      <c r="K1631" s="7" t="s">
        <v>105</v>
      </c>
      <c r="L1631" s="7" t="s">
        <v>106</v>
      </c>
      <c r="M1631" s="7"/>
      <c r="N1631" s="7" t="s">
        <v>10855</v>
      </c>
      <c r="O1631" s="7"/>
      <c r="P1631" s="7" t="s">
        <v>135</v>
      </c>
      <c r="Q1631" s="7"/>
      <c r="R1631" s="7" t="s">
        <v>135</v>
      </c>
      <c r="S1631" s="7" t="s">
        <v>136</v>
      </c>
      <c r="T1631" s="7" t="n">
        <v>0.337</v>
      </c>
      <c r="U1631" s="7" t="n">
        <v>1</v>
      </c>
      <c r="V1631" s="7" t="s">
        <v>90</v>
      </c>
      <c r="W1631" s="7"/>
      <c r="X1631" s="7" t="s">
        <v>303</v>
      </c>
      <c r="Y1631" s="7" t="s">
        <v>10855</v>
      </c>
      <c r="Z1631" s="7"/>
      <c r="AA1631" s="7"/>
      <c r="AB1631" s="7"/>
      <c r="AC1631" s="7" t="n">
        <v>5</v>
      </c>
      <c r="AD1631" s="7" t="s">
        <v>743</v>
      </c>
      <c r="AE1631" s="7" t="s">
        <v>744</v>
      </c>
      <c r="AF1631" s="7" t="s">
        <v>10853</v>
      </c>
      <c r="AG1631" s="7" t="s">
        <v>744</v>
      </c>
      <c r="AH1631" s="7" t="s">
        <v>303</v>
      </c>
      <c r="AI1631" s="7"/>
      <c r="AJ1631" s="7"/>
      <c r="AK1631" s="7"/>
      <c r="AL1631" s="7"/>
      <c r="AM1631" s="7"/>
      <c r="AN1631" s="7"/>
      <c r="AO1631" s="7" t="s">
        <v>744</v>
      </c>
      <c r="AP1631" s="7" t="s">
        <v>10854</v>
      </c>
      <c r="AQ1631" s="7" t="s">
        <v>744</v>
      </c>
      <c r="AR1631" s="7" t="s">
        <v>1966</v>
      </c>
      <c r="AS1631" s="7"/>
      <c r="AT1631" s="7"/>
      <c r="AU1631" s="7"/>
      <c r="AV1631" s="7"/>
      <c r="AW1631" s="7" t="s">
        <v>744</v>
      </c>
      <c r="AX1631" s="7" t="s">
        <v>10855</v>
      </c>
      <c r="AY1631" s="7"/>
      <c r="AZ1631" s="7"/>
      <c r="BA1631" s="7"/>
      <c r="BB1631" s="7"/>
      <c r="BC1631" s="7"/>
      <c r="BD1631" s="7"/>
      <c r="BE1631" s="7" t="s">
        <v>127</v>
      </c>
      <c r="BF1631" s="8"/>
      <c r="BG1631" s="8"/>
      <c r="BH1631" s="8"/>
      <c r="BI1631" s="8"/>
      <c r="BJ1631" s="8"/>
      <c r="BK1631" s="8"/>
      <c r="BL1631" s="8"/>
      <c r="BM1631" s="8"/>
      <c r="BN1631" s="8"/>
      <c r="BO1631" s="8"/>
      <c r="BP1631" s="8"/>
      <c r="BQ1631" s="8"/>
      <c r="BR1631" s="8"/>
      <c r="BS1631" s="8"/>
    </row>
    <row r="1632" customFormat="false" ht="15" hidden="false" customHeight="false" outlineLevel="0" collapsed="false">
      <c r="A1632" s="7" t="s">
        <v>10856</v>
      </c>
      <c r="B1632" s="7" t="s">
        <v>10857</v>
      </c>
      <c r="C1632" s="7" t="s">
        <v>10858</v>
      </c>
      <c r="D1632" s="7" t="s">
        <v>10859</v>
      </c>
      <c r="E1632" s="7" t="s">
        <v>1966</v>
      </c>
      <c r="F1632" s="7" t="s">
        <v>1966</v>
      </c>
      <c r="G1632" s="7" t="s">
        <v>3165</v>
      </c>
      <c r="H1632" s="7"/>
      <c r="I1632" s="7" t="s">
        <v>158</v>
      </c>
      <c r="J1632" s="7" t="s">
        <v>104</v>
      </c>
      <c r="K1632" s="7" t="s">
        <v>105</v>
      </c>
      <c r="L1632" s="7" t="s">
        <v>106</v>
      </c>
      <c r="M1632" s="7"/>
      <c r="N1632" s="7" t="s">
        <v>10860</v>
      </c>
      <c r="O1632" s="7"/>
      <c r="P1632" s="7" t="s">
        <v>135</v>
      </c>
      <c r="Q1632" s="7"/>
      <c r="R1632" s="7" t="s">
        <v>135</v>
      </c>
      <c r="S1632" s="7" t="s">
        <v>136</v>
      </c>
      <c r="T1632" s="7" t="n">
        <v>0.436</v>
      </c>
      <c r="U1632" s="7" t="n">
        <v>1</v>
      </c>
      <c r="V1632" s="7" t="s">
        <v>90</v>
      </c>
      <c r="W1632" s="7"/>
      <c r="X1632" s="7" t="s">
        <v>303</v>
      </c>
      <c r="Y1632" s="7" t="s">
        <v>10860</v>
      </c>
      <c r="Z1632" s="7"/>
      <c r="AA1632" s="7"/>
      <c r="AB1632" s="7"/>
      <c r="AC1632" s="7" t="n">
        <v>6</v>
      </c>
      <c r="AD1632" s="7" t="s">
        <v>1235</v>
      </c>
      <c r="AE1632" s="7" t="s">
        <v>744</v>
      </c>
      <c r="AF1632" s="7" t="s">
        <v>10858</v>
      </c>
      <c r="AG1632" s="7" t="s">
        <v>744</v>
      </c>
      <c r="AH1632" s="7" t="s">
        <v>303</v>
      </c>
      <c r="AI1632" s="7"/>
      <c r="AJ1632" s="7"/>
      <c r="AK1632" s="7"/>
      <c r="AL1632" s="7"/>
      <c r="AM1632" s="7" t="s">
        <v>744</v>
      </c>
      <c r="AN1632" s="7" t="s">
        <v>10861</v>
      </c>
      <c r="AO1632" s="7" t="s">
        <v>744</v>
      </c>
      <c r="AP1632" s="7" t="s">
        <v>10859</v>
      </c>
      <c r="AQ1632" s="7" t="s">
        <v>744</v>
      </c>
      <c r="AR1632" s="7" t="s">
        <v>1966</v>
      </c>
      <c r="AS1632" s="7"/>
      <c r="AT1632" s="7"/>
      <c r="AU1632" s="7"/>
      <c r="AV1632" s="7"/>
      <c r="AW1632" s="7" t="s">
        <v>744</v>
      </c>
      <c r="AX1632" s="7" t="s">
        <v>10860</v>
      </c>
      <c r="AY1632" s="7"/>
      <c r="AZ1632" s="7"/>
      <c r="BA1632" s="7"/>
      <c r="BB1632" s="7"/>
      <c r="BC1632" s="7"/>
      <c r="BD1632" s="7"/>
      <c r="BE1632" s="7" t="s">
        <v>127</v>
      </c>
      <c r="BF1632" s="8"/>
      <c r="BG1632" s="8"/>
      <c r="BH1632" s="8"/>
      <c r="BI1632" s="8"/>
      <c r="BJ1632" s="8"/>
      <c r="BK1632" s="8"/>
      <c r="BL1632" s="8"/>
      <c r="BM1632" s="8"/>
      <c r="BN1632" s="8"/>
      <c r="BO1632" s="8"/>
      <c r="BP1632" s="8"/>
      <c r="BQ1632" s="8"/>
      <c r="BR1632" s="8"/>
      <c r="BS1632" s="8"/>
    </row>
    <row r="1633" customFormat="false" ht="15" hidden="false" customHeight="false" outlineLevel="0" collapsed="false">
      <c r="A1633" s="7" t="s">
        <v>10862</v>
      </c>
      <c r="B1633" s="7" t="s">
        <v>10863</v>
      </c>
      <c r="C1633" s="7" t="s">
        <v>10864</v>
      </c>
      <c r="D1633" s="7" t="s">
        <v>10865</v>
      </c>
      <c r="E1633" s="7" t="s">
        <v>431</v>
      </c>
      <c r="F1633" s="7" t="s">
        <v>431</v>
      </c>
      <c r="G1633" s="7"/>
      <c r="H1633" s="7"/>
      <c r="I1633" s="7" t="s">
        <v>158</v>
      </c>
      <c r="J1633" s="7" t="s">
        <v>104</v>
      </c>
      <c r="K1633" s="7" t="s">
        <v>105</v>
      </c>
      <c r="L1633" s="7" t="s">
        <v>106</v>
      </c>
      <c r="M1633" s="7"/>
      <c r="N1633" s="7" t="s">
        <v>10866</v>
      </c>
      <c r="O1633" s="7" t="s">
        <v>10866</v>
      </c>
      <c r="P1633" s="7" t="s">
        <v>135</v>
      </c>
      <c r="Q1633" s="7"/>
      <c r="R1633" s="7" t="s">
        <v>109</v>
      </c>
      <c r="S1633" s="7" t="s">
        <v>110</v>
      </c>
      <c r="T1633" s="7" t="n">
        <v>0.573</v>
      </c>
      <c r="U1633" s="7" t="n">
        <v>1</v>
      </c>
      <c r="V1633" s="7" t="s">
        <v>90</v>
      </c>
      <c r="W1633" s="7"/>
      <c r="X1633" s="7" t="s">
        <v>496</v>
      </c>
      <c r="Y1633" s="7" t="s">
        <v>10866</v>
      </c>
      <c r="Z1633" s="7"/>
      <c r="AA1633" s="7"/>
      <c r="AB1633" s="7"/>
      <c r="AC1633" s="7" t="n">
        <v>5</v>
      </c>
      <c r="AD1633" s="7" t="s">
        <v>743</v>
      </c>
      <c r="AE1633" s="7" t="s">
        <v>744</v>
      </c>
      <c r="AF1633" s="7" t="s">
        <v>10864</v>
      </c>
      <c r="AG1633" s="7" t="s">
        <v>744</v>
      </c>
      <c r="AH1633" s="7" t="s">
        <v>496</v>
      </c>
      <c r="AI1633" s="7"/>
      <c r="AJ1633" s="7"/>
      <c r="AK1633" s="7"/>
      <c r="AL1633" s="7"/>
      <c r="AM1633" s="7"/>
      <c r="AN1633" s="7"/>
      <c r="AO1633" s="7" t="s">
        <v>744</v>
      </c>
      <c r="AP1633" s="7" t="s">
        <v>10865</v>
      </c>
      <c r="AQ1633" s="7" t="s">
        <v>744</v>
      </c>
      <c r="AR1633" s="7" t="s">
        <v>431</v>
      </c>
      <c r="AS1633" s="7"/>
      <c r="AT1633" s="7"/>
      <c r="AU1633" s="7"/>
      <c r="AV1633" s="7"/>
      <c r="AW1633" s="7" t="s">
        <v>744</v>
      </c>
      <c r="AX1633" s="7" t="s">
        <v>10866</v>
      </c>
      <c r="AY1633" s="7"/>
      <c r="AZ1633" s="7"/>
      <c r="BA1633" s="7"/>
      <c r="BB1633" s="7"/>
      <c r="BC1633" s="7"/>
      <c r="BD1633" s="7" t="s">
        <v>440</v>
      </c>
      <c r="BE1633" s="7" t="s">
        <v>127</v>
      </c>
      <c r="BF1633" s="8"/>
      <c r="BG1633" s="8"/>
      <c r="BH1633" s="8"/>
      <c r="BI1633" s="8"/>
      <c r="BJ1633" s="8"/>
      <c r="BK1633" s="8"/>
      <c r="BL1633" s="8"/>
      <c r="BM1633" s="8"/>
      <c r="BN1633" s="8"/>
      <c r="BO1633" s="8"/>
      <c r="BP1633" s="8"/>
      <c r="BQ1633" s="8"/>
      <c r="BR1633" s="8"/>
      <c r="BS1633" s="8"/>
    </row>
    <row r="1634" customFormat="false" ht="15" hidden="false" customHeight="false" outlineLevel="0" collapsed="false">
      <c r="A1634" s="7" t="s">
        <v>10867</v>
      </c>
      <c r="B1634" s="7" t="s">
        <v>10868</v>
      </c>
      <c r="C1634" s="7" t="s">
        <v>10869</v>
      </c>
      <c r="D1634" s="7" t="s">
        <v>10870</v>
      </c>
      <c r="E1634" s="7" t="s">
        <v>8409</v>
      </c>
      <c r="F1634" s="7" t="s">
        <v>8409</v>
      </c>
      <c r="G1634" s="7"/>
      <c r="H1634" s="7"/>
      <c r="I1634" s="7" t="s">
        <v>158</v>
      </c>
      <c r="J1634" s="7" t="s">
        <v>104</v>
      </c>
      <c r="K1634" s="7" t="s">
        <v>105</v>
      </c>
      <c r="L1634" s="7" t="s">
        <v>353</v>
      </c>
      <c r="M1634" s="7"/>
      <c r="N1634" s="7" t="s">
        <v>10871</v>
      </c>
      <c r="O1634" s="7" t="s">
        <v>10871</v>
      </c>
      <c r="P1634" s="7" t="s">
        <v>135</v>
      </c>
      <c r="Q1634" s="7"/>
      <c r="R1634" s="7" t="s">
        <v>109</v>
      </c>
      <c r="S1634" s="7" t="s">
        <v>110</v>
      </c>
      <c r="T1634" s="7" t="n">
        <v>0.408</v>
      </c>
      <c r="U1634" s="7" t="n">
        <v>1</v>
      </c>
      <c r="V1634" s="7" t="s">
        <v>90</v>
      </c>
      <c r="W1634" s="7"/>
      <c r="X1634" s="7" t="s">
        <v>496</v>
      </c>
      <c r="Y1634" s="7" t="s">
        <v>10871</v>
      </c>
      <c r="Z1634" s="7"/>
      <c r="AA1634" s="7"/>
      <c r="AB1634" s="7"/>
      <c r="AC1634" s="7" t="n">
        <v>5</v>
      </c>
      <c r="AD1634" s="7" t="s">
        <v>743</v>
      </c>
      <c r="AE1634" s="7" t="s">
        <v>744</v>
      </c>
      <c r="AF1634" s="7" t="s">
        <v>10869</v>
      </c>
      <c r="AG1634" s="7" t="s">
        <v>744</v>
      </c>
      <c r="AH1634" s="7" t="s">
        <v>496</v>
      </c>
      <c r="AI1634" s="7"/>
      <c r="AJ1634" s="7"/>
      <c r="AK1634" s="7"/>
      <c r="AL1634" s="7"/>
      <c r="AM1634" s="7"/>
      <c r="AN1634" s="7"/>
      <c r="AO1634" s="7" t="s">
        <v>744</v>
      </c>
      <c r="AP1634" s="7" t="s">
        <v>10870</v>
      </c>
      <c r="AQ1634" s="7" t="s">
        <v>744</v>
      </c>
      <c r="AR1634" s="7" t="s">
        <v>8409</v>
      </c>
      <c r="AS1634" s="7"/>
      <c r="AT1634" s="7"/>
      <c r="AU1634" s="7"/>
      <c r="AV1634" s="7"/>
      <c r="AW1634" s="7" t="s">
        <v>744</v>
      </c>
      <c r="AX1634" s="7" t="s">
        <v>10871</v>
      </c>
      <c r="AY1634" s="7"/>
      <c r="AZ1634" s="7"/>
      <c r="BA1634" s="7"/>
      <c r="BB1634" s="7"/>
      <c r="BC1634" s="7"/>
      <c r="BD1634" s="7" t="s">
        <v>440</v>
      </c>
      <c r="BE1634" s="7" t="s">
        <v>127</v>
      </c>
      <c r="BF1634" s="8"/>
      <c r="BG1634" s="8"/>
      <c r="BH1634" s="8"/>
      <c r="BI1634" s="8"/>
      <c r="BJ1634" s="8"/>
      <c r="BK1634" s="8"/>
      <c r="BL1634" s="8"/>
      <c r="BM1634" s="8"/>
      <c r="BN1634" s="8"/>
      <c r="BO1634" s="8"/>
      <c r="BP1634" s="8"/>
      <c r="BQ1634" s="8"/>
      <c r="BR1634" s="8"/>
      <c r="BS1634" s="8"/>
    </row>
    <row r="1635" customFormat="false" ht="15" hidden="false" customHeight="false" outlineLevel="0" collapsed="false">
      <c r="A1635" s="7" t="s">
        <v>10872</v>
      </c>
      <c r="B1635" s="7" t="s">
        <v>10873</v>
      </c>
      <c r="C1635" s="7" t="s">
        <v>10874</v>
      </c>
      <c r="D1635" s="7" t="s">
        <v>746</v>
      </c>
      <c r="E1635" s="7" t="s">
        <v>741</v>
      </c>
      <c r="F1635" s="7" t="s">
        <v>741</v>
      </c>
      <c r="G1635" s="7"/>
      <c r="H1635" s="7"/>
      <c r="I1635" s="7" t="s">
        <v>158</v>
      </c>
      <c r="J1635" s="7" t="s">
        <v>104</v>
      </c>
      <c r="K1635" s="7" t="s">
        <v>105</v>
      </c>
      <c r="L1635" s="7" t="s">
        <v>106</v>
      </c>
      <c r="M1635" s="7"/>
      <c r="N1635" s="7" t="s">
        <v>10875</v>
      </c>
      <c r="O1635" s="7" t="s">
        <v>10875</v>
      </c>
      <c r="P1635" s="7" t="s">
        <v>135</v>
      </c>
      <c r="Q1635" s="7"/>
      <c r="R1635" s="7" t="s">
        <v>109</v>
      </c>
      <c r="S1635" s="7" t="s">
        <v>110</v>
      </c>
      <c r="T1635" s="7" t="n">
        <v>0.376</v>
      </c>
      <c r="U1635" s="7" t="n">
        <v>1</v>
      </c>
      <c r="V1635" s="7" t="s">
        <v>90</v>
      </c>
      <c r="W1635" s="7"/>
      <c r="X1635" s="7" t="s">
        <v>496</v>
      </c>
      <c r="Y1635" s="7" t="s">
        <v>10875</v>
      </c>
      <c r="Z1635" s="7"/>
      <c r="AA1635" s="7"/>
      <c r="AB1635" s="7"/>
      <c r="AC1635" s="7" t="n">
        <v>5</v>
      </c>
      <c r="AD1635" s="7" t="s">
        <v>743</v>
      </c>
      <c r="AE1635" s="7" t="s">
        <v>744</v>
      </c>
      <c r="AF1635" s="7" t="s">
        <v>10874</v>
      </c>
      <c r="AG1635" s="7" t="s">
        <v>744</v>
      </c>
      <c r="AH1635" s="7" t="s">
        <v>496</v>
      </c>
      <c r="AI1635" s="7"/>
      <c r="AJ1635" s="7"/>
      <c r="AK1635" s="7"/>
      <c r="AL1635" s="7"/>
      <c r="AM1635" s="7"/>
      <c r="AN1635" s="7"/>
      <c r="AO1635" s="7" t="s">
        <v>744</v>
      </c>
      <c r="AP1635" s="7" t="s">
        <v>746</v>
      </c>
      <c r="AQ1635" s="7" t="s">
        <v>744</v>
      </c>
      <c r="AR1635" s="7" t="s">
        <v>741</v>
      </c>
      <c r="AS1635" s="7"/>
      <c r="AT1635" s="7"/>
      <c r="AU1635" s="7"/>
      <c r="AV1635" s="7"/>
      <c r="AW1635" s="7" t="s">
        <v>744</v>
      </c>
      <c r="AX1635" s="7" t="s">
        <v>10875</v>
      </c>
      <c r="AY1635" s="7"/>
      <c r="AZ1635" s="7"/>
      <c r="BA1635" s="7"/>
      <c r="BB1635" s="7"/>
      <c r="BC1635" s="7"/>
      <c r="BD1635" s="7" t="s">
        <v>747</v>
      </c>
      <c r="BE1635" s="7" t="s">
        <v>127</v>
      </c>
      <c r="BF1635" s="8"/>
      <c r="BG1635" s="8"/>
      <c r="BH1635" s="8"/>
      <c r="BI1635" s="8"/>
      <c r="BJ1635" s="8"/>
      <c r="BK1635" s="8"/>
      <c r="BL1635" s="8"/>
      <c r="BM1635" s="8"/>
      <c r="BN1635" s="8"/>
      <c r="BO1635" s="8"/>
      <c r="BP1635" s="8"/>
      <c r="BQ1635" s="8"/>
      <c r="BR1635" s="8"/>
      <c r="BS1635" s="8"/>
    </row>
    <row r="1636" customFormat="false" ht="15" hidden="false" customHeight="false" outlineLevel="0" collapsed="false">
      <c r="A1636" s="7" t="s">
        <v>10876</v>
      </c>
      <c r="B1636" s="7" t="s">
        <v>10877</v>
      </c>
      <c r="C1636" s="7" t="s">
        <v>10878</v>
      </c>
      <c r="D1636" s="7" t="s">
        <v>1965</v>
      </c>
      <c r="E1636" s="7" t="s">
        <v>1966</v>
      </c>
      <c r="F1636" s="7" t="s">
        <v>1966</v>
      </c>
      <c r="G1636" s="7"/>
      <c r="H1636" s="7"/>
      <c r="I1636" s="7" t="s">
        <v>158</v>
      </c>
      <c r="J1636" s="7" t="s">
        <v>104</v>
      </c>
      <c r="K1636" s="7" t="s">
        <v>105</v>
      </c>
      <c r="L1636" s="7" t="s">
        <v>106</v>
      </c>
      <c r="M1636" s="7"/>
      <c r="N1636" s="7" t="s">
        <v>10879</v>
      </c>
      <c r="O1636" s="7" t="s">
        <v>10879</v>
      </c>
      <c r="P1636" s="7" t="s">
        <v>135</v>
      </c>
      <c r="Q1636" s="7"/>
      <c r="R1636" s="7" t="s">
        <v>109</v>
      </c>
      <c r="S1636" s="7" t="s">
        <v>110</v>
      </c>
      <c r="T1636" s="7" t="n">
        <v>0.576</v>
      </c>
      <c r="U1636" s="7" t="n">
        <v>1</v>
      </c>
      <c r="V1636" s="7" t="s">
        <v>90</v>
      </c>
      <c r="W1636" s="7"/>
      <c r="X1636" s="7" t="s">
        <v>496</v>
      </c>
      <c r="Y1636" s="7" t="s">
        <v>10879</v>
      </c>
      <c r="Z1636" s="7"/>
      <c r="AA1636" s="7"/>
      <c r="AB1636" s="7"/>
      <c r="AC1636" s="7" t="n">
        <v>5</v>
      </c>
      <c r="AD1636" s="7" t="s">
        <v>743</v>
      </c>
      <c r="AE1636" s="7" t="s">
        <v>744</v>
      </c>
      <c r="AF1636" s="7" t="s">
        <v>10878</v>
      </c>
      <c r="AG1636" s="7" t="s">
        <v>744</v>
      </c>
      <c r="AH1636" s="7" t="s">
        <v>496</v>
      </c>
      <c r="AI1636" s="7"/>
      <c r="AJ1636" s="7"/>
      <c r="AK1636" s="7"/>
      <c r="AL1636" s="7"/>
      <c r="AM1636" s="7"/>
      <c r="AN1636" s="7"/>
      <c r="AO1636" s="7" t="s">
        <v>744</v>
      </c>
      <c r="AP1636" s="7" t="s">
        <v>1965</v>
      </c>
      <c r="AQ1636" s="7" t="s">
        <v>744</v>
      </c>
      <c r="AR1636" s="7" t="s">
        <v>1966</v>
      </c>
      <c r="AS1636" s="7"/>
      <c r="AT1636" s="7"/>
      <c r="AU1636" s="7"/>
      <c r="AV1636" s="7"/>
      <c r="AW1636" s="7" t="s">
        <v>744</v>
      </c>
      <c r="AX1636" s="7" t="s">
        <v>10879</v>
      </c>
      <c r="AY1636" s="7"/>
      <c r="AZ1636" s="7"/>
      <c r="BA1636" s="7"/>
      <c r="BB1636" s="7"/>
      <c r="BC1636" s="7"/>
      <c r="BD1636" s="7" t="s">
        <v>440</v>
      </c>
      <c r="BE1636" s="7" t="s">
        <v>127</v>
      </c>
      <c r="BF1636" s="8"/>
      <c r="BG1636" s="8"/>
      <c r="BH1636" s="8"/>
      <c r="BI1636" s="8"/>
      <c r="BJ1636" s="8"/>
      <c r="BK1636" s="8"/>
      <c r="BL1636" s="8"/>
      <c r="BM1636" s="8"/>
      <c r="BN1636" s="8"/>
      <c r="BO1636" s="8"/>
      <c r="BP1636" s="8"/>
      <c r="BQ1636" s="8"/>
      <c r="BR1636" s="8"/>
      <c r="BS1636" s="8"/>
    </row>
    <row r="1637" customFormat="false" ht="15" hidden="false" customHeight="false" outlineLevel="0" collapsed="false">
      <c r="A1637" s="7" t="s">
        <v>10880</v>
      </c>
      <c r="B1637" s="7" t="s">
        <v>10881</v>
      </c>
      <c r="C1637" s="7" t="s">
        <v>10882</v>
      </c>
      <c r="D1637" s="7" t="s">
        <v>746</v>
      </c>
      <c r="E1637" s="7" t="s">
        <v>741</v>
      </c>
      <c r="F1637" s="7" t="s">
        <v>741</v>
      </c>
      <c r="G1637" s="7"/>
      <c r="H1637" s="7"/>
      <c r="I1637" s="7" t="s">
        <v>158</v>
      </c>
      <c r="J1637" s="7" t="s">
        <v>104</v>
      </c>
      <c r="K1637" s="7" t="s">
        <v>105</v>
      </c>
      <c r="L1637" s="7" t="s">
        <v>106</v>
      </c>
      <c r="M1637" s="7"/>
      <c r="N1637" s="7" t="s">
        <v>10883</v>
      </c>
      <c r="O1637" s="7" t="s">
        <v>10883</v>
      </c>
      <c r="P1637" s="7" t="s">
        <v>135</v>
      </c>
      <c r="Q1637" s="7"/>
      <c r="R1637" s="7" t="s">
        <v>109</v>
      </c>
      <c r="S1637" s="7" t="s">
        <v>110</v>
      </c>
      <c r="T1637" s="7" t="n">
        <v>0.569</v>
      </c>
      <c r="U1637" s="7" t="n">
        <v>1</v>
      </c>
      <c r="V1637" s="7" t="s">
        <v>90</v>
      </c>
      <c r="W1637" s="7"/>
      <c r="X1637" s="7" t="s">
        <v>9318</v>
      </c>
      <c r="Y1637" s="7" t="s">
        <v>10883</v>
      </c>
      <c r="Z1637" s="7"/>
      <c r="AA1637" s="7"/>
      <c r="AB1637" s="7"/>
      <c r="AC1637" s="7" t="n">
        <v>5</v>
      </c>
      <c r="AD1637" s="7" t="s">
        <v>743</v>
      </c>
      <c r="AE1637" s="7" t="s">
        <v>744</v>
      </c>
      <c r="AF1637" s="7" t="s">
        <v>10882</v>
      </c>
      <c r="AG1637" s="7" t="s">
        <v>744</v>
      </c>
      <c r="AH1637" s="7" t="s">
        <v>9318</v>
      </c>
      <c r="AI1637" s="7"/>
      <c r="AJ1637" s="7"/>
      <c r="AK1637" s="7"/>
      <c r="AL1637" s="7"/>
      <c r="AM1637" s="7"/>
      <c r="AN1637" s="7"/>
      <c r="AO1637" s="7" t="s">
        <v>744</v>
      </c>
      <c r="AP1637" s="7" t="s">
        <v>746</v>
      </c>
      <c r="AQ1637" s="7" t="s">
        <v>744</v>
      </c>
      <c r="AR1637" s="7" t="s">
        <v>741</v>
      </c>
      <c r="AS1637" s="7"/>
      <c r="AT1637" s="7"/>
      <c r="AU1637" s="7"/>
      <c r="AV1637" s="7"/>
      <c r="AW1637" s="7" t="s">
        <v>744</v>
      </c>
      <c r="AX1637" s="7" t="s">
        <v>10883</v>
      </c>
      <c r="AY1637" s="7"/>
      <c r="AZ1637" s="7"/>
      <c r="BA1637" s="7"/>
      <c r="BB1637" s="7"/>
      <c r="BC1637" s="7"/>
      <c r="BD1637" s="7" t="s">
        <v>747</v>
      </c>
      <c r="BE1637" s="7" t="s">
        <v>127</v>
      </c>
      <c r="BF1637" s="8"/>
      <c r="BG1637" s="8"/>
      <c r="BH1637" s="8"/>
      <c r="BI1637" s="8"/>
      <c r="BJ1637" s="8"/>
      <c r="BK1637" s="8"/>
      <c r="BL1637" s="8"/>
      <c r="BM1637" s="8"/>
      <c r="BN1637" s="8"/>
      <c r="BO1637" s="8"/>
      <c r="BP1637" s="8"/>
      <c r="BQ1637" s="8"/>
      <c r="BR1637" s="8"/>
      <c r="BS1637" s="8"/>
    </row>
    <row r="1638" customFormat="false" ht="15" hidden="false" customHeight="false" outlineLevel="0" collapsed="false">
      <c r="A1638" s="7" t="s">
        <v>10884</v>
      </c>
      <c r="B1638" s="7" t="s">
        <v>10885</v>
      </c>
      <c r="C1638" s="7" t="s">
        <v>10886</v>
      </c>
      <c r="D1638" s="7" t="s">
        <v>10465</v>
      </c>
      <c r="E1638" s="7" t="s">
        <v>3127</v>
      </c>
      <c r="F1638" s="7" t="s">
        <v>3127</v>
      </c>
      <c r="G1638" s="7"/>
      <c r="H1638" s="7"/>
      <c r="I1638" s="7" t="s">
        <v>158</v>
      </c>
      <c r="J1638" s="7" t="s">
        <v>104</v>
      </c>
      <c r="K1638" s="7" t="s">
        <v>105</v>
      </c>
      <c r="L1638" s="7" t="s">
        <v>353</v>
      </c>
      <c r="M1638" s="7"/>
      <c r="N1638" s="7" t="s">
        <v>10887</v>
      </c>
      <c r="O1638" s="7" t="s">
        <v>10887</v>
      </c>
      <c r="P1638" s="7" t="s">
        <v>135</v>
      </c>
      <c r="Q1638" s="7"/>
      <c r="R1638" s="7" t="s">
        <v>109</v>
      </c>
      <c r="S1638" s="7" t="s">
        <v>110</v>
      </c>
      <c r="T1638" s="7" t="n">
        <v>0.659</v>
      </c>
      <c r="U1638" s="7" t="n">
        <v>1</v>
      </c>
      <c r="V1638" s="7" t="s">
        <v>90</v>
      </c>
      <c r="W1638" s="7"/>
      <c r="X1638" s="7" t="s">
        <v>9318</v>
      </c>
      <c r="Y1638" s="7" t="s">
        <v>10887</v>
      </c>
      <c r="Z1638" s="7"/>
      <c r="AA1638" s="7"/>
      <c r="AB1638" s="7"/>
      <c r="AC1638" s="7" t="n">
        <v>5</v>
      </c>
      <c r="AD1638" s="7" t="s">
        <v>743</v>
      </c>
      <c r="AE1638" s="7" t="s">
        <v>744</v>
      </c>
      <c r="AF1638" s="7" t="s">
        <v>10886</v>
      </c>
      <c r="AG1638" s="7" t="s">
        <v>744</v>
      </c>
      <c r="AH1638" s="7" t="s">
        <v>9318</v>
      </c>
      <c r="AI1638" s="7"/>
      <c r="AJ1638" s="7"/>
      <c r="AK1638" s="7"/>
      <c r="AL1638" s="7"/>
      <c r="AM1638" s="7"/>
      <c r="AN1638" s="7"/>
      <c r="AO1638" s="7" t="s">
        <v>744</v>
      </c>
      <c r="AP1638" s="7" t="s">
        <v>10465</v>
      </c>
      <c r="AQ1638" s="7" t="s">
        <v>744</v>
      </c>
      <c r="AR1638" s="7" t="s">
        <v>3127</v>
      </c>
      <c r="AS1638" s="7"/>
      <c r="AT1638" s="7"/>
      <c r="AU1638" s="7"/>
      <c r="AV1638" s="7"/>
      <c r="AW1638" s="7" t="s">
        <v>744</v>
      </c>
      <c r="AX1638" s="7" t="s">
        <v>10887</v>
      </c>
      <c r="AY1638" s="7"/>
      <c r="AZ1638" s="7"/>
      <c r="BA1638" s="7"/>
      <c r="BB1638" s="7"/>
      <c r="BC1638" s="7"/>
      <c r="BD1638" s="7" t="s">
        <v>440</v>
      </c>
      <c r="BE1638" s="7" t="s">
        <v>127</v>
      </c>
      <c r="BF1638" s="8"/>
      <c r="BG1638" s="8"/>
      <c r="BH1638" s="8"/>
      <c r="BI1638" s="8"/>
      <c r="BJ1638" s="8"/>
      <c r="BK1638" s="8"/>
      <c r="BL1638" s="8"/>
      <c r="BM1638" s="8"/>
      <c r="BN1638" s="8"/>
      <c r="BO1638" s="8"/>
      <c r="BP1638" s="8"/>
      <c r="BQ1638" s="8"/>
      <c r="BR1638" s="8"/>
      <c r="BS1638" s="8"/>
    </row>
    <row r="1639" customFormat="false" ht="15" hidden="false" customHeight="false" outlineLevel="0" collapsed="false">
      <c r="A1639" s="7" t="s">
        <v>10888</v>
      </c>
      <c r="B1639" s="7" t="s">
        <v>10889</v>
      </c>
      <c r="C1639" s="7" t="s">
        <v>10890</v>
      </c>
      <c r="D1639" s="7" t="s">
        <v>437</v>
      </c>
      <c r="E1639" s="7" t="s">
        <v>431</v>
      </c>
      <c r="F1639" s="7" t="s">
        <v>431</v>
      </c>
      <c r="G1639" s="7"/>
      <c r="H1639" s="7"/>
      <c r="I1639" s="7" t="s">
        <v>132</v>
      </c>
      <c r="J1639" s="7" t="s">
        <v>104</v>
      </c>
      <c r="K1639" s="7" t="s">
        <v>105</v>
      </c>
      <c r="L1639" s="7" t="s">
        <v>106</v>
      </c>
      <c r="M1639" s="7"/>
      <c r="N1639" s="7" t="s">
        <v>10891</v>
      </c>
      <c r="O1639" s="7" t="s">
        <v>10891</v>
      </c>
      <c r="P1639" s="7" t="s">
        <v>135</v>
      </c>
      <c r="Q1639" s="7"/>
      <c r="R1639" s="7" t="s">
        <v>109</v>
      </c>
      <c r="S1639" s="7" t="s">
        <v>110</v>
      </c>
      <c r="T1639" s="7" t="n">
        <v>0.47</v>
      </c>
      <c r="U1639" s="7" t="n">
        <v>1</v>
      </c>
      <c r="V1639" s="7" t="s">
        <v>90</v>
      </c>
      <c r="W1639" s="7"/>
      <c r="X1639" s="7" t="s">
        <v>1233</v>
      </c>
      <c r="Y1639" s="7" t="s">
        <v>10891</v>
      </c>
      <c r="Z1639" s="7"/>
      <c r="AA1639" s="7"/>
      <c r="AB1639" s="7"/>
      <c r="AC1639" s="7" t="n">
        <v>5</v>
      </c>
      <c r="AD1639" s="7" t="s">
        <v>743</v>
      </c>
      <c r="AE1639" s="7" t="s">
        <v>744</v>
      </c>
      <c r="AF1639" s="7" t="s">
        <v>10890</v>
      </c>
      <c r="AG1639" s="7" t="s">
        <v>744</v>
      </c>
      <c r="AH1639" s="7" t="s">
        <v>1233</v>
      </c>
      <c r="AI1639" s="7"/>
      <c r="AJ1639" s="7"/>
      <c r="AK1639" s="7"/>
      <c r="AL1639" s="7"/>
      <c r="AM1639" s="7"/>
      <c r="AN1639" s="7"/>
      <c r="AO1639" s="7" t="s">
        <v>744</v>
      </c>
      <c r="AP1639" s="7" t="s">
        <v>437</v>
      </c>
      <c r="AQ1639" s="7" t="s">
        <v>744</v>
      </c>
      <c r="AR1639" s="7" t="s">
        <v>431</v>
      </c>
      <c r="AS1639" s="7"/>
      <c r="AT1639" s="7"/>
      <c r="AU1639" s="7"/>
      <c r="AV1639" s="7"/>
      <c r="AW1639" s="7" t="s">
        <v>744</v>
      </c>
      <c r="AX1639" s="7" t="s">
        <v>10891</v>
      </c>
      <c r="AY1639" s="7"/>
      <c r="AZ1639" s="7"/>
      <c r="BA1639" s="7"/>
      <c r="BB1639" s="7"/>
      <c r="BC1639" s="7"/>
      <c r="BD1639" s="7" t="s">
        <v>10892</v>
      </c>
      <c r="BE1639" s="7" t="s">
        <v>127</v>
      </c>
      <c r="BF1639" s="8"/>
      <c r="BG1639" s="8"/>
      <c r="BH1639" s="8"/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</row>
    <row r="1640" customFormat="false" ht="15" hidden="false" customHeight="false" outlineLevel="0" collapsed="false">
      <c r="A1640" s="7" t="s">
        <v>10893</v>
      </c>
      <c r="B1640" s="7" t="s">
        <v>10894</v>
      </c>
      <c r="C1640" s="7" t="s">
        <v>10895</v>
      </c>
      <c r="D1640" s="7" t="s">
        <v>10896</v>
      </c>
      <c r="E1640" s="7" t="s">
        <v>2296</v>
      </c>
      <c r="F1640" s="7" t="s">
        <v>2296</v>
      </c>
      <c r="G1640" s="7"/>
      <c r="H1640" s="7"/>
      <c r="I1640" s="7" t="s">
        <v>158</v>
      </c>
      <c r="J1640" s="7" t="s">
        <v>104</v>
      </c>
      <c r="K1640" s="7" t="s">
        <v>105</v>
      </c>
      <c r="L1640" s="7" t="s">
        <v>106</v>
      </c>
      <c r="M1640" s="7"/>
      <c r="N1640" s="7" t="s">
        <v>10897</v>
      </c>
      <c r="O1640" s="7"/>
      <c r="P1640" s="7" t="s">
        <v>135</v>
      </c>
      <c r="Q1640" s="7"/>
      <c r="R1640" s="7" t="s">
        <v>135</v>
      </c>
      <c r="S1640" s="7" t="s">
        <v>136</v>
      </c>
      <c r="T1640" s="7" t="n">
        <v>0.454</v>
      </c>
      <c r="U1640" s="7" t="n">
        <v>1</v>
      </c>
      <c r="V1640" s="7" t="s">
        <v>90</v>
      </c>
      <c r="W1640" s="7"/>
      <c r="X1640" s="7" t="s">
        <v>10898</v>
      </c>
      <c r="Y1640" s="7" t="s">
        <v>10897</v>
      </c>
      <c r="Z1640" s="7"/>
      <c r="AA1640" s="7"/>
      <c r="AB1640" s="7"/>
      <c r="AC1640" s="7" t="n">
        <v>5</v>
      </c>
      <c r="AD1640" s="7" t="s">
        <v>743</v>
      </c>
      <c r="AE1640" s="7" t="s">
        <v>744</v>
      </c>
      <c r="AF1640" s="7" t="s">
        <v>10895</v>
      </c>
      <c r="AG1640" s="7" t="s">
        <v>744</v>
      </c>
      <c r="AH1640" s="7" t="s">
        <v>10898</v>
      </c>
      <c r="AI1640" s="7"/>
      <c r="AJ1640" s="7"/>
      <c r="AK1640" s="7"/>
      <c r="AL1640" s="7"/>
      <c r="AM1640" s="7"/>
      <c r="AN1640" s="7"/>
      <c r="AO1640" s="7" t="s">
        <v>744</v>
      </c>
      <c r="AP1640" s="7" t="s">
        <v>10896</v>
      </c>
      <c r="AQ1640" s="7" t="s">
        <v>744</v>
      </c>
      <c r="AR1640" s="7" t="s">
        <v>2296</v>
      </c>
      <c r="AS1640" s="7"/>
      <c r="AT1640" s="7"/>
      <c r="AU1640" s="7"/>
      <c r="AV1640" s="7"/>
      <c r="AW1640" s="7" t="s">
        <v>744</v>
      </c>
      <c r="AX1640" s="7" t="s">
        <v>10897</v>
      </c>
      <c r="AY1640" s="7"/>
      <c r="AZ1640" s="7"/>
      <c r="BA1640" s="7"/>
      <c r="BB1640" s="7"/>
      <c r="BC1640" s="7"/>
      <c r="BD1640" s="7"/>
      <c r="BE1640" s="7" t="s">
        <v>127</v>
      </c>
      <c r="BF1640" s="8"/>
      <c r="BG1640" s="8"/>
      <c r="BH1640" s="8"/>
      <c r="BI1640" s="8"/>
      <c r="BJ1640" s="8"/>
      <c r="BK1640" s="8"/>
      <c r="BL1640" s="8"/>
      <c r="BM1640" s="8"/>
      <c r="BN1640" s="8"/>
      <c r="BO1640" s="8"/>
      <c r="BP1640" s="8"/>
      <c r="BQ1640" s="8"/>
      <c r="BR1640" s="8"/>
      <c r="BS1640" s="8"/>
    </row>
    <row r="1641" customFormat="false" ht="15" hidden="false" customHeight="false" outlineLevel="0" collapsed="false">
      <c r="A1641" s="7" t="s">
        <v>10899</v>
      </c>
      <c r="B1641" s="7" t="s">
        <v>10900</v>
      </c>
      <c r="C1641" s="7" t="s">
        <v>10901</v>
      </c>
      <c r="D1641" s="7" t="s">
        <v>10902</v>
      </c>
      <c r="E1641" s="7" t="s">
        <v>516</v>
      </c>
      <c r="F1641" s="7" t="s">
        <v>516</v>
      </c>
      <c r="G1641" s="7"/>
      <c r="H1641" s="7"/>
      <c r="I1641" s="7" t="s">
        <v>132</v>
      </c>
      <c r="J1641" s="7" t="s">
        <v>104</v>
      </c>
      <c r="K1641" s="7" t="s">
        <v>105</v>
      </c>
      <c r="L1641" s="7" t="s">
        <v>106</v>
      </c>
      <c r="M1641" s="7"/>
      <c r="N1641" s="7" t="s">
        <v>10903</v>
      </c>
      <c r="O1641" s="7" t="s">
        <v>10903</v>
      </c>
      <c r="P1641" s="7" t="s">
        <v>135</v>
      </c>
      <c r="Q1641" s="7"/>
      <c r="R1641" s="7" t="s">
        <v>109</v>
      </c>
      <c r="S1641" s="7" t="s">
        <v>110</v>
      </c>
      <c r="T1641" s="7" t="n">
        <v>0.492</v>
      </c>
      <c r="U1641" s="7" t="n">
        <v>1</v>
      </c>
      <c r="V1641" s="7" t="s">
        <v>90</v>
      </c>
      <c r="W1641" s="7"/>
      <c r="X1641" s="7" t="s">
        <v>282</v>
      </c>
      <c r="Y1641" s="7" t="s">
        <v>10903</v>
      </c>
      <c r="Z1641" s="7"/>
      <c r="AA1641" s="7"/>
      <c r="AB1641" s="7"/>
      <c r="AC1641" s="7" t="n">
        <v>5</v>
      </c>
      <c r="AD1641" s="7" t="s">
        <v>743</v>
      </c>
      <c r="AE1641" s="7" t="s">
        <v>744</v>
      </c>
      <c r="AF1641" s="7" t="s">
        <v>10901</v>
      </c>
      <c r="AG1641" s="7" t="s">
        <v>744</v>
      </c>
      <c r="AH1641" s="7" t="s">
        <v>282</v>
      </c>
      <c r="AI1641" s="7"/>
      <c r="AJ1641" s="7"/>
      <c r="AK1641" s="7"/>
      <c r="AL1641" s="7"/>
      <c r="AM1641" s="7"/>
      <c r="AN1641" s="7"/>
      <c r="AO1641" s="7" t="s">
        <v>744</v>
      </c>
      <c r="AP1641" s="7" t="s">
        <v>10902</v>
      </c>
      <c r="AQ1641" s="7" t="s">
        <v>744</v>
      </c>
      <c r="AR1641" s="7" t="s">
        <v>516</v>
      </c>
      <c r="AS1641" s="7"/>
      <c r="AT1641" s="7"/>
      <c r="AU1641" s="7"/>
      <c r="AV1641" s="7"/>
      <c r="AW1641" s="7" t="s">
        <v>744</v>
      </c>
      <c r="AX1641" s="7" t="s">
        <v>10903</v>
      </c>
      <c r="AY1641" s="7"/>
      <c r="AZ1641" s="7"/>
      <c r="BA1641" s="7"/>
      <c r="BB1641" s="7"/>
      <c r="BC1641" s="7"/>
      <c r="BD1641" s="7" t="s">
        <v>440</v>
      </c>
      <c r="BE1641" s="7" t="s">
        <v>127</v>
      </c>
      <c r="BF1641" s="8"/>
      <c r="BG1641" s="8"/>
      <c r="BH1641" s="8"/>
      <c r="BI1641" s="8"/>
      <c r="BJ1641" s="8"/>
      <c r="BK1641" s="8"/>
      <c r="BL1641" s="8"/>
      <c r="BM1641" s="8"/>
      <c r="BN1641" s="8"/>
      <c r="BO1641" s="8"/>
      <c r="BP1641" s="8"/>
      <c r="BQ1641" s="8"/>
      <c r="BR1641" s="8"/>
      <c r="BS1641" s="8"/>
    </row>
    <row r="1642" customFormat="false" ht="15" hidden="false" customHeight="false" outlineLevel="0" collapsed="false">
      <c r="A1642" s="7" t="s">
        <v>10904</v>
      </c>
      <c r="B1642" s="7" t="s">
        <v>10905</v>
      </c>
      <c r="C1642" s="7" t="s">
        <v>10906</v>
      </c>
      <c r="D1642" s="7" t="s">
        <v>10907</v>
      </c>
      <c r="E1642" s="7" t="s">
        <v>888</v>
      </c>
      <c r="F1642" s="7" t="s">
        <v>888</v>
      </c>
      <c r="G1642" s="7"/>
      <c r="H1642" s="7"/>
      <c r="I1642" s="7" t="s">
        <v>158</v>
      </c>
      <c r="J1642" s="7" t="s">
        <v>104</v>
      </c>
      <c r="K1642" s="7" t="s">
        <v>105</v>
      </c>
      <c r="L1642" s="7" t="s">
        <v>106</v>
      </c>
      <c r="M1642" s="7"/>
      <c r="N1642" s="7" t="s">
        <v>10908</v>
      </c>
      <c r="O1642" s="7" t="s">
        <v>10908</v>
      </c>
      <c r="P1642" s="7" t="s">
        <v>135</v>
      </c>
      <c r="Q1642" s="7"/>
      <c r="R1642" s="7" t="s">
        <v>109</v>
      </c>
      <c r="S1642" s="7" t="s">
        <v>110</v>
      </c>
      <c r="T1642" s="7" t="n">
        <v>0.481</v>
      </c>
      <c r="U1642" s="7" t="n">
        <v>1</v>
      </c>
      <c r="V1642" s="7" t="s">
        <v>90</v>
      </c>
      <c r="W1642" s="7"/>
      <c r="X1642" s="7" t="s">
        <v>10909</v>
      </c>
      <c r="Y1642" s="7" t="s">
        <v>10908</v>
      </c>
      <c r="Z1642" s="7"/>
      <c r="AA1642" s="7"/>
      <c r="AB1642" s="7"/>
      <c r="AC1642" s="7" t="n">
        <v>5</v>
      </c>
      <c r="AD1642" s="7" t="s">
        <v>743</v>
      </c>
      <c r="AE1642" s="7" t="s">
        <v>744</v>
      </c>
      <c r="AF1642" s="7" t="s">
        <v>10906</v>
      </c>
      <c r="AG1642" s="7" t="s">
        <v>744</v>
      </c>
      <c r="AH1642" s="7" t="s">
        <v>10909</v>
      </c>
      <c r="AI1642" s="7"/>
      <c r="AJ1642" s="7"/>
      <c r="AK1642" s="7"/>
      <c r="AL1642" s="7"/>
      <c r="AM1642" s="7"/>
      <c r="AN1642" s="7"/>
      <c r="AO1642" s="7" t="s">
        <v>744</v>
      </c>
      <c r="AP1642" s="7" t="s">
        <v>10907</v>
      </c>
      <c r="AQ1642" s="7" t="s">
        <v>744</v>
      </c>
      <c r="AR1642" s="7" t="s">
        <v>888</v>
      </c>
      <c r="AS1642" s="7"/>
      <c r="AT1642" s="7"/>
      <c r="AU1642" s="7"/>
      <c r="AV1642" s="7"/>
      <c r="AW1642" s="7" t="s">
        <v>744</v>
      </c>
      <c r="AX1642" s="7" t="s">
        <v>10908</v>
      </c>
      <c r="AY1642" s="7"/>
      <c r="AZ1642" s="7"/>
      <c r="BA1642" s="7"/>
      <c r="BB1642" s="7"/>
      <c r="BC1642" s="7"/>
      <c r="BD1642" s="7" t="s">
        <v>440</v>
      </c>
      <c r="BE1642" s="7" t="s">
        <v>127</v>
      </c>
      <c r="BF1642" s="8"/>
      <c r="BG1642" s="8"/>
      <c r="BH1642" s="8"/>
      <c r="BI1642" s="8"/>
      <c r="BJ1642" s="8"/>
      <c r="BK1642" s="8"/>
      <c r="BL1642" s="8"/>
      <c r="BM1642" s="8"/>
      <c r="BN1642" s="8"/>
      <c r="BO1642" s="8"/>
      <c r="BP1642" s="8"/>
      <c r="BQ1642" s="8"/>
      <c r="BR1642" s="8"/>
      <c r="BS1642" s="8"/>
    </row>
    <row r="1643" customFormat="false" ht="15" hidden="false" customHeight="false" outlineLevel="0" collapsed="false">
      <c r="A1643" s="7" t="s">
        <v>10910</v>
      </c>
      <c r="B1643" s="7" t="s">
        <v>10911</v>
      </c>
      <c r="C1643" s="7" t="s">
        <v>4093</v>
      </c>
      <c r="D1643" s="7" t="s">
        <v>10907</v>
      </c>
      <c r="E1643" s="7" t="s">
        <v>888</v>
      </c>
      <c r="F1643" s="7" t="s">
        <v>888</v>
      </c>
      <c r="G1643" s="7"/>
      <c r="H1643" s="7"/>
      <c r="I1643" s="7" t="s">
        <v>132</v>
      </c>
      <c r="J1643" s="7" t="s">
        <v>104</v>
      </c>
      <c r="K1643" s="7" t="s">
        <v>105</v>
      </c>
      <c r="L1643" s="7" t="s">
        <v>106</v>
      </c>
      <c r="M1643" s="7"/>
      <c r="N1643" s="7" t="s">
        <v>10912</v>
      </c>
      <c r="O1643" s="7" t="s">
        <v>10912</v>
      </c>
      <c r="P1643" s="7" t="s">
        <v>135</v>
      </c>
      <c r="Q1643" s="7"/>
      <c r="R1643" s="7" t="s">
        <v>109</v>
      </c>
      <c r="S1643" s="7" t="s">
        <v>110</v>
      </c>
      <c r="T1643" s="7" t="n">
        <v>0.564</v>
      </c>
      <c r="U1643" s="7" t="n">
        <v>1</v>
      </c>
      <c r="V1643" s="7" t="s">
        <v>90</v>
      </c>
      <c r="W1643" s="7"/>
      <c r="X1643" s="7" t="s">
        <v>10909</v>
      </c>
      <c r="Y1643" s="7" t="s">
        <v>10912</v>
      </c>
      <c r="Z1643" s="7"/>
      <c r="AA1643" s="7"/>
      <c r="AB1643" s="7"/>
      <c r="AC1643" s="7" t="n">
        <v>5</v>
      </c>
      <c r="AD1643" s="7" t="s">
        <v>743</v>
      </c>
      <c r="AE1643" s="7" t="s">
        <v>744</v>
      </c>
      <c r="AF1643" s="7" t="s">
        <v>4093</v>
      </c>
      <c r="AG1643" s="7" t="s">
        <v>744</v>
      </c>
      <c r="AH1643" s="7" t="s">
        <v>10909</v>
      </c>
      <c r="AI1643" s="7"/>
      <c r="AJ1643" s="7"/>
      <c r="AK1643" s="7"/>
      <c r="AL1643" s="7"/>
      <c r="AM1643" s="7"/>
      <c r="AN1643" s="7"/>
      <c r="AO1643" s="7" t="s">
        <v>744</v>
      </c>
      <c r="AP1643" s="7" t="s">
        <v>10907</v>
      </c>
      <c r="AQ1643" s="7" t="s">
        <v>744</v>
      </c>
      <c r="AR1643" s="7" t="s">
        <v>888</v>
      </c>
      <c r="AS1643" s="7"/>
      <c r="AT1643" s="7"/>
      <c r="AU1643" s="7"/>
      <c r="AV1643" s="7"/>
      <c r="AW1643" s="7" t="s">
        <v>744</v>
      </c>
      <c r="AX1643" s="7" t="s">
        <v>10912</v>
      </c>
      <c r="AY1643" s="7"/>
      <c r="AZ1643" s="7"/>
      <c r="BA1643" s="7"/>
      <c r="BB1643" s="7"/>
      <c r="BC1643" s="7"/>
      <c r="BD1643" s="7" t="s">
        <v>440</v>
      </c>
      <c r="BE1643" s="7" t="s">
        <v>127</v>
      </c>
      <c r="BF1643" s="8"/>
      <c r="BG1643" s="8"/>
      <c r="BH1643" s="8"/>
      <c r="BI1643" s="8"/>
      <c r="BJ1643" s="8"/>
      <c r="BK1643" s="8"/>
      <c r="BL1643" s="8"/>
      <c r="BM1643" s="8"/>
      <c r="BN1643" s="8"/>
      <c r="BO1643" s="8"/>
      <c r="BP1643" s="8"/>
      <c r="BQ1643" s="8"/>
      <c r="BR1643" s="8"/>
      <c r="BS1643" s="8"/>
    </row>
    <row r="1644" customFormat="false" ht="15" hidden="false" customHeight="false" outlineLevel="0" collapsed="false">
      <c r="A1644" s="7" t="s">
        <v>10913</v>
      </c>
      <c r="B1644" s="7" t="s">
        <v>10914</v>
      </c>
      <c r="C1644" s="7" t="s">
        <v>10915</v>
      </c>
      <c r="D1644" s="7" t="s">
        <v>746</v>
      </c>
      <c r="E1644" s="7" t="s">
        <v>741</v>
      </c>
      <c r="F1644" s="7" t="s">
        <v>741</v>
      </c>
      <c r="G1644" s="7"/>
      <c r="H1644" s="7"/>
      <c r="I1644" s="7" t="s">
        <v>158</v>
      </c>
      <c r="J1644" s="7" t="s">
        <v>104</v>
      </c>
      <c r="K1644" s="7" t="s">
        <v>105</v>
      </c>
      <c r="L1644" s="7" t="s">
        <v>106</v>
      </c>
      <c r="M1644" s="7"/>
      <c r="N1644" s="7" t="s">
        <v>10916</v>
      </c>
      <c r="O1644" s="7" t="s">
        <v>10916</v>
      </c>
      <c r="P1644" s="7" t="s">
        <v>135</v>
      </c>
      <c r="Q1644" s="7"/>
      <c r="R1644" s="7" t="s">
        <v>109</v>
      </c>
      <c r="S1644" s="7" t="s">
        <v>110</v>
      </c>
      <c r="T1644" s="7" t="n">
        <v>0.507</v>
      </c>
      <c r="U1644" s="7" t="n">
        <v>1</v>
      </c>
      <c r="V1644" s="7" t="s">
        <v>90</v>
      </c>
      <c r="W1644" s="7"/>
      <c r="X1644" s="7" t="s">
        <v>10909</v>
      </c>
      <c r="Y1644" s="7" t="s">
        <v>10916</v>
      </c>
      <c r="Z1644" s="7"/>
      <c r="AA1644" s="7"/>
      <c r="AB1644" s="7"/>
      <c r="AC1644" s="7" t="n">
        <v>5</v>
      </c>
      <c r="AD1644" s="7" t="s">
        <v>743</v>
      </c>
      <c r="AE1644" s="7" t="s">
        <v>744</v>
      </c>
      <c r="AF1644" s="7" t="s">
        <v>10915</v>
      </c>
      <c r="AG1644" s="7" t="s">
        <v>744</v>
      </c>
      <c r="AH1644" s="7" t="s">
        <v>10909</v>
      </c>
      <c r="AI1644" s="7"/>
      <c r="AJ1644" s="7"/>
      <c r="AK1644" s="7"/>
      <c r="AL1644" s="7"/>
      <c r="AM1644" s="7"/>
      <c r="AN1644" s="7"/>
      <c r="AO1644" s="7" t="s">
        <v>744</v>
      </c>
      <c r="AP1644" s="7" t="s">
        <v>746</v>
      </c>
      <c r="AQ1644" s="7" t="s">
        <v>744</v>
      </c>
      <c r="AR1644" s="7" t="s">
        <v>741</v>
      </c>
      <c r="AS1644" s="7"/>
      <c r="AT1644" s="7"/>
      <c r="AU1644" s="7"/>
      <c r="AV1644" s="7"/>
      <c r="AW1644" s="7" t="s">
        <v>744</v>
      </c>
      <c r="AX1644" s="7" t="s">
        <v>10916</v>
      </c>
      <c r="AY1644" s="7"/>
      <c r="AZ1644" s="7"/>
      <c r="BA1644" s="7"/>
      <c r="BB1644" s="7"/>
      <c r="BC1644" s="7"/>
      <c r="BD1644" s="7" t="s">
        <v>747</v>
      </c>
      <c r="BE1644" s="7" t="s">
        <v>127</v>
      </c>
      <c r="BF1644" s="8"/>
      <c r="BG1644" s="8"/>
      <c r="BH1644" s="8"/>
      <c r="BI1644" s="8"/>
      <c r="BJ1644" s="8"/>
      <c r="BK1644" s="8"/>
      <c r="BL1644" s="8"/>
      <c r="BM1644" s="8"/>
      <c r="BN1644" s="8"/>
      <c r="BO1644" s="8"/>
      <c r="BP1644" s="8"/>
      <c r="BQ1644" s="8"/>
      <c r="BR1644" s="8"/>
      <c r="BS1644" s="8"/>
    </row>
    <row r="1645" customFormat="false" ht="15" hidden="false" customHeight="false" outlineLevel="0" collapsed="false">
      <c r="A1645" s="7" t="s">
        <v>10917</v>
      </c>
      <c r="B1645" s="7" t="s">
        <v>10918</v>
      </c>
      <c r="C1645" s="7" t="s">
        <v>10919</v>
      </c>
      <c r="D1645" s="7" t="s">
        <v>10907</v>
      </c>
      <c r="E1645" s="7" t="s">
        <v>888</v>
      </c>
      <c r="F1645" s="7" t="s">
        <v>888</v>
      </c>
      <c r="G1645" s="7"/>
      <c r="H1645" s="7"/>
      <c r="I1645" s="7" t="s">
        <v>158</v>
      </c>
      <c r="J1645" s="7" t="s">
        <v>104</v>
      </c>
      <c r="K1645" s="7" t="s">
        <v>105</v>
      </c>
      <c r="L1645" s="7" t="s">
        <v>353</v>
      </c>
      <c r="M1645" s="7"/>
      <c r="N1645" s="7" t="s">
        <v>10920</v>
      </c>
      <c r="O1645" s="7" t="s">
        <v>10920</v>
      </c>
      <c r="P1645" s="7" t="s">
        <v>135</v>
      </c>
      <c r="Q1645" s="7"/>
      <c r="R1645" s="7" t="s">
        <v>109</v>
      </c>
      <c r="S1645" s="7" t="s">
        <v>110</v>
      </c>
      <c r="T1645" s="7" t="n">
        <v>0.476</v>
      </c>
      <c r="U1645" s="7" t="n">
        <v>1</v>
      </c>
      <c r="V1645" s="7" t="s">
        <v>90</v>
      </c>
      <c r="W1645" s="7"/>
      <c r="X1645" s="7" t="s">
        <v>10909</v>
      </c>
      <c r="Y1645" s="7" t="s">
        <v>10920</v>
      </c>
      <c r="Z1645" s="7"/>
      <c r="AA1645" s="7"/>
      <c r="AB1645" s="7"/>
      <c r="AC1645" s="7" t="n">
        <v>5</v>
      </c>
      <c r="AD1645" s="7" t="s">
        <v>743</v>
      </c>
      <c r="AE1645" s="7" t="s">
        <v>744</v>
      </c>
      <c r="AF1645" s="7" t="s">
        <v>10919</v>
      </c>
      <c r="AG1645" s="7" t="s">
        <v>744</v>
      </c>
      <c r="AH1645" s="7" t="s">
        <v>10909</v>
      </c>
      <c r="AI1645" s="7"/>
      <c r="AJ1645" s="7"/>
      <c r="AK1645" s="7"/>
      <c r="AL1645" s="7"/>
      <c r="AM1645" s="7"/>
      <c r="AN1645" s="7"/>
      <c r="AO1645" s="7" t="s">
        <v>744</v>
      </c>
      <c r="AP1645" s="7" t="s">
        <v>10907</v>
      </c>
      <c r="AQ1645" s="7" t="s">
        <v>744</v>
      </c>
      <c r="AR1645" s="7" t="s">
        <v>888</v>
      </c>
      <c r="AS1645" s="7"/>
      <c r="AT1645" s="7"/>
      <c r="AU1645" s="7"/>
      <c r="AV1645" s="7"/>
      <c r="AW1645" s="7" t="s">
        <v>744</v>
      </c>
      <c r="AX1645" s="7" t="s">
        <v>10920</v>
      </c>
      <c r="AY1645" s="7"/>
      <c r="AZ1645" s="7"/>
      <c r="BA1645" s="7"/>
      <c r="BB1645" s="7"/>
      <c r="BC1645" s="7"/>
      <c r="BD1645" s="7" t="s">
        <v>440</v>
      </c>
      <c r="BE1645" s="7" t="s">
        <v>127</v>
      </c>
      <c r="BF1645" s="8"/>
      <c r="BG1645" s="8"/>
      <c r="BH1645" s="8"/>
      <c r="BI1645" s="8"/>
      <c r="BJ1645" s="8"/>
      <c r="BK1645" s="8"/>
      <c r="BL1645" s="8"/>
      <c r="BM1645" s="8"/>
      <c r="BN1645" s="8"/>
      <c r="BO1645" s="8"/>
      <c r="BP1645" s="8"/>
      <c r="BQ1645" s="8"/>
      <c r="BR1645" s="8"/>
      <c r="BS1645" s="8"/>
    </row>
    <row r="1646" customFormat="false" ht="15" hidden="false" customHeight="false" outlineLevel="0" collapsed="false">
      <c r="A1646" s="7" t="s">
        <v>10921</v>
      </c>
      <c r="B1646" s="7" t="s">
        <v>10922</v>
      </c>
      <c r="C1646" s="7" t="s">
        <v>10923</v>
      </c>
      <c r="D1646" s="7" t="s">
        <v>10924</v>
      </c>
      <c r="E1646" s="7" t="s">
        <v>888</v>
      </c>
      <c r="F1646" s="7" t="s">
        <v>888</v>
      </c>
      <c r="G1646" s="7"/>
      <c r="H1646" s="7"/>
      <c r="I1646" s="7" t="s">
        <v>132</v>
      </c>
      <c r="J1646" s="7" t="s">
        <v>104</v>
      </c>
      <c r="K1646" s="7" t="s">
        <v>105</v>
      </c>
      <c r="L1646" s="7" t="s">
        <v>106</v>
      </c>
      <c r="M1646" s="7"/>
      <c r="N1646" s="7" t="s">
        <v>10925</v>
      </c>
      <c r="O1646" s="7" t="s">
        <v>10925</v>
      </c>
      <c r="P1646" s="7" t="s">
        <v>135</v>
      </c>
      <c r="Q1646" s="7"/>
      <c r="R1646" s="7" t="s">
        <v>109</v>
      </c>
      <c r="S1646" s="7" t="s">
        <v>110</v>
      </c>
      <c r="T1646" s="7" t="n">
        <v>0.315</v>
      </c>
      <c r="U1646" s="7" t="n">
        <v>1</v>
      </c>
      <c r="V1646" s="7" t="s">
        <v>90</v>
      </c>
      <c r="W1646" s="7"/>
      <c r="X1646" s="7" t="s">
        <v>1974</v>
      </c>
      <c r="Y1646" s="7" t="s">
        <v>10925</v>
      </c>
      <c r="Z1646" s="7"/>
      <c r="AA1646" s="7"/>
      <c r="AB1646" s="7"/>
      <c r="AC1646" s="7" t="n">
        <v>5</v>
      </c>
      <c r="AD1646" s="7" t="s">
        <v>743</v>
      </c>
      <c r="AE1646" s="7" t="s">
        <v>744</v>
      </c>
      <c r="AF1646" s="7" t="s">
        <v>10923</v>
      </c>
      <c r="AG1646" s="7" t="s">
        <v>744</v>
      </c>
      <c r="AH1646" s="7" t="s">
        <v>1974</v>
      </c>
      <c r="AI1646" s="7"/>
      <c r="AJ1646" s="7"/>
      <c r="AK1646" s="7"/>
      <c r="AL1646" s="7"/>
      <c r="AM1646" s="7"/>
      <c r="AN1646" s="7"/>
      <c r="AO1646" s="7" t="s">
        <v>744</v>
      </c>
      <c r="AP1646" s="7" t="s">
        <v>10924</v>
      </c>
      <c r="AQ1646" s="7" t="s">
        <v>744</v>
      </c>
      <c r="AR1646" s="7" t="s">
        <v>888</v>
      </c>
      <c r="AS1646" s="7"/>
      <c r="AT1646" s="7"/>
      <c r="AU1646" s="7"/>
      <c r="AV1646" s="7"/>
      <c r="AW1646" s="7" t="s">
        <v>744</v>
      </c>
      <c r="AX1646" s="7" t="s">
        <v>10925</v>
      </c>
      <c r="AY1646" s="7"/>
      <c r="AZ1646" s="7"/>
      <c r="BA1646" s="7"/>
      <c r="BB1646" s="7"/>
      <c r="BC1646" s="7"/>
      <c r="BD1646" s="7" t="s">
        <v>440</v>
      </c>
      <c r="BE1646" s="7" t="s">
        <v>127</v>
      </c>
      <c r="BF1646" s="8"/>
      <c r="BG1646" s="8"/>
      <c r="BH1646" s="8"/>
      <c r="BI1646" s="8"/>
      <c r="BJ1646" s="8"/>
      <c r="BK1646" s="8"/>
      <c r="BL1646" s="8"/>
      <c r="BM1646" s="8"/>
      <c r="BN1646" s="8"/>
      <c r="BO1646" s="8"/>
      <c r="BP1646" s="8"/>
      <c r="BQ1646" s="8"/>
      <c r="BR1646" s="8"/>
      <c r="BS1646" s="8"/>
    </row>
    <row r="1647" customFormat="false" ht="15" hidden="false" customHeight="false" outlineLevel="0" collapsed="false">
      <c r="A1647" s="7" t="s">
        <v>10926</v>
      </c>
      <c r="B1647" s="7" t="s">
        <v>10927</v>
      </c>
      <c r="C1647" s="7" t="s">
        <v>10928</v>
      </c>
      <c r="D1647" s="7" t="s">
        <v>746</v>
      </c>
      <c r="E1647" s="7" t="s">
        <v>741</v>
      </c>
      <c r="F1647" s="7" t="s">
        <v>741</v>
      </c>
      <c r="G1647" s="7"/>
      <c r="H1647" s="7"/>
      <c r="I1647" s="7" t="s">
        <v>158</v>
      </c>
      <c r="J1647" s="7" t="s">
        <v>104</v>
      </c>
      <c r="K1647" s="7" t="s">
        <v>105</v>
      </c>
      <c r="L1647" s="7" t="s">
        <v>106</v>
      </c>
      <c r="M1647" s="7"/>
      <c r="N1647" s="7" t="s">
        <v>10929</v>
      </c>
      <c r="O1647" s="7" t="s">
        <v>10929</v>
      </c>
      <c r="P1647" s="7" t="s">
        <v>135</v>
      </c>
      <c r="Q1647" s="7"/>
      <c r="R1647" s="7" t="s">
        <v>109</v>
      </c>
      <c r="S1647" s="7" t="s">
        <v>110</v>
      </c>
      <c r="T1647" s="7" t="n">
        <v>0.522</v>
      </c>
      <c r="U1647" s="7" t="n">
        <v>1</v>
      </c>
      <c r="V1647" s="7" t="s">
        <v>90</v>
      </c>
      <c r="W1647" s="7"/>
      <c r="X1647" s="7" t="s">
        <v>1974</v>
      </c>
      <c r="Y1647" s="7" t="s">
        <v>10929</v>
      </c>
      <c r="Z1647" s="7"/>
      <c r="AA1647" s="7"/>
      <c r="AB1647" s="7"/>
      <c r="AC1647" s="7" t="n">
        <v>5</v>
      </c>
      <c r="AD1647" s="7" t="s">
        <v>743</v>
      </c>
      <c r="AE1647" s="7" t="s">
        <v>744</v>
      </c>
      <c r="AF1647" s="7" t="s">
        <v>10928</v>
      </c>
      <c r="AG1647" s="7" t="s">
        <v>744</v>
      </c>
      <c r="AH1647" s="7" t="s">
        <v>1974</v>
      </c>
      <c r="AI1647" s="7"/>
      <c r="AJ1647" s="7"/>
      <c r="AK1647" s="7"/>
      <c r="AL1647" s="7"/>
      <c r="AM1647" s="7"/>
      <c r="AN1647" s="7"/>
      <c r="AO1647" s="7" t="s">
        <v>744</v>
      </c>
      <c r="AP1647" s="7" t="s">
        <v>746</v>
      </c>
      <c r="AQ1647" s="7" t="s">
        <v>744</v>
      </c>
      <c r="AR1647" s="7" t="s">
        <v>741</v>
      </c>
      <c r="AS1647" s="7"/>
      <c r="AT1647" s="7"/>
      <c r="AU1647" s="7"/>
      <c r="AV1647" s="7"/>
      <c r="AW1647" s="7" t="s">
        <v>744</v>
      </c>
      <c r="AX1647" s="7" t="s">
        <v>10929</v>
      </c>
      <c r="AY1647" s="7"/>
      <c r="AZ1647" s="7"/>
      <c r="BA1647" s="7"/>
      <c r="BB1647" s="7"/>
      <c r="BC1647" s="7"/>
      <c r="BD1647" s="7" t="s">
        <v>747</v>
      </c>
      <c r="BE1647" s="7" t="s">
        <v>127</v>
      </c>
      <c r="BF1647" s="8"/>
      <c r="BG1647" s="8"/>
      <c r="BH1647" s="8"/>
      <c r="BI1647" s="8"/>
      <c r="BJ1647" s="8"/>
      <c r="BK1647" s="8"/>
      <c r="BL1647" s="8"/>
      <c r="BM1647" s="8"/>
      <c r="BN1647" s="8"/>
      <c r="BO1647" s="8"/>
      <c r="BP1647" s="8"/>
      <c r="BQ1647" s="8"/>
      <c r="BR1647" s="8"/>
      <c r="BS1647" s="8"/>
    </row>
    <row r="1648" customFormat="false" ht="15" hidden="false" customHeight="false" outlineLevel="0" collapsed="false">
      <c r="A1648" s="7" t="s">
        <v>10930</v>
      </c>
      <c r="B1648" s="7" t="s">
        <v>10931</v>
      </c>
      <c r="C1648" s="7" t="s">
        <v>10932</v>
      </c>
      <c r="D1648" s="7" t="s">
        <v>746</v>
      </c>
      <c r="E1648" s="7" t="s">
        <v>507</v>
      </c>
      <c r="F1648" s="7" t="s">
        <v>507</v>
      </c>
      <c r="G1648" s="7"/>
      <c r="H1648" s="7"/>
      <c r="I1648" s="7" t="s">
        <v>158</v>
      </c>
      <c r="J1648" s="7" t="s">
        <v>104</v>
      </c>
      <c r="K1648" s="7" t="s">
        <v>105</v>
      </c>
      <c r="L1648" s="7" t="s">
        <v>106</v>
      </c>
      <c r="M1648" s="7"/>
      <c r="N1648" s="7" t="s">
        <v>10933</v>
      </c>
      <c r="O1648" s="7" t="s">
        <v>10933</v>
      </c>
      <c r="P1648" s="7" t="s">
        <v>135</v>
      </c>
      <c r="Q1648" s="7"/>
      <c r="R1648" s="7" t="s">
        <v>109</v>
      </c>
      <c r="S1648" s="7" t="s">
        <v>110</v>
      </c>
      <c r="T1648" s="7" t="n">
        <v>0.55</v>
      </c>
      <c r="U1648" s="7" t="n">
        <v>1</v>
      </c>
      <c r="V1648" s="7" t="s">
        <v>90</v>
      </c>
      <c r="W1648" s="7"/>
      <c r="X1648" s="7" t="s">
        <v>6907</v>
      </c>
      <c r="Y1648" s="7" t="s">
        <v>10933</v>
      </c>
      <c r="Z1648" s="7"/>
      <c r="AA1648" s="7"/>
      <c r="AB1648" s="7"/>
      <c r="AC1648" s="7" t="n">
        <v>5</v>
      </c>
      <c r="AD1648" s="7" t="s">
        <v>743</v>
      </c>
      <c r="AE1648" s="7" t="s">
        <v>744</v>
      </c>
      <c r="AF1648" s="7" t="s">
        <v>10932</v>
      </c>
      <c r="AG1648" s="7" t="s">
        <v>744</v>
      </c>
      <c r="AH1648" s="7" t="s">
        <v>6907</v>
      </c>
      <c r="AI1648" s="7"/>
      <c r="AJ1648" s="7"/>
      <c r="AK1648" s="7"/>
      <c r="AL1648" s="7"/>
      <c r="AM1648" s="7"/>
      <c r="AN1648" s="7"/>
      <c r="AO1648" s="7" t="s">
        <v>744</v>
      </c>
      <c r="AP1648" s="7" t="s">
        <v>746</v>
      </c>
      <c r="AQ1648" s="7" t="s">
        <v>744</v>
      </c>
      <c r="AR1648" s="7" t="s">
        <v>507</v>
      </c>
      <c r="AS1648" s="7"/>
      <c r="AT1648" s="7"/>
      <c r="AU1648" s="7"/>
      <c r="AV1648" s="7"/>
      <c r="AW1648" s="7" t="s">
        <v>744</v>
      </c>
      <c r="AX1648" s="7" t="s">
        <v>10933</v>
      </c>
      <c r="AY1648" s="7"/>
      <c r="AZ1648" s="7"/>
      <c r="BA1648" s="7"/>
      <c r="BB1648" s="7"/>
      <c r="BC1648" s="7"/>
      <c r="BD1648" s="7" t="s">
        <v>747</v>
      </c>
      <c r="BE1648" s="7" t="s">
        <v>127</v>
      </c>
      <c r="BF1648" s="8"/>
      <c r="BG1648" s="8"/>
      <c r="BH1648" s="8"/>
      <c r="BI1648" s="8"/>
      <c r="BJ1648" s="8"/>
      <c r="BK1648" s="8"/>
      <c r="BL1648" s="8"/>
      <c r="BM1648" s="8"/>
      <c r="BN1648" s="8"/>
      <c r="BO1648" s="8"/>
      <c r="BP1648" s="8"/>
      <c r="BQ1648" s="8"/>
      <c r="BR1648" s="8"/>
      <c r="BS1648" s="8"/>
    </row>
    <row r="1649" customFormat="false" ht="15" hidden="false" customHeight="false" outlineLevel="0" collapsed="false">
      <c r="A1649" s="7" t="s">
        <v>10934</v>
      </c>
      <c r="B1649" s="7" t="s">
        <v>10935</v>
      </c>
      <c r="C1649" s="7" t="s">
        <v>10936</v>
      </c>
      <c r="D1649" s="7" t="s">
        <v>746</v>
      </c>
      <c r="E1649" s="7" t="s">
        <v>507</v>
      </c>
      <c r="F1649" s="7" t="s">
        <v>507</v>
      </c>
      <c r="G1649" s="7"/>
      <c r="H1649" s="7"/>
      <c r="I1649" s="7" t="s">
        <v>158</v>
      </c>
      <c r="J1649" s="7" t="s">
        <v>104</v>
      </c>
      <c r="K1649" s="7" t="s">
        <v>105</v>
      </c>
      <c r="L1649" s="7" t="s">
        <v>106</v>
      </c>
      <c r="M1649" s="7"/>
      <c r="N1649" s="7" t="s">
        <v>10937</v>
      </c>
      <c r="O1649" s="7" t="s">
        <v>10937</v>
      </c>
      <c r="P1649" s="7" t="s">
        <v>135</v>
      </c>
      <c r="Q1649" s="7"/>
      <c r="R1649" s="7" t="s">
        <v>109</v>
      </c>
      <c r="S1649" s="7" t="s">
        <v>110</v>
      </c>
      <c r="T1649" s="7" t="n">
        <v>0.609</v>
      </c>
      <c r="U1649" s="7" t="n">
        <v>1</v>
      </c>
      <c r="V1649" s="7" t="s">
        <v>90</v>
      </c>
      <c r="W1649" s="7"/>
      <c r="X1649" s="7" t="s">
        <v>6907</v>
      </c>
      <c r="Y1649" s="7" t="s">
        <v>10937</v>
      </c>
      <c r="Z1649" s="7"/>
      <c r="AA1649" s="7"/>
      <c r="AB1649" s="7"/>
      <c r="AC1649" s="7" t="n">
        <v>5</v>
      </c>
      <c r="AD1649" s="7" t="s">
        <v>743</v>
      </c>
      <c r="AE1649" s="7" t="s">
        <v>744</v>
      </c>
      <c r="AF1649" s="7" t="s">
        <v>10936</v>
      </c>
      <c r="AG1649" s="7" t="s">
        <v>744</v>
      </c>
      <c r="AH1649" s="7" t="s">
        <v>6907</v>
      </c>
      <c r="AI1649" s="7"/>
      <c r="AJ1649" s="7"/>
      <c r="AK1649" s="7"/>
      <c r="AL1649" s="7"/>
      <c r="AM1649" s="7"/>
      <c r="AN1649" s="7"/>
      <c r="AO1649" s="7" t="s">
        <v>744</v>
      </c>
      <c r="AP1649" s="7" t="s">
        <v>746</v>
      </c>
      <c r="AQ1649" s="7" t="s">
        <v>744</v>
      </c>
      <c r="AR1649" s="7" t="s">
        <v>507</v>
      </c>
      <c r="AS1649" s="7"/>
      <c r="AT1649" s="7"/>
      <c r="AU1649" s="7"/>
      <c r="AV1649" s="7"/>
      <c r="AW1649" s="7" t="s">
        <v>744</v>
      </c>
      <c r="AX1649" s="7" t="s">
        <v>10937</v>
      </c>
      <c r="AY1649" s="7"/>
      <c r="AZ1649" s="7"/>
      <c r="BA1649" s="7"/>
      <c r="BB1649" s="7"/>
      <c r="BC1649" s="7"/>
      <c r="BD1649" s="7" t="s">
        <v>747</v>
      </c>
      <c r="BE1649" s="7" t="s">
        <v>127</v>
      </c>
      <c r="BF1649" s="8"/>
      <c r="BG1649" s="8"/>
      <c r="BH1649" s="8"/>
      <c r="BI1649" s="8"/>
      <c r="BJ1649" s="8"/>
      <c r="BK1649" s="8"/>
      <c r="BL1649" s="8"/>
      <c r="BM1649" s="8"/>
      <c r="BN1649" s="8"/>
      <c r="BO1649" s="8"/>
      <c r="BP1649" s="8"/>
      <c r="BQ1649" s="8"/>
      <c r="BR1649" s="8"/>
      <c r="BS1649" s="8"/>
    </row>
    <row r="1650" customFormat="false" ht="15" hidden="false" customHeight="false" outlineLevel="0" collapsed="false">
      <c r="A1650" s="7" t="s">
        <v>10938</v>
      </c>
      <c r="B1650" s="7" t="s">
        <v>10939</v>
      </c>
      <c r="C1650" s="7" t="s">
        <v>10940</v>
      </c>
      <c r="D1650" s="7" t="s">
        <v>10941</v>
      </c>
      <c r="E1650" s="7" t="s">
        <v>431</v>
      </c>
      <c r="F1650" s="7" t="s">
        <v>431</v>
      </c>
      <c r="G1650" s="7"/>
      <c r="H1650" s="7"/>
      <c r="I1650" s="7" t="s">
        <v>158</v>
      </c>
      <c r="J1650" s="7" t="s">
        <v>104</v>
      </c>
      <c r="K1650" s="7" t="s">
        <v>105</v>
      </c>
      <c r="L1650" s="7" t="s">
        <v>353</v>
      </c>
      <c r="M1650" s="7"/>
      <c r="N1650" s="7" t="s">
        <v>10942</v>
      </c>
      <c r="O1650" s="7" t="s">
        <v>10942</v>
      </c>
      <c r="P1650" s="7" t="s">
        <v>135</v>
      </c>
      <c r="Q1650" s="7"/>
      <c r="R1650" s="7" t="s">
        <v>109</v>
      </c>
      <c r="S1650" s="7" t="s">
        <v>110</v>
      </c>
      <c r="T1650" s="7" t="n">
        <v>0.597</v>
      </c>
      <c r="U1650" s="7" t="n">
        <v>1</v>
      </c>
      <c r="V1650" s="7" t="s">
        <v>90</v>
      </c>
      <c r="W1650" s="7"/>
      <c r="X1650" s="7" t="s">
        <v>6907</v>
      </c>
      <c r="Y1650" s="7" t="s">
        <v>10942</v>
      </c>
      <c r="Z1650" s="7"/>
      <c r="AA1650" s="7"/>
      <c r="AB1650" s="7"/>
      <c r="AC1650" s="7" t="n">
        <v>6</v>
      </c>
      <c r="AD1650" s="7" t="s">
        <v>1235</v>
      </c>
      <c r="AE1650" s="7" t="s">
        <v>744</v>
      </c>
      <c r="AF1650" s="7" t="s">
        <v>10940</v>
      </c>
      <c r="AG1650" s="7" t="s">
        <v>744</v>
      </c>
      <c r="AH1650" s="7" t="s">
        <v>6907</v>
      </c>
      <c r="AI1650" s="7"/>
      <c r="AJ1650" s="7"/>
      <c r="AK1650" s="7"/>
      <c r="AL1650" s="7"/>
      <c r="AM1650" s="7" t="s">
        <v>744</v>
      </c>
      <c r="AN1650" s="7" t="s">
        <v>10943</v>
      </c>
      <c r="AO1650" s="7" t="s">
        <v>744</v>
      </c>
      <c r="AP1650" s="7" t="s">
        <v>10941</v>
      </c>
      <c r="AQ1650" s="7" t="s">
        <v>744</v>
      </c>
      <c r="AR1650" s="7" t="s">
        <v>431</v>
      </c>
      <c r="AS1650" s="7"/>
      <c r="AT1650" s="7"/>
      <c r="AU1650" s="7"/>
      <c r="AV1650" s="7"/>
      <c r="AW1650" s="7" t="s">
        <v>744</v>
      </c>
      <c r="AX1650" s="7" t="s">
        <v>10942</v>
      </c>
      <c r="AY1650" s="7"/>
      <c r="AZ1650" s="7"/>
      <c r="BA1650" s="7"/>
      <c r="BB1650" s="7"/>
      <c r="BC1650" s="7"/>
      <c r="BD1650" s="7"/>
      <c r="BE1650" s="7" t="s">
        <v>127</v>
      </c>
      <c r="BF1650" s="8"/>
      <c r="BG1650" s="8"/>
      <c r="BH1650" s="8"/>
      <c r="BI1650" s="8"/>
      <c r="BJ1650" s="8"/>
      <c r="BK1650" s="8"/>
      <c r="BL1650" s="8"/>
      <c r="BM1650" s="8"/>
      <c r="BN1650" s="8"/>
      <c r="BO1650" s="8"/>
      <c r="BP1650" s="8"/>
      <c r="BQ1650" s="8"/>
      <c r="BR1650" s="8"/>
      <c r="BS1650" s="8"/>
    </row>
    <row r="1651" customFormat="false" ht="15" hidden="false" customHeight="false" outlineLevel="0" collapsed="false">
      <c r="A1651" s="7" t="s">
        <v>10944</v>
      </c>
      <c r="B1651" s="7" t="s">
        <v>10945</v>
      </c>
      <c r="C1651" s="7" t="s">
        <v>10946</v>
      </c>
      <c r="D1651" s="7" t="s">
        <v>10907</v>
      </c>
      <c r="E1651" s="7" t="s">
        <v>888</v>
      </c>
      <c r="F1651" s="7" t="s">
        <v>888</v>
      </c>
      <c r="G1651" s="7"/>
      <c r="H1651" s="7"/>
      <c r="I1651" s="7" t="s">
        <v>158</v>
      </c>
      <c r="J1651" s="7" t="s">
        <v>104</v>
      </c>
      <c r="K1651" s="7" t="s">
        <v>105</v>
      </c>
      <c r="L1651" s="7" t="s">
        <v>106</v>
      </c>
      <c r="M1651" s="7"/>
      <c r="N1651" s="7" t="s">
        <v>10947</v>
      </c>
      <c r="O1651" s="7" t="s">
        <v>10947</v>
      </c>
      <c r="P1651" s="7" t="s">
        <v>135</v>
      </c>
      <c r="Q1651" s="7"/>
      <c r="R1651" s="7" t="s">
        <v>109</v>
      </c>
      <c r="S1651" s="7" t="s">
        <v>110</v>
      </c>
      <c r="T1651" s="7" t="n">
        <v>0.645</v>
      </c>
      <c r="U1651" s="7" t="n">
        <v>1</v>
      </c>
      <c r="V1651" s="7" t="s">
        <v>90</v>
      </c>
      <c r="W1651" s="7"/>
      <c r="X1651" s="7" t="s">
        <v>6907</v>
      </c>
      <c r="Y1651" s="7" t="s">
        <v>10947</v>
      </c>
      <c r="Z1651" s="7"/>
      <c r="AA1651" s="7"/>
      <c r="AB1651" s="7"/>
      <c r="AC1651" s="7" t="n">
        <v>5</v>
      </c>
      <c r="AD1651" s="7" t="s">
        <v>743</v>
      </c>
      <c r="AE1651" s="7" t="s">
        <v>744</v>
      </c>
      <c r="AF1651" s="7" t="s">
        <v>10946</v>
      </c>
      <c r="AG1651" s="7" t="s">
        <v>744</v>
      </c>
      <c r="AH1651" s="7" t="s">
        <v>6907</v>
      </c>
      <c r="AI1651" s="7"/>
      <c r="AJ1651" s="7"/>
      <c r="AK1651" s="7"/>
      <c r="AL1651" s="7"/>
      <c r="AM1651" s="7"/>
      <c r="AN1651" s="7"/>
      <c r="AO1651" s="7" t="s">
        <v>744</v>
      </c>
      <c r="AP1651" s="7" t="s">
        <v>10907</v>
      </c>
      <c r="AQ1651" s="7" t="s">
        <v>744</v>
      </c>
      <c r="AR1651" s="7" t="s">
        <v>888</v>
      </c>
      <c r="AS1651" s="7"/>
      <c r="AT1651" s="7"/>
      <c r="AU1651" s="7"/>
      <c r="AV1651" s="7"/>
      <c r="AW1651" s="7" t="s">
        <v>744</v>
      </c>
      <c r="AX1651" s="7" t="s">
        <v>10947</v>
      </c>
      <c r="AY1651" s="7"/>
      <c r="AZ1651" s="7"/>
      <c r="BA1651" s="7"/>
      <c r="BB1651" s="7"/>
      <c r="BC1651" s="7"/>
      <c r="BD1651" s="7" t="s">
        <v>440</v>
      </c>
      <c r="BE1651" s="7" t="s">
        <v>127</v>
      </c>
      <c r="BF1651" s="8"/>
      <c r="BG1651" s="8"/>
      <c r="BH1651" s="8"/>
      <c r="BI1651" s="8"/>
      <c r="BJ1651" s="8"/>
      <c r="BK1651" s="8"/>
      <c r="BL1651" s="8"/>
      <c r="BM1651" s="8"/>
      <c r="BN1651" s="8"/>
      <c r="BO1651" s="8"/>
      <c r="BP1651" s="8"/>
      <c r="BQ1651" s="8"/>
      <c r="BR1651" s="8"/>
      <c r="BS1651" s="8"/>
    </row>
    <row r="1652" customFormat="false" ht="15" hidden="false" customHeight="false" outlineLevel="0" collapsed="false">
      <c r="A1652" s="7" t="s">
        <v>10948</v>
      </c>
      <c r="B1652" s="7" t="s">
        <v>10949</v>
      </c>
      <c r="C1652" s="7" t="s">
        <v>10950</v>
      </c>
      <c r="D1652" s="7" t="s">
        <v>746</v>
      </c>
      <c r="E1652" s="7" t="s">
        <v>507</v>
      </c>
      <c r="F1652" s="7" t="s">
        <v>507</v>
      </c>
      <c r="G1652" s="7"/>
      <c r="H1652" s="7"/>
      <c r="I1652" s="7" t="s">
        <v>158</v>
      </c>
      <c r="J1652" s="7" t="s">
        <v>104</v>
      </c>
      <c r="K1652" s="7" t="s">
        <v>105</v>
      </c>
      <c r="L1652" s="7" t="s">
        <v>106</v>
      </c>
      <c r="M1652" s="7"/>
      <c r="N1652" s="7" t="s">
        <v>10951</v>
      </c>
      <c r="O1652" s="7" t="s">
        <v>10951</v>
      </c>
      <c r="P1652" s="7" t="s">
        <v>135</v>
      </c>
      <c r="Q1652" s="7"/>
      <c r="R1652" s="7" t="s">
        <v>109</v>
      </c>
      <c r="S1652" s="7" t="s">
        <v>110</v>
      </c>
      <c r="T1652" s="7" t="n">
        <v>0.595</v>
      </c>
      <c r="U1652" s="7" t="n">
        <v>1</v>
      </c>
      <c r="V1652" s="7" t="s">
        <v>90</v>
      </c>
      <c r="W1652" s="7"/>
      <c r="X1652" s="7" t="s">
        <v>6907</v>
      </c>
      <c r="Y1652" s="7" t="s">
        <v>10951</v>
      </c>
      <c r="Z1652" s="7"/>
      <c r="AA1652" s="7"/>
      <c r="AB1652" s="7"/>
      <c r="AC1652" s="7" t="n">
        <v>5</v>
      </c>
      <c r="AD1652" s="7" t="s">
        <v>743</v>
      </c>
      <c r="AE1652" s="7" t="s">
        <v>744</v>
      </c>
      <c r="AF1652" s="7" t="s">
        <v>10950</v>
      </c>
      <c r="AG1652" s="7" t="s">
        <v>744</v>
      </c>
      <c r="AH1652" s="7" t="s">
        <v>6907</v>
      </c>
      <c r="AI1652" s="7"/>
      <c r="AJ1652" s="7"/>
      <c r="AK1652" s="7"/>
      <c r="AL1652" s="7"/>
      <c r="AM1652" s="7"/>
      <c r="AN1652" s="7"/>
      <c r="AO1652" s="7" t="s">
        <v>744</v>
      </c>
      <c r="AP1652" s="7" t="s">
        <v>746</v>
      </c>
      <c r="AQ1652" s="7" t="s">
        <v>744</v>
      </c>
      <c r="AR1652" s="7" t="s">
        <v>507</v>
      </c>
      <c r="AS1652" s="7"/>
      <c r="AT1652" s="7"/>
      <c r="AU1652" s="7"/>
      <c r="AV1652" s="7"/>
      <c r="AW1652" s="7" t="s">
        <v>744</v>
      </c>
      <c r="AX1652" s="7" t="s">
        <v>10951</v>
      </c>
      <c r="AY1652" s="7"/>
      <c r="AZ1652" s="7"/>
      <c r="BA1652" s="7"/>
      <c r="BB1652" s="7"/>
      <c r="BC1652" s="7"/>
      <c r="BD1652" s="7" t="s">
        <v>747</v>
      </c>
      <c r="BE1652" s="7" t="s">
        <v>127</v>
      </c>
      <c r="BF1652" s="8"/>
      <c r="BG1652" s="8"/>
      <c r="BH1652" s="8"/>
      <c r="BI1652" s="8"/>
      <c r="BJ1652" s="8"/>
      <c r="BK1652" s="8"/>
      <c r="BL1652" s="8"/>
      <c r="BM1652" s="8"/>
      <c r="BN1652" s="8"/>
      <c r="BO1652" s="8"/>
      <c r="BP1652" s="8"/>
      <c r="BQ1652" s="8"/>
      <c r="BR1652" s="8"/>
      <c r="BS1652" s="8"/>
    </row>
    <row r="1653" customFormat="false" ht="15" hidden="false" customHeight="false" outlineLevel="0" collapsed="false">
      <c r="A1653" s="7" t="s">
        <v>10952</v>
      </c>
      <c r="B1653" s="7" t="s">
        <v>10953</v>
      </c>
      <c r="C1653" s="7" t="s">
        <v>10954</v>
      </c>
      <c r="D1653" s="7" t="s">
        <v>746</v>
      </c>
      <c r="E1653" s="7" t="s">
        <v>507</v>
      </c>
      <c r="F1653" s="7" t="s">
        <v>507</v>
      </c>
      <c r="G1653" s="7"/>
      <c r="H1653" s="7"/>
      <c r="I1653" s="7" t="s">
        <v>158</v>
      </c>
      <c r="J1653" s="7" t="s">
        <v>104</v>
      </c>
      <c r="K1653" s="7" t="s">
        <v>105</v>
      </c>
      <c r="L1653" s="7" t="s">
        <v>106</v>
      </c>
      <c r="M1653" s="7"/>
      <c r="N1653" s="7" t="s">
        <v>10955</v>
      </c>
      <c r="O1653" s="7" t="s">
        <v>10955</v>
      </c>
      <c r="P1653" s="7" t="s">
        <v>135</v>
      </c>
      <c r="Q1653" s="7"/>
      <c r="R1653" s="7" t="s">
        <v>109</v>
      </c>
      <c r="S1653" s="7" t="s">
        <v>110</v>
      </c>
      <c r="T1653" s="7" t="n">
        <v>0.559</v>
      </c>
      <c r="U1653" s="7" t="n">
        <v>1</v>
      </c>
      <c r="V1653" s="7" t="s">
        <v>90</v>
      </c>
      <c r="W1653" s="7"/>
      <c r="X1653" s="7" t="s">
        <v>6907</v>
      </c>
      <c r="Y1653" s="7" t="s">
        <v>10955</v>
      </c>
      <c r="Z1653" s="7"/>
      <c r="AA1653" s="7"/>
      <c r="AB1653" s="7"/>
      <c r="AC1653" s="7" t="n">
        <v>5</v>
      </c>
      <c r="AD1653" s="7" t="s">
        <v>743</v>
      </c>
      <c r="AE1653" s="7" t="s">
        <v>744</v>
      </c>
      <c r="AF1653" s="7" t="s">
        <v>10954</v>
      </c>
      <c r="AG1653" s="7" t="s">
        <v>744</v>
      </c>
      <c r="AH1653" s="7" t="s">
        <v>6907</v>
      </c>
      <c r="AI1653" s="7"/>
      <c r="AJ1653" s="7"/>
      <c r="AK1653" s="7"/>
      <c r="AL1653" s="7"/>
      <c r="AM1653" s="7"/>
      <c r="AN1653" s="7"/>
      <c r="AO1653" s="7" t="s">
        <v>744</v>
      </c>
      <c r="AP1653" s="7" t="s">
        <v>746</v>
      </c>
      <c r="AQ1653" s="7" t="s">
        <v>744</v>
      </c>
      <c r="AR1653" s="7" t="s">
        <v>507</v>
      </c>
      <c r="AS1653" s="7"/>
      <c r="AT1653" s="7"/>
      <c r="AU1653" s="7"/>
      <c r="AV1653" s="7"/>
      <c r="AW1653" s="7" t="s">
        <v>744</v>
      </c>
      <c r="AX1653" s="7" t="s">
        <v>10955</v>
      </c>
      <c r="AY1653" s="7"/>
      <c r="AZ1653" s="7"/>
      <c r="BA1653" s="7"/>
      <c r="BB1653" s="7"/>
      <c r="BC1653" s="7"/>
      <c r="BD1653" s="7" t="s">
        <v>747</v>
      </c>
      <c r="BE1653" s="7" t="s">
        <v>127</v>
      </c>
      <c r="BF1653" s="8"/>
      <c r="BG1653" s="8"/>
      <c r="BH1653" s="8"/>
      <c r="BI1653" s="8"/>
      <c r="BJ1653" s="8"/>
      <c r="BK1653" s="8"/>
      <c r="BL1653" s="8"/>
      <c r="BM1653" s="8"/>
      <c r="BN1653" s="8"/>
      <c r="BO1653" s="8"/>
      <c r="BP1653" s="8"/>
      <c r="BQ1653" s="8"/>
      <c r="BR1653" s="8"/>
      <c r="BS1653" s="8"/>
    </row>
    <row r="1654" customFormat="false" ht="15" hidden="false" customHeight="false" outlineLevel="0" collapsed="false">
      <c r="A1654" s="7" t="s">
        <v>10956</v>
      </c>
      <c r="B1654" s="7" t="s">
        <v>10957</v>
      </c>
      <c r="C1654" s="7" t="s">
        <v>10958</v>
      </c>
      <c r="D1654" s="7" t="s">
        <v>10959</v>
      </c>
      <c r="E1654" s="7" t="s">
        <v>431</v>
      </c>
      <c r="F1654" s="7" t="s">
        <v>431</v>
      </c>
      <c r="G1654" s="7"/>
      <c r="H1654" s="7"/>
      <c r="I1654" s="7" t="s">
        <v>158</v>
      </c>
      <c r="J1654" s="7" t="s">
        <v>104</v>
      </c>
      <c r="K1654" s="7" t="s">
        <v>105</v>
      </c>
      <c r="L1654" s="7" t="s">
        <v>353</v>
      </c>
      <c r="M1654" s="7"/>
      <c r="N1654" s="7" t="s">
        <v>10960</v>
      </c>
      <c r="O1654" s="7" t="s">
        <v>10960</v>
      </c>
      <c r="P1654" s="7" t="s">
        <v>135</v>
      </c>
      <c r="Q1654" s="7"/>
      <c r="R1654" s="7" t="s">
        <v>109</v>
      </c>
      <c r="S1654" s="7" t="s">
        <v>110</v>
      </c>
      <c r="T1654" s="7" t="n">
        <v>0.486</v>
      </c>
      <c r="U1654" s="7" t="n">
        <v>1</v>
      </c>
      <c r="V1654" s="7" t="s">
        <v>90</v>
      </c>
      <c r="W1654" s="7"/>
      <c r="X1654" s="7" t="s">
        <v>6907</v>
      </c>
      <c r="Y1654" s="7" t="s">
        <v>10960</v>
      </c>
      <c r="Z1654" s="7"/>
      <c r="AA1654" s="7"/>
      <c r="AB1654" s="7"/>
      <c r="AC1654" s="7" t="n">
        <v>6</v>
      </c>
      <c r="AD1654" s="7" t="s">
        <v>1235</v>
      </c>
      <c r="AE1654" s="7" t="s">
        <v>744</v>
      </c>
      <c r="AF1654" s="7" t="s">
        <v>10958</v>
      </c>
      <c r="AG1654" s="7" t="s">
        <v>744</v>
      </c>
      <c r="AH1654" s="7" t="s">
        <v>6907</v>
      </c>
      <c r="AI1654" s="7"/>
      <c r="AJ1654" s="7"/>
      <c r="AK1654" s="7"/>
      <c r="AL1654" s="7"/>
      <c r="AM1654" s="7" t="s">
        <v>744</v>
      </c>
      <c r="AN1654" s="7" t="s">
        <v>10961</v>
      </c>
      <c r="AO1654" s="7" t="s">
        <v>744</v>
      </c>
      <c r="AP1654" s="7" t="s">
        <v>10959</v>
      </c>
      <c r="AQ1654" s="7" t="s">
        <v>744</v>
      </c>
      <c r="AR1654" s="7" t="s">
        <v>431</v>
      </c>
      <c r="AS1654" s="7"/>
      <c r="AT1654" s="7"/>
      <c r="AU1654" s="7"/>
      <c r="AV1654" s="7"/>
      <c r="AW1654" s="7" t="s">
        <v>744</v>
      </c>
      <c r="AX1654" s="7" t="s">
        <v>10960</v>
      </c>
      <c r="AY1654" s="7"/>
      <c r="AZ1654" s="7"/>
      <c r="BA1654" s="7"/>
      <c r="BB1654" s="7"/>
      <c r="BC1654" s="7"/>
      <c r="BD1654" s="7"/>
      <c r="BE1654" s="7" t="s">
        <v>127</v>
      </c>
      <c r="BF1654" s="8"/>
      <c r="BG1654" s="8"/>
      <c r="BH1654" s="8"/>
      <c r="BI1654" s="8"/>
      <c r="BJ1654" s="8"/>
      <c r="BK1654" s="8"/>
      <c r="BL1654" s="8"/>
      <c r="BM1654" s="8"/>
      <c r="BN1654" s="8"/>
      <c r="BO1654" s="8"/>
      <c r="BP1654" s="8"/>
      <c r="BQ1654" s="8"/>
      <c r="BR1654" s="8"/>
      <c r="BS1654" s="8"/>
    </row>
    <row r="1655" customFormat="false" ht="15" hidden="false" customHeight="false" outlineLevel="0" collapsed="false">
      <c r="A1655" s="7" t="s">
        <v>10962</v>
      </c>
      <c r="B1655" s="7" t="s">
        <v>10963</v>
      </c>
      <c r="C1655" s="7" t="s">
        <v>10964</v>
      </c>
      <c r="D1655" s="7" t="s">
        <v>746</v>
      </c>
      <c r="E1655" s="7" t="s">
        <v>507</v>
      </c>
      <c r="F1655" s="7" t="s">
        <v>507</v>
      </c>
      <c r="G1655" s="7"/>
      <c r="H1655" s="7"/>
      <c r="I1655" s="7" t="s">
        <v>158</v>
      </c>
      <c r="J1655" s="7" t="s">
        <v>104</v>
      </c>
      <c r="K1655" s="7" t="s">
        <v>105</v>
      </c>
      <c r="L1655" s="7" t="s">
        <v>106</v>
      </c>
      <c r="M1655" s="7"/>
      <c r="N1655" s="7" t="s">
        <v>10965</v>
      </c>
      <c r="O1655" s="7" t="s">
        <v>10965</v>
      </c>
      <c r="P1655" s="7" t="s">
        <v>135</v>
      </c>
      <c r="Q1655" s="7"/>
      <c r="R1655" s="7" t="s">
        <v>109</v>
      </c>
      <c r="S1655" s="7" t="s">
        <v>110</v>
      </c>
      <c r="T1655" s="7" t="n">
        <v>0.575</v>
      </c>
      <c r="U1655" s="7" t="n">
        <v>1</v>
      </c>
      <c r="V1655" s="7" t="s">
        <v>90</v>
      </c>
      <c r="W1655" s="7"/>
      <c r="X1655" s="7" t="s">
        <v>6907</v>
      </c>
      <c r="Y1655" s="7" t="s">
        <v>10965</v>
      </c>
      <c r="Z1655" s="7"/>
      <c r="AA1655" s="7"/>
      <c r="AB1655" s="7"/>
      <c r="AC1655" s="7" t="n">
        <v>5</v>
      </c>
      <c r="AD1655" s="7" t="s">
        <v>743</v>
      </c>
      <c r="AE1655" s="7" t="s">
        <v>744</v>
      </c>
      <c r="AF1655" s="7" t="s">
        <v>10964</v>
      </c>
      <c r="AG1655" s="7" t="s">
        <v>744</v>
      </c>
      <c r="AH1655" s="7" t="s">
        <v>6907</v>
      </c>
      <c r="AI1655" s="7"/>
      <c r="AJ1655" s="7"/>
      <c r="AK1655" s="7"/>
      <c r="AL1655" s="7"/>
      <c r="AM1655" s="7"/>
      <c r="AN1655" s="7"/>
      <c r="AO1655" s="7" t="s">
        <v>744</v>
      </c>
      <c r="AP1655" s="7" t="s">
        <v>746</v>
      </c>
      <c r="AQ1655" s="7" t="s">
        <v>744</v>
      </c>
      <c r="AR1655" s="7" t="s">
        <v>507</v>
      </c>
      <c r="AS1655" s="7"/>
      <c r="AT1655" s="7"/>
      <c r="AU1655" s="7"/>
      <c r="AV1655" s="7"/>
      <c r="AW1655" s="7" t="s">
        <v>744</v>
      </c>
      <c r="AX1655" s="7" t="s">
        <v>10965</v>
      </c>
      <c r="AY1655" s="7"/>
      <c r="AZ1655" s="7"/>
      <c r="BA1655" s="7"/>
      <c r="BB1655" s="7"/>
      <c r="BC1655" s="7"/>
      <c r="BD1655" s="7" t="s">
        <v>747</v>
      </c>
      <c r="BE1655" s="7" t="s">
        <v>127</v>
      </c>
      <c r="BF1655" s="8"/>
      <c r="BG1655" s="8"/>
      <c r="BH1655" s="8"/>
      <c r="BI1655" s="8"/>
      <c r="BJ1655" s="8"/>
      <c r="BK1655" s="8"/>
      <c r="BL1655" s="8"/>
      <c r="BM1655" s="8"/>
      <c r="BN1655" s="8"/>
      <c r="BO1655" s="8"/>
      <c r="BP1655" s="8"/>
      <c r="BQ1655" s="8"/>
      <c r="BR1655" s="8"/>
      <c r="BS1655" s="8"/>
    </row>
    <row r="1656" customFormat="false" ht="15" hidden="false" customHeight="false" outlineLevel="0" collapsed="false">
      <c r="A1656" s="7" t="s">
        <v>10966</v>
      </c>
      <c r="B1656" s="7" t="s">
        <v>10967</v>
      </c>
      <c r="C1656" s="7" t="s">
        <v>10968</v>
      </c>
      <c r="D1656" s="7" t="s">
        <v>10969</v>
      </c>
      <c r="E1656" s="7" t="s">
        <v>444</v>
      </c>
      <c r="F1656" s="7" t="s">
        <v>444</v>
      </c>
      <c r="G1656" s="7"/>
      <c r="H1656" s="7"/>
      <c r="I1656" s="7" t="s">
        <v>158</v>
      </c>
      <c r="J1656" s="7" t="s">
        <v>104</v>
      </c>
      <c r="K1656" s="7" t="s">
        <v>105</v>
      </c>
      <c r="L1656" s="7" t="s">
        <v>106</v>
      </c>
      <c r="M1656" s="7"/>
      <c r="N1656" s="7" t="s">
        <v>10970</v>
      </c>
      <c r="O1656" s="7" t="s">
        <v>10970</v>
      </c>
      <c r="P1656" s="7" t="s">
        <v>109</v>
      </c>
      <c r="Q1656" s="7"/>
      <c r="R1656" s="7" t="s">
        <v>109</v>
      </c>
      <c r="S1656" s="7" t="s">
        <v>110</v>
      </c>
      <c r="T1656" s="7" t="n">
        <v>0.465</v>
      </c>
      <c r="U1656" s="7" t="n">
        <v>1</v>
      </c>
      <c r="V1656" s="7" t="s">
        <v>90</v>
      </c>
      <c r="W1656" s="7"/>
      <c r="X1656" s="7" t="s">
        <v>9494</v>
      </c>
      <c r="Y1656" s="7" t="s">
        <v>10970</v>
      </c>
      <c r="Z1656" s="7"/>
      <c r="AA1656" s="7"/>
      <c r="AB1656" s="7"/>
      <c r="AC1656" s="7" t="n">
        <v>5</v>
      </c>
      <c r="AD1656" s="7" t="s">
        <v>743</v>
      </c>
      <c r="AE1656" s="7" t="s">
        <v>744</v>
      </c>
      <c r="AF1656" s="7" t="s">
        <v>10968</v>
      </c>
      <c r="AG1656" s="7" t="s">
        <v>744</v>
      </c>
      <c r="AH1656" s="7" t="s">
        <v>9494</v>
      </c>
      <c r="AI1656" s="7"/>
      <c r="AJ1656" s="7"/>
      <c r="AK1656" s="7"/>
      <c r="AL1656" s="7"/>
      <c r="AM1656" s="7"/>
      <c r="AN1656" s="7"/>
      <c r="AO1656" s="7" t="s">
        <v>744</v>
      </c>
      <c r="AP1656" s="7" t="s">
        <v>10969</v>
      </c>
      <c r="AQ1656" s="7" t="s">
        <v>744</v>
      </c>
      <c r="AR1656" s="7" t="s">
        <v>444</v>
      </c>
      <c r="AS1656" s="7"/>
      <c r="AT1656" s="7"/>
      <c r="AU1656" s="7"/>
      <c r="AV1656" s="7"/>
      <c r="AW1656" s="7" t="s">
        <v>744</v>
      </c>
      <c r="AX1656" s="7" t="s">
        <v>10970</v>
      </c>
      <c r="AY1656" s="7"/>
      <c r="AZ1656" s="7"/>
      <c r="BA1656" s="7"/>
      <c r="BB1656" s="7"/>
      <c r="BC1656" s="7"/>
      <c r="BD1656" s="7"/>
      <c r="BE1656" s="7" t="s">
        <v>127</v>
      </c>
      <c r="BF1656" s="8"/>
      <c r="BG1656" s="8"/>
      <c r="BH1656" s="8"/>
      <c r="BI1656" s="8"/>
      <c r="BJ1656" s="8"/>
      <c r="BK1656" s="8"/>
      <c r="BL1656" s="8"/>
      <c r="BM1656" s="8"/>
      <c r="BN1656" s="8"/>
      <c r="BO1656" s="8"/>
      <c r="BP1656" s="8"/>
      <c r="BQ1656" s="8"/>
      <c r="BR1656" s="8"/>
      <c r="BS1656" s="8"/>
    </row>
    <row r="1657" customFormat="false" ht="15" hidden="false" customHeight="false" outlineLevel="0" collapsed="false">
      <c r="A1657" s="7" t="s">
        <v>10971</v>
      </c>
      <c r="B1657" s="7" t="s">
        <v>10972</v>
      </c>
      <c r="C1657" s="7" t="s">
        <v>10973</v>
      </c>
      <c r="D1657" s="7" t="s">
        <v>10974</v>
      </c>
      <c r="E1657" s="7" t="s">
        <v>737</v>
      </c>
      <c r="F1657" s="7" t="s">
        <v>737</v>
      </c>
      <c r="G1657" s="7"/>
      <c r="H1657" s="7"/>
      <c r="I1657" s="7" t="s">
        <v>158</v>
      </c>
      <c r="J1657" s="7" t="s">
        <v>104</v>
      </c>
      <c r="K1657" s="7" t="s">
        <v>105</v>
      </c>
      <c r="L1657" s="7" t="s">
        <v>106</v>
      </c>
      <c r="M1657" s="7"/>
      <c r="N1657" s="7" t="s">
        <v>10975</v>
      </c>
      <c r="O1657" s="7"/>
      <c r="P1657" s="7" t="s">
        <v>135</v>
      </c>
      <c r="Q1657" s="7"/>
      <c r="R1657" s="7" t="s">
        <v>135</v>
      </c>
      <c r="S1657" s="7" t="s">
        <v>136</v>
      </c>
      <c r="T1657" s="7" t="n">
        <v>0.264</v>
      </c>
      <c r="U1657" s="7" t="n">
        <v>1</v>
      </c>
      <c r="V1657" s="7" t="s">
        <v>90</v>
      </c>
      <c r="W1657" s="7"/>
      <c r="X1657" s="7" t="s">
        <v>10976</v>
      </c>
      <c r="Y1657" s="7" t="s">
        <v>10975</v>
      </c>
      <c r="Z1657" s="7"/>
      <c r="AA1657" s="7"/>
      <c r="AB1657" s="7"/>
      <c r="AC1657" s="7" t="n">
        <v>6</v>
      </c>
      <c r="AD1657" s="7" t="s">
        <v>1235</v>
      </c>
      <c r="AE1657" s="7" t="s">
        <v>744</v>
      </c>
      <c r="AF1657" s="7" t="s">
        <v>10973</v>
      </c>
      <c r="AG1657" s="7" t="s">
        <v>744</v>
      </c>
      <c r="AH1657" s="7" t="s">
        <v>10976</v>
      </c>
      <c r="AI1657" s="7"/>
      <c r="AJ1657" s="7"/>
      <c r="AK1657" s="7"/>
      <c r="AL1657" s="7"/>
      <c r="AM1657" s="7" t="s">
        <v>744</v>
      </c>
      <c r="AN1657" s="7" t="s">
        <v>10977</v>
      </c>
      <c r="AO1657" s="7" t="s">
        <v>744</v>
      </c>
      <c r="AP1657" s="7" t="s">
        <v>10974</v>
      </c>
      <c r="AQ1657" s="7" t="s">
        <v>744</v>
      </c>
      <c r="AR1657" s="7" t="s">
        <v>737</v>
      </c>
      <c r="AS1657" s="7"/>
      <c r="AT1657" s="7"/>
      <c r="AU1657" s="7"/>
      <c r="AV1657" s="7"/>
      <c r="AW1657" s="7" t="s">
        <v>744</v>
      </c>
      <c r="AX1657" s="7" t="s">
        <v>10975</v>
      </c>
      <c r="AY1657" s="7"/>
      <c r="AZ1657" s="7"/>
      <c r="BA1657" s="7"/>
      <c r="BB1657" s="7"/>
      <c r="BC1657" s="7"/>
      <c r="BD1657" s="7"/>
      <c r="BE1657" s="7" t="s">
        <v>127</v>
      </c>
      <c r="BF1657" s="8"/>
      <c r="BG1657" s="8"/>
      <c r="BH1657" s="8"/>
      <c r="BI1657" s="8"/>
      <c r="BJ1657" s="8"/>
      <c r="BK1657" s="8"/>
      <c r="BL1657" s="8"/>
      <c r="BM1657" s="8"/>
      <c r="BN1657" s="8"/>
      <c r="BO1657" s="8"/>
      <c r="BP1657" s="8"/>
      <c r="BQ1657" s="8"/>
      <c r="BR1657" s="8"/>
      <c r="BS1657" s="8"/>
    </row>
    <row r="1658" customFormat="false" ht="15" hidden="false" customHeight="false" outlineLevel="0" collapsed="false">
      <c r="A1658" s="7" t="s">
        <v>10978</v>
      </c>
      <c r="B1658" s="7" t="s">
        <v>10979</v>
      </c>
      <c r="C1658" s="7" t="s">
        <v>10980</v>
      </c>
      <c r="D1658" s="7" t="s">
        <v>10981</v>
      </c>
      <c r="E1658" s="7"/>
      <c r="F1658" s="7" t="s">
        <v>101</v>
      </c>
      <c r="G1658" s="7"/>
      <c r="H1658" s="7"/>
      <c r="I1658" s="7" t="s">
        <v>1140</v>
      </c>
      <c r="J1658" s="7" t="s">
        <v>104</v>
      </c>
      <c r="K1658" s="7" t="s">
        <v>105</v>
      </c>
      <c r="L1658" s="7" t="s">
        <v>235</v>
      </c>
      <c r="M1658" s="7"/>
      <c r="N1658" s="7" t="s">
        <v>10982</v>
      </c>
      <c r="O1658" s="7"/>
      <c r="P1658" s="7" t="s">
        <v>135</v>
      </c>
      <c r="Q1658" s="7"/>
      <c r="R1658" s="7" t="s">
        <v>135</v>
      </c>
      <c r="S1658" s="7" t="s">
        <v>136</v>
      </c>
      <c r="T1658" s="7" t="n">
        <v>0.367</v>
      </c>
      <c r="U1658" s="7" t="n">
        <v>1</v>
      </c>
      <c r="V1658" s="7" t="s">
        <v>90</v>
      </c>
      <c r="W1658" s="7"/>
      <c r="X1658" s="7" t="s">
        <v>10976</v>
      </c>
      <c r="Y1658" s="7" t="s">
        <v>10982</v>
      </c>
      <c r="Z1658" s="7"/>
      <c r="AA1658" s="7"/>
      <c r="AB1658" s="7"/>
      <c r="AC1658" s="7" t="n">
        <v>5</v>
      </c>
      <c r="AD1658" s="7" t="s">
        <v>1897</v>
      </c>
      <c r="AE1658" s="7" t="s">
        <v>744</v>
      </c>
      <c r="AF1658" s="7" t="s">
        <v>10980</v>
      </c>
      <c r="AG1658" s="7" t="s">
        <v>744</v>
      </c>
      <c r="AH1658" s="7" t="s">
        <v>10976</v>
      </c>
      <c r="AI1658" s="7"/>
      <c r="AJ1658" s="7"/>
      <c r="AK1658" s="7"/>
      <c r="AL1658" s="7"/>
      <c r="AM1658" s="7" t="s">
        <v>744</v>
      </c>
      <c r="AN1658" s="7" t="s">
        <v>10983</v>
      </c>
      <c r="AO1658" s="7" t="s">
        <v>744</v>
      </c>
      <c r="AP1658" s="7" t="s">
        <v>10981</v>
      </c>
      <c r="AQ1658" s="7"/>
      <c r="AR1658" s="7"/>
      <c r="AS1658" s="7"/>
      <c r="AT1658" s="7"/>
      <c r="AU1658" s="7"/>
      <c r="AV1658" s="7"/>
      <c r="AW1658" s="7" t="s">
        <v>744</v>
      </c>
      <c r="AX1658" s="7" t="s">
        <v>10982</v>
      </c>
      <c r="AY1658" s="7"/>
      <c r="AZ1658" s="7"/>
      <c r="BA1658" s="7"/>
      <c r="BB1658" s="7"/>
      <c r="BC1658" s="7"/>
      <c r="BD1658" s="7"/>
      <c r="BE1658" s="7" t="s">
        <v>127</v>
      </c>
      <c r="BF1658" s="8"/>
      <c r="BG1658" s="8"/>
      <c r="BH1658" s="8"/>
      <c r="BI1658" s="8"/>
      <c r="BJ1658" s="8"/>
      <c r="BK1658" s="8"/>
      <c r="BL1658" s="8"/>
      <c r="BM1658" s="8"/>
      <c r="BN1658" s="8"/>
      <c r="BO1658" s="8"/>
      <c r="BP1658" s="8"/>
      <c r="BQ1658" s="8"/>
      <c r="BR1658" s="8"/>
      <c r="BS1658" s="8"/>
    </row>
    <row r="1659" customFormat="false" ht="15" hidden="false" customHeight="false" outlineLevel="0" collapsed="false">
      <c r="A1659" s="7" t="s">
        <v>10984</v>
      </c>
      <c r="B1659" s="7" t="s">
        <v>10985</v>
      </c>
      <c r="C1659" s="7" t="s">
        <v>10986</v>
      </c>
      <c r="D1659" s="7" t="s">
        <v>10987</v>
      </c>
      <c r="E1659" s="7"/>
      <c r="F1659" s="7" t="s">
        <v>101</v>
      </c>
      <c r="G1659" s="7"/>
      <c r="H1659" s="7"/>
      <c r="I1659" s="7" t="s">
        <v>132</v>
      </c>
      <c r="J1659" s="7" t="s">
        <v>104</v>
      </c>
      <c r="K1659" s="7" t="s">
        <v>105</v>
      </c>
      <c r="L1659" s="7" t="s">
        <v>106</v>
      </c>
      <c r="M1659" s="7"/>
      <c r="N1659" s="7" t="s">
        <v>10988</v>
      </c>
      <c r="O1659" s="7"/>
      <c r="P1659" s="7" t="s">
        <v>135</v>
      </c>
      <c r="Q1659" s="7"/>
      <c r="R1659" s="7" t="s">
        <v>135</v>
      </c>
      <c r="S1659" s="7" t="s">
        <v>136</v>
      </c>
      <c r="T1659" s="7" t="n">
        <v>0.242</v>
      </c>
      <c r="U1659" s="7" t="n">
        <v>1</v>
      </c>
      <c r="V1659" s="7" t="s">
        <v>90</v>
      </c>
      <c r="W1659" s="7"/>
      <c r="X1659" s="7" t="s">
        <v>927</v>
      </c>
      <c r="Y1659" s="7" t="s">
        <v>10988</v>
      </c>
      <c r="Z1659" s="7"/>
      <c r="AA1659" s="7"/>
      <c r="AB1659" s="7"/>
      <c r="AC1659" s="7" t="n">
        <v>5</v>
      </c>
      <c r="AD1659" s="7" t="s">
        <v>1897</v>
      </c>
      <c r="AE1659" s="7" t="s">
        <v>744</v>
      </c>
      <c r="AF1659" s="7" t="s">
        <v>10986</v>
      </c>
      <c r="AG1659" s="7" t="s">
        <v>744</v>
      </c>
      <c r="AH1659" s="7" t="s">
        <v>927</v>
      </c>
      <c r="AI1659" s="7"/>
      <c r="AJ1659" s="7"/>
      <c r="AK1659" s="7"/>
      <c r="AL1659" s="7"/>
      <c r="AM1659" s="7" t="s">
        <v>744</v>
      </c>
      <c r="AN1659" s="7" t="s">
        <v>10630</v>
      </c>
      <c r="AO1659" s="7" t="s">
        <v>744</v>
      </c>
      <c r="AP1659" s="7" t="s">
        <v>10987</v>
      </c>
      <c r="AQ1659" s="7"/>
      <c r="AR1659" s="7"/>
      <c r="AS1659" s="7"/>
      <c r="AT1659" s="7"/>
      <c r="AU1659" s="7"/>
      <c r="AV1659" s="7"/>
      <c r="AW1659" s="7" t="s">
        <v>744</v>
      </c>
      <c r="AX1659" s="7" t="s">
        <v>10988</v>
      </c>
      <c r="AY1659" s="7"/>
      <c r="AZ1659" s="7"/>
      <c r="BA1659" s="7"/>
      <c r="BB1659" s="7"/>
      <c r="BC1659" s="7"/>
      <c r="BD1659" s="7"/>
      <c r="BE1659" s="7" t="s">
        <v>127</v>
      </c>
      <c r="BF1659" s="8"/>
      <c r="BG1659" s="8"/>
      <c r="BH1659" s="8"/>
      <c r="BI1659" s="8"/>
      <c r="BJ1659" s="8"/>
      <c r="BK1659" s="8"/>
      <c r="BL1659" s="8"/>
      <c r="BM1659" s="8"/>
      <c r="BN1659" s="8"/>
      <c r="BO1659" s="8"/>
      <c r="BP1659" s="8"/>
      <c r="BQ1659" s="8"/>
      <c r="BR1659" s="8"/>
      <c r="BS1659" s="8"/>
    </row>
    <row r="1660" customFormat="false" ht="15" hidden="false" customHeight="false" outlineLevel="0" collapsed="false">
      <c r="A1660" s="7" t="s">
        <v>10989</v>
      </c>
      <c r="B1660" s="7" t="s">
        <v>10990</v>
      </c>
      <c r="C1660" s="7" t="s">
        <v>10991</v>
      </c>
      <c r="D1660" s="7" t="s">
        <v>10992</v>
      </c>
      <c r="E1660" s="7"/>
      <c r="F1660" s="7" t="s">
        <v>101</v>
      </c>
      <c r="G1660" s="7"/>
      <c r="H1660" s="7"/>
      <c r="I1660" s="7" t="s">
        <v>158</v>
      </c>
      <c r="J1660" s="7" t="s">
        <v>104</v>
      </c>
      <c r="K1660" s="7" t="s">
        <v>105</v>
      </c>
      <c r="L1660" s="7" t="s">
        <v>353</v>
      </c>
      <c r="M1660" s="7"/>
      <c r="N1660" s="7" t="s">
        <v>10993</v>
      </c>
      <c r="O1660" s="7"/>
      <c r="P1660" s="7" t="s">
        <v>135</v>
      </c>
      <c r="Q1660" s="7"/>
      <c r="R1660" s="7" t="s">
        <v>135</v>
      </c>
      <c r="S1660" s="7" t="s">
        <v>136</v>
      </c>
      <c r="T1660" s="7" t="n">
        <v>0.482</v>
      </c>
      <c r="U1660" s="7" t="n">
        <v>1</v>
      </c>
      <c r="V1660" s="7" t="s">
        <v>90</v>
      </c>
      <c r="W1660" s="7"/>
      <c r="X1660" s="7" t="s">
        <v>927</v>
      </c>
      <c r="Y1660" s="7" t="s">
        <v>10993</v>
      </c>
      <c r="Z1660" s="7"/>
      <c r="AA1660" s="7"/>
      <c r="AB1660" s="7"/>
      <c r="AC1660" s="7" t="n">
        <v>4</v>
      </c>
      <c r="AD1660" s="7" t="s">
        <v>7611</v>
      </c>
      <c r="AE1660" s="7" t="s">
        <v>744</v>
      </c>
      <c r="AF1660" s="7" t="s">
        <v>10991</v>
      </c>
      <c r="AG1660" s="7" t="s">
        <v>744</v>
      </c>
      <c r="AH1660" s="7" t="s">
        <v>927</v>
      </c>
      <c r="AI1660" s="7"/>
      <c r="AJ1660" s="7"/>
      <c r="AK1660" s="7"/>
      <c r="AL1660" s="7"/>
      <c r="AM1660" s="7"/>
      <c r="AN1660" s="7"/>
      <c r="AO1660" s="7" t="s">
        <v>744</v>
      </c>
      <c r="AP1660" s="7" t="s">
        <v>10992</v>
      </c>
      <c r="AQ1660" s="7"/>
      <c r="AR1660" s="7"/>
      <c r="AS1660" s="7"/>
      <c r="AT1660" s="7"/>
      <c r="AU1660" s="7"/>
      <c r="AV1660" s="7"/>
      <c r="AW1660" s="7" t="s">
        <v>744</v>
      </c>
      <c r="AX1660" s="7" t="s">
        <v>10993</v>
      </c>
      <c r="AY1660" s="7"/>
      <c r="AZ1660" s="7"/>
      <c r="BA1660" s="7"/>
      <c r="BB1660" s="7"/>
      <c r="BC1660" s="7"/>
      <c r="BD1660" s="7"/>
      <c r="BE1660" s="7" t="s">
        <v>127</v>
      </c>
      <c r="BF1660" s="8"/>
      <c r="BG1660" s="8"/>
      <c r="BH1660" s="8"/>
      <c r="BI1660" s="8"/>
      <c r="BJ1660" s="8"/>
      <c r="BK1660" s="8"/>
      <c r="BL1660" s="8"/>
      <c r="BM1660" s="8"/>
      <c r="BN1660" s="8"/>
      <c r="BO1660" s="8"/>
      <c r="BP1660" s="8"/>
      <c r="BQ1660" s="8"/>
      <c r="BR1660" s="8"/>
      <c r="BS1660" s="8"/>
    </row>
    <row r="1661" customFormat="false" ht="15" hidden="false" customHeight="false" outlineLevel="0" collapsed="false">
      <c r="A1661" s="7" t="s">
        <v>10994</v>
      </c>
      <c r="B1661" s="7" t="s">
        <v>10995</v>
      </c>
      <c r="C1661" s="7" t="s">
        <v>10996</v>
      </c>
      <c r="D1661" s="7" t="s">
        <v>10997</v>
      </c>
      <c r="E1661" s="7" t="s">
        <v>10998</v>
      </c>
      <c r="F1661" s="7" t="s">
        <v>10998</v>
      </c>
      <c r="G1661" s="7"/>
      <c r="H1661" s="7"/>
      <c r="I1661" s="7" t="s">
        <v>158</v>
      </c>
      <c r="J1661" s="7" t="s">
        <v>104</v>
      </c>
      <c r="K1661" s="7" t="s">
        <v>105</v>
      </c>
      <c r="L1661" s="7" t="s">
        <v>353</v>
      </c>
      <c r="M1661" s="7"/>
      <c r="N1661" s="7" t="s">
        <v>10999</v>
      </c>
      <c r="O1661" s="7" t="s">
        <v>10999</v>
      </c>
      <c r="P1661" s="7" t="s">
        <v>135</v>
      </c>
      <c r="Q1661" s="7"/>
      <c r="R1661" s="7" t="s">
        <v>109</v>
      </c>
      <c r="S1661" s="7" t="s">
        <v>110</v>
      </c>
      <c r="T1661" s="7" t="n">
        <v>0.479</v>
      </c>
      <c r="U1661" s="7" t="n">
        <v>1</v>
      </c>
      <c r="V1661" s="7" t="s">
        <v>90</v>
      </c>
      <c r="W1661" s="7"/>
      <c r="X1661" s="7" t="s">
        <v>927</v>
      </c>
      <c r="Y1661" s="7" t="s">
        <v>10999</v>
      </c>
      <c r="Z1661" s="7"/>
      <c r="AA1661" s="7"/>
      <c r="AB1661" s="7"/>
      <c r="AC1661" s="7" t="n">
        <v>5</v>
      </c>
      <c r="AD1661" s="7" t="s">
        <v>743</v>
      </c>
      <c r="AE1661" s="7" t="s">
        <v>744</v>
      </c>
      <c r="AF1661" s="7" t="s">
        <v>10996</v>
      </c>
      <c r="AG1661" s="7" t="s">
        <v>744</v>
      </c>
      <c r="AH1661" s="7" t="s">
        <v>927</v>
      </c>
      <c r="AI1661" s="7"/>
      <c r="AJ1661" s="7"/>
      <c r="AK1661" s="7"/>
      <c r="AL1661" s="7"/>
      <c r="AM1661" s="7"/>
      <c r="AN1661" s="7"/>
      <c r="AO1661" s="7" t="s">
        <v>744</v>
      </c>
      <c r="AP1661" s="7" t="s">
        <v>10997</v>
      </c>
      <c r="AQ1661" s="7" t="s">
        <v>744</v>
      </c>
      <c r="AR1661" s="7" t="s">
        <v>10998</v>
      </c>
      <c r="AS1661" s="7"/>
      <c r="AT1661" s="7"/>
      <c r="AU1661" s="7"/>
      <c r="AV1661" s="7"/>
      <c r="AW1661" s="7" t="s">
        <v>744</v>
      </c>
      <c r="AX1661" s="7" t="s">
        <v>10999</v>
      </c>
      <c r="AY1661" s="7"/>
      <c r="AZ1661" s="7"/>
      <c r="BA1661" s="7"/>
      <c r="BB1661" s="7"/>
      <c r="BC1661" s="7"/>
      <c r="BD1661" s="7" t="s">
        <v>440</v>
      </c>
      <c r="BE1661" s="7" t="s">
        <v>127</v>
      </c>
      <c r="BF1661" s="8"/>
      <c r="BG1661" s="8"/>
      <c r="BH1661" s="8"/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</row>
    <row r="1662" customFormat="false" ht="15" hidden="false" customHeight="false" outlineLevel="0" collapsed="false">
      <c r="A1662" s="7" t="s">
        <v>11000</v>
      </c>
      <c r="B1662" s="7" t="s">
        <v>11001</v>
      </c>
      <c r="C1662" s="7" t="s">
        <v>11002</v>
      </c>
      <c r="D1662" s="7" t="s">
        <v>11003</v>
      </c>
      <c r="E1662" s="7"/>
      <c r="F1662" s="7" t="s">
        <v>101</v>
      </c>
      <c r="G1662" s="7"/>
      <c r="H1662" s="7"/>
      <c r="I1662" s="7" t="s">
        <v>132</v>
      </c>
      <c r="J1662" s="7" t="s">
        <v>104</v>
      </c>
      <c r="K1662" s="7" t="s">
        <v>105</v>
      </c>
      <c r="L1662" s="7" t="s">
        <v>106</v>
      </c>
      <c r="M1662" s="7"/>
      <c r="N1662" s="7" t="s">
        <v>11004</v>
      </c>
      <c r="O1662" s="7"/>
      <c r="P1662" s="7" t="s">
        <v>135</v>
      </c>
      <c r="Q1662" s="7"/>
      <c r="R1662" s="7" t="s">
        <v>135</v>
      </c>
      <c r="S1662" s="7" t="s">
        <v>136</v>
      </c>
      <c r="T1662" s="7" t="n">
        <v>0.563</v>
      </c>
      <c r="U1662" s="7" t="n">
        <v>1</v>
      </c>
      <c r="V1662" s="7" t="s">
        <v>90</v>
      </c>
      <c r="W1662" s="7"/>
      <c r="X1662" s="7" t="s">
        <v>927</v>
      </c>
      <c r="Y1662" s="7" t="s">
        <v>11004</v>
      </c>
      <c r="Z1662" s="7"/>
      <c r="AA1662" s="7"/>
      <c r="AB1662" s="7"/>
      <c r="AC1662" s="7" t="n">
        <v>4</v>
      </c>
      <c r="AD1662" s="7" t="s">
        <v>7611</v>
      </c>
      <c r="AE1662" s="7" t="s">
        <v>744</v>
      </c>
      <c r="AF1662" s="7" t="s">
        <v>11002</v>
      </c>
      <c r="AG1662" s="7" t="s">
        <v>744</v>
      </c>
      <c r="AH1662" s="7" t="s">
        <v>927</v>
      </c>
      <c r="AI1662" s="7"/>
      <c r="AJ1662" s="7"/>
      <c r="AK1662" s="7"/>
      <c r="AL1662" s="7"/>
      <c r="AM1662" s="7"/>
      <c r="AN1662" s="7"/>
      <c r="AO1662" s="7" t="s">
        <v>744</v>
      </c>
      <c r="AP1662" s="7" t="s">
        <v>11003</v>
      </c>
      <c r="AQ1662" s="7"/>
      <c r="AR1662" s="7"/>
      <c r="AS1662" s="7"/>
      <c r="AT1662" s="7"/>
      <c r="AU1662" s="7"/>
      <c r="AV1662" s="7"/>
      <c r="AW1662" s="7" t="s">
        <v>744</v>
      </c>
      <c r="AX1662" s="7" t="s">
        <v>11004</v>
      </c>
      <c r="AY1662" s="7"/>
      <c r="AZ1662" s="7"/>
      <c r="BA1662" s="7"/>
      <c r="BB1662" s="7"/>
      <c r="BC1662" s="7"/>
      <c r="BD1662" s="7"/>
      <c r="BE1662" s="7" t="s">
        <v>127</v>
      </c>
      <c r="BF1662" s="8"/>
      <c r="BG1662" s="8"/>
      <c r="BH1662" s="8"/>
      <c r="BI1662" s="8"/>
      <c r="BJ1662" s="8"/>
      <c r="BK1662" s="8"/>
      <c r="BL1662" s="8"/>
      <c r="BM1662" s="8"/>
      <c r="BN1662" s="8"/>
      <c r="BO1662" s="8"/>
      <c r="BP1662" s="8"/>
      <c r="BQ1662" s="8"/>
      <c r="BR1662" s="8"/>
      <c r="BS1662" s="8"/>
    </row>
    <row r="1663" customFormat="false" ht="15" hidden="false" customHeight="false" outlineLevel="0" collapsed="false">
      <c r="A1663" s="7" t="s">
        <v>11005</v>
      </c>
      <c r="B1663" s="7" t="s">
        <v>11006</v>
      </c>
      <c r="C1663" s="7" t="s">
        <v>11007</v>
      </c>
      <c r="D1663" s="7" t="s">
        <v>746</v>
      </c>
      <c r="E1663" s="7" t="s">
        <v>741</v>
      </c>
      <c r="F1663" s="7" t="s">
        <v>741</v>
      </c>
      <c r="G1663" s="7"/>
      <c r="H1663" s="7"/>
      <c r="I1663" s="7" t="s">
        <v>158</v>
      </c>
      <c r="J1663" s="7" t="s">
        <v>104</v>
      </c>
      <c r="K1663" s="7" t="s">
        <v>105</v>
      </c>
      <c r="L1663" s="7" t="s">
        <v>106</v>
      </c>
      <c r="M1663" s="7"/>
      <c r="N1663" s="7" t="s">
        <v>11008</v>
      </c>
      <c r="O1663" s="7" t="s">
        <v>11008</v>
      </c>
      <c r="P1663" s="7" t="s">
        <v>135</v>
      </c>
      <c r="Q1663" s="7"/>
      <c r="R1663" s="7" t="s">
        <v>109</v>
      </c>
      <c r="S1663" s="7" t="s">
        <v>110</v>
      </c>
      <c r="T1663" s="7" t="n">
        <v>0.377</v>
      </c>
      <c r="U1663" s="7" t="n">
        <v>1</v>
      </c>
      <c r="V1663" s="7" t="s">
        <v>90</v>
      </c>
      <c r="W1663" s="7"/>
      <c r="X1663" s="7" t="s">
        <v>927</v>
      </c>
      <c r="Y1663" s="7" t="s">
        <v>11008</v>
      </c>
      <c r="Z1663" s="7"/>
      <c r="AA1663" s="7"/>
      <c r="AB1663" s="7"/>
      <c r="AC1663" s="7" t="n">
        <v>5</v>
      </c>
      <c r="AD1663" s="7" t="s">
        <v>743</v>
      </c>
      <c r="AE1663" s="7" t="s">
        <v>744</v>
      </c>
      <c r="AF1663" s="7" t="s">
        <v>11007</v>
      </c>
      <c r="AG1663" s="7" t="s">
        <v>744</v>
      </c>
      <c r="AH1663" s="7" t="s">
        <v>927</v>
      </c>
      <c r="AI1663" s="7"/>
      <c r="AJ1663" s="7"/>
      <c r="AK1663" s="7"/>
      <c r="AL1663" s="7"/>
      <c r="AM1663" s="7"/>
      <c r="AN1663" s="7"/>
      <c r="AO1663" s="7" t="s">
        <v>744</v>
      </c>
      <c r="AP1663" s="7" t="s">
        <v>746</v>
      </c>
      <c r="AQ1663" s="7" t="s">
        <v>744</v>
      </c>
      <c r="AR1663" s="7" t="s">
        <v>741</v>
      </c>
      <c r="AS1663" s="7"/>
      <c r="AT1663" s="7"/>
      <c r="AU1663" s="7"/>
      <c r="AV1663" s="7"/>
      <c r="AW1663" s="7" t="s">
        <v>744</v>
      </c>
      <c r="AX1663" s="7" t="s">
        <v>11008</v>
      </c>
      <c r="AY1663" s="7"/>
      <c r="AZ1663" s="7"/>
      <c r="BA1663" s="7"/>
      <c r="BB1663" s="7"/>
      <c r="BC1663" s="7"/>
      <c r="BD1663" s="7" t="s">
        <v>747</v>
      </c>
      <c r="BE1663" s="7" t="s">
        <v>127</v>
      </c>
      <c r="BF1663" s="8"/>
      <c r="BG1663" s="8"/>
      <c r="BH1663" s="8"/>
      <c r="BI1663" s="8"/>
      <c r="BJ1663" s="8"/>
      <c r="BK1663" s="8"/>
      <c r="BL1663" s="8"/>
      <c r="BM1663" s="8"/>
      <c r="BN1663" s="8"/>
      <c r="BO1663" s="8"/>
      <c r="BP1663" s="8"/>
      <c r="BQ1663" s="8"/>
      <c r="BR1663" s="8"/>
      <c r="BS1663" s="8"/>
    </row>
    <row r="1664" customFormat="false" ht="15" hidden="false" customHeight="false" outlineLevel="0" collapsed="false">
      <c r="A1664" s="7" t="s">
        <v>11009</v>
      </c>
      <c r="B1664" s="7" t="s">
        <v>11010</v>
      </c>
      <c r="C1664" s="7" t="s">
        <v>11011</v>
      </c>
      <c r="D1664" s="7" t="s">
        <v>11012</v>
      </c>
      <c r="E1664" s="7" t="s">
        <v>677</v>
      </c>
      <c r="F1664" s="7" t="s">
        <v>677</v>
      </c>
      <c r="G1664" s="7"/>
      <c r="H1664" s="7"/>
      <c r="I1664" s="7" t="s">
        <v>158</v>
      </c>
      <c r="J1664" s="7" t="s">
        <v>104</v>
      </c>
      <c r="K1664" s="7" t="s">
        <v>105</v>
      </c>
      <c r="L1664" s="7" t="s">
        <v>106</v>
      </c>
      <c r="M1664" s="7"/>
      <c r="N1664" s="7" t="s">
        <v>11013</v>
      </c>
      <c r="O1664" s="7" t="s">
        <v>11013</v>
      </c>
      <c r="P1664" s="7" t="s">
        <v>135</v>
      </c>
      <c r="Q1664" s="7"/>
      <c r="R1664" s="7" t="s">
        <v>109</v>
      </c>
      <c r="S1664" s="7" t="s">
        <v>110</v>
      </c>
      <c r="T1664" s="7" t="n">
        <v>0.336</v>
      </c>
      <c r="U1664" s="7" t="n">
        <v>1</v>
      </c>
      <c r="V1664" s="7" t="s">
        <v>90</v>
      </c>
      <c r="W1664" s="7"/>
      <c r="X1664" s="7" t="s">
        <v>927</v>
      </c>
      <c r="Y1664" s="7" t="s">
        <v>11013</v>
      </c>
      <c r="Z1664" s="7"/>
      <c r="AA1664" s="7"/>
      <c r="AB1664" s="7"/>
      <c r="AC1664" s="7" t="n">
        <v>6</v>
      </c>
      <c r="AD1664" s="7" t="s">
        <v>1235</v>
      </c>
      <c r="AE1664" s="7" t="s">
        <v>744</v>
      </c>
      <c r="AF1664" s="7" t="s">
        <v>11011</v>
      </c>
      <c r="AG1664" s="7" t="s">
        <v>744</v>
      </c>
      <c r="AH1664" s="7" t="s">
        <v>927</v>
      </c>
      <c r="AI1664" s="7"/>
      <c r="AJ1664" s="7"/>
      <c r="AK1664" s="7"/>
      <c r="AL1664" s="7"/>
      <c r="AM1664" s="7" t="s">
        <v>744</v>
      </c>
      <c r="AN1664" s="7" t="s">
        <v>11014</v>
      </c>
      <c r="AO1664" s="7" t="s">
        <v>744</v>
      </c>
      <c r="AP1664" s="7" t="s">
        <v>11012</v>
      </c>
      <c r="AQ1664" s="7" t="s">
        <v>744</v>
      </c>
      <c r="AR1664" s="7" t="s">
        <v>677</v>
      </c>
      <c r="AS1664" s="7"/>
      <c r="AT1664" s="7"/>
      <c r="AU1664" s="7"/>
      <c r="AV1664" s="7"/>
      <c r="AW1664" s="7" t="s">
        <v>744</v>
      </c>
      <c r="AX1664" s="7" t="s">
        <v>11013</v>
      </c>
      <c r="AY1664" s="7"/>
      <c r="AZ1664" s="7"/>
      <c r="BA1664" s="7"/>
      <c r="BB1664" s="7"/>
      <c r="BC1664" s="7"/>
      <c r="BD1664" s="7"/>
      <c r="BE1664" s="7" t="s">
        <v>127</v>
      </c>
      <c r="BF1664" s="8"/>
      <c r="BG1664" s="8"/>
      <c r="BH1664" s="8"/>
      <c r="BI1664" s="8"/>
      <c r="BJ1664" s="8"/>
      <c r="BK1664" s="8"/>
      <c r="BL1664" s="8"/>
      <c r="BM1664" s="8"/>
      <c r="BN1664" s="8"/>
      <c r="BO1664" s="8"/>
      <c r="BP1664" s="8"/>
      <c r="BQ1664" s="8"/>
      <c r="BR1664" s="8"/>
      <c r="BS1664" s="8"/>
    </row>
    <row r="1665" customFormat="false" ht="15" hidden="false" customHeight="false" outlineLevel="0" collapsed="false">
      <c r="A1665" s="7" t="s">
        <v>11015</v>
      </c>
      <c r="B1665" s="7" t="s">
        <v>11016</v>
      </c>
      <c r="C1665" s="7" t="s">
        <v>11017</v>
      </c>
      <c r="D1665" s="7" t="s">
        <v>11018</v>
      </c>
      <c r="E1665" s="7" t="s">
        <v>737</v>
      </c>
      <c r="F1665" s="7" t="s">
        <v>737</v>
      </c>
      <c r="G1665" s="7"/>
      <c r="H1665" s="7"/>
      <c r="I1665" s="7" t="s">
        <v>158</v>
      </c>
      <c r="J1665" s="7" t="s">
        <v>104</v>
      </c>
      <c r="K1665" s="7" t="s">
        <v>105</v>
      </c>
      <c r="L1665" s="7" t="s">
        <v>353</v>
      </c>
      <c r="M1665" s="7"/>
      <c r="N1665" s="7" t="s">
        <v>11019</v>
      </c>
      <c r="O1665" s="7"/>
      <c r="P1665" s="7" t="s">
        <v>135</v>
      </c>
      <c r="Q1665" s="7"/>
      <c r="R1665" s="7" t="s">
        <v>135</v>
      </c>
      <c r="S1665" s="7" t="s">
        <v>136</v>
      </c>
      <c r="T1665" s="7" t="n">
        <v>0.565</v>
      </c>
      <c r="U1665" s="7" t="n">
        <v>1</v>
      </c>
      <c r="V1665" s="7" t="s">
        <v>90</v>
      </c>
      <c r="W1665" s="7"/>
      <c r="X1665" s="7" t="s">
        <v>927</v>
      </c>
      <c r="Y1665" s="7" t="s">
        <v>11019</v>
      </c>
      <c r="Z1665" s="7"/>
      <c r="AA1665" s="7"/>
      <c r="AB1665" s="7"/>
      <c r="AC1665" s="7" t="n">
        <v>5</v>
      </c>
      <c r="AD1665" s="7" t="s">
        <v>743</v>
      </c>
      <c r="AE1665" s="7" t="s">
        <v>744</v>
      </c>
      <c r="AF1665" s="7" t="s">
        <v>11017</v>
      </c>
      <c r="AG1665" s="7" t="s">
        <v>744</v>
      </c>
      <c r="AH1665" s="7" t="s">
        <v>927</v>
      </c>
      <c r="AI1665" s="7"/>
      <c r="AJ1665" s="7"/>
      <c r="AK1665" s="7"/>
      <c r="AL1665" s="7"/>
      <c r="AM1665" s="7"/>
      <c r="AN1665" s="7"/>
      <c r="AO1665" s="7" t="s">
        <v>744</v>
      </c>
      <c r="AP1665" s="7" t="s">
        <v>11018</v>
      </c>
      <c r="AQ1665" s="7" t="s">
        <v>744</v>
      </c>
      <c r="AR1665" s="7" t="s">
        <v>737</v>
      </c>
      <c r="AS1665" s="7"/>
      <c r="AT1665" s="7"/>
      <c r="AU1665" s="7"/>
      <c r="AV1665" s="7"/>
      <c r="AW1665" s="7" t="s">
        <v>744</v>
      </c>
      <c r="AX1665" s="7" t="s">
        <v>11019</v>
      </c>
      <c r="AY1665" s="7"/>
      <c r="AZ1665" s="7"/>
      <c r="BA1665" s="7"/>
      <c r="BB1665" s="7"/>
      <c r="BC1665" s="7"/>
      <c r="BD1665" s="7"/>
      <c r="BE1665" s="7" t="s">
        <v>127</v>
      </c>
      <c r="BF1665" s="8"/>
      <c r="BG1665" s="8"/>
      <c r="BH1665" s="8"/>
      <c r="BI1665" s="8"/>
      <c r="BJ1665" s="8"/>
      <c r="BK1665" s="8"/>
      <c r="BL1665" s="8"/>
      <c r="BM1665" s="8"/>
      <c r="BN1665" s="8"/>
      <c r="BO1665" s="8"/>
      <c r="BP1665" s="8"/>
      <c r="BQ1665" s="8"/>
      <c r="BR1665" s="8"/>
      <c r="BS1665" s="8"/>
    </row>
    <row r="1666" customFormat="false" ht="15" hidden="false" customHeight="false" outlineLevel="0" collapsed="false">
      <c r="A1666" s="7" t="s">
        <v>11020</v>
      </c>
      <c r="B1666" s="7" t="s">
        <v>11021</v>
      </c>
      <c r="C1666" s="7" t="s">
        <v>11022</v>
      </c>
      <c r="D1666" s="7" t="s">
        <v>11023</v>
      </c>
      <c r="E1666" s="7" t="s">
        <v>677</v>
      </c>
      <c r="F1666" s="7" t="s">
        <v>677</v>
      </c>
      <c r="G1666" s="7"/>
      <c r="H1666" s="7"/>
      <c r="I1666" s="7" t="s">
        <v>158</v>
      </c>
      <c r="J1666" s="7" t="s">
        <v>104</v>
      </c>
      <c r="K1666" s="7" t="s">
        <v>105</v>
      </c>
      <c r="L1666" s="7" t="s">
        <v>106</v>
      </c>
      <c r="M1666" s="7"/>
      <c r="N1666" s="7" t="s">
        <v>11024</v>
      </c>
      <c r="O1666" s="7" t="s">
        <v>11024</v>
      </c>
      <c r="P1666" s="7" t="s">
        <v>135</v>
      </c>
      <c r="Q1666" s="7"/>
      <c r="R1666" s="7" t="s">
        <v>109</v>
      </c>
      <c r="S1666" s="7" t="s">
        <v>110</v>
      </c>
      <c r="T1666" s="7" t="n">
        <v>0.478</v>
      </c>
      <c r="U1666" s="7" t="n">
        <v>1</v>
      </c>
      <c r="V1666" s="7" t="s">
        <v>90</v>
      </c>
      <c r="W1666" s="7"/>
      <c r="X1666" s="7" t="s">
        <v>927</v>
      </c>
      <c r="Y1666" s="7" t="s">
        <v>11024</v>
      </c>
      <c r="Z1666" s="7"/>
      <c r="AA1666" s="7"/>
      <c r="AB1666" s="7"/>
      <c r="AC1666" s="7" t="n">
        <v>5</v>
      </c>
      <c r="AD1666" s="7" t="s">
        <v>743</v>
      </c>
      <c r="AE1666" s="7" t="s">
        <v>744</v>
      </c>
      <c r="AF1666" s="7" t="s">
        <v>11022</v>
      </c>
      <c r="AG1666" s="7" t="s">
        <v>744</v>
      </c>
      <c r="AH1666" s="7" t="s">
        <v>927</v>
      </c>
      <c r="AI1666" s="7"/>
      <c r="AJ1666" s="7"/>
      <c r="AK1666" s="7"/>
      <c r="AL1666" s="7"/>
      <c r="AM1666" s="7"/>
      <c r="AN1666" s="7"/>
      <c r="AO1666" s="7" t="s">
        <v>744</v>
      </c>
      <c r="AP1666" s="7" t="s">
        <v>11023</v>
      </c>
      <c r="AQ1666" s="7" t="s">
        <v>744</v>
      </c>
      <c r="AR1666" s="7" t="s">
        <v>677</v>
      </c>
      <c r="AS1666" s="7"/>
      <c r="AT1666" s="7"/>
      <c r="AU1666" s="7"/>
      <c r="AV1666" s="7"/>
      <c r="AW1666" s="7" t="s">
        <v>744</v>
      </c>
      <c r="AX1666" s="7" t="s">
        <v>11024</v>
      </c>
      <c r="AY1666" s="7"/>
      <c r="AZ1666" s="7"/>
      <c r="BA1666" s="7"/>
      <c r="BB1666" s="7"/>
      <c r="BC1666" s="7"/>
      <c r="BD1666" s="7" t="s">
        <v>440</v>
      </c>
      <c r="BE1666" s="7" t="s">
        <v>127</v>
      </c>
      <c r="BF1666" s="8"/>
      <c r="BG1666" s="8"/>
      <c r="BH1666" s="8"/>
      <c r="BI1666" s="8"/>
      <c r="BJ1666" s="8"/>
      <c r="BK1666" s="8"/>
      <c r="BL1666" s="8"/>
      <c r="BM1666" s="8"/>
      <c r="BN1666" s="8"/>
      <c r="BO1666" s="8"/>
      <c r="BP1666" s="8"/>
      <c r="BQ1666" s="8"/>
      <c r="BR1666" s="8"/>
      <c r="BS1666" s="8"/>
    </row>
    <row r="1667" customFormat="false" ht="15" hidden="false" customHeight="false" outlineLevel="0" collapsed="false">
      <c r="A1667" s="7" t="s">
        <v>11025</v>
      </c>
      <c r="B1667" s="7" t="s">
        <v>11026</v>
      </c>
      <c r="C1667" s="7" t="s">
        <v>11027</v>
      </c>
      <c r="D1667" s="7" t="s">
        <v>746</v>
      </c>
      <c r="E1667" s="7" t="s">
        <v>741</v>
      </c>
      <c r="F1667" s="7" t="s">
        <v>741</v>
      </c>
      <c r="G1667" s="7"/>
      <c r="H1667" s="7"/>
      <c r="I1667" s="7" t="s">
        <v>158</v>
      </c>
      <c r="J1667" s="7" t="s">
        <v>104</v>
      </c>
      <c r="K1667" s="7" t="s">
        <v>105</v>
      </c>
      <c r="L1667" s="7" t="s">
        <v>106</v>
      </c>
      <c r="M1667" s="7"/>
      <c r="N1667" s="7" t="s">
        <v>11028</v>
      </c>
      <c r="O1667" s="7" t="s">
        <v>11028</v>
      </c>
      <c r="P1667" s="7" t="s">
        <v>135</v>
      </c>
      <c r="Q1667" s="7"/>
      <c r="R1667" s="7" t="s">
        <v>109</v>
      </c>
      <c r="S1667" s="7" t="s">
        <v>110</v>
      </c>
      <c r="T1667" s="7" t="n">
        <v>0.475</v>
      </c>
      <c r="U1667" s="7" t="n">
        <v>1</v>
      </c>
      <c r="V1667" s="7" t="s">
        <v>90</v>
      </c>
      <c r="W1667" s="7"/>
      <c r="X1667" s="7" t="s">
        <v>927</v>
      </c>
      <c r="Y1667" s="7" t="s">
        <v>11028</v>
      </c>
      <c r="Z1667" s="7"/>
      <c r="AA1667" s="7"/>
      <c r="AB1667" s="7"/>
      <c r="AC1667" s="7" t="n">
        <v>5</v>
      </c>
      <c r="AD1667" s="7" t="s">
        <v>743</v>
      </c>
      <c r="AE1667" s="7" t="s">
        <v>744</v>
      </c>
      <c r="AF1667" s="7" t="s">
        <v>11027</v>
      </c>
      <c r="AG1667" s="7" t="s">
        <v>744</v>
      </c>
      <c r="AH1667" s="7" t="s">
        <v>927</v>
      </c>
      <c r="AI1667" s="7"/>
      <c r="AJ1667" s="7"/>
      <c r="AK1667" s="7"/>
      <c r="AL1667" s="7"/>
      <c r="AM1667" s="7"/>
      <c r="AN1667" s="7"/>
      <c r="AO1667" s="7" t="s">
        <v>744</v>
      </c>
      <c r="AP1667" s="7" t="s">
        <v>746</v>
      </c>
      <c r="AQ1667" s="7" t="s">
        <v>744</v>
      </c>
      <c r="AR1667" s="7" t="s">
        <v>741</v>
      </c>
      <c r="AS1667" s="7"/>
      <c r="AT1667" s="7"/>
      <c r="AU1667" s="7"/>
      <c r="AV1667" s="7"/>
      <c r="AW1667" s="7" t="s">
        <v>744</v>
      </c>
      <c r="AX1667" s="7" t="s">
        <v>11028</v>
      </c>
      <c r="AY1667" s="7"/>
      <c r="AZ1667" s="7"/>
      <c r="BA1667" s="7"/>
      <c r="BB1667" s="7"/>
      <c r="BC1667" s="7"/>
      <c r="BD1667" s="7"/>
      <c r="BE1667" s="7" t="s">
        <v>127</v>
      </c>
      <c r="BF1667" s="8"/>
      <c r="BG1667" s="8"/>
      <c r="BH1667" s="8"/>
      <c r="BI1667" s="8"/>
      <c r="BJ1667" s="8"/>
      <c r="BK1667" s="8"/>
      <c r="BL1667" s="8"/>
      <c r="BM1667" s="8"/>
      <c r="BN1667" s="8"/>
      <c r="BO1667" s="8"/>
      <c r="BP1667" s="8"/>
      <c r="BQ1667" s="8"/>
      <c r="BR1667" s="8"/>
      <c r="BS1667" s="8"/>
    </row>
    <row r="1668" customFormat="false" ht="15" hidden="false" customHeight="false" outlineLevel="0" collapsed="false">
      <c r="A1668" s="7" t="s">
        <v>11029</v>
      </c>
      <c r="B1668" s="7" t="s">
        <v>11030</v>
      </c>
      <c r="C1668" s="7" t="s">
        <v>11031</v>
      </c>
      <c r="D1668" s="7" t="s">
        <v>11032</v>
      </c>
      <c r="E1668" s="7"/>
      <c r="F1668" s="7" t="s">
        <v>156</v>
      </c>
      <c r="G1668" s="7"/>
      <c r="H1668" s="7" t="s">
        <v>157</v>
      </c>
      <c r="I1668" s="7" t="s">
        <v>374</v>
      </c>
      <c r="J1668" s="7" t="s">
        <v>159</v>
      </c>
      <c r="K1668" s="7" t="s">
        <v>105</v>
      </c>
      <c r="L1668" s="7" t="s">
        <v>106</v>
      </c>
      <c r="M1668" s="7"/>
      <c r="N1668" s="7" t="s">
        <v>11033</v>
      </c>
      <c r="O1668" s="7"/>
      <c r="P1668" s="7" t="s">
        <v>135</v>
      </c>
      <c r="Q1668" s="7"/>
      <c r="R1668" s="7" t="s">
        <v>135</v>
      </c>
      <c r="S1668" s="7" t="s">
        <v>136</v>
      </c>
      <c r="T1668" s="7" t="n">
        <v>0.389</v>
      </c>
      <c r="U1668" s="7" t="n">
        <v>1</v>
      </c>
      <c r="V1668" s="7" t="s">
        <v>90</v>
      </c>
      <c r="W1668" s="7"/>
      <c r="X1668" s="7" t="s">
        <v>927</v>
      </c>
      <c r="Y1668" s="7" t="s">
        <v>11033</v>
      </c>
      <c r="Z1668" s="7"/>
      <c r="AA1668" s="7"/>
      <c r="AB1668" s="7"/>
      <c r="AC1668" s="7" t="n">
        <v>4</v>
      </c>
      <c r="AD1668" s="7" t="s">
        <v>7611</v>
      </c>
      <c r="AE1668" s="7" t="s">
        <v>744</v>
      </c>
      <c r="AF1668" s="7" t="s">
        <v>11031</v>
      </c>
      <c r="AG1668" s="7" t="s">
        <v>744</v>
      </c>
      <c r="AH1668" s="7" t="s">
        <v>927</v>
      </c>
      <c r="AI1668" s="7"/>
      <c r="AJ1668" s="7"/>
      <c r="AK1668" s="7"/>
      <c r="AL1668" s="7"/>
      <c r="AM1668" s="7"/>
      <c r="AN1668" s="7"/>
      <c r="AO1668" s="7" t="s">
        <v>744</v>
      </c>
      <c r="AP1668" s="7" t="s">
        <v>11032</v>
      </c>
      <c r="AQ1668" s="7"/>
      <c r="AR1668" s="7"/>
      <c r="AS1668" s="7"/>
      <c r="AT1668" s="7"/>
      <c r="AU1668" s="7"/>
      <c r="AV1668" s="7"/>
      <c r="AW1668" s="7" t="s">
        <v>744</v>
      </c>
      <c r="AX1668" s="7" t="s">
        <v>11033</v>
      </c>
      <c r="AY1668" s="7"/>
      <c r="AZ1668" s="7"/>
      <c r="BA1668" s="7"/>
      <c r="BB1668" s="7"/>
      <c r="BC1668" s="7"/>
      <c r="BD1668" s="7"/>
      <c r="BE1668" s="7" t="s">
        <v>127</v>
      </c>
      <c r="BF1668" s="8"/>
      <c r="BG1668" s="8"/>
      <c r="BH1668" s="8"/>
      <c r="BI1668" s="8"/>
      <c r="BJ1668" s="8"/>
      <c r="BK1668" s="8"/>
      <c r="BL1668" s="8"/>
      <c r="BM1668" s="8"/>
      <c r="BN1668" s="8"/>
      <c r="BO1668" s="8"/>
      <c r="BP1668" s="8"/>
      <c r="BQ1668" s="8"/>
      <c r="BR1668" s="8"/>
      <c r="BS1668" s="8"/>
    </row>
    <row r="1669" customFormat="false" ht="15" hidden="false" customHeight="false" outlineLevel="0" collapsed="false">
      <c r="A1669" s="7" t="s">
        <v>11034</v>
      </c>
      <c r="B1669" s="7" t="s">
        <v>11035</v>
      </c>
      <c r="C1669" s="7" t="s">
        <v>11036</v>
      </c>
      <c r="D1669" s="7" t="s">
        <v>11037</v>
      </c>
      <c r="E1669" s="7" t="s">
        <v>444</v>
      </c>
      <c r="F1669" s="7" t="s">
        <v>444</v>
      </c>
      <c r="G1669" s="7"/>
      <c r="H1669" s="7"/>
      <c r="I1669" s="7" t="s">
        <v>158</v>
      </c>
      <c r="J1669" s="7" t="s">
        <v>104</v>
      </c>
      <c r="K1669" s="7" t="s">
        <v>105</v>
      </c>
      <c r="L1669" s="7" t="s">
        <v>353</v>
      </c>
      <c r="M1669" s="7"/>
      <c r="N1669" s="7" t="s">
        <v>11038</v>
      </c>
      <c r="O1669" s="7" t="s">
        <v>11038</v>
      </c>
      <c r="P1669" s="7" t="s">
        <v>109</v>
      </c>
      <c r="Q1669" s="7"/>
      <c r="R1669" s="7" t="s">
        <v>109</v>
      </c>
      <c r="S1669" s="7" t="s">
        <v>110</v>
      </c>
      <c r="T1669" s="7" t="n">
        <v>0.345</v>
      </c>
      <c r="U1669" s="7" t="n">
        <v>1</v>
      </c>
      <c r="V1669" s="7" t="s">
        <v>90</v>
      </c>
      <c r="W1669" s="7"/>
      <c r="X1669" s="7" t="s">
        <v>11039</v>
      </c>
      <c r="Y1669" s="7" t="s">
        <v>11038</v>
      </c>
      <c r="Z1669" s="7"/>
      <c r="AA1669" s="7"/>
      <c r="AB1669" s="7"/>
      <c r="AC1669" s="7" t="n">
        <v>5</v>
      </c>
      <c r="AD1669" s="7" t="s">
        <v>743</v>
      </c>
      <c r="AE1669" s="7" t="s">
        <v>744</v>
      </c>
      <c r="AF1669" s="7" t="s">
        <v>11036</v>
      </c>
      <c r="AG1669" s="7" t="s">
        <v>744</v>
      </c>
      <c r="AH1669" s="7" t="s">
        <v>11039</v>
      </c>
      <c r="AI1669" s="7"/>
      <c r="AJ1669" s="7"/>
      <c r="AK1669" s="7"/>
      <c r="AL1669" s="7"/>
      <c r="AM1669" s="7"/>
      <c r="AN1669" s="7"/>
      <c r="AO1669" s="7" t="s">
        <v>744</v>
      </c>
      <c r="AP1669" s="7" t="s">
        <v>11037</v>
      </c>
      <c r="AQ1669" s="7" t="s">
        <v>744</v>
      </c>
      <c r="AR1669" s="7" t="s">
        <v>444</v>
      </c>
      <c r="AS1669" s="7"/>
      <c r="AT1669" s="7"/>
      <c r="AU1669" s="7"/>
      <c r="AV1669" s="7"/>
      <c r="AW1669" s="7" t="s">
        <v>744</v>
      </c>
      <c r="AX1669" s="7" t="s">
        <v>11038</v>
      </c>
      <c r="AY1669" s="7"/>
      <c r="AZ1669" s="7"/>
      <c r="BA1669" s="7"/>
      <c r="BB1669" s="7"/>
      <c r="BC1669" s="7"/>
      <c r="BD1669" s="7"/>
      <c r="BE1669" s="7" t="s">
        <v>127</v>
      </c>
      <c r="BF1669" s="8"/>
      <c r="BG1669" s="8"/>
      <c r="BH1669" s="8"/>
      <c r="BI1669" s="8"/>
      <c r="BJ1669" s="8"/>
      <c r="BK1669" s="8"/>
      <c r="BL1669" s="8"/>
      <c r="BM1669" s="8"/>
      <c r="BN1669" s="8"/>
      <c r="BO1669" s="8"/>
      <c r="BP1669" s="8"/>
      <c r="BQ1669" s="8"/>
      <c r="BR1669" s="8"/>
      <c r="BS1669" s="8"/>
    </row>
    <row r="1670" customFormat="false" ht="15" hidden="false" customHeight="false" outlineLevel="0" collapsed="false">
      <c r="A1670" s="7" t="s">
        <v>11040</v>
      </c>
      <c r="B1670" s="7" t="s">
        <v>11041</v>
      </c>
      <c r="C1670" s="7" t="s">
        <v>11042</v>
      </c>
      <c r="D1670" s="7" t="s">
        <v>746</v>
      </c>
      <c r="E1670" s="7" t="s">
        <v>741</v>
      </c>
      <c r="F1670" s="7" t="s">
        <v>741</v>
      </c>
      <c r="G1670" s="7"/>
      <c r="H1670" s="7"/>
      <c r="I1670" s="7" t="s">
        <v>158</v>
      </c>
      <c r="J1670" s="7" t="s">
        <v>104</v>
      </c>
      <c r="K1670" s="7" t="s">
        <v>105</v>
      </c>
      <c r="L1670" s="7" t="s">
        <v>106</v>
      </c>
      <c r="M1670" s="7"/>
      <c r="N1670" s="7" t="s">
        <v>11043</v>
      </c>
      <c r="O1670" s="7" t="s">
        <v>11043</v>
      </c>
      <c r="P1670" s="7" t="s">
        <v>135</v>
      </c>
      <c r="Q1670" s="7"/>
      <c r="R1670" s="7" t="s">
        <v>109</v>
      </c>
      <c r="S1670" s="7" t="s">
        <v>110</v>
      </c>
      <c r="T1670" s="7" t="n">
        <v>0.523</v>
      </c>
      <c r="U1670" s="7" t="n">
        <v>1</v>
      </c>
      <c r="V1670" s="7" t="s">
        <v>90</v>
      </c>
      <c r="W1670" s="7"/>
      <c r="X1670" s="7" t="s">
        <v>11039</v>
      </c>
      <c r="Y1670" s="7" t="s">
        <v>11043</v>
      </c>
      <c r="Z1670" s="7"/>
      <c r="AA1670" s="7"/>
      <c r="AB1670" s="7"/>
      <c r="AC1670" s="7" t="n">
        <v>5</v>
      </c>
      <c r="AD1670" s="7" t="s">
        <v>743</v>
      </c>
      <c r="AE1670" s="7" t="s">
        <v>744</v>
      </c>
      <c r="AF1670" s="7" t="s">
        <v>11042</v>
      </c>
      <c r="AG1670" s="7" t="s">
        <v>744</v>
      </c>
      <c r="AH1670" s="7" t="s">
        <v>11039</v>
      </c>
      <c r="AI1670" s="7"/>
      <c r="AJ1670" s="7"/>
      <c r="AK1670" s="7"/>
      <c r="AL1670" s="7"/>
      <c r="AM1670" s="7"/>
      <c r="AN1670" s="7"/>
      <c r="AO1670" s="7" t="s">
        <v>744</v>
      </c>
      <c r="AP1670" s="7" t="s">
        <v>746</v>
      </c>
      <c r="AQ1670" s="7" t="s">
        <v>744</v>
      </c>
      <c r="AR1670" s="7" t="s">
        <v>741</v>
      </c>
      <c r="AS1670" s="7"/>
      <c r="AT1670" s="7"/>
      <c r="AU1670" s="7"/>
      <c r="AV1670" s="7"/>
      <c r="AW1670" s="7" t="s">
        <v>744</v>
      </c>
      <c r="AX1670" s="7" t="s">
        <v>11043</v>
      </c>
      <c r="AY1670" s="7"/>
      <c r="AZ1670" s="7"/>
      <c r="BA1670" s="7"/>
      <c r="BB1670" s="7"/>
      <c r="BC1670" s="7"/>
      <c r="BD1670" s="7" t="s">
        <v>747</v>
      </c>
      <c r="BE1670" s="7" t="s">
        <v>127</v>
      </c>
      <c r="BF1670" s="8"/>
      <c r="BG1670" s="8"/>
      <c r="BH1670" s="8"/>
      <c r="BI1670" s="8"/>
      <c r="BJ1670" s="8"/>
      <c r="BK1670" s="8"/>
      <c r="BL1670" s="8"/>
      <c r="BM1670" s="8"/>
      <c r="BN1670" s="8"/>
      <c r="BO1670" s="8"/>
      <c r="BP1670" s="8"/>
      <c r="BQ1670" s="8"/>
      <c r="BR1670" s="8"/>
      <c r="BS1670" s="8"/>
    </row>
    <row r="1671" customFormat="false" ht="15" hidden="false" customHeight="false" outlineLevel="0" collapsed="false">
      <c r="A1671" s="7" t="s">
        <v>11044</v>
      </c>
      <c r="B1671" s="7" t="s">
        <v>11045</v>
      </c>
      <c r="C1671" s="7" t="s">
        <v>11046</v>
      </c>
      <c r="D1671" s="7" t="s">
        <v>11047</v>
      </c>
      <c r="E1671" s="7" t="s">
        <v>410</v>
      </c>
      <c r="F1671" s="7" t="s">
        <v>410</v>
      </c>
      <c r="G1671" s="7"/>
      <c r="H1671" s="7"/>
      <c r="I1671" s="7" t="s">
        <v>158</v>
      </c>
      <c r="J1671" s="7" t="s">
        <v>104</v>
      </c>
      <c r="K1671" s="7" t="s">
        <v>105</v>
      </c>
      <c r="L1671" s="7" t="s">
        <v>353</v>
      </c>
      <c r="M1671" s="7"/>
      <c r="N1671" s="7" t="s">
        <v>11048</v>
      </c>
      <c r="O1671" s="7" t="s">
        <v>11048</v>
      </c>
      <c r="P1671" s="7" t="s">
        <v>109</v>
      </c>
      <c r="Q1671" s="7"/>
      <c r="R1671" s="7" t="s">
        <v>109</v>
      </c>
      <c r="S1671" s="7" t="s">
        <v>110</v>
      </c>
      <c r="T1671" s="7" t="n">
        <v>0.488</v>
      </c>
      <c r="U1671" s="7" t="n">
        <v>1</v>
      </c>
      <c r="V1671" s="7" t="s">
        <v>90</v>
      </c>
      <c r="W1671" s="7"/>
      <c r="X1671" s="7" t="s">
        <v>11039</v>
      </c>
      <c r="Y1671" s="7" t="s">
        <v>11048</v>
      </c>
      <c r="Z1671" s="7"/>
      <c r="AA1671" s="7"/>
      <c r="AB1671" s="7"/>
      <c r="AC1671" s="7" t="n">
        <v>5</v>
      </c>
      <c r="AD1671" s="7" t="s">
        <v>743</v>
      </c>
      <c r="AE1671" s="7" t="s">
        <v>744</v>
      </c>
      <c r="AF1671" s="7" t="s">
        <v>11046</v>
      </c>
      <c r="AG1671" s="7" t="s">
        <v>744</v>
      </c>
      <c r="AH1671" s="7" t="s">
        <v>11039</v>
      </c>
      <c r="AI1671" s="7"/>
      <c r="AJ1671" s="7"/>
      <c r="AK1671" s="7"/>
      <c r="AL1671" s="7"/>
      <c r="AM1671" s="7"/>
      <c r="AN1671" s="7"/>
      <c r="AO1671" s="7" t="s">
        <v>744</v>
      </c>
      <c r="AP1671" s="7" t="s">
        <v>11047</v>
      </c>
      <c r="AQ1671" s="7" t="s">
        <v>744</v>
      </c>
      <c r="AR1671" s="7" t="s">
        <v>410</v>
      </c>
      <c r="AS1671" s="7"/>
      <c r="AT1671" s="7"/>
      <c r="AU1671" s="7"/>
      <c r="AV1671" s="7"/>
      <c r="AW1671" s="7" t="s">
        <v>744</v>
      </c>
      <c r="AX1671" s="7" t="s">
        <v>11048</v>
      </c>
      <c r="AY1671" s="7"/>
      <c r="AZ1671" s="7"/>
      <c r="BA1671" s="7"/>
      <c r="BB1671" s="7"/>
      <c r="BC1671" s="7"/>
      <c r="BD1671" s="7"/>
      <c r="BE1671" s="7" t="s">
        <v>127</v>
      </c>
      <c r="BF1671" s="8"/>
      <c r="BG1671" s="8"/>
      <c r="BH1671" s="8"/>
      <c r="BI1671" s="8"/>
      <c r="BJ1671" s="8"/>
      <c r="BK1671" s="8"/>
      <c r="BL1671" s="8"/>
      <c r="BM1671" s="8"/>
      <c r="BN1671" s="8"/>
      <c r="BO1671" s="8"/>
      <c r="BP1671" s="8"/>
      <c r="BQ1671" s="8"/>
      <c r="BR1671" s="8"/>
      <c r="BS1671" s="8"/>
    </row>
    <row r="1672" customFormat="false" ht="15" hidden="false" customHeight="false" outlineLevel="0" collapsed="false">
      <c r="A1672" s="7" t="s">
        <v>11049</v>
      </c>
      <c r="B1672" s="7" t="s">
        <v>11050</v>
      </c>
      <c r="C1672" s="7" t="s">
        <v>11051</v>
      </c>
      <c r="D1672" s="7" t="s">
        <v>11052</v>
      </c>
      <c r="E1672" s="7"/>
      <c r="F1672" s="7" t="s">
        <v>156</v>
      </c>
      <c r="G1672" s="7"/>
      <c r="H1672" s="7" t="s">
        <v>157</v>
      </c>
      <c r="I1672" s="7" t="s">
        <v>158</v>
      </c>
      <c r="J1672" s="7" t="s">
        <v>159</v>
      </c>
      <c r="K1672" s="7" t="s">
        <v>105</v>
      </c>
      <c r="L1672" s="7" t="s">
        <v>353</v>
      </c>
      <c r="M1672" s="7"/>
      <c r="N1672" s="7" t="s">
        <v>11053</v>
      </c>
      <c r="O1672" s="7"/>
      <c r="P1672" s="7" t="s">
        <v>135</v>
      </c>
      <c r="Q1672" s="7"/>
      <c r="R1672" s="7" t="s">
        <v>135</v>
      </c>
      <c r="S1672" s="7" t="s">
        <v>136</v>
      </c>
      <c r="T1672" s="7" t="n">
        <v>0.386</v>
      </c>
      <c r="U1672" s="7" t="n">
        <v>1</v>
      </c>
      <c r="V1672" s="7" t="s">
        <v>90</v>
      </c>
      <c r="W1672" s="7"/>
      <c r="X1672" s="7" t="s">
        <v>11054</v>
      </c>
      <c r="Y1672" s="7" t="s">
        <v>11053</v>
      </c>
      <c r="Z1672" s="7"/>
      <c r="AA1672" s="7"/>
      <c r="AB1672" s="7"/>
      <c r="AC1672" s="7" t="n">
        <v>4</v>
      </c>
      <c r="AD1672" s="7" t="s">
        <v>7611</v>
      </c>
      <c r="AE1672" s="7" t="s">
        <v>744</v>
      </c>
      <c r="AF1672" s="7" t="s">
        <v>11051</v>
      </c>
      <c r="AG1672" s="7" t="s">
        <v>744</v>
      </c>
      <c r="AH1672" s="7" t="s">
        <v>11054</v>
      </c>
      <c r="AI1672" s="7"/>
      <c r="AJ1672" s="7"/>
      <c r="AK1672" s="7"/>
      <c r="AL1672" s="7"/>
      <c r="AM1672" s="7"/>
      <c r="AN1672" s="7"/>
      <c r="AO1672" s="7" t="s">
        <v>744</v>
      </c>
      <c r="AP1672" s="7" t="s">
        <v>11052</v>
      </c>
      <c r="AQ1672" s="7"/>
      <c r="AR1672" s="7"/>
      <c r="AS1672" s="7"/>
      <c r="AT1672" s="7"/>
      <c r="AU1672" s="7"/>
      <c r="AV1672" s="7"/>
      <c r="AW1672" s="7" t="s">
        <v>744</v>
      </c>
      <c r="AX1672" s="7" t="s">
        <v>11053</v>
      </c>
      <c r="AY1672" s="7"/>
      <c r="AZ1672" s="7"/>
      <c r="BA1672" s="7"/>
      <c r="BB1672" s="7"/>
      <c r="BC1672" s="7"/>
      <c r="BD1672" s="7"/>
      <c r="BE1672" s="7" t="s">
        <v>127</v>
      </c>
      <c r="BF1672" s="8"/>
      <c r="BG1672" s="8"/>
      <c r="BH1672" s="8"/>
      <c r="BI1672" s="8"/>
      <c r="BJ1672" s="8"/>
      <c r="BK1672" s="8"/>
      <c r="BL1672" s="8"/>
      <c r="BM1672" s="8"/>
      <c r="BN1672" s="8"/>
      <c r="BO1672" s="8"/>
      <c r="BP1672" s="8"/>
      <c r="BQ1672" s="8"/>
      <c r="BR1672" s="8"/>
      <c r="BS1672" s="8"/>
    </row>
    <row r="1673" customFormat="false" ht="15" hidden="false" customHeight="false" outlineLevel="0" collapsed="false">
      <c r="A1673" s="7" t="s">
        <v>11055</v>
      </c>
      <c r="B1673" s="7" t="s">
        <v>11056</v>
      </c>
      <c r="C1673" s="7" t="s">
        <v>11057</v>
      </c>
      <c r="D1673" s="7" t="s">
        <v>746</v>
      </c>
      <c r="E1673" s="7" t="s">
        <v>741</v>
      </c>
      <c r="F1673" s="7" t="s">
        <v>741</v>
      </c>
      <c r="G1673" s="7"/>
      <c r="H1673" s="7"/>
      <c r="I1673" s="7" t="s">
        <v>158</v>
      </c>
      <c r="J1673" s="7" t="s">
        <v>104</v>
      </c>
      <c r="K1673" s="7" t="s">
        <v>105</v>
      </c>
      <c r="L1673" s="7" t="s">
        <v>106</v>
      </c>
      <c r="M1673" s="7"/>
      <c r="N1673" s="7" t="s">
        <v>11058</v>
      </c>
      <c r="O1673" s="7" t="s">
        <v>11058</v>
      </c>
      <c r="P1673" s="7" t="s">
        <v>135</v>
      </c>
      <c r="Q1673" s="7"/>
      <c r="R1673" s="7" t="s">
        <v>109</v>
      </c>
      <c r="S1673" s="7" t="s">
        <v>110</v>
      </c>
      <c r="T1673" s="7" t="n">
        <v>0.318</v>
      </c>
      <c r="U1673" s="7" t="n">
        <v>1</v>
      </c>
      <c r="V1673" s="7" t="s">
        <v>90</v>
      </c>
      <c r="W1673" s="7"/>
      <c r="X1673" s="7" t="s">
        <v>11054</v>
      </c>
      <c r="Y1673" s="7" t="s">
        <v>11058</v>
      </c>
      <c r="Z1673" s="7"/>
      <c r="AA1673" s="7"/>
      <c r="AB1673" s="7"/>
      <c r="AC1673" s="7" t="n">
        <v>5</v>
      </c>
      <c r="AD1673" s="7" t="s">
        <v>743</v>
      </c>
      <c r="AE1673" s="7" t="s">
        <v>744</v>
      </c>
      <c r="AF1673" s="7" t="s">
        <v>11057</v>
      </c>
      <c r="AG1673" s="7" t="s">
        <v>744</v>
      </c>
      <c r="AH1673" s="7" t="s">
        <v>11054</v>
      </c>
      <c r="AI1673" s="7"/>
      <c r="AJ1673" s="7"/>
      <c r="AK1673" s="7"/>
      <c r="AL1673" s="7"/>
      <c r="AM1673" s="7"/>
      <c r="AN1673" s="7"/>
      <c r="AO1673" s="7" t="s">
        <v>744</v>
      </c>
      <c r="AP1673" s="7" t="s">
        <v>746</v>
      </c>
      <c r="AQ1673" s="7" t="s">
        <v>744</v>
      </c>
      <c r="AR1673" s="7" t="s">
        <v>741</v>
      </c>
      <c r="AS1673" s="7"/>
      <c r="AT1673" s="7"/>
      <c r="AU1673" s="7"/>
      <c r="AV1673" s="7"/>
      <c r="AW1673" s="7" t="s">
        <v>744</v>
      </c>
      <c r="AX1673" s="7" t="s">
        <v>11058</v>
      </c>
      <c r="AY1673" s="7"/>
      <c r="AZ1673" s="7"/>
      <c r="BA1673" s="7"/>
      <c r="BB1673" s="7"/>
      <c r="BC1673" s="7"/>
      <c r="BD1673" s="7" t="s">
        <v>747</v>
      </c>
      <c r="BE1673" s="7" t="s">
        <v>127</v>
      </c>
      <c r="BF1673" s="8"/>
      <c r="BG1673" s="8"/>
      <c r="BH1673" s="8"/>
      <c r="BI1673" s="8"/>
      <c r="BJ1673" s="8"/>
      <c r="BK1673" s="8"/>
      <c r="BL1673" s="8"/>
      <c r="BM1673" s="8"/>
      <c r="BN1673" s="8"/>
      <c r="BO1673" s="8"/>
      <c r="BP1673" s="8"/>
      <c r="BQ1673" s="8"/>
      <c r="BR1673" s="8"/>
      <c r="BS1673" s="8"/>
    </row>
    <row r="1674" customFormat="false" ht="15" hidden="false" customHeight="false" outlineLevel="0" collapsed="false">
      <c r="A1674" s="7" t="s">
        <v>11059</v>
      </c>
      <c r="B1674" s="7" t="s">
        <v>11060</v>
      </c>
      <c r="C1674" s="7" t="s">
        <v>11061</v>
      </c>
      <c r="D1674" s="7" t="s">
        <v>11062</v>
      </c>
      <c r="E1674" s="7" t="s">
        <v>3046</v>
      </c>
      <c r="F1674" s="7" t="s">
        <v>3046</v>
      </c>
      <c r="G1674" s="7"/>
      <c r="H1674" s="7"/>
      <c r="I1674" s="7" t="s">
        <v>158</v>
      </c>
      <c r="J1674" s="7" t="s">
        <v>104</v>
      </c>
      <c r="K1674" s="7" t="s">
        <v>105</v>
      </c>
      <c r="L1674" s="7" t="s">
        <v>353</v>
      </c>
      <c r="M1674" s="7"/>
      <c r="N1674" s="7" t="s">
        <v>11063</v>
      </c>
      <c r="O1674" s="7" t="s">
        <v>11063</v>
      </c>
      <c r="P1674" s="7" t="s">
        <v>135</v>
      </c>
      <c r="Q1674" s="7"/>
      <c r="R1674" s="7" t="s">
        <v>109</v>
      </c>
      <c r="S1674" s="7" t="s">
        <v>110</v>
      </c>
      <c r="T1674" s="7" t="n">
        <v>0.503</v>
      </c>
      <c r="U1674" s="7" t="n">
        <v>1</v>
      </c>
      <c r="V1674" s="7" t="s">
        <v>90</v>
      </c>
      <c r="W1674" s="7"/>
      <c r="X1674" s="7" t="s">
        <v>11064</v>
      </c>
      <c r="Y1674" s="7" t="s">
        <v>11063</v>
      </c>
      <c r="Z1674" s="7"/>
      <c r="AA1674" s="7"/>
      <c r="AB1674" s="7"/>
      <c r="AC1674" s="7" t="n">
        <v>5</v>
      </c>
      <c r="AD1674" s="7" t="s">
        <v>743</v>
      </c>
      <c r="AE1674" s="7" t="s">
        <v>744</v>
      </c>
      <c r="AF1674" s="7" t="s">
        <v>11061</v>
      </c>
      <c r="AG1674" s="7" t="s">
        <v>744</v>
      </c>
      <c r="AH1674" s="7" t="s">
        <v>11064</v>
      </c>
      <c r="AI1674" s="7"/>
      <c r="AJ1674" s="7"/>
      <c r="AK1674" s="7"/>
      <c r="AL1674" s="7"/>
      <c r="AM1674" s="7"/>
      <c r="AN1674" s="7"/>
      <c r="AO1674" s="7" t="s">
        <v>744</v>
      </c>
      <c r="AP1674" s="7" t="s">
        <v>11062</v>
      </c>
      <c r="AQ1674" s="7" t="s">
        <v>744</v>
      </c>
      <c r="AR1674" s="7" t="s">
        <v>3046</v>
      </c>
      <c r="AS1674" s="7"/>
      <c r="AT1674" s="7"/>
      <c r="AU1674" s="7"/>
      <c r="AV1674" s="7"/>
      <c r="AW1674" s="7" t="s">
        <v>744</v>
      </c>
      <c r="AX1674" s="7" t="s">
        <v>11063</v>
      </c>
      <c r="AY1674" s="7"/>
      <c r="AZ1674" s="7"/>
      <c r="BA1674" s="7"/>
      <c r="BB1674" s="7"/>
      <c r="BC1674" s="7"/>
      <c r="BD1674" s="7" t="s">
        <v>440</v>
      </c>
      <c r="BE1674" s="7" t="s">
        <v>127</v>
      </c>
      <c r="BF1674" s="8"/>
      <c r="BG1674" s="8"/>
      <c r="BH1674" s="8"/>
      <c r="BI1674" s="8"/>
      <c r="BJ1674" s="8"/>
      <c r="BK1674" s="8"/>
      <c r="BL1674" s="8"/>
      <c r="BM1674" s="8"/>
      <c r="BN1674" s="8"/>
      <c r="BO1674" s="8"/>
      <c r="BP1674" s="8"/>
      <c r="BQ1674" s="8"/>
      <c r="BR1674" s="8"/>
      <c r="BS1674" s="8"/>
    </row>
    <row r="1675" customFormat="false" ht="15" hidden="false" customHeight="false" outlineLevel="0" collapsed="false">
      <c r="A1675" s="7" t="s">
        <v>11065</v>
      </c>
      <c r="B1675" s="7" t="s">
        <v>11066</v>
      </c>
      <c r="C1675" s="7" t="s">
        <v>11067</v>
      </c>
      <c r="D1675" s="7" t="s">
        <v>746</v>
      </c>
      <c r="E1675" s="7" t="s">
        <v>507</v>
      </c>
      <c r="F1675" s="7" t="s">
        <v>507</v>
      </c>
      <c r="G1675" s="7"/>
      <c r="H1675" s="7"/>
      <c r="I1675" s="7" t="s">
        <v>158</v>
      </c>
      <c r="J1675" s="7" t="s">
        <v>104</v>
      </c>
      <c r="K1675" s="7" t="s">
        <v>105</v>
      </c>
      <c r="L1675" s="7" t="s">
        <v>106</v>
      </c>
      <c r="M1675" s="7"/>
      <c r="N1675" s="7" t="s">
        <v>11068</v>
      </c>
      <c r="O1675" s="7" t="s">
        <v>11068</v>
      </c>
      <c r="P1675" s="7" t="s">
        <v>135</v>
      </c>
      <c r="Q1675" s="7"/>
      <c r="R1675" s="7" t="s">
        <v>109</v>
      </c>
      <c r="S1675" s="7" t="s">
        <v>110</v>
      </c>
      <c r="T1675" s="7" t="n">
        <v>0.591</v>
      </c>
      <c r="U1675" s="7" t="n">
        <v>1</v>
      </c>
      <c r="V1675" s="7" t="s">
        <v>90</v>
      </c>
      <c r="W1675" s="7"/>
      <c r="X1675" s="7" t="s">
        <v>11064</v>
      </c>
      <c r="Y1675" s="7" t="s">
        <v>11068</v>
      </c>
      <c r="Z1675" s="7"/>
      <c r="AA1675" s="7"/>
      <c r="AB1675" s="7"/>
      <c r="AC1675" s="7" t="n">
        <v>5</v>
      </c>
      <c r="AD1675" s="7" t="s">
        <v>743</v>
      </c>
      <c r="AE1675" s="7" t="s">
        <v>744</v>
      </c>
      <c r="AF1675" s="7" t="s">
        <v>11067</v>
      </c>
      <c r="AG1675" s="7" t="s">
        <v>744</v>
      </c>
      <c r="AH1675" s="7" t="s">
        <v>11064</v>
      </c>
      <c r="AI1675" s="7"/>
      <c r="AJ1675" s="7"/>
      <c r="AK1675" s="7"/>
      <c r="AL1675" s="7"/>
      <c r="AM1675" s="7"/>
      <c r="AN1675" s="7"/>
      <c r="AO1675" s="7" t="s">
        <v>744</v>
      </c>
      <c r="AP1675" s="7" t="s">
        <v>746</v>
      </c>
      <c r="AQ1675" s="7" t="s">
        <v>744</v>
      </c>
      <c r="AR1675" s="7" t="s">
        <v>507</v>
      </c>
      <c r="AS1675" s="7"/>
      <c r="AT1675" s="7"/>
      <c r="AU1675" s="7"/>
      <c r="AV1675" s="7"/>
      <c r="AW1675" s="7" t="s">
        <v>744</v>
      </c>
      <c r="AX1675" s="7" t="s">
        <v>11068</v>
      </c>
      <c r="AY1675" s="7"/>
      <c r="AZ1675" s="7"/>
      <c r="BA1675" s="7"/>
      <c r="BB1675" s="7"/>
      <c r="BC1675" s="7"/>
      <c r="BD1675" s="7" t="s">
        <v>747</v>
      </c>
      <c r="BE1675" s="7" t="s">
        <v>127</v>
      </c>
      <c r="BF1675" s="8"/>
      <c r="BG1675" s="8"/>
      <c r="BH1675" s="8"/>
      <c r="BI1675" s="8"/>
      <c r="BJ1675" s="8"/>
      <c r="BK1675" s="8"/>
      <c r="BL1675" s="8"/>
      <c r="BM1675" s="8"/>
      <c r="BN1675" s="8"/>
      <c r="BO1675" s="8"/>
      <c r="BP1675" s="8"/>
      <c r="BQ1675" s="8"/>
      <c r="BR1675" s="8"/>
      <c r="BS1675" s="8"/>
    </row>
    <row r="1676" customFormat="false" ht="15" hidden="false" customHeight="false" outlineLevel="0" collapsed="false">
      <c r="A1676" s="7" t="s">
        <v>11069</v>
      </c>
      <c r="B1676" s="7" t="s">
        <v>11070</v>
      </c>
      <c r="C1676" s="7" t="s">
        <v>11071</v>
      </c>
      <c r="D1676" s="7" t="s">
        <v>3016</v>
      </c>
      <c r="E1676" s="7" t="s">
        <v>431</v>
      </c>
      <c r="F1676" s="7" t="s">
        <v>431</v>
      </c>
      <c r="G1676" s="7"/>
      <c r="H1676" s="7"/>
      <c r="I1676" s="7" t="s">
        <v>132</v>
      </c>
      <c r="J1676" s="7" t="s">
        <v>104</v>
      </c>
      <c r="K1676" s="7" t="s">
        <v>105</v>
      </c>
      <c r="L1676" s="7" t="s">
        <v>106</v>
      </c>
      <c r="M1676" s="7"/>
      <c r="N1676" s="7" t="s">
        <v>11072</v>
      </c>
      <c r="O1676" s="7" t="s">
        <v>11072</v>
      </c>
      <c r="P1676" s="7" t="s">
        <v>135</v>
      </c>
      <c r="Q1676" s="7"/>
      <c r="R1676" s="7" t="s">
        <v>109</v>
      </c>
      <c r="S1676" s="7" t="s">
        <v>110</v>
      </c>
      <c r="T1676" s="7" t="n">
        <v>0.406</v>
      </c>
      <c r="U1676" s="7" t="n">
        <v>1</v>
      </c>
      <c r="V1676" s="7" t="s">
        <v>90</v>
      </c>
      <c r="W1676" s="7"/>
      <c r="X1676" s="7" t="s">
        <v>11064</v>
      </c>
      <c r="Y1676" s="7" t="s">
        <v>11072</v>
      </c>
      <c r="Z1676" s="7"/>
      <c r="AA1676" s="7"/>
      <c r="AB1676" s="7"/>
      <c r="AC1676" s="7" t="n">
        <v>5</v>
      </c>
      <c r="AD1676" s="7" t="s">
        <v>743</v>
      </c>
      <c r="AE1676" s="7" t="s">
        <v>744</v>
      </c>
      <c r="AF1676" s="7" t="s">
        <v>11071</v>
      </c>
      <c r="AG1676" s="7" t="s">
        <v>744</v>
      </c>
      <c r="AH1676" s="7" t="s">
        <v>11064</v>
      </c>
      <c r="AI1676" s="7"/>
      <c r="AJ1676" s="7"/>
      <c r="AK1676" s="7"/>
      <c r="AL1676" s="7"/>
      <c r="AM1676" s="7"/>
      <c r="AN1676" s="7"/>
      <c r="AO1676" s="7" t="s">
        <v>744</v>
      </c>
      <c r="AP1676" s="7" t="s">
        <v>3016</v>
      </c>
      <c r="AQ1676" s="7" t="s">
        <v>744</v>
      </c>
      <c r="AR1676" s="7" t="s">
        <v>431</v>
      </c>
      <c r="AS1676" s="7"/>
      <c r="AT1676" s="7"/>
      <c r="AU1676" s="7"/>
      <c r="AV1676" s="7"/>
      <c r="AW1676" s="7" t="s">
        <v>744</v>
      </c>
      <c r="AX1676" s="7" t="s">
        <v>11072</v>
      </c>
      <c r="AY1676" s="7"/>
      <c r="AZ1676" s="7"/>
      <c r="BA1676" s="7"/>
      <c r="BB1676" s="7"/>
      <c r="BC1676" s="7"/>
      <c r="BD1676" s="7" t="s">
        <v>440</v>
      </c>
      <c r="BE1676" s="7" t="s">
        <v>127</v>
      </c>
      <c r="BF1676" s="8"/>
      <c r="BG1676" s="8"/>
      <c r="BH1676" s="8"/>
      <c r="BI1676" s="8"/>
      <c r="BJ1676" s="8"/>
      <c r="BK1676" s="8"/>
      <c r="BL1676" s="8"/>
      <c r="BM1676" s="8"/>
      <c r="BN1676" s="8"/>
      <c r="BO1676" s="8"/>
      <c r="BP1676" s="8"/>
      <c r="BQ1676" s="8"/>
      <c r="BR1676" s="8"/>
      <c r="BS1676" s="8"/>
    </row>
    <row r="1677" customFormat="false" ht="15" hidden="false" customHeight="false" outlineLevel="0" collapsed="false">
      <c r="A1677" s="7" t="s">
        <v>11073</v>
      </c>
      <c r="B1677" s="7" t="s">
        <v>11074</v>
      </c>
      <c r="C1677" s="7" t="s">
        <v>11075</v>
      </c>
      <c r="D1677" s="7" t="s">
        <v>746</v>
      </c>
      <c r="E1677" s="7" t="s">
        <v>741</v>
      </c>
      <c r="F1677" s="7" t="s">
        <v>741</v>
      </c>
      <c r="G1677" s="7"/>
      <c r="H1677" s="7"/>
      <c r="I1677" s="7" t="s">
        <v>158</v>
      </c>
      <c r="J1677" s="7" t="s">
        <v>104</v>
      </c>
      <c r="K1677" s="7" t="s">
        <v>105</v>
      </c>
      <c r="L1677" s="7" t="s">
        <v>106</v>
      </c>
      <c r="M1677" s="7"/>
      <c r="N1677" s="7" t="s">
        <v>11076</v>
      </c>
      <c r="O1677" s="7" t="s">
        <v>11076</v>
      </c>
      <c r="P1677" s="7" t="s">
        <v>135</v>
      </c>
      <c r="Q1677" s="7"/>
      <c r="R1677" s="7" t="s">
        <v>109</v>
      </c>
      <c r="S1677" s="7" t="s">
        <v>110</v>
      </c>
      <c r="T1677" s="7" t="n">
        <v>0.688</v>
      </c>
      <c r="U1677" s="7" t="n">
        <v>1</v>
      </c>
      <c r="V1677" s="7" t="s">
        <v>90</v>
      </c>
      <c r="W1677" s="7"/>
      <c r="X1677" s="7" t="s">
        <v>509</v>
      </c>
      <c r="Y1677" s="7" t="s">
        <v>11076</v>
      </c>
      <c r="Z1677" s="7"/>
      <c r="AA1677" s="7"/>
      <c r="AB1677" s="7"/>
      <c r="AC1677" s="7" t="n">
        <v>5</v>
      </c>
      <c r="AD1677" s="7" t="s">
        <v>743</v>
      </c>
      <c r="AE1677" s="7" t="s">
        <v>744</v>
      </c>
      <c r="AF1677" s="7" t="s">
        <v>11075</v>
      </c>
      <c r="AG1677" s="7" t="s">
        <v>744</v>
      </c>
      <c r="AH1677" s="7" t="s">
        <v>509</v>
      </c>
      <c r="AI1677" s="7"/>
      <c r="AJ1677" s="7"/>
      <c r="AK1677" s="7"/>
      <c r="AL1677" s="7"/>
      <c r="AM1677" s="7"/>
      <c r="AN1677" s="7"/>
      <c r="AO1677" s="7" t="s">
        <v>744</v>
      </c>
      <c r="AP1677" s="7" t="s">
        <v>746</v>
      </c>
      <c r="AQ1677" s="7" t="s">
        <v>744</v>
      </c>
      <c r="AR1677" s="7" t="s">
        <v>741</v>
      </c>
      <c r="AS1677" s="7"/>
      <c r="AT1677" s="7"/>
      <c r="AU1677" s="7"/>
      <c r="AV1677" s="7"/>
      <c r="AW1677" s="7" t="s">
        <v>744</v>
      </c>
      <c r="AX1677" s="7" t="s">
        <v>11076</v>
      </c>
      <c r="AY1677" s="7"/>
      <c r="AZ1677" s="7"/>
      <c r="BA1677" s="7"/>
      <c r="BB1677" s="7"/>
      <c r="BC1677" s="7"/>
      <c r="BD1677" s="7" t="s">
        <v>747</v>
      </c>
      <c r="BE1677" s="7" t="s">
        <v>127</v>
      </c>
      <c r="BF1677" s="8"/>
      <c r="BG1677" s="8"/>
      <c r="BH1677" s="8"/>
      <c r="BI1677" s="8"/>
      <c r="BJ1677" s="8"/>
      <c r="BK1677" s="8"/>
      <c r="BL1677" s="8"/>
      <c r="BM1677" s="8"/>
      <c r="BN1677" s="8"/>
      <c r="BO1677" s="8"/>
      <c r="BP1677" s="8"/>
      <c r="BQ1677" s="8"/>
      <c r="BR1677" s="8"/>
      <c r="BS1677" s="8"/>
    </row>
    <row r="1678" customFormat="false" ht="15" hidden="false" customHeight="false" outlineLevel="0" collapsed="false">
      <c r="A1678" s="7" t="s">
        <v>11077</v>
      </c>
      <c r="B1678" s="7" t="s">
        <v>11078</v>
      </c>
      <c r="C1678" s="7" t="s">
        <v>11079</v>
      </c>
      <c r="D1678" s="7" t="s">
        <v>746</v>
      </c>
      <c r="E1678" s="7" t="s">
        <v>741</v>
      </c>
      <c r="F1678" s="7" t="s">
        <v>741</v>
      </c>
      <c r="G1678" s="7"/>
      <c r="H1678" s="7"/>
      <c r="I1678" s="7" t="s">
        <v>158</v>
      </c>
      <c r="J1678" s="7" t="s">
        <v>104</v>
      </c>
      <c r="K1678" s="7" t="s">
        <v>105</v>
      </c>
      <c r="L1678" s="7" t="s">
        <v>106</v>
      </c>
      <c r="M1678" s="7"/>
      <c r="N1678" s="7" t="s">
        <v>11080</v>
      </c>
      <c r="O1678" s="7" t="s">
        <v>11080</v>
      </c>
      <c r="P1678" s="7" t="s">
        <v>135</v>
      </c>
      <c r="Q1678" s="7"/>
      <c r="R1678" s="7" t="s">
        <v>109</v>
      </c>
      <c r="S1678" s="7" t="s">
        <v>110</v>
      </c>
      <c r="T1678" s="7" t="n">
        <v>0.43</v>
      </c>
      <c r="U1678" s="7" t="n">
        <v>1</v>
      </c>
      <c r="V1678" s="7" t="s">
        <v>90</v>
      </c>
      <c r="W1678" s="7"/>
      <c r="X1678" s="7" t="s">
        <v>509</v>
      </c>
      <c r="Y1678" s="7" t="s">
        <v>11080</v>
      </c>
      <c r="Z1678" s="7"/>
      <c r="AA1678" s="7"/>
      <c r="AB1678" s="7"/>
      <c r="AC1678" s="7" t="n">
        <v>5</v>
      </c>
      <c r="AD1678" s="7" t="s">
        <v>743</v>
      </c>
      <c r="AE1678" s="7" t="s">
        <v>744</v>
      </c>
      <c r="AF1678" s="7" t="s">
        <v>11079</v>
      </c>
      <c r="AG1678" s="7" t="s">
        <v>744</v>
      </c>
      <c r="AH1678" s="7" t="s">
        <v>509</v>
      </c>
      <c r="AI1678" s="7"/>
      <c r="AJ1678" s="7"/>
      <c r="AK1678" s="7"/>
      <c r="AL1678" s="7"/>
      <c r="AM1678" s="7"/>
      <c r="AN1678" s="7"/>
      <c r="AO1678" s="7" t="s">
        <v>744</v>
      </c>
      <c r="AP1678" s="7" t="s">
        <v>746</v>
      </c>
      <c r="AQ1678" s="7" t="s">
        <v>744</v>
      </c>
      <c r="AR1678" s="7" t="s">
        <v>741</v>
      </c>
      <c r="AS1678" s="7"/>
      <c r="AT1678" s="7"/>
      <c r="AU1678" s="7"/>
      <c r="AV1678" s="7"/>
      <c r="AW1678" s="7" t="s">
        <v>744</v>
      </c>
      <c r="AX1678" s="7" t="s">
        <v>11080</v>
      </c>
      <c r="AY1678" s="7"/>
      <c r="AZ1678" s="7"/>
      <c r="BA1678" s="7"/>
      <c r="BB1678" s="7"/>
      <c r="BC1678" s="7"/>
      <c r="BD1678" s="7" t="s">
        <v>747</v>
      </c>
      <c r="BE1678" s="7" t="s">
        <v>127</v>
      </c>
      <c r="BF1678" s="8"/>
      <c r="BG1678" s="8"/>
      <c r="BH1678" s="8"/>
      <c r="BI1678" s="8"/>
      <c r="BJ1678" s="8"/>
      <c r="BK1678" s="8"/>
      <c r="BL1678" s="8"/>
      <c r="BM1678" s="8"/>
      <c r="BN1678" s="8"/>
      <c r="BO1678" s="8"/>
      <c r="BP1678" s="8"/>
      <c r="BQ1678" s="8"/>
      <c r="BR1678" s="8"/>
      <c r="BS1678" s="8"/>
    </row>
    <row r="1679" customFormat="false" ht="15" hidden="false" customHeight="false" outlineLevel="0" collapsed="false">
      <c r="A1679" s="7" t="s">
        <v>11081</v>
      </c>
      <c r="B1679" s="7" t="s">
        <v>11082</v>
      </c>
      <c r="C1679" s="7" t="s">
        <v>11083</v>
      </c>
      <c r="D1679" s="7" t="s">
        <v>11084</v>
      </c>
      <c r="E1679" s="7" t="s">
        <v>819</v>
      </c>
      <c r="F1679" s="7" t="s">
        <v>819</v>
      </c>
      <c r="G1679" s="7"/>
      <c r="H1679" s="7"/>
      <c r="I1679" s="7" t="s">
        <v>158</v>
      </c>
      <c r="J1679" s="7" t="s">
        <v>104</v>
      </c>
      <c r="K1679" s="7" t="s">
        <v>105</v>
      </c>
      <c r="L1679" s="7" t="s">
        <v>106</v>
      </c>
      <c r="M1679" s="7"/>
      <c r="N1679" s="7" t="s">
        <v>11085</v>
      </c>
      <c r="O1679" s="7" t="s">
        <v>11085</v>
      </c>
      <c r="P1679" s="7" t="s">
        <v>135</v>
      </c>
      <c r="Q1679" s="7"/>
      <c r="R1679" s="7" t="s">
        <v>109</v>
      </c>
      <c r="S1679" s="7" t="s">
        <v>110</v>
      </c>
      <c r="T1679" s="7" t="n">
        <v>0.435</v>
      </c>
      <c r="U1679" s="7" t="n">
        <v>1</v>
      </c>
      <c r="V1679" s="7" t="s">
        <v>90</v>
      </c>
      <c r="W1679" s="7"/>
      <c r="X1679" s="7" t="s">
        <v>509</v>
      </c>
      <c r="Y1679" s="7" t="s">
        <v>11085</v>
      </c>
      <c r="Z1679" s="7"/>
      <c r="AA1679" s="7"/>
      <c r="AB1679" s="7"/>
      <c r="AC1679" s="7" t="n">
        <v>6</v>
      </c>
      <c r="AD1679" s="7" t="s">
        <v>1235</v>
      </c>
      <c r="AE1679" s="7" t="s">
        <v>744</v>
      </c>
      <c r="AF1679" s="7" t="s">
        <v>11083</v>
      </c>
      <c r="AG1679" s="7" t="s">
        <v>744</v>
      </c>
      <c r="AH1679" s="7" t="s">
        <v>509</v>
      </c>
      <c r="AI1679" s="7"/>
      <c r="AJ1679" s="7"/>
      <c r="AK1679" s="7"/>
      <c r="AL1679" s="7"/>
      <c r="AM1679" s="7" t="s">
        <v>744</v>
      </c>
      <c r="AN1679" s="7" t="s">
        <v>11086</v>
      </c>
      <c r="AO1679" s="7" t="s">
        <v>744</v>
      </c>
      <c r="AP1679" s="7" t="s">
        <v>11084</v>
      </c>
      <c r="AQ1679" s="7" t="s">
        <v>744</v>
      </c>
      <c r="AR1679" s="7" t="s">
        <v>819</v>
      </c>
      <c r="AS1679" s="7"/>
      <c r="AT1679" s="7"/>
      <c r="AU1679" s="7"/>
      <c r="AV1679" s="7"/>
      <c r="AW1679" s="7" t="s">
        <v>744</v>
      </c>
      <c r="AX1679" s="7" t="s">
        <v>11085</v>
      </c>
      <c r="AY1679" s="7"/>
      <c r="AZ1679" s="7"/>
      <c r="BA1679" s="7"/>
      <c r="BB1679" s="7"/>
      <c r="BC1679" s="7"/>
      <c r="BD1679" s="7"/>
      <c r="BE1679" s="7" t="s">
        <v>127</v>
      </c>
      <c r="BF1679" s="8"/>
      <c r="BG1679" s="8"/>
      <c r="BH1679" s="8"/>
      <c r="BI1679" s="8"/>
      <c r="BJ1679" s="8"/>
      <c r="BK1679" s="8"/>
      <c r="BL1679" s="8"/>
      <c r="BM1679" s="8"/>
      <c r="BN1679" s="8"/>
      <c r="BO1679" s="8"/>
      <c r="BP1679" s="8"/>
      <c r="BQ1679" s="8"/>
      <c r="BR1679" s="8"/>
      <c r="BS1679" s="8"/>
    </row>
    <row r="1680" customFormat="false" ht="15" hidden="false" customHeight="false" outlineLevel="0" collapsed="false">
      <c r="A1680" s="7" t="s">
        <v>11087</v>
      </c>
      <c r="B1680" s="7" t="s">
        <v>11088</v>
      </c>
      <c r="C1680" s="7" t="s">
        <v>11089</v>
      </c>
      <c r="D1680" s="7" t="s">
        <v>746</v>
      </c>
      <c r="E1680" s="7" t="s">
        <v>741</v>
      </c>
      <c r="F1680" s="7" t="s">
        <v>741</v>
      </c>
      <c r="G1680" s="7"/>
      <c r="H1680" s="7"/>
      <c r="I1680" s="7" t="s">
        <v>158</v>
      </c>
      <c r="J1680" s="7" t="s">
        <v>104</v>
      </c>
      <c r="K1680" s="7" t="s">
        <v>105</v>
      </c>
      <c r="L1680" s="7" t="s">
        <v>106</v>
      </c>
      <c r="M1680" s="7"/>
      <c r="N1680" s="7" t="s">
        <v>11090</v>
      </c>
      <c r="O1680" s="7" t="s">
        <v>11090</v>
      </c>
      <c r="P1680" s="7" t="s">
        <v>135</v>
      </c>
      <c r="Q1680" s="7"/>
      <c r="R1680" s="7" t="s">
        <v>109</v>
      </c>
      <c r="S1680" s="7" t="s">
        <v>110</v>
      </c>
      <c r="T1680" s="7" t="n">
        <v>0.734</v>
      </c>
      <c r="U1680" s="7" t="n">
        <v>1</v>
      </c>
      <c r="V1680" s="7" t="s">
        <v>90</v>
      </c>
      <c r="W1680" s="7"/>
      <c r="X1680" s="7" t="s">
        <v>509</v>
      </c>
      <c r="Y1680" s="7" t="s">
        <v>11090</v>
      </c>
      <c r="Z1680" s="7"/>
      <c r="AA1680" s="7"/>
      <c r="AB1680" s="7"/>
      <c r="AC1680" s="7" t="n">
        <v>5</v>
      </c>
      <c r="AD1680" s="7" t="s">
        <v>743</v>
      </c>
      <c r="AE1680" s="7" t="s">
        <v>744</v>
      </c>
      <c r="AF1680" s="7" t="s">
        <v>11089</v>
      </c>
      <c r="AG1680" s="7" t="s">
        <v>744</v>
      </c>
      <c r="AH1680" s="7" t="s">
        <v>509</v>
      </c>
      <c r="AI1680" s="7"/>
      <c r="AJ1680" s="7"/>
      <c r="AK1680" s="7"/>
      <c r="AL1680" s="7"/>
      <c r="AM1680" s="7"/>
      <c r="AN1680" s="7"/>
      <c r="AO1680" s="7" t="s">
        <v>744</v>
      </c>
      <c r="AP1680" s="7" t="s">
        <v>746</v>
      </c>
      <c r="AQ1680" s="7" t="s">
        <v>744</v>
      </c>
      <c r="AR1680" s="7" t="s">
        <v>741</v>
      </c>
      <c r="AS1680" s="7"/>
      <c r="AT1680" s="7"/>
      <c r="AU1680" s="7"/>
      <c r="AV1680" s="7"/>
      <c r="AW1680" s="7" t="s">
        <v>744</v>
      </c>
      <c r="AX1680" s="7" t="s">
        <v>11090</v>
      </c>
      <c r="AY1680" s="7"/>
      <c r="AZ1680" s="7"/>
      <c r="BA1680" s="7"/>
      <c r="BB1680" s="7"/>
      <c r="BC1680" s="7"/>
      <c r="BD1680" s="7" t="s">
        <v>747</v>
      </c>
      <c r="BE1680" s="7" t="s">
        <v>127</v>
      </c>
      <c r="BF1680" s="8"/>
      <c r="BG1680" s="8"/>
      <c r="BH1680" s="8"/>
      <c r="BI1680" s="8"/>
      <c r="BJ1680" s="8"/>
      <c r="BK1680" s="8"/>
      <c r="BL1680" s="8"/>
      <c r="BM1680" s="8"/>
      <c r="BN1680" s="8"/>
      <c r="BO1680" s="8"/>
      <c r="BP1680" s="8"/>
      <c r="BQ1680" s="8"/>
      <c r="BR1680" s="8"/>
      <c r="BS1680" s="8"/>
    </row>
    <row r="1681" customFormat="false" ht="15" hidden="false" customHeight="false" outlineLevel="0" collapsed="false">
      <c r="A1681" s="7" t="s">
        <v>11091</v>
      </c>
      <c r="B1681" s="7" t="s">
        <v>11092</v>
      </c>
      <c r="C1681" s="7" t="s">
        <v>11093</v>
      </c>
      <c r="D1681" s="7" t="s">
        <v>746</v>
      </c>
      <c r="E1681" s="7" t="s">
        <v>741</v>
      </c>
      <c r="F1681" s="7" t="s">
        <v>741</v>
      </c>
      <c r="G1681" s="7"/>
      <c r="H1681" s="7"/>
      <c r="I1681" s="7" t="s">
        <v>158</v>
      </c>
      <c r="J1681" s="7" t="s">
        <v>104</v>
      </c>
      <c r="K1681" s="7" t="s">
        <v>105</v>
      </c>
      <c r="L1681" s="7" t="s">
        <v>106</v>
      </c>
      <c r="M1681" s="7"/>
      <c r="N1681" s="7" t="s">
        <v>11094</v>
      </c>
      <c r="O1681" s="7" t="s">
        <v>11094</v>
      </c>
      <c r="P1681" s="7" t="s">
        <v>135</v>
      </c>
      <c r="Q1681" s="7"/>
      <c r="R1681" s="7" t="s">
        <v>109</v>
      </c>
      <c r="S1681" s="7" t="s">
        <v>110</v>
      </c>
      <c r="T1681" s="7" t="n">
        <v>0.483</v>
      </c>
      <c r="U1681" s="7" t="n">
        <v>1</v>
      </c>
      <c r="V1681" s="7" t="s">
        <v>90</v>
      </c>
      <c r="W1681" s="7"/>
      <c r="X1681" s="7" t="s">
        <v>11095</v>
      </c>
      <c r="Y1681" s="7" t="s">
        <v>11094</v>
      </c>
      <c r="Z1681" s="7"/>
      <c r="AA1681" s="7"/>
      <c r="AB1681" s="7"/>
      <c r="AC1681" s="7" t="n">
        <v>5</v>
      </c>
      <c r="AD1681" s="7" t="s">
        <v>743</v>
      </c>
      <c r="AE1681" s="7" t="s">
        <v>744</v>
      </c>
      <c r="AF1681" s="7" t="s">
        <v>11093</v>
      </c>
      <c r="AG1681" s="7" t="s">
        <v>744</v>
      </c>
      <c r="AH1681" s="7" t="s">
        <v>11095</v>
      </c>
      <c r="AI1681" s="7"/>
      <c r="AJ1681" s="7"/>
      <c r="AK1681" s="7"/>
      <c r="AL1681" s="7"/>
      <c r="AM1681" s="7"/>
      <c r="AN1681" s="7"/>
      <c r="AO1681" s="7" t="s">
        <v>744</v>
      </c>
      <c r="AP1681" s="7" t="s">
        <v>746</v>
      </c>
      <c r="AQ1681" s="7" t="s">
        <v>744</v>
      </c>
      <c r="AR1681" s="7" t="s">
        <v>741</v>
      </c>
      <c r="AS1681" s="7"/>
      <c r="AT1681" s="7"/>
      <c r="AU1681" s="7"/>
      <c r="AV1681" s="7"/>
      <c r="AW1681" s="7" t="s">
        <v>744</v>
      </c>
      <c r="AX1681" s="7" t="s">
        <v>11094</v>
      </c>
      <c r="AY1681" s="7"/>
      <c r="AZ1681" s="7"/>
      <c r="BA1681" s="7"/>
      <c r="BB1681" s="7"/>
      <c r="BC1681" s="7"/>
      <c r="BD1681" s="7" t="s">
        <v>747</v>
      </c>
      <c r="BE1681" s="7" t="s">
        <v>127</v>
      </c>
      <c r="BF1681" s="8"/>
      <c r="BG1681" s="8"/>
      <c r="BH1681" s="8"/>
      <c r="BI1681" s="8"/>
      <c r="BJ1681" s="8"/>
      <c r="BK1681" s="8"/>
      <c r="BL1681" s="8"/>
      <c r="BM1681" s="8"/>
      <c r="BN1681" s="8"/>
      <c r="BO1681" s="8"/>
      <c r="BP1681" s="8"/>
      <c r="BQ1681" s="8"/>
      <c r="BR1681" s="8"/>
      <c r="BS1681" s="8"/>
    </row>
    <row r="1682" customFormat="false" ht="15" hidden="false" customHeight="false" outlineLevel="0" collapsed="false">
      <c r="A1682" s="7" t="s">
        <v>11096</v>
      </c>
      <c r="B1682" s="7" t="s">
        <v>11097</v>
      </c>
      <c r="C1682" s="7" t="s">
        <v>11098</v>
      </c>
      <c r="D1682" s="7" t="s">
        <v>11099</v>
      </c>
      <c r="E1682" s="7"/>
      <c r="F1682" s="7" t="s">
        <v>101</v>
      </c>
      <c r="G1682" s="7"/>
      <c r="H1682" s="7"/>
      <c r="I1682" s="7" t="s">
        <v>132</v>
      </c>
      <c r="J1682" s="7" t="s">
        <v>104</v>
      </c>
      <c r="K1682" s="7" t="s">
        <v>105</v>
      </c>
      <c r="L1682" s="7" t="s">
        <v>106</v>
      </c>
      <c r="M1682" s="7"/>
      <c r="N1682" s="7" t="s">
        <v>11100</v>
      </c>
      <c r="O1682" s="7"/>
      <c r="P1682" s="7" t="s">
        <v>135</v>
      </c>
      <c r="Q1682" s="7"/>
      <c r="R1682" s="7" t="s">
        <v>135</v>
      </c>
      <c r="S1682" s="7" t="s">
        <v>136</v>
      </c>
      <c r="T1682" s="7" t="n">
        <v>0.273</v>
      </c>
      <c r="U1682" s="7" t="n">
        <v>1</v>
      </c>
      <c r="V1682" s="7" t="s">
        <v>90</v>
      </c>
      <c r="W1682" s="7"/>
      <c r="X1682" s="7" t="s">
        <v>11095</v>
      </c>
      <c r="Y1682" s="7" t="s">
        <v>11100</v>
      </c>
      <c r="Z1682" s="7"/>
      <c r="AA1682" s="7"/>
      <c r="AB1682" s="7"/>
      <c r="AC1682" s="7" t="n">
        <v>5</v>
      </c>
      <c r="AD1682" s="7" t="s">
        <v>1897</v>
      </c>
      <c r="AE1682" s="7" t="s">
        <v>744</v>
      </c>
      <c r="AF1682" s="7" t="s">
        <v>11098</v>
      </c>
      <c r="AG1682" s="7" t="s">
        <v>744</v>
      </c>
      <c r="AH1682" s="7" t="s">
        <v>11095</v>
      </c>
      <c r="AI1682" s="7"/>
      <c r="AJ1682" s="7"/>
      <c r="AK1682" s="7"/>
      <c r="AL1682" s="7"/>
      <c r="AM1682" s="7" t="s">
        <v>744</v>
      </c>
      <c r="AN1682" s="7" t="s">
        <v>11101</v>
      </c>
      <c r="AO1682" s="7" t="s">
        <v>744</v>
      </c>
      <c r="AP1682" s="7" t="s">
        <v>11099</v>
      </c>
      <c r="AQ1682" s="7"/>
      <c r="AR1682" s="7"/>
      <c r="AS1682" s="7"/>
      <c r="AT1682" s="7"/>
      <c r="AU1682" s="7"/>
      <c r="AV1682" s="7"/>
      <c r="AW1682" s="7" t="s">
        <v>744</v>
      </c>
      <c r="AX1682" s="7" t="s">
        <v>11100</v>
      </c>
      <c r="AY1682" s="7"/>
      <c r="AZ1682" s="7"/>
      <c r="BA1682" s="7"/>
      <c r="BB1682" s="7"/>
      <c r="BC1682" s="7"/>
      <c r="BD1682" s="7"/>
      <c r="BE1682" s="7" t="s">
        <v>127</v>
      </c>
      <c r="BF1682" s="8"/>
      <c r="BG1682" s="8"/>
      <c r="BH1682" s="8"/>
      <c r="BI1682" s="8"/>
      <c r="BJ1682" s="8"/>
      <c r="BK1682" s="8"/>
      <c r="BL1682" s="8"/>
      <c r="BM1682" s="8"/>
      <c r="BN1682" s="8"/>
      <c r="BO1682" s="8"/>
      <c r="BP1682" s="8"/>
      <c r="BQ1682" s="8"/>
      <c r="BR1682" s="8"/>
      <c r="BS1682" s="8"/>
    </row>
    <row r="1683" customFormat="false" ht="15" hidden="false" customHeight="false" outlineLevel="0" collapsed="false">
      <c r="A1683" s="7" t="s">
        <v>11102</v>
      </c>
      <c r="B1683" s="7" t="s">
        <v>11103</v>
      </c>
      <c r="C1683" s="7" t="s">
        <v>11104</v>
      </c>
      <c r="D1683" s="7" t="s">
        <v>746</v>
      </c>
      <c r="E1683" s="7" t="s">
        <v>741</v>
      </c>
      <c r="F1683" s="7" t="s">
        <v>741</v>
      </c>
      <c r="G1683" s="7"/>
      <c r="H1683" s="7"/>
      <c r="I1683" s="7" t="s">
        <v>158</v>
      </c>
      <c r="J1683" s="7" t="s">
        <v>104</v>
      </c>
      <c r="K1683" s="7" t="s">
        <v>105</v>
      </c>
      <c r="L1683" s="7" t="s">
        <v>106</v>
      </c>
      <c r="M1683" s="7"/>
      <c r="N1683" s="7" t="s">
        <v>11105</v>
      </c>
      <c r="O1683" s="7" t="s">
        <v>11105</v>
      </c>
      <c r="P1683" s="7" t="s">
        <v>135</v>
      </c>
      <c r="Q1683" s="7"/>
      <c r="R1683" s="7" t="s">
        <v>109</v>
      </c>
      <c r="S1683" s="7" t="s">
        <v>110</v>
      </c>
      <c r="T1683" s="7" t="n">
        <v>0.45</v>
      </c>
      <c r="U1683" s="7" t="n">
        <v>1</v>
      </c>
      <c r="V1683" s="7" t="s">
        <v>90</v>
      </c>
      <c r="W1683" s="7"/>
      <c r="X1683" s="7" t="s">
        <v>11106</v>
      </c>
      <c r="Y1683" s="7" t="s">
        <v>11105</v>
      </c>
      <c r="Z1683" s="7"/>
      <c r="AA1683" s="7"/>
      <c r="AB1683" s="7"/>
      <c r="AC1683" s="7" t="n">
        <v>5</v>
      </c>
      <c r="AD1683" s="7" t="s">
        <v>743</v>
      </c>
      <c r="AE1683" s="7" t="s">
        <v>744</v>
      </c>
      <c r="AF1683" s="7" t="s">
        <v>11104</v>
      </c>
      <c r="AG1683" s="7" t="s">
        <v>744</v>
      </c>
      <c r="AH1683" s="7" t="s">
        <v>11106</v>
      </c>
      <c r="AI1683" s="7"/>
      <c r="AJ1683" s="7"/>
      <c r="AK1683" s="7"/>
      <c r="AL1683" s="7"/>
      <c r="AM1683" s="7"/>
      <c r="AN1683" s="7"/>
      <c r="AO1683" s="7" t="s">
        <v>744</v>
      </c>
      <c r="AP1683" s="7" t="s">
        <v>746</v>
      </c>
      <c r="AQ1683" s="7" t="s">
        <v>744</v>
      </c>
      <c r="AR1683" s="7" t="s">
        <v>741</v>
      </c>
      <c r="AS1683" s="7"/>
      <c r="AT1683" s="7"/>
      <c r="AU1683" s="7"/>
      <c r="AV1683" s="7"/>
      <c r="AW1683" s="7" t="s">
        <v>744</v>
      </c>
      <c r="AX1683" s="7" t="s">
        <v>11105</v>
      </c>
      <c r="AY1683" s="7"/>
      <c r="AZ1683" s="7"/>
      <c r="BA1683" s="7"/>
      <c r="BB1683" s="7"/>
      <c r="BC1683" s="7"/>
      <c r="BD1683" s="7" t="s">
        <v>747</v>
      </c>
      <c r="BE1683" s="7" t="s">
        <v>127</v>
      </c>
      <c r="BF1683" s="8"/>
      <c r="BG1683" s="8"/>
      <c r="BH1683" s="8"/>
      <c r="BI1683" s="8"/>
      <c r="BJ1683" s="8"/>
      <c r="BK1683" s="8"/>
      <c r="BL1683" s="8"/>
      <c r="BM1683" s="8"/>
      <c r="BN1683" s="8"/>
      <c r="BO1683" s="8"/>
      <c r="BP1683" s="8"/>
      <c r="BQ1683" s="8"/>
      <c r="BR1683" s="8"/>
      <c r="BS1683" s="8"/>
    </row>
    <row r="1684" customFormat="false" ht="15" hidden="false" customHeight="false" outlineLevel="0" collapsed="false">
      <c r="A1684" s="7" t="s">
        <v>11107</v>
      </c>
      <c r="B1684" s="7" t="s">
        <v>11108</v>
      </c>
      <c r="C1684" s="7" t="s">
        <v>11109</v>
      </c>
      <c r="D1684" s="7" t="s">
        <v>11110</v>
      </c>
      <c r="E1684" s="7" t="s">
        <v>444</v>
      </c>
      <c r="F1684" s="7" t="s">
        <v>444</v>
      </c>
      <c r="G1684" s="7"/>
      <c r="H1684" s="7"/>
      <c r="I1684" s="7" t="s">
        <v>158</v>
      </c>
      <c r="J1684" s="7" t="s">
        <v>104</v>
      </c>
      <c r="K1684" s="7" t="s">
        <v>105</v>
      </c>
      <c r="L1684" s="7" t="s">
        <v>353</v>
      </c>
      <c r="M1684" s="7"/>
      <c r="N1684" s="7" t="s">
        <v>11111</v>
      </c>
      <c r="O1684" s="7" t="s">
        <v>11111</v>
      </c>
      <c r="P1684" s="7" t="s">
        <v>109</v>
      </c>
      <c r="Q1684" s="7"/>
      <c r="R1684" s="7" t="s">
        <v>109</v>
      </c>
      <c r="S1684" s="7" t="s">
        <v>110</v>
      </c>
      <c r="T1684" s="7" t="n">
        <v>0.417</v>
      </c>
      <c r="U1684" s="7" t="n">
        <v>1</v>
      </c>
      <c r="V1684" s="7" t="s">
        <v>90</v>
      </c>
      <c r="W1684" s="7"/>
      <c r="X1684" s="7" t="s">
        <v>11106</v>
      </c>
      <c r="Y1684" s="7" t="s">
        <v>11111</v>
      </c>
      <c r="Z1684" s="7"/>
      <c r="AA1684" s="7"/>
      <c r="AB1684" s="7"/>
      <c r="AC1684" s="7" t="n">
        <v>5</v>
      </c>
      <c r="AD1684" s="7" t="s">
        <v>743</v>
      </c>
      <c r="AE1684" s="7" t="s">
        <v>744</v>
      </c>
      <c r="AF1684" s="7" t="s">
        <v>11109</v>
      </c>
      <c r="AG1684" s="7" t="s">
        <v>744</v>
      </c>
      <c r="AH1684" s="7" t="s">
        <v>11106</v>
      </c>
      <c r="AI1684" s="7"/>
      <c r="AJ1684" s="7"/>
      <c r="AK1684" s="7"/>
      <c r="AL1684" s="7"/>
      <c r="AM1684" s="7"/>
      <c r="AN1684" s="7"/>
      <c r="AO1684" s="7" t="s">
        <v>744</v>
      </c>
      <c r="AP1684" s="7" t="s">
        <v>11110</v>
      </c>
      <c r="AQ1684" s="7" t="s">
        <v>744</v>
      </c>
      <c r="AR1684" s="7" t="s">
        <v>444</v>
      </c>
      <c r="AS1684" s="7"/>
      <c r="AT1684" s="7"/>
      <c r="AU1684" s="7"/>
      <c r="AV1684" s="7"/>
      <c r="AW1684" s="7" t="s">
        <v>744</v>
      </c>
      <c r="AX1684" s="7" t="s">
        <v>11111</v>
      </c>
      <c r="AY1684" s="7"/>
      <c r="AZ1684" s="7"/>
      <c r="BA1684" s="7"/>
      <c r="BB1684" s="7"/>
      <c r="BC1684" s="7"/>
      <c r="BD1684" s="7"/>
      <c r="BE1684" s="7" t="s">
        <v>127</v>
      </c>
      <c r="BF1684" s="8"/>
      <c r="BG1684" s="8"/>
      <c r="BH1684" s="8"/>
      <c r="BI1684" s="8"/>
      <c r="BJ1684" s="8"/>
      <c r="BK1684" s="8"/>
      <c r="BL1684" s="8"/>
      <c r="BM1684" s="8"/>
      <c r="BN1684" s="8"/>
      <c r="BO1684" s="8"/>
      <c r="BP1684" s="8"/>
      <c r="BQ1684" s="8"/>
      <c r="BR1684" s="8"/>
      <c r="BS1684" s="8"/>
    </row>
    <row r="1685" customFormat="false" ht="15" hidden="false" customHeight="false" outlineLevel="0" collapsed="false">
      <c r="A1685" s="7" t="s">
        <v>11112</v>
      </c>
      <c r="B1685" s="7" t="s">
        <v>11113</v>
      </c>
      <c r="C1685" s="7" t="s">
        <v>11114</v>
      </c>
      <c r="D1685" s="7" t="s">
        <v>11115</v>
      </c>
      <c r="E1685" s="7" t="s">
        <v>444</v>
      </c>
      <c r="F1685" s="7" t="s">
        <v>444</v>
      </c>
      <c r="G1685" s="7"/>
      <c r="H1685" s="7"/>
      <c r="I1685" s="7" t="s">
        <v>132</v>
      </c>
      <c r="J1685" s="7" t="s">
        <v>104</v>
      </c>
      <c r="K1685" s="7" t="s">
        <v>105</v>
      </c>
      <c r="L1685" s="7" t="s">
        <v>106</v>
      </c>
      <c r="M1685" s="7"/>
      <c r="N1685" s="7" t="s">
        <v>11116</v>
      </c>
      <c r="O1685" s="7" t="s">
        <v>11116</v>
      </c>
      <c r="P1685" s="7" t="s">
        <v>109</v>
      </c>
      <c r="Q1685" s="7"/>
      <c r="R1685" s="7" t="s">
        <v>109</v>
      </c>
      <c r="S1685" s="7" t="s">
        <v>110</v>
      </c>
      <c r="T1685" s="7" t="n">
        <v>0.698</v>
      </c>
      <c r="U1685" s="7" t="n">
        <v>1</v>
      </c>
      <c r="V1685" s="7" t="s">
        <v>90</v>
      </c>
      <c r="W1685" s="7"/>
      <c r="X1685" s="7" t="s">
        <v>11106</v>
      </c>
      <c r="Y1685" s="7" t="s">
        <v>11116</v>
      </c>
      <c r="Z1685" s="7"/>
      <c r="AA1685" s="7"/>
      <c r="AB1685" s="7"/>
      <c r="AC1685" s="7" t="n">
        <v>5</v>
      </c>
      <c r="AD1685" s="7" t="s">
        <v>743</v>
      </c>
      <c r="AE1685" s="7" t="s">
        <v>744</v>
      </c>
      <c r="AF1685" s="7" t="s">
        <v>11114</v>
      </c>
      <c r="AG1685" s="7" t="s">
        <v>744</v>
      </c>
      <c r="AH1685" s="7" t="s">
        <v>11106</v>
      </c>
      <c r="AI1685" s="7"/>
      <c r="AJ1685" s="7"/>
      <c r="AK1685" s="7"/>
      <c r="AL1685" s="7"/>
      <c r="AM1685" s="7"/>
      <c r="AN1685" s="7"/>
      <c r="AO1685" s="7" t="s">
        <v>744</v>
      </c>
      <c r="AP1685" s="7" t="s">
        <v>11115</v>
      </c>
      <c r="AQ1685" s="7" t="s">
        <v>744</v>
      </c>
      <c r="AR1685" s="7" t="s">
        <v>444</v>
      </c>
      <c r="AS1685" s="7"/>
      <c r="AT1685" s="7"/>
      <c r="AU1685" s="7"/>
      <c r="AV1685" s="7"/>
      <c r="AW1685" s="7" t="s">
        <v>744</v>
      </c>
      <c r="AX1685" s="7" t="s">
        <v>11116</v>
      </c>
      <c r="AY1685" s="7"/>
      <c r="AZ1685" s="7"/>
      <c r="BA1685" s="7"/>
      <c r="BB1685" s="7"/>
      <c r="BC1685" s="7"/>
      <c r="BD1685" s="7"/>
      <c r="BE1685" s="7" t="s">
        <v>127</v>
      </c>
      <c r="BF1685" s="8"/>
      <c r="BG1685" s="8"/>
      <c r="BH1685" s="8"/>
      <c r="BI1685" s="8"/>
      <c r="BJ1685" s="8"/>
      <c r="BK1685" s="8"/>
      <c r="BL1685" s="8"/>
      <c r="BM1685" s="8"/>
      <c r="BN1685" s="8"/>
      <c r="BO1685" s="8"/>
      <c r="BP1685" s="8"/>
      <c r="BQ1685" s="8"/>
      <c r="BR1685" s="8"/>
      <c r="BS1685" s="8"/>
    </row>
    <row r="1686" customFormat="false" ht="15" hidden="false" customHeight="false" outlineLevel="0" collapsed="false">
      <c r="A1686" s="7" t="s">
        <v>11117</v>
      </c>
      <c r="B1686" s="7" t="s">
        <v>11118</v>
      </c>
      <c r="C1686" s="7" t="s">
        <v>11119</v>
      </c>
      <c r="D1686" s="7" t="s">
        <v>746</v>
      </c>
      <c r="E1686" s="7" t="s">
        <v>741</v>
      </c>
      <c r="F1686" s="7" t="s">
        <v>741</v>
      </c>
      <c r="G1686" s="7"/>
      <c r="H1686" s="7"/>
      <c r="I1686" s="7" t="s">
        <v>158</v>
      </c>
      <c r="J1686" s="7" t="s">
        <v>104</v>
      </c>
      <c r="K1686" s="7" t="s">
        <v>105</v>
      </c>
      <c r="L1686" s="7" t="s">
        <v>106</v>
      </c>
      <c r="M1686" s="7"/>
      <c r="N1686" s="7" t="s">
        <v>11120</v>
      </c>
      <c r="O1686" s="7" t="s">
        <v>11120</v>
      </c>
      <c r="P1686" s="7" t="s">
        <v>135</v>
      </c>
      <c r="Q1686" s="7"/>
      <c r="R1686" s="7" t="s">
        <v>109</v>
      </c>
      <c r="S1686" s="7" t="s">
        <v>110</v>
      </c>
      <c r="T1686" s="7" t="n">
        <v>0.523</v>
      </c>
      <c r="U1686" s="7" t="n">
        <v>1</v>
      </c>
      <c r="V1686" s="7" t="s">
        <v>90</v>
      </c>
      <c r="W1686" s="7"/>
      <c r="X1686" s="7" t="s">
        <v>11106</v>
      </c>
      <c r="Y1686" s="7" t="s">
        <v>11120</v>
      </c>
      <c r="Z1686" s="7"/>
      <c r="AA1686" s="7"/>
      <c r="AB1686" s="7"/>
      <c r="AC1686" s="7" t="n">
        <v>5</v>
      </c>
      <c r="AD1686" s="7" t="s">
        <v>743</v>
      </c>
      <c r="AE1686" s="7" t="s">
        <v>744</v>
      </c>
      <c r="AF1686" s="7" t="s">
        <v>11119</v>
      </c>
      <c r="AG1686" s="7" t="s">
        <v>744</v>
      </c>
      <c r="AH1686" s="7" t="s">
        <v>11106</v>
      </c>
      <c r="AI1686" s="7"/>
      <c r="AJ1686" s="7"/>
      <c r="AK1686" s="7"/>
      <c r="AL1686" s="7"/>
      <c r="AM1686" s="7"/>
      <c r="AN1686" s="7"/>
      <c r="AO1686" s="7" t="s">
        <v>744</v>
      </c>
      <c r="AP1686" s="7" t="s">
        <v>746</v>
      </c>
      <c r="AQ1686" s="7" t="s">
        <v>744</v>
      </c>
      <c r="AR1686" s="7" t="s">
        <v>741</v>
      </c>
      <c r="AS1686" s="7"/>
      <c r="AT1686" s="7"/>
      <c r="AU1686" s="7"/>
      <c r="AV1686" s="7"/>
      <c r="AW1686" s="7" t="s">
        <v>744</v>
      </c>
      <c r="AX1686" s="7" t="s">
        <v>11120</v>
      </c>
      <c r="AY1686" s="7"/>
      <c r="AZ1686" s="7"/>
      <c r="BA1686" s="7"/>
      <c r="BB1686" s="7"/>
      <c r="BC1686" s="7"/>
      <c r="BD1686" s="7" t="s">
        <v>747</v>
      </c>
      <c r="BE1686" s="7" t="s">
        <v>127</v>
      </c>
      <c r="BF1686" s="8"/>
      <c r="BG1686" s="8"/>
      <c r="BH1686" s="8"/>
      <c r="BI1686" s="8"/>
      <c r="BJ1686" s="8"/>
      <c r="BK1686" s="8"/>
      <c r="BL1686" s="8"/>
      <c r="BM1686" s="8"/>
      <c r="BN1686" s="8"/>
      <c r="BO1686" s="8"/>
      <c r="BP1686" s="8"/>
      <c r="BQ1686" s="8"/>
      <c r="BR1686" s="8"/>
      <c r="BS1686" s="8"/>
    </row>
    <row r="1687" customFormat="false" ht="15" hidden="false" customHeight="false" outlineLevel="0" collapsed="false">
      <c r="A1687" s="7" t="s">
        <v>11121</v>
      </c>
      <c r="B1687" s="7" t="s">
        <v>11122</v>
      </c>
      <c r="C1687" s="7" t="s">
        <v>11123</v>
      </c>
      <c r="D1687" s="7" t="s">
        <v>11124</v>
      </c>
      <c r="E1687" s="7" t="s">
        <v>1966</v>
      </c>
      <c r="F1687" s="7" t="s">
        <v>1966</v>
      </c>
      <c r="G1687" s="7"/>
      <c r="H1687" s="7"/>
      <c r="I1687" s="7" t="s">
        <v>158</v>
      </c>
      <c r="J1687" s="7" t="s">
        <v>104</v>
      </c>
      <c r="K1687" s="7" t="s">
        <v>105</v>
      </c>
      <c r="L1687" s="7" t="s">
        <v>353</v>
      </c>
      <c r="M1687" s="7"/>
      <c r="N1687" s="7" t="s">
        <v>11125</v>
      </c>
      <c r="O1687" s="7" t="s">
        <v>11125</v>
      </c>
      <c r="P1687" s="7" t="s">
        <v>135</v>
      </c>
      <c r="Q1687" s="7"/>
      <c r="R1687" s="7" t="s">
        <v>109</v>
      </c>
      <c r="S1687" s="7" t="s">
        <v>110</v>
      </c>
      <c r="T1687" s="7" t="n">
        <v>0.366</v>
      </c>
      <c r="U1687" s="7" t="n">
        <v>1</v>
      </c>
      <c r="V1687" s="7" t="s">
        <v>90</v>
      </c>
      <c r="W1687" s="7"/>
      <c r="X1687" s="7" t="s">
        <v>7373</v>
      </c>
      <c r="Y1687" s="7" t="s">
        <v>11125</v>
      </c>
      <c r="Z1687" s="7"/>
      <c r="AA1687" s="7"/>
      <c r="AB1687" s="7"/>
      <c r="AC1687" s="7" t="n">
        <v>5</v>
      </c>
      <c r="AD1687" s="7" t="s">
        <v>743</v>
      </c>
      <c r="AE1687" s="7" t="s">
        <v>744</v>
      </c>
      <c r="AF1687" s="7" t="s">
        <v>11123</v>
      </c>
      <c r="AG1687" s="7" t="s">
        <v>744</v>
      </c>
      <c r="AH1687" s="7" t="s">
        <v>7373</v>
      </c>
      <c r="AI1687" s="7"/>
      <c r="AJ1687" s="7"/>
      <c r="AK1687" s="7"/>
      <c r="AL1687" s="7"/>
      <c r="AM1687" s="7"/>
      <c r="AN1687" s="7"/>
      <c r="AO1687" s="7" t="s">
        <v>744</v>
      </c>
      <c r="AP1687" s="7" t="s">
        <v>11124</v>
      </c>
      <c r="AQ1687" s="7" t="s">
        <v>744</v>
      </c>
      <c r="AR1687" s="7" t="s">
        <v>1966</v>
      </c>
      <c r="AS1687" s="7"/>
      <c r="AT1687" s="7"/>
      <c r="AU1687" s="7"/>
      <c r="AV1687" s="7"/>
      <c r="AW1687" s="7" t="s">
        <v>744</v>
      </c>
      <c r="AX1687" s="7" t="s">
        <v>11125</v>
      </c>
      <c r="AY1687" s="7"/>
      <c r="AZ1687" s="7"/>
      <c r="BA1687" s="7"/>
      <c r="BB1687" s="7"/>
      <c r="BC1687" s="7"/>
      <c r="BD1687" s="7" t="s">
        <v>440</v>
      </c>
      <c r="BE1687" s="7" t="s">
        <v>127</v>
      </c>
      <c r="BF1687" s="8"/>
      <c r="BG1687" s="8"/>
      <c r="BH1687" s="8"/>
      <c r="BI1687" s="8"/>
      <c r="BJ1687" s="8"/>
      <c r="BK1687" s="8"/>
      <c r="BL1687" s="8"/>
      <c r="BM1687" s="8"/>
      <c r="BN1687" s="8"/>
      <c r="BO1687" s="8"/>
      <c r="BP1687" s="8"/>
      <c r="BQ1687" s="8"/>
      <c r="BR1687" s="8"/>
      <c r="BS1687" s="8"/>
    </row>
    <row r="1688" customFormat="false" ht="15" hidden="false" customHeight="false" outlineLevel="0" collapsed="false">
      <c r="A1688" s="7" t="s">
        <v>11126</v>
      </c>
      <c r="B1688" s="7" t="s">
        <v>11127</v>
      </c>
      <c r="C1688" s="7" t="s">
        <v>11128</v>
      </c>
      <c r="D1688" s="7" t="s">
        <v>746</v>
      </c>
      <c r="E1688" s="7" t="s">
        <v>741</v>
      </c>
      <c r="F1688" s="7" t="s">
        <v>741</v>
      </c>
      <c r="G1688" s="7"/>
      <c r="H1688" s="7"/>
      <c r="I1688" s="7" t="s">
        <v>158</v>
      </c>
      <c r="J1688" s="7" t="s">
        <v>104</v>
      </c>
      <c r="K1688" s="7" t="s">
        <v>105</v>
      </c>
      <c r="L1688" s="7" t="s">
        <v>106</v>
      </c>
      <c r="M1688" s="7"/>
      <c r="N1688" s="7" t="s">
        <v>11129</v>
      </c>
      <c r="O1688" s="7" t="s">
        <v>11129</v>
      </c>
      <c r="P1688" s="7" t="s">
        <v>135</v>
      </c>
      <c r="Q1688" s="7"/>
      <c r="R1688" s="7" t="s">
        <v>109</v>
      </c>
      <c r="S1688" s="7" t="s">
        <v>110</v>
      </c>
      <c r="T1688" s="7" t="n">
        <v>0.531</v>
      </c>
      <c r="U1688" s="7" t="n">
        <v>1</v>
      </c>
      <c r="V1688" s="7" t="s">
        <v>90</v>
      </c>
      <c r="W1688" s="7"/>
      <c r="X1688" s="7" t="s">
        <v>7373</v>
      </c>
      <c r="Y1688" s="7" t="s">
        <v>11129</v>
      </c>
      <c r="Z1688" s="7"/>
      <c r="AA1688" s="7"/>
      <c r="AB1688" s="7"/>
      <c r="AC1688" s="7" t="n">
        <v>5</v>
      </c>
      <c r="AD1688" s="7" t="s">
        <v>743</v>
      </c>
      <c r="AE1688" s="7" t="s">
        <v>744</v>
      </c>
      <c r="AF1688" s="7" t="s">
        <v>11128</v>
      </c>
      <c r="AG1688" s="7" t="s">
        <v>744</v>
      </c>
      <c r="AH1688" s="7" t="s">
        <v>7373</v>
      </c>
      <c r="AI1688" s="7"/>
      <c r="AJ1688" s="7"/>
      <c r="AK1688" s="7"/>
      <c r="AL1688" s="7"/>
      <c r="AM1688" s="7"/>
      <c r="AN1688" s="7"/>
      <c r="AO1688" s="7" t="s">
        <v>744</v>
      </c>
      <c r="AP1688" s="7" t="s">
        <v>746</v>
      </c>
      <c r="AQ1688" s="7" t="s">
        <v>744</v>
      </c>
      <c r="AR1688" s="7" t="s">
        <v>741</v>
      </c>
      <c r="AS1688" s="7"/>
      <c r="AT1688" s="7"/>
      <c r="AU1688" s="7"/>
      <c r="AV1688" s="7"/>
      <c r="AW1688" s="7" t="s">
        <v>744</v>
      </c>
      <c r="AX1688" s="7" t="s">
        <v>11129</v>
      </c>
      <c r="AY1688" s="7"/>
      <c r="AZ1688" s="7"/>
      <c r="BA1688" s="7"/>
      <c r="BB1688" s="7"/>
      <c r="BC1688" s="7"/>
      <c r="BD1688" s="7" t="s">
        <v>747</v>
      </c>
      <c r="BE1688" s="7" t="s">
        <v>127</v>
      </c>
      <c r="BF1688" s="8"/>
      <c r="BG1688" s="8"/>
      <c r="BH1688" s="8"/>
      <c r="BI1688" s="8"/>
      <c r="BJ1688" s="8"/>
      <c r="BK1688" s="8"/>
      <c r="BL1688" s="8"/>
      <c r="BM1688" s="8"/>
      <c r="BN1688" s="8"/>
      <c r="BO1688" s="8"/>
      <c r="BP1688" s="8"/>
      <c r="BQ1688" s="8"/>
      <c r="BR1688" s="8"/>
      <c r="BS1688" s="8"/>
    </row>
    <row r="1689" customFormat="false" ht="15" hidden="false" customHeight="false" outlineLevel="0" collapsed="false">
      <c r="A1689" s="7" t="s">
        <v>11130</v>
      </c>
      <c r="B1689" s="7" t="s">
        <v>11131</v>
      </c>
      <c r="C1689" s="7" t="s">
        <v>11132</v>
      </c>
      <c r="D1689" s="7" t="s">
        <v>11133</v>
      </c>
      <c r="E1689" s="7" t="s">
        <v>819</v>
      </c>
      <c r="F1689" s="7" t="s">
        <v>819</v>
      </c>
      <c r="G1689" s="7"/>
      <c r="H1689" s="7"/>
      <c r="I1689" s="7" t="s">
        <v>158</v>
      </c>
      <c r="J1689" s="7" t="s">
        <v>104</v>
      </c>
      <c r="K1689" s="7" t="s">
        <v>105</v>
      </c>
      <c r="L1689" s="7" t="s">
        <v>353</v>
      </c>
      <c r="M1689" s="7"/>
      <c r="N1689" s="7" t="s">
        <v>11134</v>
      </c>
      <c r="O1689" s="7" t="s">
        <v>11134</v>
      </c>
      <c r="P1689" s="7" t="s">
        <v>109</v>
      </c>
      <c r="Q1689" s="7"/>
      <c r="R1689" s="7" t="s">
        <v>109</v>
      </c>
      <c r="S1689" s="7" t="s">
        <v>110</v>
      </c>
      <c r="T1689" s="7" t="n">
        <v>0.29</v>
      </c>
      <c r="U1689" s="7" t="n">
        <v>1</v>
      </c>
      <c r="V1689" s="7" t="s">
        <v>90</v>
      </c>
      <c r="W1689" s="7"/>
      <c r="X1689" s="7" t="s">
        <v>7373</v>
      </c>
      <c r="Y1689" s="7" t="s">
        <v>11134</v>
      </c>
      <c r="Z1689" s="7"/>
      <c r="AA1689" s="7"/>
      <c r="AB1689" s="7"/>
      <c r="AC1689" s="7" t="n">
        <v>5</v>
      </c>
      <c r="AD1689" s="7" t="s">
        <v>743</v>
      </c>
      <c r="AE1689" s="7" t="s">
        <v>744</v>
      </c>
      <c r="AF1689" s="7" t="s">
        <v>11132</v>
      </c>
      <c r="AG1689" s="7" t="s">
        <v>744</v>
      </c>
      <c r="AH1689" s="7" t="s">
        <v>7373</v>
      </c>
      <c r="AI1689" s="7"/>
      <c r="AJ1689" s="7"/>
      <c r="AK1689" s="7"/>
      <c r="AL1689" s="7"/>
      <c r="AM1689" s="7"/>
      <c r="AN1689" s="7"/>
      <c r="AO1689" s="7" t="s">
        <v>744</v>
      </c>
      <c r="AP1689" s="7" t="s">
        <v>11133</v>
      </c>
      <c r="AQ1689" s="7" t="s">
        <v>744</v>
      </c>
      <c r="AR1689" s="7" t="s">
        <v>819</v>
      </c>
      <c r="AS1689" s="7"/>
      <c r="AT1689" s="7"/>
      <c r="AU1689" s="7"/>
      <c r="AV1689" s="7"/>
      <c r="AW1689" s="7" t="s">
        <v>744</v>
      </c>
      <c r="AX1689" s="7" t="s">
        <v>11134</v>
      </c>
      <c r="AY1689" s="7"/>
      <c r="AZ1689" s="7"/>
      <c r="BA1689" s="7"/>
      <c r="BB1689" s="7"/>
      <c r="BC1689" s="7"/>
      <c r="BD1689" s="7"/>
      <c r="BE1689" s="7" t="s">
        <v>127</v>
      </c>
      <c r="BF1689" s="8"/>
      <c r="BG1689" s="8"/>
      <c r="BH1689" s="8"/>
      <c r="BI1689" s="8"/>
      <c r="BJ1689" s="8"/>
      <c r="BK1689" s="8"/>
      <c r="BL1689" s="8"/>
      <c r="BM1689" s="8"/>
      <c r="BN1689" s="8"/>
      <c r="BO1689" s="8"/>
      <c r="BP1689" s="8"/>
      <c r="BQ1689" s="8"/>
      <c r="BR1689" s="8"/>
      <c r="BS1689" s="8"/>
    </row>
    <row r="1690" customFormat="false" ht="15" hidden="false" customHeight="false" outlineLevel="0" collapsed="false">
      <c r="A1690" s="7" t="s">
        <v>11135</v>
      </c>
      <c r="B1690" s="7" t="s">
        <v>11136</v>
      </c>
      <c r="C1690" s="7" t="s">
        <v>11137</v>
      </c>
      <c r="D1690" s="7" t="s">
        <v>746</v>
      </c>
      <c r="E1690" s="7" t="s">
        <v>741</v>
      </c>
      <c r="F1690" s="7" t="s">
        <v>741</v>
      </c>
      <c r="G1690" s="7"/>
      <c r="H1690" s="7"/>
      <c r="I1690" s="7" t="s">
        <v>158</v>
      </c>
      <c r="J1690" s="7" t="s">
        <v>104</v>
      </c>
      <c r="K1690" s="7" t="s">
        <v>105</v>
      </c>
      <c r="L1690" s="7" t="s">
        <v>106</v>
      </c>
      <c r="M1690" s="7"/>
      <c r="N1690" s="7" t="s">
        <v>11138</v>
      </c>
      <c r="O1690" s="7" t="s">
        <v>11138</v>
      </c>
      <c r="P1690" s="7" t="s">
        <v>135</v>
      </c>
      <c r="Q1690" s="7"/>
      <c r="R1690" s="7" t="s">
        <v>109</v>
      </c>
      <c r="S1690" s="7" t="s">
        <v>110</v>
      </c>
      <c r="T1690" s="7" t="n">
        <v>0.454</v>
      </c>
      <c r="U1690" s="7" t="n">
        <v>1</v>
      </c>
      <c r="V1690" s="7" t="s">
        <v>90</v>
      </c>
      <c r="W1690" s="7"/>
      <c r="X1690" s="7" t="s">
        <v>876</v>
      </c>
      <c r="Y1690" s="7" t="s">
        <v>11138</v>
      </c>
      <c r="Z1690" s="7"/>
      <c r="AA1690" s="7"/>
      <c r="AB1690" s="7"/>
      <c r="AC1690" s="7" t="n">
        <v>5</v>
      </c>
      <c r="AD1690" s="7" t="s">
        <v>743</v>
      </c>
      <c r="AE1690" s="7" t="s">
        <v>744</v>
      </c>
      <c r="AF1690" s="7" t="s">
        <v>11137</v>
      </c>
      <c r="AG1690" s="7" t="s">
        <v>744</v>
      </c>
      <c r="AH1690" s="7" t="s">
        <v>876</v>
      </c>
      <c r="AI1690" s="7"/>
      <c r="AJ1690" s="7"/>
      <c r="AK1690" s="7"/>
      <c r="AL1690" s="7"/>
      <c r="AM1690" s="7"/>
      <c r="AN1690" s="7"/>
      <c r="AO1690" s="7" t="s">
        <v>744</v>
      </c>
      <c r="AP1690" s="7" t="s">
        <v>746</v>
      </c>
      <c r="AQ1690" s="7" t="s">
        <v>744</v>
      </c>
      <c r="AR1690" s="7" t="s">
        <v>741</v>
      </c>
      <c r="AS1690" s="7"/>
      <c r="AT1690" s="7"/>
      <c r="AU1690" s="7"/>
      <c r="AV1690" s="7"/>
      <c r="AW1690" s="7" t="s">
        <v>744</v>
      </c>
      <c r="AX1690" s="7" t="s">
        <v>11138</v>
      </c>
      <c r="AY1690" s="7"/>
      <c r="AZ1690" s="7"/>
      <c r="BA1690" s="7"/>
      <c r="BB1690" s="7"/>
      <c r="BC1690" s="7"/>
      <c r="BD1690" s="7" t="s">
        <v>747</v>
      </c>
      <c r="BE1690" s="7" t="s">
        <v>127</v>
      </c>
      <c r="BF1690" s="8"/>
      <c r="BG1690" s="8"/>
      <c r="BH1690" s="8"/>
      <c r="BI1690" s="8"/>
      <c r="BJ1690" s="8"/>
      <c r="BK1690" s="8"/>
      <c r="BL1690" s="8"/>
      <c r="BM1690" s="8"/>
      <c r="BN1690" s="8"/>
      <c r="BO1690" s="8"/>
      <c r="BP1690" s="8"/>
      <c r="BQ1690" s="8"/>
      <c r="BR1690" s="8"/>
      <c r="BS1690" s="8"/>
    </row>
    <row r="1691" customFormat="false" ht="15" hidden="false" customHeight="false" outlineLevel="0" collapsed="false">
      <c r="A1691" s="7" t="s">
        <v>11139</v>
      </c>
      <c r="B1691" s="7" t="s">
        <v>11140</v>
      </c>
      <c r="C1691" s="7" t="s">
        <v>11141</v>
      </c>
      <c r="D1691" s="7" t="s">
        <v>11142</v>
      </c>
      <c r="E1691" s="7" t="s">
        <v>431</v>
      </c>
      <c r="F1691" s="7" t="s">
        <v>431</v>
      </c>
      <c r="G1691" s="7"/>
      <c r="H1691" s="7"/>
      <c r="I1691" s="7" t="s">
        <v>158</v>
      </c>
      <c r="J1691" s="7" t="s">
        <v>104</v>
      </c>
      <c r="K1691" s="7" t="s">
        <v>105</v>
      </c>
      <c r="L1691" s="7" t="s">
        <v>106</v>
      </c>
      <c r="M1691" s="7"/>
      <c r="N1691" s="7" t="s">
        <v>11143</v>
      </c>
      <c r="O1691" s="7" t="s">
        <v>11143</v>
      </c>
      <c r="P1691" s="7" t="s">
        <v>135</v>
      </c>
      <c r="Q1691" s="7"/>
      <c r="R1691" s="7" t="s">
        <v>109</v>
      </c>
      <c r="S1691" s="7" t="s">
        <v>110</v>
      </c>
      <c r="T1691" s="7" t="n">
        <v>0.501</v>
      </c>
      <c r="U1691" s="7" t="n">
        <v>1</v>
      </c>
      <c r="V1691" s="7" t="s">
        <v>90</v>
      </c>
      <c r="W1691" s="7"/>
      <c r="X1691" s="7" t="s">
        <v>876</v>
      </c>
      <c r="Y1691" s="7" t="s">
        <v>11143</v>
      </c>
      <c r="Z1691" s="7"/>
      <c r="AA1691" s="7"/>
      <c r="AB1691" s="7"/>
      <c r="AC1691" s="7" t="n">
        <v>5</v>
      </c>
      <c r="AD1691" s="7" t="s">
        <v>743</v>
      </c>
      <c r="AE1691" s="7" t="s">
        <v>744</v>
      </c>
      <c r="AF1691" s="7" t="s">
        <v>11141</v>
      </c>
      <c r="AG1691" s="7" t="s">
        <v>744</v>
      </c>
      <c r="AH1691" s="7" t="s">
        <v>876</v>
      </c>
      <c r="AI1691" s="7"/>
      <c r="AJ1691" s="7"/>
      <c r="AK1691" s="7"/>
      <c r="AL1691" s="7"/>
      <c r="AM1691" s="7"/>
      <c r="AN1691" s="7"/>
      <c r="AO1691" s="7" t="s">
        <v>744</v>
      </c>
      <c r="AP1691" s="7" t="s">
        <v>11142</v>
      </c>
      <c r="AQ1691" s="7" t="s">
        <v>744</v>
      </c>
      <c r="AR1691" s="7" t="s">
        <v>431</v>
      </c>
      <c r="AS1691" s="7"/>
      <c r="AT1691" s="7"/>
      <c r="AU1691" s="7"/>
      <c r="AV1691" s="7"/>
      <c r="AW1691" s="7" t="s">
        <v>744</v>
      </c>
      <c r="AX1691" s="7" t="s">
        <v>11143</v>
      </c>
      <c r="AY1691" s="7"/>
      <c r="AZ1691" s="7"/>
      <c r="BA1691" s="7"/>
      <c r="BB1691" s="7"/>
      <c r="BC1691" s="7"/>
      <c r="BD1691" s="7" t="s">
        <v>440</v>
      </c>
      <c r="BE1691" s="7" t="s">
        <v>127</v>
      </c>
      <c r="BF1691" s="8"/>
      <c r="BG1691" s="8"/>
      <c r="BH1691" s="8"/>
      <c r="BI1691" s="8"/>
      <c r="BJ1691" s="8"/>
      <c r="BK1691" s="8"/>
      <c r="BL1691" s="8"/>
      <c r="BM1691" s="8"/>
      <c r="BN1691" s="8"/>
      <c r="BO1691" s="8"/>
      <c r="BP1691" s="8"/>
      <c r="BQ1691" s="8"/>
      <c r="BR1691" s="8"/>
      <c r="BS1691" s="8"/>
    </row>
    <row r="1692" customFormat="false" ht="15" hidden="false" customHeight="false" outlineLevel="0" collapsed="false">
      <c r="A1692" s="7" t="s">
        <v>11144</v>
      </c>
      <c r="B1692" s="7" t="s">
        <v>11145</v>
      </c>
      <c r="C1692" s="7" t="s">
        <v>11146</v>
      </c>
      <c r="D1692" s="7" t="s">
        <v>746</v>
      </c>
      <c r="E1692" s="7" t="s">
        <v>741</v>
      </c>
      <c r="F1692" s="7" t="s">
        <v>741</v>
      </c>
      <c r="G1692" s="7"/>
      <c r="H1692" s="7"/>
      <c r="I1692" s="7" t="s">
        <v>158</v>
      </c>
      <c r="J1692" s="7" t="s">
        <v>104</v>
      </c>
      <c r="K1692" s="7" t="s">
        <v>105</v>
      </c>
      <c r="L1692" s="7" t="s">
        <v>106</v>
      </c>
      <c r="M1692" s="7"/>
      <c r="N1692" s="7" t="s">
        <v>11147</v>
      </c>
      <c r="O1692" s="7" t="s">
        <v>11147</v>
      </c>
      <c r="P1692" s="7" t="s">
        <v>135</v>
      </c>
      <c r="Q1692" s="7"/>
      <c r="R1692" s="7" t="s">
        <v>109</v>
      </c>
      <c r="S1692" s="7" t="s">
        <v>110</v>
      </c>
      <c r="T1692" s="7" t="n">
        <v>0.344</v>
      </c>
      <c r="U1692" s="7" t="n">
        <v>1</v>
      </c>
      <c r="V1692" s="7" t="s">
        <v>90</v>
      </c>
      <c r="W1692" s="7"/>
      <c r="X1692" s="7" t="s">
        <v>1591</v>
      </c>
      <c r="Y1692" s="7" t="s">
        <v>11147</v>
      </c>
      <c r="Z1692" s="7"/>
      <c r="AA1692" s="7"/>
      <c r="AB1692" s="7"/>
      <c r="AC1692" s="7" t="n">
        <v>5</v>
      </c>
      <c r="AD1692" s="7" t="s">
        <v>743</v>
      </c>
      <c r="AE1692" s="7" t="s">
        <v>744</v>
      </c>
      <c r="AF1692" s="7" t="s">
        <v>11146</v>
      </c>
      <c r="AG1692" s="7" t="s">
        <v>744</v>
      </c>
      <c r="AH1692" s="7" t="s">
        <v>1591</v>
      </c>
      <c r="AI1692" s="7"/>
      <c r="AJ1692" s="7"/>
      <c r="AK1692" s="7"/>
      <c r="AL1692" s="7"/>
      <c r="AM1692" s="7"/>
      <c r="AN1692" s="7"/>
      <c r="AO1692" s="7" t="s">
        <v>744</v>
      </c>
      <c r="AP1692" s="7" t="s">
        <v>746</v>
      </c>
      <c r="AQ1692" s="7" t="s">
        <v>744</v>
      </c>
      <c r="AR1692" s="7" t="s">
        <v>741</v>
      </c>
      <c r="AS1692" s="7"/>
      <c r="AT1692" s="7"/>
      <c r="AU1692" s="7"/>
      <c r="AV1692" s="7"/>
      <c r="AW1692" s="7" t="s">
        <v>744</v>
      </c>
      <c r="AX1692" s="7" t="s">
        <v>11147</v>
      </c>
      <c r="AY1692" s="7"/>
      <c r="AZ1692" s="7"/>
      <c r="BA1692" s="7"/>
      <c r="BB1692" s="7"/>
      <c r="BC1692" s="7"/>
      <c r="BD1692" s="7" t="s">
        <v>747</v>
      </c>
      <c r="BE1692" s="7" t="s">
        <v>127</v>
      </c>
      <c r="BF1692" s="8"/>
      <c r="BG1692" s="8"/>
      <c r="BH1692" s="8"/>
      <c r="BI1692" s="8"/>
      <c r="BJ1692" s="8"/>
      <c r="BK1692" s="8"/>
      <c r="BL1692" s="8"/>
      <c r="BM1692" s="8"/>
      <c r="BN1692" s="8"/>
      <c r="BO1692" s="8"/>
      <c r="BP1692" s="8"/>
      <c r="BQ1692" s="8"/>
      <c r="BR1692" s="8"/>
      <c r="BS1692" s="8"/>
    </row>
    <row r="1693" customFormat="false" ht="15" hidden="false" customHeight="false" outlineLevel="0" collapsed="false">
      <c r="A1693" s="7" t="s">
        <v>11148</v>
      </c>
      <c r="B1693" s="7" t="s">
        <v>11149</v>
      </c>
      <c r="C1693" s="7" t="s">
        <v>11150</v>
      </c>
      <c r="D1693" s="7" t="s">
        <v>11151</v>
      </c>
      <c r="E1693" s="7"/>
      <c r="F1693" s="7" t="s">
        <v>156</v>
      </c>
      <c r="G1693" s="7"/>
      <c r="H1693" s="7" t="s">
        <v>157</v>
      </c>
      <c r="I1693" s="7" t="s">
        <v>158</v>
      </c>
      <c r="J1693" s="7" t="s">
        <v>159</v>
      </c>
      <c r="K1693" s="7" t="s">
        <v>105</v>
      </c>
      <c r="L1693" s="7" t="s">
        <v>106</v>
      </c>
      <c r="M1693" s="7"/>
      <c r="N1693" s="7" t="s">
        <v>11152</v>
      </c>
      <c r="O1693" s="7"/>
      <c r="P1693" s="7" t="s">
        <v>135</v>
      </c>
      <c r="Q1693" s="7"/>
      <c r="R1693" s="7" t="s">
        <v>135</v>
      </c>
      <c r="S1693" s="7" t="s">
        <v>136</v>
      </c>
      <c r="T1693" s="7" t="n">
        <v>0.223</v>
      </c>
      <c r="U1693" s="7" t="n">
        <v>1</v>
      </c>
      <c r="V1693" s="7" t="s">
        <v>90</v>
      </c>
      <c r="W1693" s="7"/>
      <c r="X1693" s="7" t="s">
        <v>1591</v>
      </c>
      <c r="Y1693" s="7" t="s">
        <v>11152</v>
      </c>
      <c r="Z1693" s="7"/>
      <c r="AA1693" s="7"/>
      <c r="AB1693" s="7"/>
      <c r="AC1693" s="7" t="n">
        <v>4</v>
      </c>
      <c r="AD1693" s="7" t="s">
        <v>7611</v>
      </c>
      <c r="AE1693" s="7" t="s">
        <v>744</v>
      </c>
      <c r="AF1693" s="7" t="s">
        <v>11150</v>
      </c>
      <c r="AG1693" s="7" t="s">
        <v>744</v>
      </c>
      <c r="AH1693" s="7" t="s">
        <v>1591</v>
      </c>
      <c r="AI1693" s="7"/>
      <c r="AJ1693" s="7"/>
      <c r="AK1693" s="7"/>
      <c r="AL1693" s="7"/>
      <c r="AM1693" s="7"/>
      <c r="AN1693" s="7"/>
      <c r="AO1693" s="7" t="s">
        <v>744</v>
      </c>
      <c r="AP1693" s="7" t="s">
        <v>11151</v>
      </c>
      <c r="AQ1693" s="7"/>
      <c r="AR1693" s="7"/>
      <c r="AS1693" s="7"/>
      <c r="AT1693" s="7"/>
      <c r="AU1693" s="7"/>
      <c r="AV1693" s="7"/>
      <c r="AW1693" s="7" t="s">
        <v>744</v>
      </c>
      <c r="AX1693" s="7" t="s">
        <v>11152</v>
      </c>
      <c r="AY1693" s="7"/>
      <c r="AZ1693" s="7"/>
      <c r="BA1693" s="7"/>
      <c r="BB1693" s="7"/>
      <c r="BC1693" s="7"/>
      <c r="BD1693" s="7"/>
      <c r="BE1693" s="7" t="s">
        <v>127</v>
      </c>
      <c r="BF1693" s="8"/>
      <c r="BG1693" s="8"/>
      <c r="BH1693" s="8"/>
      <c r="BI1693" s="8"/>
      <c r="BJ1693" s="8"/>
      <c r="BK1693" s="8"/>
      <c r="BL1693" s="8"/>
      <c r="BM1693" s="8"/>
      <c r="BN1693" s="8"/>
      <c r="BO1693" s="8"/>
      <c r="BP1693" s="8"/>
      <c r="BQ1693" s="8"/>
      <c r="BR1693" s="8"/>
      <c r="BS1693" s="8"/>
    </row>
    <row r="1694" customFormat="false" ht="15" hidden="false" customHeight="false" outlineLevel="0" collapsed="false">
      <c r="A1694" s="7" t="s">
        <v>11153</v>
      </c>
      <c r="B1694" s="7" t="s">
        <v>11154</v>
      </c>
      <c r="C1694" s="7" t="s">
        <v>11155</v>
      </c>
      <c r="D1694" s="7" t="s">
        <v>11156</v>
      </c>
      <c r="E1694" s="7" t="s">
        <v>507</v>
      </c>
      <c r="F1694" s="7" t="s">
        <v>507</v>
      </c>
      <c r="G1694" s="7"/>
      <c r="H1694" s="7"/>
      <c r="I1694" s="7" t="s">
        <v>132</v>
      </c>
      <c r="J1694" s="7" t="s">
        <v>104</v>
      </c>
      <c r="K1694" s="7" t="s">
        <v>105</v>
      </c>
      <c r="L1694" s="7" t="s">
        <v>106</v>
      </c>
      <c r="M1694" s="7"/>
      <c r="N1694" s="7" t="s">
        <v>11157</v>
      </c>
      <c r="O1694" s="7" t="s">
        <v>11157</v>
      </c>
      <c r="P1694" s="7" t="s">
        <v>135</v>
      </c>
      <c r="Q1694" s="7"/>
      <c r="R1694" s="7" t="s">
        <v>109</v>
      </c>
      <c r="S1694" s="7" t="s">
        <v>110</v>
      </c>
      <c r="T1694" s="7" t="n">
        <v>0.546</v>
      </c>
      <c r="U1694" s="7" t="n">
        <v>1</v>
      </c>
      <c r="V1694" s="7" t="s">
        <v>90</v>
      </c>
      <c r="W1694" s="7"/>
      <c r="X1694" s="7" t="s">
        <v>1591</v>
      </c>
      <c r="Y1694" s="7" t="s">
        <v>11157</v>
      </c>
      <c r="Z1694" s="7"/>
      <c r="AA1694" s="7"/>
      <c r="AB1694" s="7"/>
      <c r="AC1694" s="7" t="n">
        <v>5</v>
      </c>
      <c r="AD1694" s="7" t="s">
        <v>743</v>
      </c>
      <c r="AE1694" s="7" t="s">
        <v>744</v>
      </c>
      <c r="AF1694" s="7" t="s">
        <v>11155</v>
      </c>
      <c r="AG1694" s="7" t="s">
        <v>744</v>
      </c>
      <c r="AH1694" s="7" t="s">
        <v>1591</v>
      </c>
      <c r="AI1694" s="7"/>
      <c r="AJ1694" s="7"/>
      <c r="AK1694" s="7"/>
      <c r="AL1694" s="7"/>
      <c r="AM1694" s="7"/>
      <c r="AN1694" s="7"/>
      <c r="AO1694" s="7" t="s">
        <v>744</v>
      </c>
      <c r="AP1694" s="7" t="s">
        <v>11156</v>
      </c>
      <c r="AQ1694" s="7" t="s">
        <v>744</v>
      </c>
      <c r="AR1694" s="7" t="s">
        <v>507</v>
      </c>
      <c r="AS1694" s="7"/>
      <c r="AT1694" s="7"/>
      <c r="AU1694" s="7"/>
      <c r="AV1694" s="7"/>
      <c r="AW1694" s="7" t="s">
        <v>744</v>
      </c>
      <c r="AX1694" s="7" t="s">
        <v>11157</v>
      </c>
      <c r="AY1694" s="7"/>
      <c r="AZ1694" s="7"/>
      <c r="BA1694" s="7"/>
      <c r="BB1694" s="7"/>
      <c r="BC1694" s="7"/>
      <c r="BD1694" s="7" t="s">
        <v>440</v>
      </c>
      <c r="BE1694" s="7" t="s">
        <v>127</v>
      </c>
      <c r="BF1694" s="8"/>
      <c r="BG1694" s="8"/>
      <c r="BH1694" s="8"/>
      <c r="BI1694" s="8"/>
      <c r="BJ1694" s="8"/>
      <c r="BK1694" s="8"/>
      <c r="BL1694" s="8"/>
      <c r="BM1694" s="8"/>
      <c r="BN1694" s="8"/>
      <c r="BO1694" s="8"/>
      <c r="BP1694" s="8"/>
      <c r="BQ1694" s="8"/>
      <c r="BR1694" s="8"/>
      <c r="BS1694" s="8"/>
    </row>
    <row r="1695" customFormat="false" ht="15" hidden="false" customHeight="false" outlineLevel="0" collapsed="false">
      <c r="A1695" s="7" t="s">
        <v>11158</v>
      </c>
      <c r="B1695" s="7" t="s">
        <v>11159</v>
      </c>
      <c r="C1695" s="7" t="s">
        <v>11160</v>
      </c>
      <c r="D1695" s="7" t="s">
        <v>11161</v>
      </c>
      <c r="E1695" s="7"/>
      <c r="F1695" s="7" t="s">
        <v>101</v>
      </c>
      <c r="G1695" s="7"/>
      <c r="H1695" s="7"/>
      <c r="I1695" s="7" t="s">
        <v>158</v>
      </c>
      <c r="J1695" s="7" t="s">
        <v>104</v>
      </c>
      <c r="K1695" s="7" t="s">
        <v>105</v>
      </c>
      <c r="L1695" s="7" t="s">
        <v>353</v>
      </c>
      <c r="M1695" s="7"/>
      <c r="N1695" s="7" t="s">
        <v>11162</v>
      </c>
      <c r="O1695" s="7"/>
      <c r="P1695" s="7" t="s">
        <v>135</v>
      </c>
      <c r="Q1695" s="7"/>
      <c r="R1695" s="7" t="s">
        <v>135</v>
      </c>
      <c r="S1695" s="7" t="s">
        <v>136</v>
      </c>
      <c r="T1695" s="7" t="n">
        <v>0.456</v>
      </c>
      <c r="U1695" s="7" t="n">
        <v>1</v>
      </c>
      <c r="V1695" s="7" t="s">
        <v>90</v>
      </c>
      <c r="W1695" s="7"/>
      <c r="X1695" s="7" t="s">
        <v>1591</v>
      </c>
      <c r="Y1695" s="7" t="s">
        <v>11162</v>
      </c>
      <c r="Z1695" s="7"/>
      <c r="AA1695" s="7"/>
      <c r="AB1695" s="7"/>
      <c r="AC1695" s="7" t="n">
        <v>4</v>
      </c>
      <c r="AD1695" s="7" t="s">
        <v>7611</v>
      </c>
      <c r="AE1695" s="7" t="s">
        <v>744</v>
      </c>
      <c r="AF1695" s="7" t="s">
        <v>11160</v>
      </c>
      <c r="AG1695" s="7" t="s">
        <v>744</v>
      </c>
      <c r="AH1695" s="7" t="s">
        <v>1591</v>
      </c>
      <c r="AI1695" s="7"/>
      <c r="AJ1695" s="7"/>
      <c r="AK1695" s="7"/>
      <c r="AL1695" s="7"/>
      <c r="AM1695" s="7"/>
      <c r="AN1695" s="7"/>
      <c r="AO1695" s="7" t="s">
        <v>744</v>
      </c>
      <c r="AP1695" s="7" t="s">
        <v>11161</v>
      </c>
      <c r="AQ1695" s="7"/>
      <c r="AR1695" s="7"/>
      <c r="AS1695" s="7"/>
      <c r="AT1695" s="7"/>
      <c r="AU1695" s="7"/>
      <c r="AV1695" s="7"/>
      <c r="AW1695" s="7" t="s">
        <v>744</v>
      </c>
      <c r="AX1695" s="7" t="s">
        <v>11162</v>
      </c>
      <c r="AY1695" s="7"/>
      <c r="AZ1695" s="7"/>
      <c r="BA1695" s="7"/>
      <c r="BB1695" s="7"/>
      <c r="BC1695" s="7"/>
      <c r="BD1695" s="7"/>
      <c r="BE1695" s="7" t="s">
        <v>127</v>
      </c>
      <c r="BF1695" s="8"/>
      <c r="BG1695" s="8"/>
      <c r="BH1695" s="8"/>
      <c r="BI1695" s="8"/>
      <c r="BJ1695" s="8"/>
      <c r="BK1695" s="8"/>
      <c r="BL1695" s="8"/>
      <c r="BM1695" s="8"/>
      <c r="BN1695" s="8"/>
      <c r="BO1695" s="8"/>
      <c r="BP1695" s="8"/>
      <c r="BQ1695" s="8"/>
      <c r="BR1695" s="8"/>
      <c r="BS1695" s="8"/>
    </row>
    <row r="1696" customFormat="false" ht="15" hidden="false" customHeight="false" outlineLevel="0" collapsed="false">
      <c r="A1696" s="7" t="s">
        <v>11163</v>
      </c>
      <c r="B1696" s="7" t="s">
        <v>11164</v>
      </c>
      <c r="C1696" s="7" t="s">
        <v>11165</v>
      </c>
      <c r="D1696" s="7" t="s">
        <v>746</v>
      </c>
      <c r="E1696" s="7"/>
      <c r="F1696" s="7" t="s">
        <v>101</v>
      </c>
      <c r="G1696" s="7"/>
      <c r="H1696" s="7"/>
      <c r="I1696" s="7" t="s">
        <v>158</v>
      </c>
      <c r="J1696" s="7" t="s">
        <v>104</v>
      </c>
      <c r="K1696" s="7" t="s">
        <v>105</v>
      </c>
      <c r="L1696" s="7" t="s">
        <v>106</v>
      </c>
      <c r="M1696" s="7"/>
      <c r="N1696" s="7" t="s">
        <v>11166</v>
      </c>
      <c r="O1696" s="7" t="s">
        <v>11166</v>
      </c>
      <c r="P1696" s="7" t="s">
        <v>135</v>
      </c>
      <c r="Q1696" s="7"/>
      <c r="R1696" s="7" t="s">
        <v>109</v>
      </c>
      <c r="S1696" s="7" t="s">
        <v>110</v>
      </c>
      <c r="T1696" s="7" t="n">
        <v>0.291</v>
      </c>
      <c r="U1696" s="7" t="n">
        <v>1</v>
      </c>
      <c r="V1696" s="7" t="s">
        <v>90</v>
      </c>
      <c r="W1696" s="7"/>
      <c r="X1696" s="7" t="s">
        <v>1591</v>
      </c>
      <c r="Y1696" s="7" t="s">
        <v>11166</v>
      </c>
      <c r="Z1696" s="7"/>
      <c r="AA1696" s="7"/>
      <c r="AB1696" s="7"/>
      <c r="AC1696" s="7" t="n">
        <v>4</v>
      </c>
      <c r="AD1696" s="7" t="s">
        <v>7611</v>
      </c>
      <c r="AE1696" s="7" t="s">
        <v>744</v>
      </c>
      <c r="AF1696" s="7" t="s">
        <v>11165</v>
      </c>
      <c r="AG1696" s="7" t="s">
        <v>744</v>
      </c>
      <c r="AH1696" s="7" t="s">
        <v>1591</v>
      </c>
      <c r="AI1696" s="7"/>
      <c r="AJ1696" s="7"/>
      <c r="AK1696" s="7"/>
      <c r="AL1696" s="7"/>
      <c r="AM1696" s="7"/>
      <c r="AN1696" s="7"/>
      <c r="AO1696" s="7" t="s">
        <v>744</v>
      </c>
      <c r="AP1696" s="7" t="s">
        <v>746</v>
      </c>
      <c r="AQ1696" s="7"/>
      <c r="AR1696" s="7"/>
      <c r="AS1696" s="7"/>
      <c r="AT1696" s="7"/>
      <c r="AU1696" s="7"/>
      <c r="AV1696" s="7"/>
      <c r="AW1696" s="7" t="s">
        <v>744</v>
      </c>
      <c r="AX1696" s="7" t="s">
        <v>11166</v>
      </c>
      <c r="AY1696" s="7"/>
      <c r="AZ1696" s="7"/>
      <c r="BA1696" s="7"/>
      <c r="BB1696" s="7"/>
      <c r="BC1696" s="7"/>
      <c r="BD1696" s="7" t="s">
        <v>747</v>
      </c>
      <c r="BE1696" s="7" t="s">
        <v>127</v>
      </c>
      <c r="BF1696" s="8"/>
      <c r="BG1696" s="8"/>
      <c r="BH1696" s="8"/>
      <c r="BI1696" s="8"/>
      <c r="BJ1696" s="8"/>
      <c r="BK1696" s="8"/>
      <c r="BL1696" s="8"/>
      <c r="BM1696" s="8"/>
      <c r="BN1696" s="8"/>
      <c r="BO1696" s="8"/>
      <c r="BP1696" s="8"/>
      <c r="BQ1696" s="8"/>
      <c r="BR1696" s="8"/>
      <c r="BS1696" s="8"/>
    </row>
    <row r="1697" customFormat="false" ht="15" hidden="false" customHeight="false" outlineLevel="0" collapsed="false">
      <c r="A1697" s="7" t="s">
        <v>11167</v>
      </c>
      <c r="B1697" s="7" t="s">
        <v>11168</v>
      </c>
      <c r="C1697" s="7" t="s">
        <v>11169</v>
      </c>
      <c r="D1697" s="7" t="s">
        <v>11170</v>
      </c>
      <c r="E1697" s="7" t="s">
        <v>819</v>
      </c>
      <c r="F1697" s="7" t="s">
        <v>819</v>
      </c>
      <c r="G1697" s="7"/>
      <c r="H1697" s="7"/>
      <c r="I1697" s="7" t="s">
        <v>132</v>
      </c>
      <c r="J1697" s="7" t="s">
        <v>104</v>
      </c>
      <c r="K1697" s="7" t="s">
        <v>105</v>
      </c>
      <c r="L1697" s="7" t="s">
        <v>106</v>
      </c>
      <c r="M1697" s="7"/>
      <c r="N1697" s="7" t="s">
        <v>11171</v>
      </c>
      <c r="O1697" s="7" t="s">
        <v>11171</v>
      </c>
      <c r="P1697" s="7" t="s">
        <v>109</v>
      </c>
      <c r="Q1697" s="7"/>
      <c r="R1697" s="7" t="s">
        <v>109</v>
      </c>
      <c r="S1697" s="7" t="s">
        <v>110</v>
      </c>
      <c r="T1697" s="7" t="n">
        <v>0.425</v>
      </c>
      <c r="U1697" s="7" t="n">
        <v>1</v>
      </c>
      <c r="V1697" s="7" t="s">
        <v>90</v>
      </c>
      <c r="W1697" s="7"/>
      <c r="X1697" s="7" t="s">
        <v>1591</v>
      </c>
      <c r="Y1697" s="7" t="s">
        <v>11171</v>
      </c>
      <c r="Z1697" s="7"/>
      <c r="AA1697" s="7"/>
      <c r="AB1697" s="7"/>
      <c r="AC1697" s="7" t="n">
        <v>5</v>
      </c>
      <c r="AD1697" s="7" t="s">
        <v>743</v>
      </c>
      <c r="AE1697" s="7" t="s">
        <v>744</v>
      </c>
      <c r="AF1697" s="7" t="s">
        <v>11169</v>
      </c>
      <c r="AG1697" s="7" t="s">
        <v>744</v>
      </c>
      <c r="AH1697" s="7" t="s">
        <v>1591</v>
      </c>
      <c r="AI1697" s="7"/>
      <c r="AJ1697" s="7"/>
      <c r="AK1697" s="7"/>
      <c r="AL1697" s="7"/>
      <c r="AM1697" s="7"/>
      <c r="AN1697" s="7"/>
      <c r="AO1697" s="7" t="s">
        <v>744</v>
      </c>
      <c r="AP1697" s="7" t="s">
        <v>11170</v>
      </c>
      <c r="AQ1697" s="7" t="s">
        <v>744</v>
      </c>
      <c r="AR1697" s="7" t="s">
        <v>819</v>
      </c>
      <c r="AS1697" s="7"/>
      <c r="AT1697" s="7"/>
      <c r="AU1697" s="7"/>
      <c r="AV1697" s="7"/>
      <c r="AW1697" s="7" t="s">
        <v>744</v>
      </c>
      <c r="AX1697" s="7" t="s">
        <v>11171</v>
      </c>
      <c r="AY1697" s="7"/>
      <c r="AZ1697" s="7"/>
      <c r="BA1697" s="7"/>
      <c r="BB1697" s="7"/>
      <c r="BC1697" s="7"/>
      <c r="BD1697" s="7"/>
      <c r="BE1697" s="7" t="s">
        <v>127</v>
      </c>
      <c r="BF1697" s="8"/>
      <c r="BG1697" s="8"/>
      <c r="BH1697" s="8"/>
      <c r="BI1697" s="8"/>
      <c r="BJ1697" s="8"/>
      <c r="BK1697" s="8"/>
      <c r="BL1697" s="8"/>
      <c r="BM1697" s="8"/>
      <c r="BN1697" s="8"/>
      <c r="BO1697" s="8"/>
      <c r="BP1697" s="8"/>
      <c r="BQ1697" s="8"/>
      <c r="BR1697" s="8"/>
      <c r="BS1697" s="8"/>
    </row>
    <row r="1698" customFormat="false" ht="15" hidden="false" customHeight="false" outlineLevel="0" collapsed="false">
      <c r="A1698" s="7" t="s">
        <v>11172</v>
      </c>
      <c r="B1698" s="7" t="s">
        <v>11173</v>
      </c>
      <c r="C1698" s="7" t="s">
        <v>11174</v>
      </c>
      <c r="D1698" s="7" t="s">
        <v>746</v>
      </c>
      <c r="E1698" s="7" t="s">
        <v>507</v>
      </c>
      <c r="F1698" s="7" t="s">
        <v>507</v>
      </c>
      <c r="G1698" s="7"/>
      <c r="H1698" s="7"/>
      <c r="I1698" s="7" t="s">
        <v>158</v>
      </c>
      <c r="J1698" s="7" t="s">
        <v>104</v>
      </c>
      <c r="K1698" s="7" t="s">
        <v>105</v>
      </c>
      <c r="L1698" s="7" t="s">
        <v>106</v>
      </c>
      <c r="M1698" s="7"/>
      <c r="N1698" s="7" t="s">
        <v>11175</v>
      </c>
      <c r="O1698" s="7" t="s">
        <v>11175</v>
      </c>
      <c r="P1698" s="7" t="s">
        <v>135</v>
      </c>
      <c r="Q1698" s="7"/>
      <c r="R1698" s="7" t="s">
        <v>109</v>
      </c>
      <c r="S1698" s="7" t="s">
        <v>110</v>
      </c>
      <c r="T1698" s="7" t="n">
        <v>0.297</v>
      </c>
      <c r="U1698" s="7" t="n">
        <v>1</v>
      </c>
      <c r="V1698" s="7" t="s">
        <v>90</v>
      </c>
      <c r="W1698" s="7"/>
      <c r="X1698" s="7" t="s">
        <v>11176</v>
      </c>
      <c r="Y1698" s="7" t="s">
        <v>11175</v>
      </c>
      <c r="Z1698" s="7"/>
      <c r="AA1698" s="7"/>
      <c r="AB1698" s="7"/>
      <c r="AC1698" s="7" t="n">
        <v>5</v>
      </c>
      <c r="AD1698" s="7" t="s">
        <v>743</v>
      </c>
      <c r="AE1698" s="7" t="s">
        <v>744</v>
      </c>
      <c r="AF1698" s="7" t="s">
        <v>11174</v>
      </c>
      <c r="AG1698" s="7" t="s">
        <v>744</v>
      </c>
      <c r="AH1698" s="7" t="s">
        <v>11176</v>
      </c>
      <c r="AI1698" s="7"/>
      <c r="AJ1698" s="7"/>
      <c r="AK1698" s="7"/>
      <c r="AL1698" s="7"/>
      <c r="AM1698" s="7"/>
      <c r="AN1698" s="7"/>
      <c r="AO1698" s="7" t="s">
        <v>744</v>
      </c>
      <c r="AP1698" s="7" t="s">
        <v>746</v>
      </c>
      <c r="AQ1698" s="7" t="s">
        <v>744</v>
      </c>
      <c r="AR1698" s="7" t="s">
        <v>507</v>
      </c>
      <c r="AS1698" s="7"/>
      <c r="AT1698" s="7"/>
      <c r="AU1698" s="7"/>
      <c r="AV1698" s="7"/>
      <c r="AW1698" s="7" t="s">
        <v>744</v>
      </c>
      <c r="AX1698" s="7" t="s">
        <v>11175</v>
      </c>
      <c r="AY1698" s="7"/>
      <c r="AZ1698" s="7"/>
      <c r="BA1698" s="7"/>
      <c r="BB1698" s="7"/>
      <c r="BC1698" s="7"/>
      <c r="BD1698" s="7" t="s">
        <v>747</v>
      </c>
      <c r="BE1698" s="7" t="s">
        <v>127</v>
      </c>
      <c r="BF1698" s="8"/>
      <c r="BG1698" s="8"/>
      <c r="BH1698" s="8"/>
      <c r="BI1698" s="8"/>
      <c r="BJ1698" s="8"/>
      <c r="BK1698" s="8"/>
      <c r="BL1698" s="8"/>
      <c r="BM1698" s="8"/>
      <c r="BN1698" s="8"/>
      <c r="BO1698" s="8"/>
      <c r="BP1698" s="8"/>
      <c r="BQ1698" s="8"/>
      <c r="BR1698" s="8"/>
      <c r="BS1698" s="8"/>
    </row>
    <row r="1699" customFormat="false" ht="15" hidden="false" customHeight="false" outlineLevel="0" collapsed="false">
      <c r="A1699" s="7" t="s">
        <v>11177</v>
      </c>
      <c r="B1699" s="7" t="s">
        <v>11178</v>
      </c>
      <c r="C1699" s="7" t="s">
        <v>11179</v>
      </c>
      <c r="D1699" s="7" t="s">
        <v>746</v>
      </c>
      <c r="E1699" s="7" t="s">
        <v>741</v>
      </c>
      <c r="F1699" s="7" t="s">
        <v>741</v>
      </c>
      <c r="G1699" s="7" t="s">
        <v>11180</v>
      </c>
      <c r="H1699" s="7"/>
      <c r="I1699" s="7" t="s">
        <v>158</v>
      </c>
      <c r="J1699" s="7" t="s">
        <v>104</v>
      </c>
      <c r="K1699" s="7" t="s">
        <v>105</v>
      </c>
      <c r="L1699" s="7" t="s">
        <v>106</v>
      </c>
      <c r="M1699" s="7"/>
      <c r="N1699" s="7" t="s">
        <v>11181</v>
      </c>
      <c r="O1699" s="7" t="s">
        <v>11181</v>
      </c>
      <c r="P1699" s="7" t="s">
        <v>135</v>
      </c>
      <c r="Q1699" s="7"/>
      <c r="R1699" s="7" t="s">
        <v>109</v>
      </c>
      <c r="S1699" s="7" t="s">
        <v>110</v>
      </c>
      <c r="T1699" s="7" t="n">
        <v>0.497</v>
      </c>
      <c r="U1699" s="7" t="n">
        <v>1</v>
      </c>
      <c r="V1699" s="7" t="s">
        <v>90</v>
      </c>
      <c r="W1699" s="7"/>
      <c r="X1699" s="7" t="s">
        <v>11176</v>
      </c>
      <c r="Y1699" s="7" t="s">
        <v>11181</v>
      </c>
      <c r="Z1699" s="7"/>
      <c r="AA1699" s="7"/>
      <c r="AB1699" s="7"/>
      <c r="AC1699" s="7" t="n">
        <v>5</v>
      </c>
      <c r="AD1699" s="7" t="s">
        <v>743</v>
      </c>
      <c r="AE1699" s="7" t="s">
        <v>744</v>
      </c>
      <c r="AF1699" s="7" t="s">
        <v>11179</v>
      </c>
      <c r="AG1699" s="7" t="s">
        <v>744</v>
      </c>
      <c r="AH1699" s="7" t="s">
        <v>11176</v>
      </c>
      <c r="AI1699" s="7"/>
      <c r="AJ1699" s="7"/>
      <c r="AK1699" s="7"/>
      <c r="AL1699" s="7"/>
      <c r="AM1699" s="7"/>
      <c r="AN1699" s="7"/>
      <c r="AO1699" s="7" t="s">
        <v>744</v>
      </c>
      <c r="AP1699" s="7" t="s">
        <v>746</v>
      </c>
      <c r="AQ1699" s="7" t="s">
        <v>744</v>
      </c>
      <c r="AR1699" s="7" t="s">
        <v>741</v>
      </c>
      <c r="AS1699" s="7"/>
      <c r="AT1699" s="7"/>
      <c r="AU1699" s="7"/>
      <c r="AV1699" s="7"/>
      <c r="AW1699" s="7" t="s">
        <v>744</v>
      </c>
      <c r="AX1699" s="7" t="s">
        <v>11181</v>
      </c>
      <c r="AY1699" s="7"/>
      <c r="AZ1699" s="7"/>
      <c r="BA1699" s="7"/>
      <c r="BB1699" s="7"/>
      <c r="BC1699" s="7"/>
      <c r="BD1699" s="7" t="s">
        <v>747</v>
      </c>
      <c r="BE1699" s="7" t="s">
        <v>127</v>
      </c>
      <c r="BF1699" s="8"/>
      <c r="BG1699" s="8"/>
      <c r="BH1699" s="8"/>
      <c r="BI1699" s="8"/>
      <c r="BJ1699" s="8"/>
      <c r="BK1699" s="8"/>
      <c r="BL1699" s="8"/>
      <c r="BM1699" s="8"/>
      <c r="BN1699" s="8"/>
      <c r="BO1699" s="8"/>
      <c r="BP1699" s="8"/>
      <c r="BQ1699" s="8"/>
      <c r="BR1699" s="8"/>
      <c r="BS1699" s="8"/>
    </row>
    <row r="1700" customFormat="false" ht="15" hidden="false" customHeight="false" outlineLevel="0" collapsed="false">
      <c r="A1700" s="7" t="s">
        <v>11182</v>
      </c>
      <c r="B1700" s="7" t="s">
        <v>11183</v>
      </c>
      <c r="C1700" s="7" t="s">
        <v>11184</v>
      </c>
      <c r="D1700" s="7" t="s">
        <v>2926</v>
      </c>
      <c r="E1700" s="7" t="s">
        <v>410</v>
      </c>
      <c r="F1700" s="7" t="s">
        <v>410</v>
      </c>
      <c r="G1700" s="7"/>
      <c r="H1700" s="7"/>
      <c r="I1700" s="7" t="s">
        <v>132</v>
      </c>
      <c r="J1700" s="7" t="s">
        <v>104</v>
      </c>
      <c r="K1700" s="7" t="s">
        <v>105</v>
      </c>
      <c r="L1700" s="7" t="s">
        <v>106</v>
      </c>
      <c r="M1700" s="7"/>
      <c r="N1700" s="7" t="s">
        <v>11185</v>
      </c>
      <c r="O1700" s="7" t="s">
        <v>11185</v>
      </c>
      <c r="P1700" s="7" t="s">
        <v>109</v>
      </c>
      <c r="Q1700" s="7"/>
      <c r="R1700" s="7" t="s">
        <v>109</v>
      </c>
      <c r="S1700" s="7" t="s">
        <v>110</v>
      </c>
      <c r="T1700" s="7" t="n">
        <v>0.417</v>
      </c>
      <c r="U1700" s="7" t="n">
        <v>1</v>
      </c>
      <c r="V1700" s="7" t="s">
        <v>90</v>
      </c>
      <c r="W1700" s="7"/>
      <c r="X1700" s="7" t="s">
        <v>11176</v>
      </c>
      <c r="Y1700" s="7" t="s">
        <v>11185</v>
      </c>
      <c r="Z1700" s="7"/>
      <c r="AA1700" s="7"/>
      <c r="AB1700" s="7"/>
      <c r="AC1700" s="7" t="n">
        <v>5</v>
      </c>
      <c r="AD1700" s="7" t="s">
        <v>743</v>
      </c>
      <c r="AE1700" s="7" t="s">
        <v>744</v>
      </c>
      <c r="AF1700" s="7" t="s">
        <v>11184</v>
      </c>
      <c r="AG1700" s="7" t="s">
        <v>744</v>
      </c>
      <c r="AH1700" s="7" t="s">
        <v>11176</v>
      </c>
      <c r="AI1700" s="7"/>
      <c r="AJ1700" s="7"/>
      <c r="AK1700" s="7"/>
      <c r="AL1700" s="7"/>
      <c r="AM1700" s="7"/>
      <c r="AN1700" s="7"/>
      <c r="AO1700" s="7" t="s">
        <v>744</v>
      </c>
      <c r="AP1700" s="7" t="s">
        <v>2926</v>
      </c>
      <c r="AQ1700" s="7" t="s">
        <v>744</v>
      </c>
      <c r="AR1700" s="7" t="s">
        <v>410</v>
      </c>
      <c r="AS1700" s="7"/>
      <c r="AT1700" s="7"/>
      <c r="AU1700" s="7"/>
      <c r="AV1700" s="7"/>
      <c r="AW1700" s="7" t="s">
        <v>744</v>
      </c>
      <c r="AX1700" s="7" t="s">
        <v>11185</v>
      </c>
      <c r="AY1700" s="7"/>
      <c r="AZ1700" s="7"/>
      <c r="BA1700" s="7"/>
      <c r="BB1700" s="7"/>
      <c r="BC1700" s="7"/>
      <c r="BD1700" s="7"/>
      <c r="BE1700" s="7" t="s">
        <v>127</v>
      </c>
      <c r="BF1700" s="8"/>
      <c r="BG1700" s="8"/>
      <c r="BH1700" s="8"/>
      <c r="BI1700" s="8"/>
      <c r="BJ1700" s="8"/>
      <c r="BK1700" s="8"/>
      <c r="BL1700" s="8"/>
      <c r="BM1700" s="8"/>
      <c r="BN1700" s="8"/>
      <c r="BO1700" s="8"/>
      <c r="BP1700" s="8"/>
      <c r="BQ1700" s="8"/>
      <c r="BR1700" s="8"/>
      <c r="BS1700" s="8"/>
    </row>
    <row r="1701" customFormat="false" ht="15" hidden="false" customHeight="false" outlineLevel="0" collapsed="false">
      <c r="A1701" s="7" t="s">
        <v>11186</v>
      </c>
      <c r="B1701" s="7" t="s">
        <v>11187</v>
      </c>
      <c r="C1701" s="7" t="s">
        <v>11188</v>
      </c>
      <c r="D1701" s="7" t="s">
        <v>11189</v>
      </c>
      <c r="E1701" s="7" t="s">
        <v>1966</v>
      </c>
      <c r="F1701" s="7" t="s">
        <v>1966</v>
      </c>
      <c r="G1701" s="7"/>
      <c r="H1701" s="7"/>
      <c r="I1701" s="7" t="s">
        <v>132</v>
      </c>
      <c r="J1701" s="7" t="s">
        <v>104</v>
      </c>
      <c r="K1701" s="7" t="s">
        <v>105</v>
      </c>
      <c r="L1701" s="7" t="s">
        <v>106</v>
      </c>
      <c r="M1701" s="7"/>
      <c r="N1701" s="7" t="s">
        <v>11190</v>
      </c>
      <c r="O1701" s="7" t="s">
        <v>11190</v>
      </c>
      <c r="P1701" s="7" t="s">
        <v>135</v>
      </c>
      <c r="Q1701" s="7"/>
      <c r="R1701" s="7" t="s">
        <v>109</v>
      </c>
      <c r="S1701" s="7" t="s">
        <v>110</v>
      </c>
      <c r="T1701" s="7" t="n">
        <v>0.317</v>
      </c>
      <c r="U1701" s="7" t="n">
        <v>1</v>
      </c>
      <c r="V1701" s="7" t="s">
        <v>90</v>
      </c>
      <c r="W1701" s="7"/>
      <c r="X1701" s="7" t="s">
        <v>11176</v>
      </c>
      <c r="Y1701" s="7" t="s">
        <v>11190</v>
      </c>
      <c r="Z1701" s="7"/>
      <c r="AA1701" s="7"/>
      <c r="AB1701" s="7"/>
      <c r="AC1701" s="7" t="n">
        <v>5</v>
      </c>
      <c r="AD1701" s="7" t="s">
        <v>743</v>
      </c>
      <c r="AE1701" s="7" t="s">
        <v>744</v>
      </c>
      <c r="AF1701" s="7" t="s">
        <v>11188</v>
      </c>
      <c r="AG1701" s="7" t="s">
        <v>744</v>
      </c>
      <c r="AH1701" s="7" t="s">
        <v>11176</v>
      </c>
      <c r="AI1701" s="7"/>
      <c r="AJ1701" s="7"/>
      <c r="AK1701" s="7"/>
      <c r="AL1701" s="7"/>
      <c r="AM1701" s="7"/>
      <c r="AN1701" s="7"/>
      <c r="AO1701" s="7" t="s">
        <v>744</v>
      </c>
      <c r="AP1701" s="7" t="s">
        <v>11189</v>
      </c>
      <c r="AQ1701" s="7" t="s">
        <v>744</v>
      </c>
      <c r="AR1701" s="7" t="s">
        <v>1966</v>
      </c>
      <c r="AS1701" s="7"/>
      <c r="AT1701" s="7"/>
      <c r="AU1701" s="7"/>
      <c r="AV1701" s="7"/>
      <c r="AW1701" s="7" t="s">
        <v>744</v>
      </c>
      <c r="AX1701" s="7" t="s">
        <v>11190</v>
      </c>
      <c r="AY1701" s="7"/>
      <c r="AZ1701" s="7"/>
      <c r="BA1701" s="7"/>
      <c r="BB1701" s="7"/>
      <c r="BC1701" s="7"/>
      <c r="BD1701" s="7" t="s">
        <v>440</v>
      </c>
      <c r="BE1701" s="7" t="s">
        <v>127</v>
      </c>
      <c r="BF1701" s="8"/>
      <c r="BG1701" s="8"/>
      <c r="BH1701" s="8"/>
      <c r="BI1701" s="8"/>
      <c r="BJ1701" s="8"/>
      <c r="BK1701" s="8"/>
      <c r="BL1701" s="8"/>
      <c r="BM1701" s="8"/>
      <c r="BN1701" s="8"/>
      <c r="BO1701" s="8"/>
      <c r="BP1701" s="8"/>
      <c r="BQ1701" s="8"/>
      <c r="BR1701" s="8"/>
      <c r="BS1701" s="8"/>
    </row>
    <row r="1702" customFormat="false" ht="15" hidden="false" customHeight="false" outlineLevel="0" collapsed="false">
      <c r="A1702" s="7" t="s">
        <v>11191</v>
      </c>
      <c r="B1702" s="7" t="s">
        <v>11192</v>
      </c>
      <c r="C1702" s="7" t="s">
        <v>11193</v>
      </c>
      <c r="D1702" s="7" t="s">
        <v>11194</v>
      </c>
      <c r="E1702" s="7" t="s">
        <v>410</v>
      </c>
      <c r="F1702" s="7" t="s">
        <v>410</v>
      </c>
      <c r="G1702" s="7"/>
      <c r="H1702" s="7"/>
      <c r="I1702" s="7" t="s">
        <v>158</v>
      </c>
      <c r="J1702" s="7" t="s">
        <v>104</v>
      </c>
      <c r="K1702" s="7" t="s">
        <v>105</v>
      </c>
      <c r="L1702" s="7" t="s">
        <v>106</v>
      </c>
      <c r="M1702" s="7"/>
      <c r="N1702" s="7" t="s">
        <v>11195</v>
      </c>
      <c r="O1702" s="7" t="s">
        <v>11195</v>
      </c>
      <c r="P1702" s="7" t="s">
        <v>135</v>
      </c>
      <c r="Q1702" s="7"/>
      <c r="R1702" s="7" t="s">
        <v>109</v>
      </c>
      <c r="S1702" s="7" t="s">
        <v>110</v>
      </c>
      <c r="T1702" s="7" t="n">
        <v>0.591</v>
      </c>
      <c r="U1702" s="7" t="n">
        <v>1</v>
      </c>
      <c r="V1702" s="7" t="s">
        <v>90</v>
      </c>
      <c r="W1702" s="7"/>
      <c r="X1702" s="7" t="s">
        <v>11176</v>
      </c>
      <c r="Y1702" s="7" t="s">
        <v>11195</v>
      </c>
      <c r="Z1702" s="7"/>
      <c r="AA1702" s="7"/>
      <c r="AB1702" s="7"/>
      <c r="AC1702" s="7" t="n">
        <v>5</v>
      </c>
      <c r="AD1702" s="7" t="s">
        <v>743</v>
      </c>
      <c r="AE1702" s="7" t="s">
        <v>744</v>
      </c>
      <c r="AF1702" s="7" t="s">
        <v>11193</v>
      </c>
      <c r="AG1702" s="7" t="s">
        <v>744</v>
      </c>
      <c r="AH1702" s="7" t="s">
        <v>11176</v>
      </c>
      <c r="AI1702" s="7"/>
      <c r="AJ1702" s="7"/>
      <c r="AK1702" s="7"/>
      <c r="AL1702" s="7"/>
      <c r="AM1702" s="7"/>
      <c r="AN1702" s="7"/>
      <c r="AO1702" s="7" t="s">
        <v>744</v>
      </c>
      <c r="AP1702" s="7" t="s">
        <v>11194</v>
      </c>
      <c r="AQ1702" s="7" t="s">
        <v>744</v>
      </c>
      <c r="AR1702" s="7" t="s">
        <v>410</v>
      </c>
      <c r="AS1702" s="7"/>
      <c r="AT1702" s="7"/>
      <c r="AU1702" s="7"/>
      <c r="AV1702" s="7"/>
      <c r="AW1702" s="7" t="s">
        <v>744</v>
      </c>
      <c r="AX1702" s="7" t="s">
        <v>11195</v>
      </c>
      <c r="AY1702" s="7"/>
      <c r="AZ1702" s="7"/>
      <c r="BA1702" s="7"/>
      <c r="BB1702" s="7"/>
      <c r="BC1702" s="7"/>
      <c r="BD1702" s="7" t="s">
        <v>440</v>
      </c>
      <c r="BE1702" s="7" t="s">
        <v>127</v>
      </c>
      <c r="BF1702" s="8"/>
      <c r="BG1702" s="8"/>
      <c r="BH1702" s="8"/>
      <c r="BI1702" s="8"/>
      <c r="BJ1702" s="8"/>
      <c r="BK1702" s="8"/>
      <c r="BL1702" s="8"/>
      <c r="BM1702" s="8"/>
      <c r="BN1702" s="8"/>
      <c r="BO1702" s="8"/>
      <c r="BP1702" s="8"/>
      <c r="BQ1702" s="8"/>
      <c r="BR1702" s="8"/>
      <c r="BS1702" s="8"/>
    </row>
    <row r="1703" customFormat="false" ht="15" hidden="false" customHeight="false" outlineLevel="0" collapsed="false">
      <c r="A1703" s="7" t="s">
        <v>11196</v>
      </c>
      <c r="B1703" s="7" t="s">
        <v>11197</v>
      </c>
      <c r="C1703" s="7" t="s">
        <v>11198</v>
      </c>
      <c r="D1703" s="7" t="s">
        <v>746</v>
      </c>
      <c r="E1703" s="7" t="s">
        <v>741</v>
      </c>
      <c r="F1703" s="7" t="s">
        <v>741</v>
      </c>
      <c r="G1703" s="7"/>
      <c r="H1703" s="7"/>
      <c r="I1703" s="7" t="s">
        <v>158</v>
      </c>
      <c r="J1703" s="7" t="s">
        <v>104</v>
      </c>
      <c r="K1703" s="7" t="s">
        <v>105</v>
      </c>
      <c r="L1703" s="7" t="s">
        <v>106</v>
      </c>
      <c r="M1703" s="7"/>
      <c r="N1703" s="7" t="s">
        <v>11199</v>
      </c>
      <c r="O1703" s="7" t="s">
        <v>11199</v>
      </c>
      <c r="P1703" s="7" t="s">
        <v>135</v>
      </c>
      <c r="Q1703" s="7"/>
      <c r="R1703" s="7" t="s">
        <v>109</v>
      </c>
      <c r="S1703" s="7" t="s">
        <v>110</v>
      </c>
      <c r="T1703" s="7" t="n">
        <v>0.529</v>
      </c>
      <c r="U1703" s="7" t="n">
        <v>1</v>
      </c>
      <c r="V1703" s="7" t="s">
        <v>90</v>
      </c>
      <c r="W1703" s="7"/>
      <c r="X1703" s="7" t="s">
        <v>11200</v>
      </c>
      <c r="Y1703" s="7" t="s">
        <v>11199</v>
      </c>
      <c r="Z1703" s="7"/>
      <c r="AA1703" s="7"/>
      <c r="AB1703" s="7"/>
      <c r="AC1703" s="7" t="n">
        <v>5</v>
      </c>
      <c r="AD1703" s="7" t="s">
        <v>743</v>
      </c>
      <c r="AE1703" s="7" t="s">
        <v>744</v>
      </c>
      <c r="AF1703" s="7" t="s">
        <v>11198</v>
      </c>
      <c r="AG1703" s="7" t="s">
        <v>744</v>
      </c>
      <c r="AH1703" s="7" t="s">
        <v>11200</v>
      </c>
      <c r="AI1703" s="7"/>
      <c r="AJ1703" s="7"/>
      <c r="AK1703" s="7"/>
      <c r="AL1703" s="7"/>
      <c r="AM1703" s="7"/>
      <c r="AN1703" s="7"/>
      <c r="AO1703" s="7" t="s">
        <v>744</v>
      </c>
      <c r="AP1703" s="7" t="s">
        <v>746</v>
      </c>
      <c r="AQ1703" s="7" t="s">
        <v>744</v>
      </c>
      <c r="AR1703" s="7" t="s">
        <v>741</v>
      </c>
      <c r="AS1703" s="7"/>
      <c r="AT1703" s="7"/>
      <c r="AU1703" s="7"/>
      <c r="AV1703" s="7"/>
      <c r="AW1703" s="7" t="s">
        <v>744</v>
      </c>
      <c r="AX1703" s="7" t="s">
        <v>11199</v>
      </c>
      <c r="AY1703" s="7"/>
      <c r="AZ1703" s="7"/>
      <c r="BA1703" s="7"/>
      <c r="BB1703" s="7"/>
      <c r="BC1703" s="7"/>
      <c r="BD1703" s="7" t="s">
        <v>747</v>
      </c>
      <c r="BE1703" s="7" t="s">
        <v>127</v>
      </c>
      <c r="BF1703" s="8"/>
      <c r="BG1703" s="8"/>
      <c r="BH1703" s="8"/>
      <c r="BI1703" s="8"/>
      <c r="BJ1703" s="8"/>
      <c r="BK1703" s="8"/>
      <c r="BL1703" s="8"/>
      <c r="BM1703" s="8"/>
      <c r="BN1703" s="8"/>
      <c r="BO1703" s="8"/>
      <c r="BP1703" s="8"/>
      <c r="BQ1703" s="8"/>
      <c r="BR1703" s="8"/>
      <c r="BS1703" s="8"/>
    </row>
    <row r="1704" customFormat="false" ht="15" hidden="false" customHeight="false" outlineLevel="0" collapsed="false">
      <c r="A1704" s="7" t="s">
        <v>11201</v>
      </c>
      <c r="B1704" s="7" t="s">
        <v>11202</v>
      </c>
      <c r="C1704" s="7" t="s">
        <v>11203</v>
      </c>
      <c r="D1704" s="7" t="s">
        <v>746</v>
      </c>
      <c r="E1704" s="7" t="s">
        <v>741</v>
      </c>
      <c r="F1704" s="7" t="s">
        <v>741</v>
      </c>
      <c r="G1704" s="7"/>
      <c r="H1704" s="7"/>
      <c r="I1704" s="7" t="s">
        <v>158</v>
      </c>
      <c r="J1704" s="7" t="s">
        <v>104</v>
      </c>
      <c r="K1704" s="7" t="s">
        <v>105</v>
      </c>
      <c r="L1704" s="7" t="s">
        <v>106</v>
      </c>
      <c r="M1704" s="7"/>
      <c r="N1704" s="7" t="s">
        <v>11204</v>
      </c>
      <c r="O1704" s="7" t="s">
        <v>11204</v>
      </c>
      <c r="P1704" s="7" t="s">
        <v>135</v>
      </c>
      <c r="Q1704" s="7"/>
      <c r="R1704" s="7" t="s">
        <v>109</v>
      </c>
      <c r="S1704" s="7" t="s">
        <v>110</v>
      </c>
      <c r="T1704" s="7" t="n">
        <v>0.385</v>
      </c>
      <c r="U1704" s="7" t="n">
        <v>1</v>
      </c>
      <c r="V1704" s="7" t="s">
        <v>90</v>
      </c>
      <c r="W1704" s="7"/>
      <c r="X1704" s="7" t="s">
        <v>11200</v>
      </c>
      <c r="Y1704" s="7" t="s">
        <v>11204</v>
      </c>
      <c r="Z1704" s="7"/>
      <c r="AA1704" s="7"/>
      <c r="AB1704" s="7"/>
      <c r="AC1704" s="7" t="n">
        <v>5</v>
      </c>
      <c r="AD1704" s="7" t="s">
        <v>743</v>
      </c>
      <c r="AE1704" s="7" t="s">
        <v>744</v>
      </c>
      <c r="AF1704" s="7" t="s">
        <v>11203</v>
      </c>
      <c r="AG1704" s="7" t="s">
        <v>744</v>
      </c>
      <c r="AH1704" s="7" t="s">
        <v>11200</v>
      </c>
      <c r="AI1704" s="7"/>
      <c r="AJ1704" s="7"/>
      <c r="AK1704" s="7"/>
      <c r="AL1704" s="7"/>
      <c r="AM1704" s="7"/>
      <c r="AN1704" s="7"/>
      <c r="AO1704" s="7" t="s">
        <v>744</v>
      </c>
      <c r="AP1704" s="7" t="s">
        <v>746</v>
      </c>
      <c r="AQ1704" s="7" t="s">
        <v>744</v>
      </c>
      <c r="AR1704" s="7" t="s">
        <v>741</v>
      </c>
      <c r="AS1704" s="7"/>
      <c r="AT1704" s="7"/>
      <c r="AU1704" s="7"/>
      <c r="AV1704" s="7"/>
      <c r="AW1704" s="7" t="s">
        <v>744</v>
      </c>
      <c r="AX1704" s="7" t="s">
        <v>11204</v>
      </c>
      <c r="AY1704" s="7"/>
      <c r="AZ1704" s="7"/>
      <c r="BA1704" s="7"/>
      <c r="BB1704" s="7"/>
      <c r="BC1704" s="7"/>
      <c r="BD1704" s="7" t="s">
        <v>747</v>
      </c>
      <c r="BE1704" s="7" t="s">
        <v>127</v>
      </c>
      <c r="BF1704" s="8"/>
      <c r="BG1704" s="8"/>
      <c r="BH1704" s="8"/>
      <c r="BI1704" s="8"/>
      <c r="BJ1704" s="8"/>
      <c r="BK1704" s="8"/>
      <c r="BL1704" s="8"/>
      <c r="BM1704" s="8"/>
      <c r="BN1704" s="8"/>
      <c r="BO1704" s="8"/>
      <c r="BP1704" s="8"/>
      <c r="BQ1704" s="8"/>
      <c r="BR1704" s="8"/>
      <c r="BS1704" s="8"/>
    </row>
    <row r="1705" customFormat="false" ht="15" hidden="false" customHeight="false" outlineLevel="0" collapsed="false">
      <c r="A1705" s="7" t="s">
        <v>11205</v>
      </c>
      <c r="B1705" s="7" t="s">
        <v>11206</v>
      </c>
      <c r="C1705" s="7" t="s">
        <v>11207</v>
      </c>
      <c r="D1705" s="7" t="s">
        <v>746</v>
      </c>
      <c r="E1705" s="7" t="s">
        <v>741</v>
      </c>
      <c r="F1705" s="7" t="s">
        <v>741</v>
      </c>
      <c r="G1705" s="7"/>
      <c r="H1705" s="7"/>
      <c r="I1705" s="7" t="s">
        <v>158</v>
      </c>
      <c r="J1705" s="7" t="s">
        <v>104</v>
      </c>
      <c r="K1705" s="7" t="s">
        <v>105</v>
      </c>
      <c r="L1705" s="7" t="s">
        <v>106</v>
      </c>
      <c r="M1705" s="7"/>
      <c r="N1705" s="7" t="s">
        <v>11208</v>
      </c>
      <c r="O1705" s="7" t="s">
        <v>11208</v>
      </c>
      <c r="P1705" s="7" t="s">
        <v>135</v>
      </c>
      <c r="Q1705" s="7"/>
      <c r="R1705" s="7" t="s">
        <v>109</v>
      </c>
      <c r="S1705" s="7" t="s">
        <v>110</v>
      </c>
      <c r="T1705" s="7" t="n">
        <v>0.447</v>
      </c>
      <c r="U1705" s="7" t="n">
        <v>1</v>
      </c>
      <c r="V1705" s="7" t="s">
        <v>90</v>
      </c>
      <c r="W1705" s="7"/>
      <c r="X1705" s="7" t="s">
        <v>11200</v>
      </c>
      <c r="Y1705" s="7" t="s">
        <v>11208</v>
      </c>
      <c r="Z1705" s="7"/>
      <c r="AA1705" s="7"/>
      <c r="AB1705" s="7"/>
      <c r="AC1705" s="7" t="n">
        <v>5</v>
      </c>
      <c r="AD1705" s="7" t="s">
        <v>743</v>
      </c>
      <c r="AE1705" s="7" t="s">
        <v>744</v>
      </c>
      <c r="AF1705" s="7" t="s">
        <v>11207</v>
      </c>
      <c r="AG1705" s="7" t="s">
        <v>744</v>
      </c>
      <c r="AH1705" s="7" t="s">
        <v>11200</v>
      </c>
      <c r="AI1705" s="7"/>
      <c r="AJ1705" s="7"/>
      <c r="AK1705" s="7"/>
      <c r="AL1705" s="7"/>
      <c r="AM1705" s="7"/>
      <c r="AN1705" s="7"/>
      <c r="AO1705" s="7" t="s">
        <v>744</v>
      </c>
      <c r="AP1705" s="7" t="s">
        <v>746</v>
      </c>
      <c r="AQ1705" s="7" t="s">
        <v>744</v>
      </c>
      <c r="AR1705" s="7" t="s">
        <v>741</v>
      </c>
      <c r="AS1705" s="7"/>
      <c r="AT1705" s="7"/>
      <c r="AU1705" s="7"/>
      <c r="AV1705" s="7"/>
      <c r="AW1705" s="7" t="s">
        <v>744</v>
      </c>
      <c r="AX1705" s="7" t="s">
        <v>11208</v>
      </c>
      <c r="AY1705" s="7"/>
      <c r="AZ1705" s="7"/>
      <c r="BA1705" s="7"/>
      <c r="BB1705" s="7"/>
      <c r="BC1705" s="7"/>
      <c r="BD1705" s="7" t="s">
        <v>747</v>
      </c>
      <c r="BE1705" s="7" t="s">
        <v>127</v>
      </c>
      <c r="BF1705" s="8"/>
      <c r="BG1705" s="8"/>
      <c r="BH1705" s="8"/>
      <c r="BI1705" s="8"/>
      <c r="BJ1705" s="8"/>
      <c r="BK1705" s="8"/>
      <c r="BL1705" s="8"/>
      <c r="BM1705" s="8"/>
      <c r="BN1705" s="8"/>
      <c r="BO1705" s="8"/>
      <c r="BP1705" s="8"/>
      <c r="BQ1705" s="8"/>
      <c r="BR1705" s="8"/>
      <c r="BS1705" s="8"/>
    </row>
    <row r="1706" customFormat="false" ht="15" hidden="false" customHeight="false" outlineLevel="0" collapsed="false">
      <c r="A1706" s="7" t="s">
        <v>11209</v>
      </c>
      <c r="B1706" s="7" t="s">
        <v>11210</v>
      </c>
      <c r="C1706" s="7" t="s">
        <v>11211</v>
      </c>
      <c r="D1706" s="7" t="s">
        <v>11212</v>
      </c>
      <c r="E1706" s="7"/>
      <c r="F1706" s="7" t="s">
        <v>101</v>
      </c>
      <c r="G1706" s="7"/>
      <c r="H1706" s="7"/>
      <c r="I1706" s="7" t="s">
        <v>132</v>
      </c>
      <c r="J1706" s="7" t="s">
        <v>104</v>
      </c>
      <c r="K1706" s="7" t="s">
        <v>105</v>
      </c>
      <c r="L1706" s="7" t="s">
        <v>106</v>
      </c>
      <c r="M1706" s="7"/>
      <c r="N1706" s="7" t="s">
        <v>11213</v>
      </c>
      <c r="O1706" s="7"/>
      <c r="P1706" s="7" t="s">
        <v>135</v>
      </c>
      <c r="Q1706" s="7"/>
      <c r="R1706" s="7" t="s">
        <v>135</v>
      </c>
      <c r="S1706" s="7" t="s">
        <v>136</v>
      </c>
      <c r="T1706" s="7" t="n">
        <v>0.322</v>
      </c>
      <c r="U1706" s="7" t="n">
        <v>1</v>
      </c>
      <c r="V1706" s="7" t="s">
        <v>90</v>
      </c>
      <c r="W1706" s="7"/>
      <c r="X1706" s="7" t="s">
        <v>1267</v>
      </c>
      <c r="Y1706" s="7" t="s">
        <v>11213</v>
      </c>
      <c r="Z1706" s="7"/>
      <c r="AA1706" s="7"/>
      <c r="AB1706" s="7"/>
      <c r="AC1706" s="7" t="n">
        <v>5</v>
      </c>
      <c r="AD1706" s="7" t="s">
        <v>1897</v>
      </c>
      <c r="AE1706" s="7" t="s">
        <v>744</v>
      </c>
      <c r="AF1706" s="7" t="s">
        <v>11211</v>
      </c>
      <c r="AG1706" s="7" t="s">
        <v>744</v>
      </c>
      <c r="AH1706" s="7" t="s">
        <v>1267</v>
      </c>
      <c r="AI1706" s="7"/>
      <c r="AJ1706" s="7"/>
      <c r="AK1706" s="7"/>
      <c r="AL1706" s="7"/>
      <c r="AM1706" s="7" t="s">
        <v>744</v>
      </c>
      <c r="AN1706" s="7" t="s">
        <v>11214</v>
      </c>
      <c r="AO1706" s="7" t="s">
        <v>744</v>
      </c>
      <c r="AP1706" s="7" t="s">
        <v>11212</v>
      </c>
      <c r="AQ1706" s="7"/>
      <c r="AR1706" s="7"/>
      <c r="AS1706" s="7"/>
      <c r="AT1706" s="7"/>
      <c r="AU1706" s="7"/>
      <c r="AV1706" s="7"/>
      <c r="AW1706" s="7" t="s">
        <v>744</v>
      </c>
      <c r="AX1706" s="7" t="s">
        <v>11213</v>
      </c>
      <c r="AY1706" s="7"/>
      <c r="AZ1706" s="7"/>
      <c r="BA1706" s="7"/>
      <c r="BB1706" s="7"/>
      <c r="BC1706" s="7"/>
      <c r="BD1706" s="7"/>
      <c r="BE1706" s="7" t="s">
        <v>127</v>
      </c>
      <c r="BF1706" s="8"/>
      <c r="BG1706" s="8"/>
      <c r="BH1706" s="8"/>
      <c r="BI1706" s="8"/>
      <c r="BJ1706" s="8"/>
      <c r="BK1706" s="8"/>
      <c r="BL1706" s="8"/>
      <c r="BM1706" s="8"/>
      <c r="BN1706" s="8"/>
      <c r="BO1706" s="8"/>
      <c r="BP1706" s="8"/>
      <c r="BQ1706" s="8"/>
      <c r="BR1706" s="8"/>
      <c r="BS1706" s="8"/>
    </row>
    <row r="1707" customFormat="false" ht="15" hidden="false" customHeight="false" outlineLevel="0" collapsed="false">
      <c r="A1707" s="7" t="s">
        <v>11215</v>
      </c>
      <c r="B1707" s="7" t="s">
        <v>11216</v>
      </c>
      <c r="C1707" s="7" t="s">
        <v>11217</v>
      </c>
      <c r="D1707" s="7" t="s">
        <v>11218</v>
      </c>
      <c r="E1707" s="7"/>
      <c r="F1707" s="7" t="s">
        <v>101</v>
      </c>
      <c r="G1707" s="7"/>
      <c r="H1707" s="7"/>
      <c r="I1707" s="7" t="s">
        <v>158</v>
      </c>
      <c r="J1707" s="7" t="s">
        <v>104</v>
      </c>
      <c r="K1707" s="7" t="s">
        <v>105</v>
      </c>
      <c r="L1707" s="7" t="s">
        <v>106</v>
      </c>
      <c r="M1707" s="7"/>
      <c r="N1707" s="7" t="s">
        <v>11219</v>
      </c>
      <c r="O1707" s="7"/>
      <c r="P1707" s="7" t="s">
        <v>135</v>
      </c>
      <c r="Q1707" s="7"/>
      <c r="R1707" s="7" t="s">
        <v>135</v>
      </c>
      <c r="S1707" s="7" t="s">
        <v>136</v>
      </c>
      <c r="T1707" s="7" t="n">
        <v>0.357</v>
      </c>
      <c r="U1707" s="7" t="n">
        <v>1</v>
      </c>
      <c r="V1707" s="7" t="s">
        <v>90</v>
      </c>
      <c r="W1707" s="7"/>
      <c r="X1707" s="7" t="s">
        <v>186</v>
      </c>
      <c r="Y1707" s="7" t="s">
        <v>11219</v>
      </c>
      <c r="Z1707" s="7"/>
      <c r="AA1707" s="7"/>
      <c r="AB1707" s="7"/>
      <c r="AC1707" s="7" t="n">
        <v>4</v>
      </c>
      <c r="AD1707" s="7" t="s">
        <v>7611</v>
      </c>
      <c r="AE1707" s="7" t="s">
        <v>744</v>
      </c>
      <c r="AF1707" s="7" t="s">
        <v>11217</v>
      </c>
      <c r="AG1707" s="7" t="s">
        <v>744</v>
      </c>
      <c r="AH1707" s="7" t="s">
        <v>186</v>
      </c>
      <c r="AI1707" s="7"/>
      <c r="AJ1707" s="7"/>
      <c r="AK1707" s="7"/>
      <c r="AL1707" s="7"/>
      <c r="AM1707" s="7"/>
      <c r="AN1707" s="7"/>
      <c r="AO1707" s="7" t="s">
        <v>744</v>
      </c>
      <c r="AP1707" s="7" t="s">
        <v>11218</v>
      </c>
      <c r="AQ1707" s="7"/>
      <c r="AR1707" s="7"/>
      <c r="AS1707" s="7"/>
      <c r="AT1707" s="7"/>
      <c r="AU1707" s="7"/>
      <c r="AV1707" s="7"/>
      <c r="AW1707" s="7" t="s">
        <v>744</v>
      </c>
      <c r="AX1707" s="7" t="s">
        <v>11219</v>
      </c>
      <c r="AY1707" s="7"/>
      <c r="AZ1707" s="7"/>
      <c r="BA1707" s="7"/>
      <c r="BB1707" s="7"/>
      <c r="BC1707" s="7"/>
      <c r="BD1707" s="7"/>
      <c r="BE1707" s="7" t="s">
        <v>127</v>
      </c>
      <c r="BF1707" s="8"/>
      <c r="BG1707" s="8"/>
      <c r="BH1707" s="8"/>
      <c r="BI1707" s="8"/>
      <c r="BJ1707" s="8"/>
      <c r="BK1707" s="8"/>
      <c r="BL1707" s="8"/>
      <c r="BM1707" s="8"/>
      <c r="BN1707" s="8"/>
      <c r="BO1707" s="8"/>
      <c r="BP1707" s="8"/>
      <c r="BQ1707" s="8"/>
      <c r="BR1707" s="8"/>
      <c r="BS1707" s="8"/>
    </row>
    <row r="1708" customFormat="false" ht="15" hidden="false" customHeight="false" outlineLevel="0" collapsed="false">
      <c r="A1708" s="7" t="s">
        <v>11220</v>
      </c>
      <c r="B1708" s="7" t="s">
        <v>11221</v>
      </c>
      <c r="C1708" s="7" t="s">
        <v>11222</v>
      </c>
      <c r="D1708" s="7" t="s">
        <v>746</v>
      </c>
      <c r="E1708" s="7" t="s">
        <v>741</v>
      </c>
      <c r="F1708" s="7" t="s">
        <v>741</v>
      </c>
      <c r="G1708" s="7"/>
      <c r="H1708" s="7"/>
      <c r="I1708" s="7" t="s">
        <v>158</v>
      </c>
      <c r="J1708" s="7" t="s">
        <v>104</v>
      </c>
      <c r="K1708" s="7" t="s">
        <v>105</v>
      </c>
      <c r="L1708" s="7" t="s">
        <v>353</v>
      </c>
      <c r="M1708" s="7"/>
      <c r="N1708" s="7" t="s">
        <v>11223</v>
      </c>
      <c r="O1708" s="7" t="s">
        <v>11223</v>
      </c>
      <c r="P1708" s="7" t="s">
        <v>135</v>
      </c>
      <c r="Q1708" s="7"/>
      <c r="R1708" s="7" t="s">
        <v>109</v>
      </c>
      <c r="S1708" s="7" t="s">
        <v>110</v>
      </c>
      <c r="T1708" s="7" t="n">
        <v>0.349</v>
      </c>
      <c r="U1708" s="7" t="n">
        <v>1</v>
      </c>
      <c r="V1708" s="7" t="s">
        <v>90</v>
      </c>
      <c r="W1708" s="7"/>
      <c r="X1708" s="7" t="s">
        <v>186</v>
      </c>
      <c r="Y1708" s="7" t="s">
        <v>11223</v>
      </c>
      <c r="Z1708" s="7"/>
      <c r="AA1708" s="7"/>
      <c r="AB1708" s="7"/>
      <c r="AC1708" s="7" t="n">
        <v>5</v>
      </c>
      <c r="AD1708" s="7" t="s">
        <v>743</v>
      </c>
      <c r="AE1708" s="7" t="s">
        <v>744</v>
      </c>
      <c r="AF1708" s="7" t="s">
        <v>11222</v>
      </c>
      <c r="AG1708" s="7" t="s">
        <v>744</v>
      </c>
      <c r="AH1708" s="7" t="s">
        <v>186</v>
      </c>
      <c r="AI1708" s="7"/>
      <c r="AJ1708" s="7"/>
      <c r="AK1708" s="7"/>
      <c r="AL1708" s="7"/>
      <c r="AM1708" s="7"/>
      <c r="AN1708" s="7"/>
      <c r="AO1708" s="7" t="s">
        <v>744</v>
      </c>
      <c r="AP1708" s="7" t="s">
        <v>746</v>
      </c>
      <c r="AQ1708" s="7" t="s">
        <v>744</v>
      </c>
      <c r="AR1708" s="7" t="s">
        <v>741</v>
      </c>
      <c r="AS1708" s="7"/>
      <c r="AT1708" s="7"/>
      <c r="AU1708" s="7"/>
      <c r="AV1708" s="7"/>
      <c r="AW1708" s="7" t="s">
        <v>744</v>
      </c>
      <c r="AX1708" s="7" t="s">
        <v>11223</v>
      </c>
      <c r="AY1708" s="7"/>
      <c r="AZ1708" s="7"/>
      <c r="BA1708" s="7"/>
      <c r="BB1708" s="7"/>
      <c r="BC1708" s="7"/>
      <c r="BD1708" s="7" t="s">
        <v>747</v>
      </c>
      <c r="BE1708" s="7" t="s">
        <v>127</v>
      </c>
      <c r="BF1708" s="8"/>
      <c r="BG1708" s="8"/>
      <c r="BH1708" s="8"/>
      <c r="BI1708" s="8"/>
      <c r="BJ1708" s="8"/>
      <c r="BK1708" s="8"/>
      <c r="BL1708" s="8"/>
      <c r="BM1708" s="8"/>
      <c r="BN1708" s="8"/>
      <c r="BO1708" s="8"/>
      <c r="BP1708" s="8"/>
      <c r="BQ1708" s="8"/>
      <c r="BR1708" s="8"/>
      <c r="BS1708" s="8"/>
    </row>
    <row r="1709" customFormat="false" ht="15" hidden="false" customHeight="false" outlineLevel="0" collapsed="false">
      <c r="A1709" s="7" t="s">
        <v>11224</v>
      </c>
      <c r="B1709" s="7" t="s">
        <v>11225</v>
      </c>
      <c r="C1709" s="7" t="s">
        <v>11226</v>
      </c>
      <c r="D1709" s="7" t="s">
        <v>11227</v>
      </c>
      <c r="E1709" s="7" t="s">
        <v>3046</v>
      </c>
      <c r="F1709" s="7" t="s">
        <v>3046</v>
      </c>
      <c r="G1709" s="7"/>
      <c r="H1709" s="7"/>
      <c r="I1709" s="7" t="s">
        <v>132</v>
      </c>
      <c r="J1709" s="7" t="s">
        <v>104</v>
      </c>
      <c r="K1709" s="7" t="s">
        <v>105</v>
      </c>
      <c r="L1709" s="7" t="s">
        <v>106</v>
      </c>
      <c r="M1709" s="7"/>
      <c r="N1709" s="7" t="s">
        <v>11228</v>
      </c>
      <c r="O1709" s="7" t="s">
        <v>11228</v>
      </c>
      <c r="P1709" s="7" t="s">
        <v>109</v>
      </c>
      <c r="Q1709" s="7"/>
      <c r="R1709" s="7" t="s">
        <v>109</v>
      </c>
      <c r="S1709" s="7" t="s">
        <v>110</v>
      </c>
      <c r="T1709" s="7" t="n">
        <v>0.354</v>
      </c>
      <c r="U1709" s="7" t="n">
        <v>1</v>
      </c>
      <c r="V1709" s="7" t="s">
        <v>90</v>
      </c>
      <c r="W1709" s="7"/>
      <c r="X1709" s="7" t="s">
        <v>3262</v>
      </c>
      <c r="Y1709" s="7" t="s">
        <v>11228</v>
      </c>
      <c r="Z1709" s="7"/>
      <c r="AA1709" s="7"/>
      <c r="AB1709" s="7"/>
      <c r="AC1709" s="7" t="n">
        <v>5</v>
      </c>
      <c r="AD1709" s="7" t="s">
        <v>743</v>
      </c>
      <c r="AE1709" s="7" t="s">
        <v>744</v>
      </c>
      <c r="AF1709" s="7" t="s">
        <v>11226</v>
      </c>
      <c r="AG1709" s="7" t="s">
        <v>744</v>
      </c>
      <c r="AH1709" s="7" t="s">
        <v>3262</v>
      </c>
      <c r="AI1709" s="7"/>
      <c r="AJ1709" s="7"/>
      <c r="AK1709" s="7"/>
      <c r="AL1709" s="7"/>
      <c r="AM1709" s="7"/>
      <c r="AN1709" s="7"/>
      <c r="AO1709" s="7" t="s">
        <v>744</v>
      </c>
      <c r="AP1709" s="7" t="s">
        <v>11227</v>
      </c>
      <c r="AQ1709" s="7" t="s">
        <v>744</v>
      </c>
      <c r="AR1709" s="7" t="s">
        <v>3046</v>
      </c>
      <c r="AS1709" s="7"/>
      <c r="AT1709" s="7"/>
      <c r="AU1709" s="7"/>
      <c r="AV1709" s="7"/>
      <c r="AW1709" s="7" t="s">
        <v>744</v>
      </c>
      <c r="AX1709" s="7" t="s">
        <v>11228</v>
      </c>
      <c r="AY1709" s="7"/>
      <c r="AZ1709" s="7"/>
      <c r="BA1709" s="7"/>
      <c r="BB1709" s="7"/>
      <c r="BC1709" s="7"/>
      <c r="BD1709" s="7"/>
      <c r="BE1709" s="7" t="s">
        <v>127</v>
      </c>
      <c r="BF1709" s="8"/>
      <c r="BG1709" s="8"/>
      <c r="BH1709" s="8"/>
      <c r="BI1709" s="8"/>
      <c r="BJ1709" s="8"/>
      <c r="BK1709" s="8"/>
      <c r="BL1709" s="8"/>
      <c r="BM1709" s="8"/>
      <c r="BN1709" s="8"/>
      <c r="BO1709" s="8"/>
      <c r="BP1709" s="8"/>
      <c r="BQ1709" s="8"/>
      <c r="BR1709" s="8"/>
      <c r="BS1709" s="8"/>
    </row>
    <row r="1710" customFormat="false" ht="15" hidden="false" customHeight="false" outlineLevel="0" collapsed="false">
      <c r="A1710" s="7" t="s">
        <v>11229</v>
      </c>
      <c r="B1710" s="7" t="s">
        <v>11230</v>
      </c>
      <c r="C1710" s="7" t="s">
        <v>11231</v>
      </c>
      <c r="D1710" s="7" t="s">
        <v>11232</v>
      </c>
      <c r="E1710" s="7"/>
      <c r="F1710" s="7" t="s">
        <v>101</v>
      </c>
      <c r="G1710" s="7"/>
      <c r="H1710" s="7"/>
      <c r="I1710" s="7" t="s">
        <v>132</v>
      </c>
      <c r="J1710" s="7" t="s">
        <v>104</v>
      </c>
      <c r="K1710" s="7" t="s">
        <v>105</v>
      </c>
      <c r="L1710" s="7" t="s">
        <v>106</v>
      </c>
      <c r="M1710" s="7"/>
      <c r="N1710" s="7" t="s">
        <v>11233</v>
      </c>
      <c r="O1710" s="7"/>
      <c r="P1710" s="7" t="s">
        <v>135</v>
      </c>
      <c r="Q1710" s="7"/>
      <c r="R1710" s="7" t="s">
        <v>135</v>
      </c>
      <c r="S1710" s="7" t="s">
        <v>136</v>
      </c>
      <c r="T1710" s="7" t="n">
        <v>0.558</v>
      </c>
      <c r="U1710" s="7" t="n">
        <v>1</v>
      </c>
      <c r="V1710" s="7" t="s">
        <v>90</v>
      </c>
      <c r="W1710" s="7"/>
      <c r="X1710" s="7" t="s">
        <v>3262</v>
      </c>
      <c r="Y1710" s="7" t="s">
        <v>11233</v>
      </c>
      <c r="Z1710" s="7"/>
      <c r="AA1710" s="7"/>
      <c r="AB1710" s="7"/>
      <c r="AC1710" s="7" t="n">
        <v>4</v>
      </c>
      <c r="AD1710" s="7" t="s">
        <v>7611</v>
      </c>
      <c r="AE1710" s="7" t="s">
        <v>744</v>
      </c>
      <c r="AF1710" s="7" t="s">
        <v>11231</v>
      </c>
      <c r="AG1710" s="7" t="s">
        <v>744</v>
      </c>
      <c r="AH1710" s="7" t="s">
        <v>3262</v>
      </c>
      <c r="AI1710" s="7"/>
      <c r="AJ1710" s="7"/>
      <c r="AK1710" s="7"/>
      <c r="AL1710" s="7"/>
      <c r="AM1710" s="7"/>
      <c r="AN1710" s="7"/>
      <c r="AO1710" s="7" t="s">
        <v>744</v>
      </c>
      <c r="AP1710" s="7" t="s">
        <v>11232</v>
      </c>
      <c r="AQ1710" s="7"/>
      <c r="AR1710" s="7"/>
      <c r="AS1710" s="7"/>
      <c r="AT1710" s="7"/>
      <c r="AU1710" s="7"/>
      <c r="AV1710" s="7"/>
      <c r="AW1710" s="7" t="s">
        <v>744</v>
      </c>
      <c r="AX1710" s="7" t="s">
        <v>11233</v>
      </c>
      <c r="AY1710" s="7"/>
      <c r="AZ1710" s="7"/>
      <c r="BA1710" s="7"/>
      <c r="BB1710" s="7"/>
      <c r="BC1710" s="7"/>
      <c r="BD1710" s="7"/>
      <c r="BE1710" s="7" t="s">
        <v>127</v>
      </c>
      <c r="BF1710" s="8"/>
      <c r="BG1710" s="8"/>
      <c r="BH1710" s="8"/>
      <c r="BI1710" s="8"/>
      <c r="BJ1710" s="8"/>
      <c r="BK1710" s="8"/>
      <c r="BL1710" s="8"/>
      <c r="BM1710" s="8"/>
      <c r="BN1710" s="8"/>
      <c r="BO1710" s="8"/>
      <c r="BP1710" s="8"/>
      <c r="BQ1710" s="8"/>
      <c r="BR1710" s="8"/>
      <c r="BS1710" s="8"/>
    </row>
    <row r="1711" customFormat="false" ht="15" hidden="false" customHeight="false" outlineLevel="0" collapsed="false">
      <c r="A1711" s="7" t="s">
        <v>11234</v>
      </c>
      <c r="B1711" s="7" t="s">
        <v>11235</v>
      </c>
      <c r="C1711" s="7" t="s">
        <v>11236</v>
      </c>
      <c r="D1711" s="7" t="s">
        <v>11237</v>
      </c>
      <c r="E1711" s="7"/>
      <c r="F1711" s="7" t="s">
        <v>101</v>
      </c>
      <c r="G1711" s="7"/>
      <c r="H1711" s="7"/>
      <c r="I1711" s="7" t="s">
        <v>132</v>
      </c>
      <c r="J1711" s="7" t="s">
        <v>104</v>
      </c>
      <c r="K1711" s="7" t="s">
        <v>105</v>
      </c>
      <c r="L1711" s="7" t="s">
        <v>106</v>
      </c>
      <c r="M1711" s="7"/>
      <c r="N1711" s="7" t="s">
        <v>11238</v>
      </c>
      <c r="O1711" s="7"/>
      <c r="P1711" s="7" t="s">
        <v>135</v>
      </c>
      <c r="Q1711" s="7"/>
      <c r="R1711" s="7" t="s">
        <v>135</v>
      </c>
      <c r="S1711" s="7" t="s">
        <v>136</v>
      </c>
      <c r="T1711" s="7" t="n">
        <v>0.276</v>
      </c>
      <c r="U1711" s="7" t="n">
        <v>1</v>
      </c>
      <c r="V1711" s="7" t="s">
        <v>90</v>
      </c>
      <c r="W1711" s="7"/>
      <c r="X1711" s="7" t="s">
        <v>3262</v>
      </c>
      <c r="Y1711" s="7" t="s">
        <v>11238</v>
      </c>
      <c r="Z1711" s="7"/>
      <c r="AA1711" s="7"/>
      <c r="AB1711" s="7"/>
      <c r="AC1711" s="7" t="n">
        <v>4</v>
      </c>
      <c r="AD1711" s="7" t="s">
        <v>7611</v>
      </c>
      <c r="AE1711" s="7" t="s">
        <v>744</v>
      </c>
      <c r="AF1711" s="7" t="s">
        <v>11236</v>
      </c>
      <c r="AG1711" s="7" t="s">
        <v>744</v>
      </c>
      <c r="AH1711" s="7" t="s">
        <v>3262</v>
      </c>
      <c r="AI1711" s="7"/>
      <c r="AJ1711" s="7"/>
      <c r="AK1711" s="7"/>
      <c r="AL1711" s="7"/>
      <c r="AM1711" s="7"/>
      <c r="AN1711" s="7"/>
      <c r="AO1711" s="7" t="s">
        <v>744</v>
      </c>
      <c r="AP1711" s="7" t="s">
        <v>11237</v>
      </c>
      <c r="AQ1711" s="7"/>
      <c r="AR1711" s="7"/>
      <c r="AS1711" s="7"/>
      <c r="AT1711" s="7"/>
      <c r="AU1711" s="7"/>
      <c r="AV1711" s="7"/>
      <c r="AW1711" s="7" t="s">
        <v>744</v>
      </c>
      <c r="AX1711" s="7" t="s">
        <v>11238</v>
      </c>
      <c r="AY1711" s="7"/>
      <c r="AZ1711" s="7"/>
      <c r="BA1711" s="7"/>
      <c r="BB1711" s="7"/>
      <c r="BC1711" s="7"/>
      <c r="BD1711" s="7"/>
      <c r="BE1711" s="7" t="s">
        <v>127</v>
      </c>
      <c r="BF1711" s="8"/>
      <c r="BG1711" s="8"/>
      <c r="BH1711" s="8"/>
      <c r="BI1711" s="8"/>
      <c r="BJ1711" s="8"/>
      <c r="BK1711" s="8"/>
      <c r="BL1711" s="8"/>
      <c r="BM1711" s="8"/>
      <c r="BN1711" s="8"/>
      <c r="BO1711" s="8"/>
      <c r="BP1711" s="8"/>
      <c r="BQ1711" s="8"/>
      <c r="BR1711" s="8"/>
      <c r="BS1711" s="8"/>
    </row>
    <row r="1712" customFormat="false" ht="15" hidden="false" customHeight="false" outlineLevel="0" collapsed="false">
      <c r="A1712" s="7" t="s">
        <v>11239</v>
      </c>
      <c r="B1712" s="7" t="s">
        <v>11240</v>
      </c>
      <c r="C1712" s="7" t="s">
        <v>11241</v>
      </c>
      <c r="D1712" s="7" t="s">
        <v>11242</v>
      </c>
      <c r="E1712" s="7"/>
      <c r="F1712" s="7" t="s">
        <v>101</v>
      </c>
      <c r="G1712" s="7"/>
      <c r="H1712" s="7"/>
      <c r="I1712" s="7" t="s">
        <v>158</v>
      </c>
      <c r="J1712" s="7" t="s">
        <v>104</v>
      </c>
      <c r="K1712" s="7" t="s">
        <v>105</v>
      </c>
      <c r="L1712" s="7" t="s">
        <v>353</v>
      </c>
      <c r="M1712" s="7"/>
      <c r="N1712" s="7" t="s">
        <v>11243</v>
      </c>
      <c r="O1712" s="7"/>
      <c r="P1712" s="7" t="s">
        <v>135</v>
      </c>
      <c r="Q1712" s="7"/>
      <c r="R1712" s="7" t="s">
        <v>135</v>
      </c>
      <c r="S1712" s="7" t="s">
        <v>136</v>
      </c>
      <c r="T1712" s="7" t="n">
        <v>0.33</v>
      </c>
      <c r="U1712" s="7" t="n">
        <v>1</v>
      </c>
      <c r="V1712" s="7" t="s">
        <v>90</v>
      </c>
      <c r="W1712" s="7"/>
      <c r="X1712" s="7" t="s">
        <v>3262</v>
      </c>
      <c r="Y1712" s="7" t="s">
        <v>11243</v>
      </c>
      <c r="Z1712" s="7"/>
      <c r="AA1712" s="7"/>
      <c r="AB1712" s="7"/>
      <c r="AC1712" s="7" t="n">
        <v>5</v>
      </c>
      <c r="AD1712" s="7" t="s">
        <v>1897</v>
      </c>
      <c r="AE1712" s="7" t="s">
        <v>744</v>
      </c>
      <c r="AF1712" s="7" t="s">
        <v>11241</v>
      </c>
      <c r="AG1712" s="7" t="s">
        <v>744</v>
      </c>
      <c r="AH1712" s="7" t="s">
        <v>3262</v>
      </c>
      <c r="AI1712" s="7"/>
      <c r="AJ1712" s="7"/>
      <c r="AK1712" s="7"/>
      <c r="AL1712" s="7"/>
      <c r="AM1712" s="7" t="s">
        <v>744</v>
      </c>
      <c r="AN1712" s="7" t="s">
        <v>11244</v>
      </c>
      <c r="AO1712" s="7" t="s">
        <v>744</v>
      </c>
      <c r="AP1712" s="7" t="s">
        <v>11242</v>
      </c>
      <c r="AQ1712" s="7"/>
      <c r="AR1712" s="7"/>
      <c r="AS1712" s="7"/>
      <c r="AT1712" s="7"/>
      <c r="AU1712" s="7"/>
      <c r="AV1712" s="7"/>
      <c r="AW1712" s="7" t="s">
        <v>744</v>
      </c>
      <c r="AX1712" s="7" t="s">
        <v>11243</v>
      </c>
      <c r="AY1712" s="7"/>
      <c r="AZ1712" s="7"/>
      <c r="BA1712" s="7"/>
      <c r="BB1712" s="7"/>
      <c r="BC1712" s="7"/>
      <c r="BD1712" s="7"/>
      <c r="BE1712" s="7" t="s">
        <v>127</v>
      </c>
      <c r="BF1712" s="8"/>
      <c r="BG1712" s="8"/>
      <c r="BH1712" s="8"/>
      <c r="BI1712" s="8"/>
      <c r="BJ1712" s="8"/>
      <c r="BK1712" s="8"/>
      <c r="BL1712" s="8"/>
      <c r="BM1712" s="8"/>
      <c r="BN1712" s="8"/>
      <c r="BO1712" s="8"/>
      <c r="BP1712" s="8"/>
      <c r="BQ1712" s="8"/>
      <c r="BR1712" s="8"/>
      <c r="BS1712" s="8"/>
    </row>
    <row r="1713" customFormat="false" ht="15" hidden="false" customHeight="false" outlineLevel="0" collapsed="false">
      <c r="A1713" s="7" t="s">
        <v>11245</v>
      </c>
      <c r="B1713" s="7" t="s">
        <v>11246</v>
      </c>
      <c r="C1713" s="7" t="s">
        <v>11247</v>
      </c>
      <c r="D1713" s="7" t="s">
        <v>9667</v>
      </c>
      <c r="E1713" s="7" t="s">
        <v>410</v>
      </c>
      <c r="F1713" s="7" t="s">
        <v>410</v>
      </c>
      <c r="G1713" s="7"/>
      <c r="H1713" s="7"/>
      <c r="I1713" s="7" t="s">
        <v>158</v>
      </c>
      <c r="J1713" s="7" t="s">
        <v>104</v>
      </c>
      <c r="K1713" s="7" t="s">
        <v>105</v>
      </c>
      <c r="L1713" s="7" t="s">
        <v>106</v>
      </c>
      <c r="M1713" s="7"/>
      <c r="N1713" s="7" t="s">
        <v>11248</v>
      </c>
      <c r="O1713" s="7" t="s">
        <v>11248</v>
      </c>
      <c r="P1713" s="7" t="s">
        <v>135</v>
      </c>
      <c r="Q1713" s="7"/>
      <c r="R1713" s="7" t="s">
        <v>109</v>
      </c>
      <c r="S1713" s="7" t="s">
        <v>110</v>
      </c>
      <c r="T1713" s="7" t="n">
        <v>0.568</v>
      </c>
      <c r="U1713" s="7" t="n">
        <v>1</v>
      </c>
      <c r="V1713" s="7" t="s">
        <v>90</v>
      </c>
      <c r="W1713" s="7"/>
      <c r="X1713" s="7" t="s">
        <v>3262</v>
      </c>
      <c r="Y1713" s="7" t="s">
        <v>11248</v>
      </c>
      <c r="Z1713" s="7"/>
      <c r="AA1713" s="7"/>
      <c r="AB1713" s="7"/>
      <c r="AC1713" s="7" t="n">
        <v>5</v>
      </c>
      <c r="AD1713" s="7" t="s">
        <v>743</v>
      </c>
      <c r="AE1713" s="7" t="s">
        <v>744</v>
      </c>
      <c r="AF1713" s="7" t="s">
        <v>11247</v>
      </c>
      <c r="AG1713" s="7" t="s">
        <v>744</v>
      </c>
      <c r="AH1713" s="7" t="s">
        <v>3262</v>
      </c>
      <c r="AI1713" s="7"/>
      <c r="AJ1713" s="7"/>
      <c r="AK1713" s="7"/>
      <c r="AL1713" s="7"/>
      <c r="AM1713" s="7"/>
      <c r="AN1713" s="7"/>
      <c r="AO1713" s="7" t="s">
        <v>744</v>
      </c>
      <c r="AP1713" s="7" t="s">
        <v>9667</v>
      </c>
      <c r="AQ1713" s="7" t="s">
        <v>744</v>
      </c>
      <c r="AR1713" s="7" t="s">
        <v>410</v>
      </c>
      <c r="AS1713" s="7"/>
      <c r="AT1713" s="7"/>
      <c r="AU1713" s="7"/>
      <c r="AV1713" s="7"/>
      <c r="AW1713" s="7" t="s">
        <v>744</v>
      </c>
      <c r="AX1713" s="7" t="s">
        <v>11248</v>
      </c>
      <c r="AY1713" s="7"/>
      <c r="AZ1713" s="7"/>
      <c r="BA1713" s="7"/>
      <c r="BB1713" s="7"/>
      <c r="BC1713" s="7"/>
      <c r="BD1713" s="7" t="s">
        <v>440</v>
      </c>
      <c r="BE1713" s="7" t="s">
        <v>127</v>
      </c>
      <c r="BF1713" s="8"/>
      <c r="BG1713" s="8"/>
      <c r="BH1713" s="8"/>
      <c r="BI1713" s="8"/>
      <c r="BJ1713" s="8"/>
      <c r="BK1713" s="8"/>
      <c r="BL1713" s="8"/>
      <c r="BM1713" s="8"/>
      <c r="BN1713" s="8"/>
      <c r="BO1713" s="8"/>
      <c r="BP1713" s="8"/>
      <c r="BQ1713" s="8"/>
      <c r="BR1713" s="8"/>
      <c r="BS1713" s="8"/>
    </row>
    <row r="1714" customFormat="false" ht="15" hidden="false" customHeight="false" outlineLevel="0" collapsed="false">
      <c r="A1714" s="7" t="s">
        <v>11249</v>
      </c>
      <c r="B1714" s="7" t="s">
        <v>11250</v>
      </c>
      <c r="C1714" s="7" t="s">
        <v>11251</v>
      </c>
      <c r="D1714" s="7" t="s">
        <v>746</v>
      </c>
      <c r="E1714" s="7" t="s">
        <v>741</v>
      </c>
      <c r="F1714" s="7" t="s">
        <v>741</v>
      </c>
      <c r="G1714" s="7"/>
      <c r="H1714" s="7"/>
      <c r="I1714" s="7" t="s">
        <v>158</v>
      </c>
      <c r="J1714" s="7" t="s">
        <v>104</v>
      </c>
      <c r="K1714" s="7" t="s">
        <v>105</v>
      </c>
      <c r="L1714" s="7" t="s">
        <v>106</v>
      </c>
      <c r="M1714" s="7"/>
      <c r="N1714" s="7" t="s">
        <v>11252</v>
      </c>
      <c r="O1714" s="7" t="s">
        <v>11252</v>
      </c>
      <c r="P1714" s="7" t="s">
        <v>135</v>
      </c>
      <c r="Q1714" s="7"/>
      <c r="R1714" s="7" t="s">
        <v>109</v>
      </c>
      <c r="S1714" s="7" t="s">
        <v>110</v>
      </c>
      <c r="T1714" s="7" t="n">
        <v>0.403</v>
      </c>
      <c r="U1714" s="7" t="n">
        <v>1</v>
      </c>
      <c r="V1714" s="7" t="s">
        <v>90</v>
      </c>
      <c r="W1714" s="7"/>
      <c r="X1714" s="7" t="s">
        <v>519</v>
      </c>
      <c r="Y1714" s="7" t="s">
        <v>11252</v>
      </c>
      <c r="Z1714" s="7"/>
      <c r="AA1714" s="7"/>
      <c r="AB1714" s="7"/>
      <c r="AC1714" s="7" t="n">
        <v>5</v>
      </c>
      <c r="AD1714" s="7" t="s">
        <v>743</v>
      </c>
      <c r="AE1714" s="7" t="s">
        <v>744</v>
      </c>
      <c r="AF1714" s="7" t="s">
        <v>11251</v>
      </c>
      <c r="AG1714" s="7" t="s">
        <v>744</v>
      </c>
      <c r="AH1714" s="7" t="s">
        <v>519</v>
      </c>
      <c r="AI1714" s="7"/>
      <c r="AJ1714" s="7"/>
      <c r="AK1714" s="7"/>
      <c r="AL1714" s="7"/>
      <c r="AM1714" s="7"/>
      <c r="AN1714" s="7"/>
      <c r="AO1714" s="7" t="s">
        <v>744</v>
      </c>
      <c r="AP1714" s="7" t="s">
        <v>746</v>
      </c>
      <c r="AQ1714" s="7" t="s">
        <v>744</v>
      </c>
      <c r="AR1714" s="7" t="s">
        <v>741</v>
      </c>
      <c r="AS1714" s="7"/>
      <c r="AT1714" s="7"/>
      <c r="AU1714" s="7"/>
      <c r="AV1714" s="7"/>
      <c r="AW1714" s="7" t="s">
        <v>744</v>
      </c>
      <c r="AX1714" s="7" t="s">
        <v>11252</v>
      </c>
      <c r="AY1714" s="7"/>
      <c r="AZ1714" s="7"/>
      <c r="BA1714" s="7"/>
      <c r="BB1714" s="7"/>
      <c r="BC1714" s="7"/>
      <c r="BD1714" s="7" t="s">
        <v>747</v>
      </c>
      <c r="BE1714" s="7" t="s">
        <v>127</v>
      </c>
      <c r="BF1714" s="8"/>
      <c r="BG1714" s="8"/>
      <c r="BH1714" s="8"/>
      <c r="BI1714" s="8"/>
      <c r="BJ1714" s="8"/>
      <c r="BK1714" s="8"/>
      <c r="BL1714" s="8"/>
      <c r="BM1714" s="8"/>
      <c r="BN1714" s="8"/>
      <c r="BO1714" s="8"/>
      <c r="BP1714" s="8"/>
      <c r="BQ1714" s="8"/>
      <c r="BR1714" s="8"/>
      <c r="BS1714" s="8"/>
    </row>
    <row r="1715" customFormat="false" ht="15" hidden="false" customHeight="false" outlineLevel="0" collapsed="false">
      <c r="A1715" s="7" t="s">
        <v>11253</v>
      </c>
      <c r="B1715" s="7" t="s">
        <v>11254</v>
      </c>
      <c r="C1715" s="7" t="s">
        <v>11255</v>
      </c>
      <c r="D1715" s="7" t="s">
        <v>11256</v>
      </c>
      <c r="E1715" s="7" t="s">
        <v>737</v>
      </c>
      <c r="F1715" s="7" t="s">
        <v>737</v>
      </c>
      <c r="G1715" s="7"/>
      <c r="H1715" s="7"/>
      <c r="I1715" s="7" t="s">
        <v>132</v>
      </c>
      <c r="J1715" s="7" t="s">
        <v>104</v>
      </c>
      <c r="K1715" s="7" t="s">
        <v>105</v>
      </c>
      <c r="L1715" s="7" t="s">
        <v>106</v>
      </c>
      <c r="M1715" s="7"/>
      <c r="N1715" s="7" t="s">
        <v>11257</v>
      </c>
      <c r="O1715" s="7" t="s">
        <v>11257</v>
      </c>
      <c r="P1715" s="7" t="s">
        <v>135</v>
      </c>
      <c r="Q1715" s="7"/>
      <c r="R1715" s="7" t="s">
        <v>109</v>
      </c>
      <c r="S1715" s="7" t="s">
        <v>110</v>
      </c>
      <c r="T1715" s="7" t="n">
        <v>0.367</v>
      </c>
      <c r="U1715" s="7" t="n">
        <v>1</v>
      </c>
      <c r="V1715" s="7" t="s">
        <v>90</v>
      </c>
      <c r="W1715" s="7"/>
      <c r="X1715" s="7" t="s">
        <v>519</v>
      </c>
      <c r="Y1715" s="7" t="s">
        <v>11257</v>
      </c>
      <c r="Z1715" s="7"/>
      <c r="AA1715" s="7"/>
      <c r="AB1715" s="7"/>
      <c r="AC1715" s="7" t="n">
        <v>5</v>
      </c>
      <c r="AD1715" s="7" t="s">
        <v>743</v>
      </c>
      <c r="AE1715" s="7" t="s">
        <v>744</v>
      </c>
      <c r="AF1715" s="7" t="s">
        <v>11255</v>
      </c>
      <c r="AG1715" s="7" t="s">
        <v>744</v>
      </c>
      <c r="AH1715" s="7" t="s">
        <v>519</v>
      </c>
      <c r="AI1715" s="7"/>
      <c r="AJ1715" s="7"/>
      <c r="AK1715" s="7"/>
      <c r="AL1715" s="7"/>
      <c r="AM1715" s="7"/>
      <c r="AN1715" s="7"/>
      <c r="AO1715" s="7" t="s">
        <v>744</v>
      </c>
      <c r="AP1715" s="7" t="s">
        <v>11256</v>
      </c>
      <c r="AQ1715" s="7" t="s">
        <v>744</v>
      </c>
      <c r="AR1715" s="7" t="s">
        <v>737</v>
      </c>
      <c r="AS1715" s="7"/>
      <c r="AT1715" s="7"/>
      <c r="AU1715" s="7"/>
      <c r="AV1715" s="7"/>
      <c r="AW1715" s="7" t="s">
        <v>744</v>
      </c>
      <c r="AX1715" s="7" t="s">
        <v>11257</v>
      </c>
      <c r="AY1715" s="7"/>
      <c r="AZ1715" s="7"/>
      <c r="BA1715" s="7"/>
      <c r="BB1715" s="7"/>
      <c r="BC1715" s="7"/>
      <c r="BD1715" s="7" t="s">
        <v>440</v>
      </c>
      <c r="BE1715" s="7" t="s">
        <v>127</v>
      </c>
      <c r="BF1715" s="8"/>
      <c r="BG1715" s="8"/>
      <c r="BH1715" s="8"/>
      <c r="BI1715" s="8"/>
      <c r="BJ1715" s="8"/>
      <c r="BK1715" s="8"/>
      <c r="BL1715" s="8"/>
      <c r="BM1715" s="8"/>
      <c r="BN1715" s="8"/>
      <c r="BO1715" s="8"/>
      <c r="BP1715" s="8"/>
      <c r="BQ1715" s="8"/>
      <c r="BR1715" s="8"/>
      <c r="BS1715" s="8"/>
    </row>
    <row r="1716" customFormat="false" ht="15" hidden="false" customHeight="false" outlineLevel="0" collapsed="false">
      <c r="A1716" s="7" t="s">
        <v>11258</v>
      </c>
      <c r="B1716" s="7" t="s">
        <v>11259</v>
      </c>
      <c r="C1716" s="7" t="s">
        <v>11260</v>
      </c>
      <c r="D1716" s="7" t="s">
        <v>11261</v>
      </c>
      <c r="E1716" s="7" t="s">
        <v>737</v>
      </c>
      <c r="F1716" s="7" t="s">
        <v>737</v>
      </c>
      <c r="G1716" s="7"/>
      <c r="H1716" s="7"/>
      <c r="I1716" s="7" t="s">
        <v>158</v>
      </c>
      <c r="J1716" s="7" t="s">
        <v>104</v>
      </c>
      <c r="K1716" s="7" t="s">
        <v>105</v>
      </c>
      <c r="L1716" s="7" t="s">
        <v>106</v>
      </c>
      <c r="M1716" s="7"/>
      <c r="N1716" s="7" t="s">
        <v>11262</v>
      </c>
      <c r="O1716" s="7"/>
      <c r="P1716" s="7" t="s">
        <v>135</v>
      </c>
      <c r="Q1716" s="7"/>
      <c r="R1716" s="7" t="s">
        <v>135</v>
      </c>
      <c r="S1716" s="7" t="s">
        <v>136</v>
      </c>
      <c r="T1716" s="7" t="n">
        <v>0.328</v>
      </c>
      <c r="U1716" s="7" t="n">
        <v>1</v>
      </c>
      <c r="V1716" s="7" t="s">
        <v>90</v>
      </c>
      <c r="W1716" s="7"/>
      <c r="X1716" s="7" t="s">
        <v>519</v>
      </c>
      <c r="Y1716" s="7" t="s">
        <v>11262</v>
      </c>
      <c r="Z1716" s="7"/>
      <c r="AA1716" s="7"/>
      <c r="AB1716" s="7"/>
      <c r="AC1716" s="7" t="n">
        <v>6</v>
      </c>
      <c r="AD1716" s="7" t="s">
        <v>1235</v>
      </c>
      <c r="AE1716" s="7" t="s">
        <v>744</v>
      </c>
      <c r="AF1716" s="7" t="s">
        <v>11260</v>
      </c>
      <c r="AG1716" s="7" t="s">
        <v>744</v>
      </c>
      <c r="AH1716" s="7" t="s">
        <v>519</v>
      </c>
      <c r="AI1716" s="7"/>
      <c r="AJ1716" s="7"/>
      <c r="AK1716" s="7"/>
      <c r="AL1716" s="7"/>
      <c r="AM1716" s="7" t="s">
        <v>744</v>
      </c>
      <c r="AN1716" s="7" t="s">
        <v>11263</v>
      </c>
      <c r="AO1716" s="7" t="s">
        <v>744</v>
      </c>
      <c r="AP1716" s="7" t="s">
        <v>11261</v>
      </c>
      <c r="AQ1716" s="7" t="s">
        <v>744</v>
      </c>
      <c r="AR1716" s="7" t="s">
        <v>737</v>
      </c>
      <c r="AS1716" s="7"/>
      <c r="AT1716" s="7"/>
      <c r="AU1716" s="7"/>
      <c r="AV1716" s="7"/>
      <c r="AW1716" s="7" t="s">
        <v>744</v>
      </c>
      <c r="AX1716" s="7" t="s">
        <v>11262</v>
      </c>
      <c r="AY1716" s="7"/>
      <c r="AZ1716" s="7"/>
      <c r="BA1716" s="7"/>
      <c r="BB1716" s="7"/>
      <c r="BC1716" s="7"/>
      <c r="BD1716" s="7"/>
      <c r="BE1716" s="7" t="s">
        <v>127</v>
      </c>
      <c r="BF1716" s="8"/>
      <c r="BG1716" s="8"/>
      <c r="BH1716" s="8"/>
      <c r="BI1716" s="8"/>
      <c r="BJ1716" s="8"/>
      <c r="BK1716" s="8"/>
      <c r="BL1716" s="8"/>
      <c r="BM1716" s="8"/>
      <c r="BN1716" s="8"/>
      <c r="BO1716" s="8"/>
      <c r="BP1716" s="8"/>
      <c r="BQ1716" s="8"/>
      <c r="BR1716" s="8"/>
      <c r="BS1716" s="8"/>
    </row>
    <row r="1717" customFormat="false" ht="15" hidden="false" customHeight="false" outlineLevel="0" collapsed="false">
      <c r="A1717" s="7" t="s">
        <v>11264</v>
      </c>
      <c r="B1717" s="7" t="s">
        <v>11265</v>
      </c>
      <c r="C1717" s="7" t="s">
        <v>11266</v>
      </c>
      <c r="D1717" s="7" t="s">
        <v>746</v>
      </c>
      <c r="E1717" s="7" t="s">
        <v>741</v>
      </c>
      <c r="F1717" s="7" t="s">
        <v>741</v>
      </c>
      <c r="G1717" s="7"/>
      <c r="H1717" s="7"/>
      <c r="I1717" s="7" t="s">
        <v>158</v>
      </c>
      <c r="J1717" s="7" t="s">
        <v>104</v>
      </c>
      <c r="K1717" s="7" t="s">
        <v>105</v>
      </c>
      <c r="L1717" s="7" t="s">
        <v>106</v>
      </c>
      <c r="M1717" s="7"/>
      <c r="N1717" s="7" t="s">
        <v>11267</v>
      </c>
      <c r="O1717" s="7" t="s">
        <v>11267</v>
      </c>
      <c r="P1717" s="7" t="s">
        <v>135</v>
      </c>
      <c r="Q1717" s="7"/>
      <c r="R1717" s="7" t="s">
        <v>109</v>
      </c>
      <c r="S1717" s="7" t="s">
        <v>110</v>
      </c>
      <c r="T1717" s="7" t="n">
        <v>0.759</v>
      </c>
      <c r="U1717" s="7" t="n">
        <v>1</v>
      </c>
      <c r="V1717" s="7" t="s">
        <v>90</v>
      </c>
      <c r="W1717" s="7"/>
      <c r="X1717" s="7" t="s">
        <v>1729</v>
      </c>
      <c r="Y1717" s="7" t="s">
        <v>11267</v>
      </c>
      <c r="Z1717" s="7"/>
      <c r="AA1717" s="7"/>
      <c r="AB1717" s="7"/>
      <c r="AC1717" s="7" t="n">
        <v>5</v>
      </c>
      <c r="AD1717" s="7" t="s">
        <v>743</v>
      </c>
      <c r="AE1717" s="7" t="s">
        <v>744</v>
      </c>
      <c r="AF1717" s="7" t="s">
        <v>11266</v>
      </c>
      <c r="AG1717" s="7" t="s">
        <v>744</v>
      </c>
      <c r="AH1717" s="7" t="s">
        <v>1729</v>
      </c>
      <c r="AI1717" s="7"/>
      <c r="AJ1717" s="7"/>
      <c r="AK1717" s="7"/>
      <c r="AL1717" s="7"/>
      <c r="AM1717" s="7"/>
      <c r="AN1717" s="7"/>
      <c r="AO1717" s="7" t="s">
        <v>744</v>
      </c>
      <c r="AP1717" s="7" t="s">
        <v>746</v>
      </c>
      <c r="AQ1717" s="7" t="s">
        <v>744</v>
      </c>
      <c r="AR1717" s="7" t="s">
        <v>741</v>
      </c>
      <c r="AS1717" s="7"/>
      <c r="AT1717" s="7"/>
      <c r="AU1717" s="7"/>
      <c r="AV1717" s="7"/>
      <c r="AW1717" s="7" t="s">
        <v>744</v>
      </c>
      <c r="AX1717" s="7" t="s">
        <v>11267</v>
      </c>
      <c r="AY1717" s="7"/>
      <c r="AZ1717" s="7"/>
      <c r="BA1717" s="7"/>
      <c r="BB1717" s="7"/>
      <c r="BC1717" s="7"/>
      <c r="BD1717" s="7" t="s">
        <v>747</v>
      </c>
      <c r="BE1717" s="7" t="s">
        <v>127</v>
      </c>
      <c r="BF1717" s="8"/>
      <c r="BG1717" s="8"/>
      <c r="BH1717" s="8"/>
      <c r="BI1717" s="8"/>
      <c r="BJ1717" s="8"/>
      <c r="BK1717" s="8"/>
      <c r="BL1717" s="8"/>
      <c r="BM1717" s="8"/>
      <c r="BN1717" s="8"/>
      <c r="BO1717" s="8"/>
      <c r="BP1717" s="8"/>
      <c r="BQ1717" s="8"/>
      <c r="BR1717" s="8"/>
      <c r="BS1717" s="8"/>
    </row>
    <row r="1718" customFormat="false" ht="15" hidden="false" customHeight="false" outlineLevel="0" collapsed="false">
      <c r="A1718" s="7" t="s">
        <v>11268</v>
      </c>
      <c r="B1718" s="7" t="s">
        <v>11269</v>
      </c>
      <c r="C1718" s="7" t="s">
        <v>11270</v>
      </c>
      <c r="D1718" s="7" t="s">
        <v>746</v>
      </c>
      <c r="E1718" s="7" t="s">
        <v>741</v>
      </c>
      <c r="F1718" s="7" t="s">
        <v>741</v>
      </c>
      <c r="G1718" s="7"/>
      <c r="H1718" s="7"/>
      <c r="I1718" s="7" t="s">
        <v>158</v>
      </c>
      <c r="J1718" s="7" t="s">
        <v>104</v>
      </c>
      <c r="K1718" s="7" t="s">
        <v>105</v>
      </c>
      <c r="L1718" s="7" t="s">
        <v>106</v>
      </c>
      <c r="M1718" s="7"/>
      <c r="N1718" s="7" t="s">
        <v>11271</v>
      </c>
      <c r="O1718" s="7" t="s">
        <v>11271</v>
      </c>
      <c r="P1718" s="7" t="s">
        <v>135</v>
      </c>
      <c r="Q1718" s="7"/>
      <c r="R1718" s="7" t="s">
        <v>109</v>
      </c>
      <c r="S1718" s="7" t="s">
        <v>110</v>
      </c>
      <c r="T1718" s="7" t="n">
        <v>0.375</v>
      </c>
      <c r="U1718" s="7" t="n">
        <v>1</v>
      </c>
      <c r="V1718" s="7" t="s">
        <v>90</v>
      </c>
      <c r="W1718" s="7"/>
      <c r="X1718" s="7" t="s">
        <v>942</v>
      </c>
      <c r="Y1718" s="7" t="s">
        <v>11271</v>
      </c>
      <c r="Z1718" s="7"/>
      <c r="AA1718" s="7"/>
      <c r="AB1718" s="7"/>
      <c r="AC1718" s="7" t="n">
        <v>5</v>
      </c>
      <c r="AD1718" s="7" t="s">
        <v>743</v>
      </c>
      <c r="AE1718" s="7" t="s">
        <v>744</v>
      </c>
      <c r="AF1718" s="7" t="s">
        <v>11270</v>
      </c>
      <c r="AG1718" s="7" t="s">
        <v>744</v>
      </c>
      <c r="AH1718" s="7" t="s">
        <v>942</v>
      </c>
      <c r="AI1718" s="7"/>
      <c r="AJ1718" s="7"/>
      <c r="AK1718" s="7"/>
      <c r="AL1718" s="7"/>
      <c r="AM1718" s="7"/>
      <c r="AN1718" s="7"/>
      <c r="AO1718" s="7" t="s">
        <v>744</v>
      </c>
      <c r="AP1718" s="7" t="s">
        <v>746</v>
      </c>
      <c r="AQ1718" s="7" t="s">
        <v>744</v>
      </c>
      <c r="AR1718" s="7" t="s">
        <v>741</v>
      </c>
      <c r="AS1718" s="7"/>
      <c r="AT1718" s="7"/>
      <c r="AU1718" s="7"/>
      <c r="AV1718" s="7"/>
      <c r="AW1718" s="7" t="s">
        <v>744</v>
      </c>
      <c r="AX1718" s="7" t="s">
        <v>11271</v>
      </c>
      <c r="AY1718" s="7"/>
      <c r="AZ1718" s="7"/>
      <c r="BA1718" s="7"/>
      <c r="BB1718" s="7"/>
      <c r="BC1718" s="7"/>
      <c r="BD1718" s="7" t="s">
        <v>747</v>
      </c>
      <c r="BE1718" s="7" t="s">
        <v>127</v>
      </c>
      <c r="BF1718" s="8"/>
      <c r="BG1718" s="8"/>
      <c r="BH1718" s="8"/>
      <c r="BI1718" s="8"/>
      <c r="BJ1718" s="8"/>
      <c r="BK1718" s="8"/>
      <c r="BL1718" s="8"/>
      <c r="BM1718" s="8"/>
      <c r="BN1718" s="8"/>
      <c r="BO1718" s="8"/>
      <c r="BP1718" s="8"/>
      <c r="BQ1718" s="8"/>
      <c r="BR1718" s="8"/>
      <c r="BS1718" s="8"/>
    </row>
    <row r="1719" customFormat="false" ht="15" hidden="false" customHeight="false" outlineLevel="0" collapsed="false">
      <c r="A1719" s="7" t="s">
        <v>11272</v>
      </c>
      <c r="B1719" s="7" t="s">
        <v>11273</v>
      </c>
      <c r="C1719" s="7" t="s">
        <v>11274</v>
      </c>
      <c r="D1719" s="7" t="s">
        <v>746</v>
      </c>
      <c r="E1719" s="7" t="s">
        <v>741</v>
      </c>
      <c r="F1719" s="7" t="s">
        <v>741</v>
      </c>
      <c r="G1719" s="7" t="s">
        <v>11180</v>
      </c>
      <c r="H1719" s="7"/>
      <c r="I1719" s="7" t="s">
        <v>158</v>
      </c>
      <c r="J1719" s="7" t="s">
        <v>104</v>
      </c>
      <c r="K1719" s="7" t="s">
        <v>105</v>
      </c>
      <c r="L1719" s="7" t="s">
        <v>106</v>
      </c>
      <c r="M1719" s="7"/>
      <c r="N1719" s="7" t="s">
        <v>11275</v>
      </c>
      <c r="O1719" s="7" t="s">
        <v>11275</v>
      </c>
      <c r="P1719" s="7" t="s">
        <v>135</v>
      </c>
      <c r="Q1719" s="7"/>
      <c r="R1719" s="7" t="s">
        <v>109</v>
      </c>
      <c r="S1719" s="7" t="s">
        <v>110</v>
      </c>
      <c r="T1719" s="7" t="n">
        <v>0.489</v>
      </c>
      <c r="U1719" s="7" t="n">
        <v>1</v>
      </c>
      <c r="V1719" s="7" t="s">
        <v>90</v>
      </c>
      <c r="W1719" s="7"/>
      <c r="X1719" s="7" t="s">
        <v>942</v>
      </c>
      <c r="Y1719" s="7" t="s">
        <v>11275</v>
      </c>
      <c r="Z1719" s="7"/>
      <c r="AA1719" s="7"/>
      <c r="AB1719" s="7"/>
      <c r="AC1719" s="7" t="n">
        <v>5</v>
      </c>
      <c r="AD1719" s="7" t="s">
        <v>743</v>
      </c>
      <c r="AE1719" s="7" t="s">
        <v>744</v>
      </c>
      <c r="AF1719" s="7" t="s">
        <v>11274</v>
      </c>
      <c r="AG1719" s="7" t="s">
        <v>744</v>
      </c>
      <c r="AH1719" s="7" t="s">
        <v>942</v>
      </c>
      <c r="AI1719" s="7"/>
      <c r="AJ1719" s="7"/>
      <c r="AK1719" s="7"/>
      <c r="AL1719" s="7"/>
      <c r="AM1719" s="7"/>
      <c r="AN1719" s="7"/>
      <c r="AO1719" s="7" t="s">
        <v>744</v>
      </c>
      <c r="AP1719" s="7" t="s">
        <v>746</v>
      </c>
      <c r="AQ1719" s="7" t="s">
        <v>744</v>
      </c>
      <c r="AR1719" s="7" t="s">
        <v>741</v>
      </c>
      <c r="AS1719" s="7"/>
      <c r="AT1719" s="7"/>
      <c r="AU1719" s="7"/>
      <c r="AV1719" s="7"/>
      <c r="AW1719" s="7" t="s">
        <v>744</v>
      </c>
      <c r="AX1719" s="7" t="s">
        <v>11275</v>
      </c>
      <c r="AY1719" s="7"/>
      <c r="AZ1719" s="7"/>
      <c r="BA1719" s="7"/>
      <c r="BB1719" s="7"/>
      <c r="BC1719" s="7"/>
      <c r="BD1719" s="7" t="s">
        <v>747</v>
      </c>
      <c r="BE1719" s="7" t="s">
        <v>127</v>
      </c>
      <c r="BF1719" s="8"/>
      <c r="BG1719" s="8"/>
      <c r="BH1719" s="8"/>
      <c r="BI1719" s="8"/>
      <c r="BJ1719" s="8"/>
      <c r="BK1719" s="8"/>
      <c r="BL1719" s="8"/>
      <c r="BM1719" s="8"/>
      <c r="BN1719" s="8"/>
      <c r="BO1719" s="8"/>
      <c r="BP1719" s="8"/>
      <c r="BQ1719" s="8"/>
      <c r="BR1719" s="8"/>
      <c r="BS1719" s="8"/>
    </row>
    <row r="1720" customFormat="false" ht="15" hidden="false" customHeight="false" outlineLevel="0" collapsed="false">
      <c r="A1720" s="7" t="s">
        <v>11276</v>
      </c>
      <c r="B1720" s="7" t="s">
        <v>11277</v>
      </c>
      <c r="C1720" s="7" t="s">
        <v>11278</v>
      </c>
      <c r="D1720" s="7" t="s">
        <v>746</v>
      </c>
      <c r="E1720" s="7" t="s">
        <v>741</v>
      </c>
      <c r="F1720" s="7" t="s">
        <v>741</v>
      </c>
      <c r="G1720" s="7"/>
      <c r="H1720" s="7"/>
      <c r="I1720" s="7" t="s">
        <v>158</v>
      </c>
      <c r="J1720" s="7" t="s">
        <v>104</v>
      </c>
      <c r="K1720" s="7" t="s">
        <v>105</v>
      </c>
      <c r="L1720" s="7" t="s">
        <v>106</v>
      </c>
      <c r="M1720" s="7"/>
      <c r="N1720" s="7" t="s">
        <v>11279</v>
      </c>
      <c r="O1720" s="7" t="s">
        <v>11279</v>
      </c>
      <c r="P1720" s="7" t="s">
        <v>135</v>
      </c>
      <c r="Q1720" s="7"/>
      <c r="R1720" s="7" t="s">
        <v>109</v>
      </c>
      <c r="S1720" s="7" t="s">
        <v>110</v>
      </c>
      <c r="T1720" s="7" t="n">
        <v>0.587</v>
      </c>
      <c r="U1720" s="7" t="n">
        <v>1</v>
      </c>
      <c r="V1720" s="7" t="s">
        <v>90</v>
      </c>
      <c r="W1720" s="7"/>
      <c r="X1720" s="7" t="s">
        <v>942</v>
      </c>
      <c r="Y1720" s="7" t="s">
        <v>11279</v>
      </c>
      <c r="Z1720" s="7"/>
      <c r="AA1720" s="7"/>
      <c r="AB1720" s="7"/>
      <c r="AC1720" s="7" t="n">
        <v>5</v>
      </c>
      <c r="AD1720" s="7" t="s">
        <v>743</v>
      </c>
      <c r="AE1720" s="7" t="s">
        <v>744</v>
      </c>
      <c r="AF1720" s="7" t="s">
        <v>11278</v>
      </c>
      <c r="AG1720" s="7" t="s">
        <v>744</v>
      </c>
      <c r="AH1720" s="7" t="s">
        <v>942</v>
      </c>
      <c r="AI1720" s="7"/>
      <c r="AJ1720" s="7"/>
      <c r="AK1720" s="7"/>
      <c r="AL1720" s="7"/>
      <c r="AM1720" s="7"/>
      <c r="AN1720" s="7"/>
      <c r="AO1720" s="7" t="s">
        <v>744</v>
      </c>
      <c r="AP1720" s="7" t="s">
        <v>746</v>
      </c>
      <c r="AQ1720" s="7" t="s">
        <v>744</v>
      </c>
      <c r="AR1720" s="7" t="s">
        <v>741</v>
      </c>
      <c r="AS1720" s="7"/>
      <c r="AT1720" s="7"/>
      <c r="AU1720" s="7"/>
      <c r="AV1720" s="7"/>
      <c r="AW1720" s="7" t="s">
        <v>744</v>
      </c>
      <c r="AX1720" s="7" t="s">
        <v>11279</v>
      </c>
      <c r="AY1720" s="7"/>
      <c r="AZ1720" s="7"/>
      <c r="BA1720" s="7"/>
      <c r="BB1720" s="7"/>
      <c r="BC1720" s="7"/>
      <c r="BD1720" s="7" t="s">
        <v>747</v>
      </c>
      <c r="BE1720" s="7" t="s">
        <v>127</v>
      </c>
      <c r="BF1720" s="8"/>
      <c r="BG1720" s="8"/>
      <c r="BH1720" s="8"/>
      <c r="BI1720" s="8"/>
      <c r="BJ1720" s="8"/>
      <c r="BK1720" s="8"/>
      <c r="BL1720" s="8"/>
      <c r="BM1720" s="8"/>
      <c r="BN1720" s="8"/>
      <c r="BO1720" s="8"/>
      <c r="BP1720" s="8"/>
      <c r="BQ1720" s="8"/>
      <c r="BR1720" s="8"/>
      <c r="BS1720" s="8"/>
    </row>
    <row r="1721" customFormat="false" ht="15" hidden="false" customHeight="false" outlineLevel="0" collapsed="false">
      <c r="A1721" s="7" t="s">
        <v>11280</v>
      </c>
      <c r="B1721" s="7" t="s">
        <v>11281</v>
      </c>
      <c r="C1721" s="7" t="s">
        <v>11282</v>
      </c>
      <c r="D1721" s="7" t="s">
        <v>5379</v>
      </c>
      <c r="E1721" s="7" t="s">
        <v>431</v>
      </c>
      <c r="F1721" s="7" t="s">
        <v>431</v>
      </c>
      <c r="G1721" s="7"/>
      <c r="H1721" s="7"/>
      <c r="I1721" s="7" t="s">
        <v>103</v>
      </c>
      <c r="J1721" s="7" t="s">
        <v>104</v>
      </c>
      <c r="K1721" s="7" t="s">
        <v>105</v>
      </c>
      <c r="L1721" s="7" t="s">
        <v>106</v>
      </c>
      <c r="M1721" s="7"/>
      <c r="N1721" s="7" t="s">
        <v>11283</v>
      </c>
      <c r="O1721" s="7" t="s">
        <v>11283</v>
      </c>
      <c r="P1721" s="7" t="s">
        <v>135</v>
      </c>
      <c r="Q1721" s="7"/>
      <c r="R1721" s="7" t="s">
        <v>109</v>
      </c>
      <c r="S1721" s="7" t="s">
        <v>110</v>
      </c>
      <c r="T1721" s="7" t="n">
        <v>0.624</v>
      </c>
      <c r="U1721" s="7" t="n">
        <v>1</v>
      </c>
      <c r="V1721" s="7" t="s">
        <v>90</v>
      </c>
      <c r="W1721" s="7"/>
      <c r="X1721" s="7" t="s">
        <v>942</v>
      </c>
      <c r="Y1721" s="7" t="s">
        <v>11283</v>
      </c>
      <c r="Z1721" s="7"/>
      <c r="AA1721" s="7"/>
      <c r="AB1721" s="7"/>
      <c r="AC1721" s="7" t="n">
        <v>5</v>
      </c>
      <c r="AD1721" s="7" t="s">
        <v>743</v>
      </c>
      <c r="AE1721" s="7" t="s">
        <v>744</v>
      </c>
      <c r="AF1721" s="7" t="s">
        <v>11282</v>
      </c>
      <c r="AG1721" s="7" t="s">
        <v>744</v>
      </c>
      <c r="AH1721" s="7" t="s">
        <v>942</v>
      </c>
      <c r="AI1721" s="7"/>
      <c r="AJ1721" s="7"/>
      <c r="AK1721" s="7"/>
      <c r="AL1721" s="7"/>
      <c r="AM1721" s="7"/>
      <c r="AN1721" s="7"/>
      <c r="AO1721" s="7" t="s">
        <v>744</v>
      </c>
      <c r="AP1721" s="7" t="s">
        <v>5379</v>
      </c>
      <c r="AQ1721" s="7" t="s">
        <v>744</v>
      </c>
      <c r="AR1721" s="7" t="s">
        <v>431</v>
      </c>
      <c r="AS1721" s="7"/>
      <c r="AT1721" s="7"/>
      <c r="AU1721" s="7"/>
      <c r="AV1721" s="7"/>
      <c r="AW1721" s="7" t="s">
        <v>744</v>
      </c>
      <c r="AX1721" s="7" t="s">
        <v>11283</v>
      </c>
      <c r="AY1721" s="7"/>
      <c r="AZ1721" s="7"/>
      <c r="BA1721" s="7"/>
      <c r="BB1721" s="7"/>
      <c r="BC1721" s="7"/>
      <c r="BD1721" s="7" t="s">
        <v>11284</v>
      </c>
      <c r="BE1721" s="7" t="s">
        <v>127</v>
      </c>
      <c r="BF1721" s="8"/>
      <c r="BG1721" s="8"/>
      <c r="BH1721" s="8"/>
      <c r="BI1721" s="8"/>
      <c r="BJ1721" s="8"/>
      <c r="BK1721" s="8"/>
      <c r="BL1721" s="8"/>
      <c r="BM1721" s="8"/>
      <c r="BN1721" s="8"/>
      <c r="BO1721" s="8"/>
      <c r="BP1721" s="8"/>
      <c r="BQ1721" s="8"/>
      <c r="BR1721" s="8"/>
      <c r="BS1721" s="8"/>
    </row>
    <row r="1722" customFormat="false" ht="15" hidden="false" customHeight="false" outlineLevel="0" collapsed="false">
      <c r="A1722" s="7" t="s">
        <v>11285</v>
      </c>
      <c r="B1722" s="7" t="s">
        <v>11286</v>
      </c>
      <c r="C1722" s="7" t="s">
        <v>11287</v>
      </c>
      <c r="D1722" s="7" t="s">
        <v>746</v>
      </c>
      <c r="E1722" s="7" t="s">
        <v>741</v>
      </c>
      <c r="F1722" s="7" t="s">
        <v>741</v>
      </c>
      <c r="G1722" s="7"/>
      <c r="H1722" s="7"/>
      <c r="I1722" s="7" t="s">
        <v>158</v>
      </c>
      <c r="J1722" s="7" t="s">
        <v>104</v>
      </c>
      <c r="K1722" s="7" t="s">
        <v>105</v>
      </c>
      <c r="L1722" s="7" t="s">
        <v>106</v>
      </c>
      <c r="M1722" s="7"/>
      <c r="N1722" s="7" t="s">
        <v>11288</v>
      </c>
      <c r="O1722" s="7" t="s">
        <v>11288</v>
      </c>
      <c r="P1722" s="7" t="s">
        <v>135</v>
      </c>
      <c r="Q1722" s="7"/>
      <c r="R1722" s="7" t="s">
        <v>109</v>
      </c>
      <c r="S1722" s="7" t="s">
        <v>110</v>
      </c>
      <c r="T1722" s="7" t="n">
        <v>0.421</v>
      </c>
      <c r="U1722" s="7" t="n">
        <v>1</v>
      </c>
      <c r="V1722" s="7" t="s">
        <v>90</v>
      </c>
      <c r="W1722" s="7"/>
      <c r="X1722" s="7" t="s">
        <v>11289</v>
      </c>
      <c r="Y1722" s="7" t="s">
        <v>11288</v>
      </c>
      <c r="Z1722" s="7"/>
      <c r="AA1722" s="7"/>
      <c r="AB1722" s="7"/>
      <c r="AC1722" s="7" t="n">
        <v>5</v>
      </c>
      <c r="AD1722" s="7" t="s">
        <v>743</v>
      </c>
      <c r="AE1722" s="7" t="s">
        <v>744</v>
      </c>
      <c r="AF1722" s="7" t="s">
        <v>11287</v>
      </c>
      <c r="AG1722" s="7" t="s">
        <v>744</v>
      </c>
      <c r="AH1722" s="7" t="s">
        <v>11289</v>
      </c>
      <c r="AI1722" s="7"/>
      <c r="AJ1722" s="7"/>
      <c r="AK1722" s="7"/>
      <c r="AL1722" s="7"/>
      <c r="AM1722" s="7"/>
      <c r="AN1722" s="7"/>
      <c r="AO1722" s="7" t="s">
        <v>744</v>
      </c>
      <c r="AP1722" s="7" t="s">
        <v>746</v>
      </c>
      <c r="AQ1722" s="7" t="s">
        <v>744</v>
      </c>
      <c r="AR1722" s="7" t="s">
        <v>741</v>
      </c>
      <c r="AS1722" s="7"/>
      <c r="AT1722" s="7"/>
      <c r="AU1722" s="7"/>
      <c r="AV1722" s="7"/>
      <c r="AW1722" s="7" t="s">
        <v>744</v>
      </c>
      <c r="AX1722" s="7" t="s">
        <v>11288</v>
      </c>
      <c r="AY1722" s="7"/>
      <c r="AZ1722" s="7"/>
      <c r="BA1722" s="7"/>
      <c r="BB1722" s="7"/>
      <c r="BC1722" s="7"/>
      <c r="BD1722" s="7" t="s">
        <v>747</v>
      </c>
      <c r="BE1722" s="7" t="s">
        <v>127</v>
      </c>
      <c r="BF1722" s="8"/>
      <c r="BG1722" s="8"/>
      <c r="BH1722" s="8"/>
      <c r="BI1722" s="8"/>
      <c r="BJ1722" s="8"/>
      <c r="BK1722" s="8"/>
      <c r="BL1722" s="8"/>
      <c r="BM1722" s="8"/>
      <c r="BN1722" s="8"/>
      <c r="BO1722" s="8"/>
      <c r="BP1722" s="8"/>
      <c r="BQ1722" s="8"/>
      <c r="BR1722" s="8"/>
      <c r="BS1722" s="8"/>
    </row>
    <row r="1723" customFormat="false" ht="15" hidden="false" customHeight="false" outlineLevel="0" collapsed="false">
      <c r="A1723" s="7" t="s">
        <v>11290</v>
      </c>
      <c r="B1723" s="7" t="s">
        <v>11291</v>
      </c>
      <c r="C1723" s="7" t="s">
        <v>11292</v>
      </c>
      <c r="D1723" s="7" t="s">
        <v>11293</v>
      </c>
      <c r="E1723" s="7"/>
      <c r="F1723" s="7" t="s">
        <v>101</v>
      </c>
      <c r="G1723" s="7"/>
      <c r="H1723" s="7"/>
      <c r="I1723" s="7" t="s">
        <v>132</v>
      </c>
      <c r="J1723" s="7" t="s">
        <v>104</v>
      </c>
      <c r="K1723" s="7" t="s">
        <v>105</v>
      </c>
      <c r="L1723" s="7" t="s">
        <v>106</v>
      </c>
      <c r="M1723" s="7"/>
      <c r="N1723" s="7" t="s">
        <v>11294</v>
      </c>
      <c r="O1723" s="7"/>
      <c r="P1723" s="7" t="s">
        <v>135</v>
      </c>
      <c r="Q1723" s="7"/>
      <c r="R1723" s="7" t="s">
        <v>135</v>
      </c>
      <c r="S1723" s="7" t="s">
        <v>136</v>
      </c>
      <c r="T1723" s="7" t="n">
        <v>0.396</v>
      </c>
      <c r="U1723" s="7" t="n">
        <v>1</v>
      </c>
      <c r="V1723" s="7" t="s">
        <v>90</v>
      </c>
      <c r="W1723" s="7"/>
      <c r="X1723" s="7" t="s">
        <v>11289</v>
      </c>
      <c r="Y1723" s="7" t="s">
        <v>11294</v>
      </c>
      <c r="Z1723" s="7"/>
      <c r="AA1723" s="7"/>
      <c r="AB1723" s="7"/>
      <c r="AC1723" s="7" t="n">
        <v>4</v>
      </c>
      <c r="AD1723" s="7" t="s">
        <v>7611</v>
      </c>
      <c r="AE1723" s="7" t="s">
        <v>744</v>
      </c>
      <c r="AF1723" s="7" t="s">
        <v>11292</v>
      </c>
      <c r="AG1723" s="7" t="s">
        <v>744</v>
      </c>
      <c r="AH1723" s="7" t="s">
        <v>11289</v>
      </c>
      <c r="AI1723" s="7"/>
      <c r="AJ1723" s="7"/>
      <c r="AK1723" s="7"/>
      <c r="AL1723" s="7"/>
      <c r="AM1723" s="7"/>
      <c r="AN1723" s="7"/>
      <c r="AO1723" s="7" t="s">
        <v>744</v>
      </c>
      <c r="AP1723" s="7" t="s">
        <v>11293</v>
      </c>
      <c r="AQ1723" s="7"/>
      <c r="AR1723" s="7"/>
      <c r="AS1723" s="7"/>
      <c r="AT1723" s="7"/>
      <c r="AU1723" s="7"/>
      <c r="AV1723" s="7"/>
      <c r="AW1723" s="7" t="s">
        <v>744</v>
      </c>
      <c r="AX1723" s="7" t="s">
        <v>11294</v>
      </c>
      <c r="AY1723" s="7"/>
      <c r="AZ1723" s="7"/>
      <c r="BA1723" s="7"/>
      <c r="BB1723" s="7"/>
      <c r="BC1723" s="7"/>
      <c r="BD1723" s="7"/>
      <c r="BE1723" s="7" t="s">
        <v>127</v>
      </c>
      <c r="BF1723" s="8"/>
      <c r="BG1723" s="8"/>
      <c r="BH1723" s="8"/>
      <c r="BI1723" s="8"/>
      <c r="BJ1723" s="8"/>
      <c r="BK1723" s="8"/>
      <c r="BL1723" s="8"/>
      <c r="BM1723" s="8"/>
      <c r="BN1723" s="8"/>
      <c r="BO1723" s="8"/>
      <c r="BP1723" s="8"/>
      <c r="BQ1723" s="8"/>
      <c r="BR1723" s="8"/>
      <c r="BS1723" s="8"/>
    </row>
    <row r="1724" customFormat="false" ht="15" hidden="false" customHeight="false" outlineLevel="0" collapsed="false">
      <c r="A1724" s="7" t="s">
        <v>11295</v>
      </c>
      <c r="B1724" s="7" t="s">
        <v>11296</v>
      </c>
      <c r="C1724" s="7" t="s">
        <v>11297</v>
      </c>
      <c r="D1724" s="7" t="s">
        <v>746</v>
      </c>
      <c r="E1724" s="7" t="s">
        <v>741</v>
      </c>
      <c r="F1724" s="7" t="s">
        <v>741</v>
      </c>
      <c r="G1724" s="7"/>
      <c r="H1724" s="7"/>
      <c r="I1724" s="7" t="s">
        <v>158</v>
      </c>
      <c r="J1724" s="7" t="s">
        <v>104</v>
      </c>
      <c r="K1724" s="7" t="s">
        <v>105</v>
      </c>
      <c r="L1724" s="7" t="s">
        <v>106</v>
      </c>
      <c r="M1724" s="7"/>
      <c r="N1724" s="7" t="s">
        <v>11298</v>
      </c>
      <c r="O1724" s="7" t="s">
        <v>11298</v>
      </c>
      <c r="P1724" s="7" t="s">
        <v>135</v>
      </c>
      <c r="Q1724" s="7"/>
      <c r="R1724" s="7" t="s">
        <v>109</v>
      </c>
      <c r="S1724" s="7" t="s">
        <v>110</v>
      </c>
      <c r="T1724" s="7" t="n">
        <v>0.367</v>
      </c>
      <c r="U1724" s="7" t="n">
        <v>1</v>
      </c>
      <c r="V1724" s="7" t="s">
        <v>90</v>
      </c>
      <c r="W1724" s="7"/>
      <c r="X1724" s="7" t="s">
        <v>980</v>
      </c>
      <c r="Y1724" s="7" t="s">
        <v>11298</v>
      </c>
      <c r="Z1724" s="7"/>
      <c r="AA1724" s="7"/>
      <c r="AB1724" s="7"/>
      <c r="AC1724" s="7" t="n">
        <v>5</v>
      </c>
      <c r="AD1724" s="7" t="s">
        <v>743</v>
      </c>
      <c r="AE1724" s="7" t="s">
        <v>744</v>
      </c>
      <c r="AF1724" s="7" t="s">
        <v>11297</v>
      </c>
      <c r="AG1724" s="7" t="s">
        <v>744</v>
      </c>
      <c r="AH1724" s="7" t="s">
        <v>980</v>
      </c>
      <c r="AI1724" s="7"/>
      <c r="AJ1724" s="7"/>
      <c r="AK1724" s="7"/>
      <c r="AL1724" s="7"/>
      <c r="AM1724" s="7"/>
      <c r="AN1724" s="7"/>
      <c r="AO1724" s="7" t="s">
        <v>744</v>
      </c>
      <c r="AP1724" s="7" t="s">
        <v>746</v>
      </c>
      <c r="AQ1724" s="7" t="s">
        <v>744</v>
      </c>
      <c r="AR1724" s="7" t="s">
        <v>741</v>
      </c>
      <c r="AS1724" s="7"/>
      <c r="AT1724" s="7"/>
      <c r="AU1724" s="7"/>
      <c r="AV1724" s="7"/>
      <c r="AW1724" s="7" t="s">
        <v>744</v>
      </c>
      <c r="AX1724" s="7" t="s">
        <v>11298</v>
      </c>
      <c r="AY1724" s="7"/>
      <c r="AZ1724" s="7"/>
      <c r="BA1724" s="7"/>
      <c r="BB1724" s="7"/>
      <c r="BC1724" s="7"/>
      <c r="BD1724" s="7" t="s">
        <v>747</v>
      </c>
      <c r="BE1724" s="7" t="s">
        <v>127</v>
      </c>
      <c r="BF1724" s="8"/>
      <c r="BG1724" s="8"/>
      <c r="BH1724" s="8"/>
      <c r="BI1724" s="8"/>
      <c r="BJ1724" s="8"/>
      <c r="BK1724" s="8"/>
      <c r="BL1724" s="8"/>
      <c r="BM1724" s="8"/>
      <c r="BN1724" s="8"/>
      <c r="BO1724" s="8"/>
      <c r="BP1724" s="8"/>
      <c r="BQ1724" s="8"/>
      <c r="BR1724" s="8"/>
      <c r="BS1724" s="8"/>
    </row>
    <row r="1725" customFormat="false" ht="15" hidden="false" customHeight="false" outlineLevel="0" collapsed="false">
      <c r="A1725" s="7" t="s">
        <v>11299</v>
      </c>
      <c r="B1725" s="7" t="s">
        <v>11300</v>
      </c>
      <c r="C1725" s="7" t="s">
        <v>11301</v>
      </c>
      <c r="D1725" s="7" t="s">
        <v>746</v>
      </c>
      <c r="E1725" s="7" t="s">
        <v>741</v>
      </c>
      <c r="F1725" s="7" t="s">
        <v>741</v>
      </c>
      <c r="G1725" s="7"/>
      <c r="H1725" s="7"/>
      <c r="I1725" s="7" t="s">
        <v>158</v>
      </c>
      <c r="J1725" s="7" t="s">
        <v>104</v>
      </c>
      <c r="K1725" s="7" t="s">
        <v>105</v>
      </c>
      <c r="L1725" s="7" t="s">
        <v>106</v>
      </c>
      <c r="M1725" s="7"/>
      <c r="N1725" s="7" t="s">
        <v>11302</v>
      </c>
      <c r="O1725" s="7" t="s">
        <v>11302</v>
      </c>
      <c r="P1725" s="7" t="s">
        <v>135</v>
      </c>
      <c r="Q1725" s="7"/>
      <c r="R1725" s="7" t="s">
        <v>109</v>
      </c>
      <c r="S1725" s="7" t="s">
        <v>110</v>
      </c>
      <c r="T1725" s="7" t="n">
        <v>0.518</v>
      </c>
      <c r="U1725" s="7" t="n">
        <v>1</v>
      </c>
      <c r="V1725" s="7" t="s">
        <v>90</v>
      </c>
      <c r="W1725" s="7"/>
      <c r="X1725" s="7" t="s">
        <v>980</v>
      </c>
      <c r="Y1725" s="7" t="s">
        <v>11302</v>
      </c>
      <c r="Z1725" s="7"/>
      <c r="AA1725" s="7"/>
      <c r="AB1725" s="7"/>
      <c r="AC1725" s="7" t="n">
        <v>5</v>
      </c>
      <c r="AD1725" s="7" t="s">
        <v>743</v>
      </c>
      <c r="AE1725" s="7" t="s">
        <v>744</v>
      </c>
      <c r="AF1725" s="7" t="s">
        <v>11301</v>
      </c>
      <c r="AG1725" s="7" t="s">
        <v>744</v>
      </c>
      <c r="AH1725" s="7" t="s">
        <v>980</v>
      </c>
      <c r="AI1725" s="7"/>
      <c r="AJ1725" s="7"/>
      <c r="AK1725" s="7"/>
      <c r="AL1725" s="7"/>
      <c r="AM1725" s="7"/>
      <c r="AN1725" s="7"/>
      <c r="AO1725" s="7" t="s">
        <v>744</v>
      </c>
      <c r="AP1725" s="7" t="s">
        <v>746</v>
      </c>
      <c r="AQ1725" s="7" t="s">
        <v>744</v>
      </c>
      <c r="AR1725" s="7" t="s">
        <v>741</v>
      </c>
      <c r="AS1725" s="7"/>
      <c r="AT1725" s="7"/>
      <c r="AU1725" s="7"/>
      <c r="AV1725" s="7"/>
      <c r="AW1725" s="7" t="s">
        <v>744</v>
      </c>
      <c r="AX1725" s="7" t="s">
        <v>11302</v>
      </c>
      <c r="AY1725" s="7"/>
      <c r="AZ1725" s="7"/>
      <c r="BA1725" s="7"/>
      <c r="BB1725" s="7"/>
      <c r="BC1725" s="7"/>
      <c r="BD1725" s="7"/>
      <c r="BE1725" s="7" t="s">
        <v>127</v>
      </c>
      <c r="BF1725" s="8"/>
      <c r="BG1725" s="8"/>
      <c r="BH1725" s="8"/>
      <c r="BI1725" s="8"/>
      <c r="BJ1725" s="8"/>
      <c r="BK1725" s="8"/>
      <c r="BL1725" s="8"/>
      <c r="BM1725" s="8"/>
      <c r="BN1725" s="8"/>
      <c r="BO1725" s="8"/>
      <c r="BP1725" s="8"/>
      <c r="BQ1725" s="8"/>
      <c r="BR1725" s="8"/>
      <c r="BS1725" s="8"/>
    </row>
    <row r="1726" customFormat="false" ht="15" hidden="false" customHeight="false" outlineLevel="0" collapsed="false">
      <c r="A1726" s="7" t="s">
        <v>11303</v>
      </c>
      <c r="B1726" s="7" t="s">
        <v>11304</v>
      </c>
      <c r="C1726" s="7" t="s">
        <v>11305</v>
      </c>
      <c r="D1726" s="7" t="s">
        <v>746</v>
      </c>
      <c r="E1726" s="7" t="s">
        <v>741</v>
      </c>
      <c r="F1726" s="7" t="s">
        <v>741</v>
      </c>
      <c r="G1726" s="7"/>
      <c r="H1726" s="7"/>
      <c r="I1726" s="7" t="s">
        <v>158</v>
      </c>
      <c r="J1726" s="7" t="s">
        <v>104</v>
      </c>
      <c r="K1726" s="7" t="s">
        <v>105</v>
      </c>
      <c r="L1726" s="7" t="s">
        <v>106</v>
      </c>
      <c r="M1726" s="7"/>
      <c r="N1726" s="7" t="s">
        <v>11306</v>
      </c>
      <c r="O1726" s="7" t="s">
        <v>11306</v>
      </c>
      <c r="P1726" s="7" t="s">
        <v>135</v>
      </c>
      <c r="Q1726" s="7"/>
      <c r="R1726" s="7" t="s">
        <v>109</v>
      </c>
      <c r="S1726" s="7" t="s">
        <v>110</v>
      </c>
      <c r="T1726" s="7" t="n">
        <v>0.48</v>
      </c>
      <c r="U1726" s="7" t="n">
        <v>1</v>
      </c>
      <c r="V1726" s="7" t="s">
        <v>90</v>
      </c>
      <c r="W1726" s="7"/>
      <c r="X1726" s="7" t="s">
        <v>980</v>
      </c>
      <c r="Y1726" s="7" t="s">
        <v>11306</v>
      </c>
      <c r="Z1726" s="7"/>
      <c r="AA1726" s="7"/>
      <c r="AB1726" s="7"/>
      <c r="AC1726" s="7" t="n">
        <v>5</v>
      </c>
      <c r="AD1726" s="7" t="s">
        <v>743</v>
      </c>
      <c r="AE1726" s="7" t="s">
        <v>744</v>
      </c>
      <c r="AF1726" s="7" t="s">
        <v>11305</v>
      </c>
      <c r="AG1726" s="7" t="s">
        <v>744</v>
      </c>
      <c r="AH1726" s="7" t="s">
        <v>980</v>
      </c>
      <c r="AI1726" s="7"/>
      <c r="AJ1726" s="7"/>
      <c r="AK1726" s="7"/>
      <c r="AL1726" s="7"/>
      <c r="AM1726" s="7"/>
      <c r="AN1726" s="7"/>
      <c r="AO1726" s="7" t="s">
        <v>744</v>
      </c>
      <c r="AP1726" s="7" t="s">
        <v>746</v>
      </c>
      <c r="AQ1726" s="7" t="s">
        <v>744</v>
      </c>
      <c r="AR1726" s="7" t="s">
        <v>741</v>
      </c>
      <c r="AS1726" s="7"/>
      <c r="AT1726" s="7"/>
      <c r="AU1726" s="7"/>
      <c r="AV1726" s="7"/>
      <c r="AW1726" s="7" t="s">
        <v>744</v>
      </c>
      <c r="AX1726" s="7" t="s">
        <v>11306</v>
      </c>
      <c r="AY1726" s="7"/>
      <c r="AZ1726" s="7"/>
      <c r="BA1726" s="7"/>
      <c r="BB1726" s="7"/>
      <c r="BC1726" s="7"/>
      <c r="BD1726" s="7" t="s">
        <v>747</v>
      </c>
      <c r="BE1726" s="7" t="s">
        <v>127</v>
      </c>
      <c r="BF1726" s="8"/>
      <c r="BG1726" s="8"/>
      <c r="BH1726" s="8"/>
      <c r="BI1726" s="8"/>
      <c r="BJ1726" s="8"/>
      <c r="BK1726" s="8"/>
      <c r="BL1726" s="8"/>
      <c r="BM1726" s="8"/>
      <c r="BN1726" s="8"/>
      <c r="BO1726" s="8"/>
      <c r="BP1726" s="8"/>
      <c r="BQ1726" s="8"/>
      <c r="BR1726" s="8"/>
      <c r="BS1726" s="8"/>
    </row>
    <row r="1727" customFormat="false" ht="15" hidden="false" customHeight="false" outlineLevel="0" collapsed="false">
      <c r="A1727" s="7" t="s">
        <v>11307</v>
      </c>
      <c r="B1727" s="7" t="s">
        <v>11308</v>
      </c>
      <c r="C1727" s="7" t="s">
        <v>11309</v>
      </c>
      <c r="D1727" s="7" t="s">
        <v>746</v>
      </c>
      <c r="E1727" s="7" t="s">
        <v>741</v>
      </c>
      <c r="F1727" s="7" t="s">
        <v>741</v>
      </c>
      <c r="G1727" s="7"/>
      <c r="H1727" s="7"/>
      <c r="I1727" s="7" t="s">
        <v>158</v>
      </c>
      <c r="J1727" s="7" t="s">
        <v>104</v>
      </c>
      <c r="K1727" s="7" t="s">
        <v>105</v>
      </c>
      <c r="L1727" s="7" t="s">
        <v>106</v>
      </c>
      <c r="M1727" s="7"/>
      <c r="N1727" s="7" t="s">
        <v>11310</v>
      </c>
      <c r="O1727" s="7" t="s">
        <v>11310</v>
      </c>
      <c r="P1727" s="7" t="s">
        <v>135</v>
      </c>
      <c r="Q1727" s="7"/>
      <c r="R1727" s="7" t="s">
        <v>109</v>
      </c>
      <c r="S1727" s="7" t="s">
        <v>110</v>
      </c>
      <c r="T1727" s="7" t="n">
        <v>0.62</v>
      </c>
      <c r="U1727" s="7" t="n">
        <v>1</v>
      </c>
      <c r="V1727" s="7" t="s">
        <v>90</v>
      </c>
      <c r="W1727" s="7"/>
      <c r="X1727" s="7" t="s">
        <v>4612</v>
      </c>
      <c r="Y1727" s="7" t="s">
        <v>11310</v>
      </c>
      <c r="Z1727" s="7"/>
      <c r="AA1727" s="7"/>
      <c r="AB1727" s="7"/>
      <c r="AC1727" s="7" t="n">
        <v>5</v>
      </c>
      <c r="AD1727" s="7" t="s">
        <v>743</v>
      </c>
      <c r="AE1727" s="7" t="s">
        <v>744</v>
      </c>
      <c r="AF1727" s="7" t="s">
        <v>11309</v>
      </c>
      <c r="AG1727" s="7" t="s">
        <v>744</v>
      </c>
      <c r="AH1727" s="7" t="s">
        <v>4612</v>
      </c>
      <c r="AI1727" s="7"/>
      <c r="AJ1727" s="7"/>
      <c r="AK1727" s="7"/>
      <c r="AL1727" s="7"/>
      <c r="AM1727" s="7"/>
      <c r="AN1727" s="7"/>
      <c r="AO1727" s="7" t="s">
        <v>744</v>
      </c>
      <c r="AP1727" s="7" t="s">
        <v>746</v>
      </c>
      <c r="AQ1727" s="7" t="s">
        <v>744</v>
      </c>
      <c r="AR1727" s="7" t="s">
        <v>741</v>
      </c>
      <c r="AS1727" s="7"/>
      <c r="AT1727" s="7"/>
      <c r="AU1727" s="7"/>
      <c r="AV1727" s="7"/>
      <c r="AW1727" s="7" t="s">
        <v>744</v>
      </c>
      <c r="AX1727" s="7" t="s">
        <v>11310</v>
      </c>
      <c r="AY1727" s="7"/>
      <c r="AZ1727" s="7"/>
      <c r="BA1727" s="7"/>
      <c r="BB1727" s="7"/>
      <c r="BC1727" s="7"/>
      <c r="BD1727" s="7" t="s">
        <v>747</v>
      </c>
      <c r="BE1727" s="7" t="s">
        <v>127</v>
      </c>
      <c r="BF1727" s="8"/>
      <c r="BG1727" s="8"/>
      <c r="BH1727" s="8"/>
      <c r="BI1727" s="8"/>
      <c r="BJ1727" s="8"/>
      <c r="BK1727" s="8"/>
      <c r="BL1727" s="8"/>
      <c r="BM1727" s="8"/>
      <c r="BN1727" s="8"/>
      <c r="BO1727" s="8"/>
      <c r="BP1727" s="8"/>
      <c r="BQ1727" s="8"/>
      <c r="BR1727" s="8"/>
      <c r="BS1727" s="8"/>
    </row>
    <row r="1728" customFormat="false" ht="15" hidden="false" customHeight="false" outlineLevel="0" collapsed="false">
      <c r="A1728" s="7" t="s">
        <v>11311</v>
      </c>
      <c r="B1728" s="7" t="s">
        <v>11312</v>
      </c>
      <c r="C1728" s="7" t="s">
        <v>11313</v>
      </c>
      <c r="D1728" s="7" t="s">
        <v>746</v>
      </c>
      <c r="E1728" s="7" t="s">
        <v>741</v>
      </c>
      <c r="F1728" s="7" t="s">
        <v>741</v>
      </c>
      <c r="G1728" s="7"/>
      <c r="H1728" s="7"/>
      <c r="I1728" s="7" t="s">
        <v>158</v>
      </c>
      <c r="J1728" s="7" t="s">
        <v>104</v>
      </c>
      <c r="K1728" s="7" t="s">
        <v>105</v>
      </c>
      <c r="L1728" s="7" t="s">
        <v>106</v>
      </c>
      <c r="M1728" s="7"/>
      <c r="N1728" s="7" t="s">
        <v>11314</v>
      </c>
      <c r="O1728" s="7" t="s">
        <v>11314</v>
      </c>
      <c r="P1728" s="7" t="s">
        <v>135</v>
      </c>
      <c r="Q1728" s="7"/>
      <c r="R1728" s="7" t="s">
        <v>109</v>
      </c>
      <c r="S1728" s="7" t="s">
        <v>110</v>
      </c>
      <c r="T1728" s="7" t="n">
        <v>0.553</v>
      </c>
      <c r="U1728" s="7" t="n">
        <v>1</v>
      </c>
      <c r="V1728" s="7" t="s">
        <v>90</v>
      </c>
      <c r="W1728" s="7"/>
      <c r="X1728" s="7" t="s">
        <v>4612</v>
      </c>
      <c r="Y1728" s="7" t="s">
        <v>11314</v>
      </c>
      <c r="Z1728" s="7"/>
      <c r="AA1728" s="7"/>
      <c r="AB1728" s="7"/>
      <c r="AC1728" s="7" t="n">
        <v>5</v>
      </c>
      <c r="AD1728" s="7" t="s">
        <v>743</v>
      </c>
      <c r="AE1728" s="7" t="s">
        <v>744</v>
      </c>
      <c r="AF1728" s="7" t="s">
        <v>11313</v>
      </c>
      <c r="AG1728" s="7" t="s">
        <v>744</v>
      </c>
      <c r="AH1728" s="7" t="s">
        <v>4612</v>
      </c>
      <c r="AI1728" s="7"/>
      <c r="AJ1728" s="7"/>
      <c r="AK1728" s="7"/>
      <c r="AL1728" s="7"/>
      <c r="AM1728" s="7"/>
      <c r="AN1728" s="7"/>
      <c r="AO1728" s="7" t="s">
        <v>744</v>
      </c>
      <c r="AP1728" s="7" t="s">
        <v>746</v>
      </c>
      <c r="AQ1728" s="7" t="s">
        <v>744</v>
      </c>
      <c r="AR1728" s="7" t="s">
        <v>741</v>
      </c>
      <c r="AS1728" s="7"/>
      <c r="AT1728" s="7"/>
      <c r="AU1728" s="7"/>
      <c r="AV1728" s="7"/>
      <c r="AW1728" s="7" t="s">
        <v>744</v>
      </c>
      <c r="AX1728" s="7" t="s">
        <v>11314</v>
      </c>
      <c r="AY1728" s="7"/>
      <c r="AZ1728" s="7"/>
      <c r="BA1728" s="7"/>
      <c r="BB1728" s="7"/>
      <c r="BC1728" s="7"/>
      <c r="BD1728" s="7" t="s">
        <v>747</v>
      </c>
      <c r="BE1728" s="7" t="s">
        <v>127</v>
      </c>
      <c r="BF1728" s="8"/>
      <c r="BG1728" s="8"/>
      <c r="BH1728" s="8"/>
      <c r="BI1728" s="8"/>
      <c r="BJ1728" s="8"/>
      <c r="BK1728" s="8"/>
      <c r="BL1728" s="8"/>
      <c r="BM1728" s="8"/>
      <c r="BN1728" s="8"/>
      <c r="BO1728" s="8"/>
      <c r="BP1728" s="8"/>
      <c r="BQ1728" s="8"/>
      <c r="BR1728" s="8"/>
      <c r="BS1728" s="8"/>
    </row>
    <row r="1729" customFormat="false" ht="15" hidden="false" customHeight="false" outlineLevel="0" collapsed="false">
      <c r="A1729" s="7" t="s">
        <v>11315</v>
      </c>
      <c r="B1729" s="7" t="s">
        <v>11316</v>
      </c>
      <c r="C1729" s="7" t="s">
        <v>11317</v>
      </c>
      <c r="D1729" s="7" t="s">
        <v>11318</v>
      </c>
      <c r="E1729" s="7" t="s">
        <v>6664</v>
      </c>
      <c r="F1729" s="7" t="s">
        <v>6664</v>
      </c>
      <c r="G1729" s="7"/>
      <c r="H1729" s="7"/>
      <c r="I1729" s="7" t="s">
        <v>132</v>
      </c>
      <c r="J1729" s="7" t="s">
        <v>104</v>
      </c>
      <c r="K1729" s="7" t="s">
        <v>105</v>
      </c>
      <c r="L1729" s="7" t="s">
        <v>106</v>
      </c>
      <c r="M1729" s="7"/>
      <c r="N1729" s="7" t="s">
        <v>11319</v>
      </c>
      <c r="O1729" s="7" t="s">
        <v>11319</v>
      </c>
      <c r="P1729" s="7" t="s">
        <v>109</v>
      </c>
      <c r="Q1729" s="7"/>
      <c r="R1729" s="7" t="s">
        <v>109</v>
      </c>
      <c r="S1729" s="7" t="s">
        <v>110</v>
      </c>
      <c r="T1729" s="7" t="n">
        <v>0.422</v>
      </c>
      <c r="U1729" s="7" t="n">
        <v>1</v>
      </c>
      <c r="V1729" s="7" t="s">
        <v>90</v>
      </c>
      <c r="W1729" s="7"/>
      <c r="X1729" s="7" t="s">
        <v>4612</v>
      </c>
      <c r="Y1729" s="7" t="s">
        <v>11319</v>
      </c>
      <c r="Z1729" s="7"/>
      <c r="AA1729" s="7"/>
      <c r="AB1729" s="7"/>
      <c r="AC1729" s="7" t="n">
        <v>5</v>
      </c>
      <c r="AD1729" s="7" t="s">
        <v>743</v>
      </c>
      <c r="AE1729" s="7" t="s">
        <v>744</v>
      </c>
      <c r="AF1729" s="7" t="s">
        <v>11317</v>
      </c>
      <c r="AG1729" s="7" t="s">
        <v>744</v>
      </c>
      <c r="AH1729" s="7" t="s">
        <v>4612</v>
      </c>
      <c r="AI1729" s="7"/>
      <c r="AJ1729" s="7"/>
      <c r="AK1729" s="7"/>
      <c r="AL1729" s="7"/>
      <c r="AM1729" s="7"/>
      <c r="AN1729" s="7"/>
      <c r="AO1729" s="7" t="s">
        <v>744</v>
      </c>
      <c r="AP1729" s="7" t="s">
        <v>11318</v>
      </c>
      <c r="AQ1729" s="7" t="s">
        <v>744</v>
      </c>
      <c r="AR1729" s="7" t="s">
        <v>6664</v>
      </c>
      <c r="AS1729" s="7"/>
      <c r="AT1729" s="7"/>
      <c r="AU1729" s="7"/>
      <c r="AV1729" s="7"/>
      <c r="AW1729" s="7" t="s">
        <v>744</v>
      </c>
      <c r="AX1729" s="7" t="s">
        <v>11319</v>
      </c>
      <c r="AY1729" s="7"/>
      <c r="AZ1729" s="7"/>
      <c r="BA1729" s="7"/>
      <c r="BB1729" s="7"/>
      <c r="BC1729" s="7"/>
      <c r="BD1729" s="7"/>
      <c r="BE1729" s="7" t="s">
        <v>127</v>
      </c>
      <c r="BF1729" s="8"/>
      <c r="BG1729" s="8"/>
      <c r="BH1729" s="8"/>
      <c r="BI1729" s="8"/>
      <c r="BJ1729" s="8"/>
      <c r="BK1729" s="8"/>
      <c r="BL1729" s="8"/>
      <c r="BM1729" s="8"/>
      <c r="BN1729" s="8"/>
      <c r="BO1729" s="8"/>
      <c r="BP1729" s="8"/>
      <c r="BQ1729" s="8"/>
      <c r="BR1729" s="8"/>
      <c r="BS1729" s="8"/>
    </row>
    <row r="1730" customFormat="false" ht="15" hidden="false" customHeight="false" outlineLevel="0" collapsed="false">
      <c r="A1730" s="7" t="s">
        <v>11320</v>
      </c>
      <c r="B1730" s="7" t="s">
        <v>11321</v>
      </c>
      <c r="C1730" s="7" t="s">
        <v>11322</v>
      </c>
      <c r="D1730" s="7" t="s">
        <v>11323</v>
      </c>
      <c r="E1730" s="7" t="s">
        <v>819</v>
      </c>
      <c r="F1730" s="7" t="s">
        <v>819</v>
      </c>
      <c r="G1730" s="7" t="s">
        <v>10135</v>
      </c>
      <c r="H1730" s="7"/>
      <c r="I1730" s="7" t="s">
        <v>158</v>
      </c>
      <c r="J1730" s="7" t="s">
        <v>104</v>
      </c>
      <c r="K1730" s="7" t="s">
        <v>105</v>
      </c>
      <c r="L1730" s="7" t="s">
        <v>106</v>
      </c>
      <c r="M1730" s="7"/>
      <c r="N1730" s="7" t="s">
        <v>11324</v>
      </c>
      <c r="O1730" s="7" t="s">
        <v>11324</v>
      </c>
      <c r="P1730" s="7" t="s">
        <v>135</v>
      </c>
      <c r="Q1730" s="7"/>
      <c r="R1730" s="7" t="s">
        <v>109</v>
      </c>
      <c r="S1730" s="7" t="s">
        <v>110</v>
      </c>
      <c r="T1730" s="7" t="n">
        <v>0.257</v>
      </c>
      <c r="U1730" s="7" t="n">
        <v>1</v>
      </c>
      <c r="V1730" s="7" t="s">
        <v>90</v>
      </c>
      <c r="W1730" s="7"/>
      <c r="X1730" s="7" t="s">
        <v>2279</v>
      </c>
      <c r="Y1730" s="7" t="s">
        <v>11324</v>
      </c>
      <c r="Z1730" s="7"/>
      <c r="AA1730" s="7"/>
      <c r="AB1730" s="7"/>
      <c r="AC1730" s="7" t="n">
        <v>5</v>
      </c>
      <c r="AD1730" s="7" t="s">
        <v>743</v>
      </c>
      <c r="AE1730" s="7" t="s">
        <v>744</v>
      </c>
      <c r="AF1730" s="7" t="s">
        <v>11322</v>
      </c>
      <c r="AG1730" s="7" t="s">
        <v>744</v>
      </c>
      <c r="AH1730" s="7" t="s">
        <v>2279</v>
      </c>
      <c r="AI1730" s="7"/>
      <c r="AJ1730" s="7"/>
      <c r="AK1730" s="7"/>
      <c r="AL1730" s="7"/>
      <c r="AM1730" s="7"/>
      <c r="AN1730" s="7"/>
      <c r="AO1730" s="7" t="s">
        <v>744</v>
      </c>
      <c r="AP1730" s="7" t="s">
        <v>11323</v>
      </c>
      <c r="AQ1730" s="7" t="s">
        <v>744</v>
      </c>
      <c r="AR1730" s="7" t="s">
        <v>819</v>
      </c>
      <c r="AS1730" s="7"/>
      <c r="AT1730" s="7"/>
      <c r="AU1730" s="7"/>
      <c r="AV1730" s="7"/>
      <c r="AW1730" s="7" t="s">
        <v>744</v>
      </c>
      <c r="AX1730" s="7" t="s">
        <v>11324</v>
      </c>
      <c r="AY1730" s="7"/>
      <c r="AZ1730" s="7"/>
      <c r="BA1730" s="7"/>
      <c r="BB1730" s="7"/>
      <c r="BC1730" s="7"/>
      <c r="BD1730" s="7" t="s">
        <v>440</v>
      </c>
      <c r="BE1730" s="7" t="s">
        <v>127</v>
      </c>
      <c r="BF1730" s="8"/>
      <c r="BG1730" s="8"/>
      <c r="BH1730" s="8"/>
      <c r="BI1730" s="8"/>
      <c r="BJ1730" s="8"/>
      <c r="BK1730" s="8"/>
      <c r="BL1730" s="8"/>
      <c r="BM1730" s="8"/>
      <c r="BN1730" s="8"/>
      <c r="BO1730" s="8"/>
      <c r="BP1730" s="8"/>
      <c r="BQ1730" s="8"/>
      <c r="BR1730" s="8"/>
      <c r="BS1730" s="8"/>
    </row>
    <row r="1731" customFormat="false" ht="15" hidden="false" customHeight="false" outlineLevel="0" collapsed="false">
      <c r="A1731" s="7" t="s">
        <v>11325</v>
      </c>
      <c r="B1731" s="7" t="s">
        <v>11326</v>
      </c>
      <c r="C1731" s="7" t="s">
        <v>11327</v>
      </c>
      <c r="D1731" s="7" t="s">
        <v>11328</v>
      </c>
      <c r="E1731" s="7"/>
      <c r="F1731" s="7" t="s">
        <v>101</v>
      </c>
      <c r="G1731" s="7"/>
      <c r="H1731" s="7"/>
      <c r="I1731" s="7" t="s">
        <v>158</v>
      </c>
      <c r="J1731" s="7" t="s">
        <v>104</v>
      </c>
      <c r="K1731" s="7" t="s">
        <v>105</v>
      </c>
      <c r="L1731" s="7" t="s">
        <v>106</v>
      </c>
      <c r="M1731" s="7"/>
      <c r="N1731" s="7" t="s">
        <v>11329</v>
      </c>
      <c r="O1731" s="7"/>
      <c r="P1731" s="7" t="s">
        <v>135</v>
      </c>
      <c r="Q1731" s="7"/>
      <c r="R1731" s="7" t="s">
        <v>135</v>
      </c>
      <c r="S1731" s="7" t="s">
        <v>136</v>
      </c>
      <c r="T1731" s="7" t="n">
        <v>0.573</v>
      </c>
      <c r="U1731" s="7" t="n">
        <v>1</v>
      </c>
      <c r="V1731" s="7" t="s">
        <v>90</v>
      </c>
      <c r="W1731" s="7"/>
      <c r="X1731" s="7" t="s">
        <v>7559</v>
      </c>
      <c r="Y1731" s="7" t="s">
        <v>11329</v>
      </c>
      <c r="Z1731" s="7"/>
      <c r="AA1731" s="7"/>
      <c r="AB1731" s="7"/>
      <c r="AC1731" s="7" t="n">
        <v>4</v>
      </c>
      <c r="AD1731" s="7" t="s">
        <v>7611</v>
      </c>
      <c r="AE1731" s="7" t="s">
        <v>744</v>
      </c>
      <c r="AF1731" s="7" t="s">
        <v>11327</v>
      </c>
      <c r="AG1731" s="7" t="s">
        <v>744</v>
      </c>
      <c r="AH1731" s="7" t="s">
        <v>7559</v>
      </c>
      <c r="AI1731" s="7"/>
      <c r="AJ1731" s="7"/>
      <c r="AK1731" s="7"/>
      <c r="AL1731" s="7"/>
      <c r="AM1731" s="7"/>
      <c r="AN1731" s="7"/>
      <c r="AO1731" s="7" t="s">
        <v>744</v>
      </c>
      <c r="AP1731" s="7" t="s">
        <v>11328</v>
      </c>
      <c r="AQ1731" s="7"/>
      <c r="AR1731" s="7"/>
      <c r="AS1731" s="7"/>
      <c r="AT1731" s="7"/>
      <c r="AU1731" s="7"/>
      <c r="AV1731" s="7"/>
      <c r="AW1731" s="7" t="s">
        <v>744</v>
      </c>
      <c r="AX1731" s="7" t="s">
        <v>11329</v>
      </c>
      <c r="AY1731" s="7"/>
      <c r="AZ1731" s="7"/>
      <c r="BA1731" s="7"/>
      <c r="BB1731" s="7"/>
      <c r="BC1731" s="7"/>
      <c r="BD1731" s="7"/>
      <c r="BE1731" s="7" t="s">
        <v>127</v>
      </c>
      <c r="BF1731" s="8"/>
      <c r="BG1731" s="8"/>
      <c r="BH1731" s="8"/>
      <c r="BI1731" s="8"/>
      <c r="BJ1731" s="8"/>
      <c r="BK1731" s="8"/>
      <c r="BL1731" s="8"/>
      <c r="BM1731" s="8"/>
      <c r="BN1731" s="8"/>
      <c r="BO1731" s="8"/>
      <c r="BP1731" s="8"/>
      <c r="BQ1731" s="8"/>
      <c r="BR1731" s="8"/>
      <c r="BS1731" s="8"/>
    </row>
    <row r="1732" customFormat="false" ht="15" hidden="false" customHeight="false" outlineLevel="0" collapsed="false">
      <c r="A1732" s="7" t="s">
        <v>11330</v>
      </c>
      <c r="B1732" s="7" t="s">
        <v>11331</v>
      </c>
      <c r="C1732" s="7" t="s">
        <v>11332</v>
      </c>
      <c r="D1732" s="7" t="s">
        <v>11333</v>
      </c>
      <c r="E1732" s="7" t="s">
        <v>10998</v>
      </c>
      <c r="F1732" s="7" t="s">
        <v>10998</v>
      </c>
      <c r="G1732" s="7"/>
      <c r="H1732" s="7"/>
      <c r="I1732" s="7" t="s">
        <v>158</v>
      </c>
      <c r="J1732" s="7" t="s">
        <v>104</v>
      </c>
      <c r="K1732" s="7" t="s">
        <v>105</v>
      </c>
      <c r="L1732" s="7" t="s">
        <v>106</v>
      </c>
      <c r="M1732" s="7"/>
      <c r="N1732" s="7" t="s">
        <v>11334</v>
      </c>
      <c r="O1732" s="7" t="s">
        <v>11334</v>
      </c>
      <c r="P1732" s="7" t="s">
        <v>135</v>
      </c>
      <c r="Q1732" s="7"/>
      <c r="R1732" s="7" t="s">
        <v>109</v>
      </c>
      <c r="S1732" s="7" t="s">
        <v>110</v>
      </c>
      <c r="T1732" s="7" t="n">
        <v>0.504</v>
      </c>
      <c r="U1732" s="7" t="n">
        <v>1</v>
      </c>
      <c r="V1732" s="7" t="s">
        <v>90</v>
      </c>
      <c r="W1732" s="7"/>
      <c r="X1732" s="7" t="s">
        <v>7559</v>
      </c>
      <c r="Y1732" s="7" t="s">
        <v>11334</v>
      </c>
      <c r="Z1732" s="7"/>
      <c r="AA1732" s="7"/>
      <c r="AB1732" s="7"/>
      <c r="AC1732" s="7" t="n">
        <v>5</v>
      </c>
      <c r="AD1732" s="7" t="s">
        <v>743</v>
      </c>
      <c r="AE1732" s="7" t="s">
        <v>744</v>
      </c>
      <c r="AF1732" s="7" t="s">
        <v>11332</v>
      </c>
      <c r="AG1732" s="7" t="s">
        <v>744</v>
      </c>
      <c r="AH1732" s="7" t="s">
        <v>7559</v>
      </c>
      <c r="AI1732" s="7"/>
      <c r="AJ1732" s="7"/>
      <c r="AK1732" s="7"/>
      <c r="AL1732" s="7"/>
      <c r="AM1732" s="7"/>
      <c r="AN1732" s="7"/>
      <c r="AO1732" s="7" t="s">
        <v>744</v>
      </c>
      <c r="AP1732" s="7" t="s">
        <v>11333</v>
      </c>
      <c r="AQ1732" s="7" t="s">
        <v>744</v>
      </c>
      <c r="AR1732" s="7" t="s">
        <v>10998</v>
      </c>
      <c r="AS1732" s="7"/>
      <c r="AT1732" s="7"/>
      <c r="AU1732" s="7"/>
      <c r="AV1732" s="7"/>
      <c r="AW1732" s="7" t="s">
        <v>744</v>
      </c>
      <c r="AX1732" s="7" t="s">
        <v>11334</v>
      </c>
      <c r="AY1732" s="7"/>
      <c r="AZ1732" s="7"/>
      <c r="BA1732" s="7"/>
      <c r="BB1732" s="7"/>
      <c r="BC1732" s="7"/>
      <c r="BD1732" s="7" t="s">
        <v>440</v>
      </c>
      <c r="BE1732" s="7" t="s">
        <v>127</v>
      </c>
      <c r="BF1732" s="8"/>
      <c r="BG1732" s="8"/>
      <c r="BH1732" s="8"/>
      <c r="BI1732" s="8"/>
      <c r="BJ1732" s="8"/>
      <c r="BK1732" s="8"/>
      <c r="BL1732" s="8"/>
      <c r="BM1732" s="8"/>
      <c r="BN1732" s="8"/>
      <c r="BO1732" s="8"/>
      <c r="BP1732" s="8"/>
      <c r="BQ1732" s="8"/>
      <c r="BR1732" s="8"/>
      <c r="BS1732" s="8"/>
    </row>
    <row r="1733" customFormat="false" ht="15" hidden="false" customHeight="false" outlineLevel="0" collapsed="false">
      <c r="A1733" s="7" t="s">
        <v>11335</v>
      </c>
      <c r="B1733" s="7" t="s">
        <v>11336</v>
      </c>
      <c r="C1733" s="7" t="s">
        <v>11337</v>
      </c>
      <c r="D1733" s="7" t="s">
        <v>746</v>
      </c>
      <c r="E1733" s="7" t="s">
        <v>741</v>
      </c>
      <c r="F1733" s="7" t="s">
        <v>741</v>
      </c>
      <c r="G1733" s="7"/>
      <c r="H1733" s="7"/>
      <c r="I1733" s="7" t="s">
        <v>158</v>
      </c>
      <c r="J1733" s="7" t="s">
        <v>104</v>
      </c>
      <c r="K1733" s="7" t="s">
        <v>105</v>
      </c>
      <c r="L1733" s="7" t="s">
        <v>106</v>
      </c>
      <c r="M1733" s="7"/>
      <c r="N1733" s="7" t="s">
        <v>11338</v>
      </c>
      <c r="O1733" s="7" t="s">
        <v>11338</v>
      </c>
      <c r="P1733" s="7" t="s">
        <v>135</v>
      </c>
      <c r="Q1733" s="7"/>
      <c r="R1733" s="7" t="s">
        <v>109</v>
      </c>
      <c r="S1733" s="7" t="s">
        <v>110</v>
      </c>
      <c r="T1733" s="7" t="n">
        <v>0.355</v>
      </c>
      <c r="U1733" s="7" t="n">
        <v>1</v>
      </c>
      <c r="V1733" s="7" t="s">
        <v>90</v>
      </c>
      <c r="W1733" s="7"/>
      <c r="X1733" s="7" t="s">
        <v>657</v>
      </c>
      <c r="Y1733" s="7" t="s">
        <v>11338</v>
      </c>
      <c r="Z1733" s="7"/>
      <c r="AA1733" s="7"/>
      <c r="AB1733" s="7"/>
      <c r="AC1733" s="7" t="n">
        <v>5</v>
      </c>
      <c r="AD1733" s="7" t="s">
        <v>743</v>
      </c>
      <c r="AE1733" s="7" t="s">
        <v>744</v>
      </c>
      <c r="AF1733" s="7" t="s">
        <v>11337</v>
      </c>
      <c r="AG1733" s="7" t="s">
        <v>744</v>
      </c>
      <c r="AH1733" s="7" t="s">
        <v>657</v>
      </c>
      <c r="AI1733" s="7"/>
      <c r="AJ1733" s="7"/>
      <c r="AK1733" s="7"/>
      <c r="AL1733" s="7"/>
      <c r="AM1733" s="7"/>
      <c r="AN1733" s="7"/>
      <c r="AO1733" s="7" t="s">
        <v>744</v>
      </c>
      <c r="AP1733" s="7" t="s">
        <v>746</v>
      </c>
      <c r="AQ1733" s="7" t="s">
        <v>744</v>
      </c>
      <c r="AR1733" s="7" t="s">
        <v>741</v>
      </c>
      <c r="AS1733" s="7"/>
      <c r="AT1733" s="7"/>
      <c r="AU1733" s="7"/>
      <c r="AV1733" s="7"/>
      <c r="AW1733" s="7" t="s">
        <v>744</v>
      </c>
      <c r="AX1733" s="7" t="s">
        <v>11338</v>
      </c>
      <c r="AY1733" s="7"/>
      <c r="AZ1733" s="7"/>
      <c r="BA1733" s="7"/>
      <c r="BB1733" s="7"/>
      <c r="BC1733" s="7"/>
      <c r="BD1733" s="7" t="s">
        <v>747</v>
      </c>
      <c r="BE1733" s="7" t="s">
        <v>127</v>
      </c>
      <c r="BF1733" s="8"/>
      <c r="BG1733" s="8"/>
      <c r="BH1733" s="8"/>
      <c r="BI1733" s="8"/>
      <c r="BJ1733" s="8"/>
      <c r="BK1733" s="8"/>
      <c r="BL1733" s="8"/>
      <c r="BM1733" s="8"/>
      <c r="BN1733" s="8"/>
      <c r="BO1733" s="8"/>
      <c r="BP1733" s="8"/>
      <c r="BQ1733" s="8"/>
      <c r="BR1733" s="8"/>
      <c r="BS1733" s="8"/>
    </row>
    <row r="1734" customFormat="false" ht="15" hidden="false" customHeight="false" outlineLevel="0" collapsed="false">
      <c r="A1734" s="7" t="s">
        <v>11339</v>
      </c>
      <c r="B1734" s="7" t="s">
        <v>11340</v>
      </c>
      <c r="C1734" s="7" t="s">
        <v>11341</v>
      </c>
      <c r="D1734" s="7" t="s">
        <v>746</v>
      </c>
      <c r="E1734" s="7" t="s">
        <v>741</v>
      </c>
      <c r="F1734" s="7" t="s">
        <v>741</v>
      </c>
      <c r="G1734" s="7"/>
      <c r="H1734" s="7"/>
      <c r="I1734" s="7" t="s">
        <v>158</v>
      </c>
      <c r="J1734" s="7" t="s">
        <v>104</v>
      </c>
      <c r="K1734" s="7" t="s">
        <v>105</v>
      </c>
      <c r="L1734" s="7" t="s">
        <v>106</v>
      </c>
      <c r="M1734" s="7"/>
      <c r="N1734" s="7" t="s">
        <v>11342</v>
      </c>
      <c r="O1734" s="7" t="s">
        <v>11342</v>
      </c>
      <c r="P1734" s="7" t="s">
        <v>135</v>
      </c>
      <c r="Q1734" s="7"/>
      <c r="R1734" s="7" t="s">
        <v>109</v>
      </c>
      <c r="S1734" s="7" t="s">
        <v>110</v>
      </c>
      <c r="T1734" s="7" t="n">
        <v>0.719</v>
      </c>
      <c r="U1734" s="7" t="n">
        <v>1</v>
      </c>
      <c r="V1734" s="7" t="s">
        <v>90</v>
      </c>
      <c r="W1734" s="7"/>
      <c r="X1734" s="7" t="s">
        <v>9420</v>
      </c>
      <c r="Y1734" s="7" t="s">
        <v>11342</v>
      </c>
      <c r="Z1734" s="7"/>
      <c r="AA1734" s="7"/>
      <c r="AB1734" s="7"/>
      <c r="AC1734" s="7" t="n">
        <v>5</v>
      </c>
      <c r="AD1734" s="7" t="s">
        <v>743</v>
      </c>
      <c r="AE1734" s="7" t="s">
        <v>744</v>
      </c>
      <c r="AF1734" s="7" t="s">
        <v>11341</v>
      </c>
      <c r="AG1734" s="7" t="s">
        <v>744</v>
      </c>
      <c r="AH1734" s="7" t="s">
        <v>9420</v>
      </c>
      <c r="AI1734" s="7"/>
      <c r="AJ1734" s="7"/>
      <c r="AK1734" s="7"/>
      <c r="AL1734" s="7"/>
      <c r="AM1734" s="7"/>
      <c r="AN1734" s="7"/>
      <c r="AO1734" s="7" t="s">
        <v>744</v>
      </c>
      <c r="AP1734" s="7" t="s">
        <v>746</v>
      </c>
      <c r="AQ1734" s="7" t="s">
        <v>744</v>
      </c>
      <c r="AR1734" s="7" t="s">
        <v>741</v>
      </c>
      <c r="AS1734" s="7"/>
      <c r="AT1734" s="7"/>
      <c r="AU1734" s="7"/>
      <c r="AV1734" s="7"/>
      <c r="AW1734" s="7" t="s">
        <v>744</v>
      </c>
      <c r="AX1734" s="7" t="s">
        <v>11342</v>
      </c>
      <c r="AY1734" s="7"/>
      <c r="AZ1734" s="7"/>
      <c r="BA1734" s="7"/>
      <c r="BB1734" s="7"/>
      <c r="BC1734" s="7"/>
      <c r="BD1734" s="7" t="s">
        <v>747</v>
      </c>
      <c r="BE1734" s="7" t="s">
        <v>127</v>
      </c>
      <c r="BF1734" s="8"/>
      <c r="BG1734" s="8"/>
      <c r="BH1734" s="8"/>
      <c r="BI1734" s="8"/>
      <c r="BJ1734" s="8"/>
      <c r="BK1734" s="8"/>
      <c r="BL1734" s="8"/>
      <c r="BM1734" s="8"/>
      <c r="BN1734" s="8"/>
      <c r="BO1734" s="8"/>
      <c r="BP1734" s="8"/>
      <c r="BQ1734" s="8"/>
      <c r="BR1734" s="8"/>
      <c r="BS1734" s="8"/>
    </row>
    <row r="1735" customFormat="false" ht="15" hidden="false" customHeight="false" outlineLevel="0" collapsed="false">
      <c r="A1735" s="7" t="s">
        <v>11343</v>
      </c>
      <c r="B1735" s="7" t="s">
        <v>11344</v>
      </c>
      <c r="C1735" s="7" t="s">
        <v>11345</v>
      </c>
      <c r="D1735" s="7" t="s">
        <v>746</v>
      </c>
      <c r="E1735" s="7" t="s">
        <v>741</v>
      </c>
      <c r="F1735" s="7" t="s">
        <v>741</v>
      </c>
      <c r="G1735" s="7"/>
      <c r="H1735" s="7"/>
      <c r="I1735" s="7" t="s">
        <v>158</v>
      </c>
      <c r="J1735" s="7" t="s">
        <v>104</v>
      </c>
      <c r="K1735" s="7" t="s">
        <v>105</v>
      </c>
      <c r="L1735" s="7" t="s">
        <v>106</v>
      </c>
      <c r="M1735" s="7"/>
      <c r="N1735" s="7" t="s">
        <v>11346</v>
      </c>
      <c r="O1735" s="7" t="s">
        <v>11346</v>
      </c>
      <c r="P1735" s="7" t="s">
        <v>135</v>
      </c>
      <c r="Q1735" s="7"/>
      <c r="R1735" s="7" t="s">
        <v>109</v>
      </c>
      <c r="S1735" s="7" t="s">
        <v>110</v>
      </c>
      <c r="T1735" s="7" t="n">
        <v>0.664</v>
      </c>
      <c r="U1735" s="7" t="n">
        <v>1</v>
      </c>
      <c r="V1735" s="7" t="s">
        <v>90</v>
      </c>
      <c r="W1735" s="7"/>
      <c r="X1735" s="7" t="s">
        <v>9420</v>
      </c>
      <c r="Y1735" s="7" t="s">
        <v>11346</v>
      </c>
      <c r="Z1735" s="7"/>
      <c r="AA1735" s="7"/>
      <c r="AB1735" s="7"/>
      <c r="AC1735" s="7" t="n">
        <v>5</v>
      </c>
      <c r="AD1735" s="7" t="s">
        <v>743</v>
      </c>
      <c r="AE1735" s="7" t="s">
        <v>744</v>
      </c>
      <c r="AF1735" s="7" t="s">
        <v>11345</v>
      </c>
      <c r="AG1735" s="7" t="s">
        <v>744</v>
      </c>
      <c r="AH1735" s="7" t="s">
        <v>9420</v>
      </c>
      <c r="AI1735" s="7"/>
      <c r="AJ1735" s="7"/>
      <c r="AK1735" s="7"/>
      <c r="AL1735" s="7"/>
      <c r="AM1735" s="7"/>
      <c r="AN1735" s="7"/>
      <c r="AO1735" s="7" t="s">
        <v>744</v>
      </c>
      <c r="AP1735" s="7" t="s">
        <v>746</v>
      </c>
      <c r="AQ1735" s="7" t="s">
        <v>744</v>
      </c>
      <c r="AR1735" s="7" t="s">
        <v>741</v>
      </c>
      <c r="AS1735" s="7"/>
      <c r="AT1735" s="7"/>
      <c r="AU1735" s="7"/>
      <c r="AV1735" s="7"/>
      <c r="AW1735" s="7" t="s">
        <v>744</v>
      </c>
      <c r="AX1735" s="7" t="s">
        <v>11346</v>
      </c>
      <c r="AY1735" s="7"/>
      <c r="AZ1735" s="7"/>
      <c r="BA1735" s="7"/>
      <c r="BB1735" s="7"/>
      <c r="BC1735" s="7"/>
      <c r="BD1735" s="7" t="s">
        <v>747</v>
      </c>
      <c r="BE1735" s="7" t="s">
        <v>127</v>
      </c>
      <c r="BF1735" s="8"/>
      <c r="BG1735" s="8"/>
      <c r="BH1735" s="8"/>
      <c r="BI1735" s="8"/>
      <c r="BJ1735" s="8"/>
      <c r="BK1735" s="8"/>
      <c r="BL1735" s="8"/>
      <c r="BM1735" s="8"/>
      <c r="BN1735" s="8"/>
      <c r="BO1735" s="8"/>
      <c r="BP1735" s="8"/>
      <c r="BQ1735" s="8"/>
      <c r="BR1735" s="8"/>
      <c r="BS1735" s="8"/>
    </row>
    <row r="1736" customFormat="false" ht="15" hidden="false" customHeight="false" outlineLevel="0" collapsed="false">
      <c r="A1736" s="7" t="s">
        <v>11347</v>
      </c>
      <c r="B1736" s="7" t="s">
        <v>11348</v>
      </c>
      <c r="C1736" s="7" t="s">
        <v>11349</v>
      </c>
      <c r="D1736" s="7" t="s">
        <v>746</v>
      </c>
      <c r="E1736" s="7" t="s">
        <v>741</v>
      </c>
      <c r="F1736" s="7" t="s">
        <v>741</v>
      </c>
      <c r="G1736" s="7"/>
      <c r="H1736" s="7"/>
      <c r="I1736" s="7" t="s">
        <v>158</v>
      </c>
      <c r="J1736" s="7" t="s">
        <v>104</v>
      </c>
      <c r="K1736" s="7" t="s">
        <v>105</v>
      </c>
      <c r="L1736" s="7" t="s">
        <v>106</v>
      </c>
      <c r="M1736" s="7"/>
      <c r="N1736" s="7" t="s">
        <v>11350</v>
      </c>
      <c r="O1736" s="7" t="s">
        <v>11350</v>
      </c>
      <c r="P1736" s="7" t="s">
        <v>135</v>
      </c>
      <c r="Q1736" s="7"/>
      <c r="R1736" s="7" t="s">
        <v>109</v>
      </c>
      <c r="S1736" s="7" t="s">
        <v>110</v>
      </c>
      <c r="T1736" s="7" t="n">
        <v>0.542</v>
      </c>
      <c r="U1736" s="7" t="n">
        <v>1</v>
      </c>
      <c r="V1736" s="7" t="s">
        <v>90</v>
      </c>
      <c r="W1736" s="7"/>
      <c r="X1736" s="7" t="s">
        <v>9420</v>
      </c>
      <c r="Y1736" s="7" t="s">
        <v>11350</v>
      </c>
      <c r="Z1736" s="7"/>
      <c r="AA1736" s="7"/>
      <c r="AB1736" s="7"/>
      <c r="AC1736" s="7" t="n">
        <v>5</v>
      </c>
      <c r="AD1736" s="7" t="s">
        <v>743</v>
      </c>
      <c r="AE1736" s="7" t="s">
        <v>744</v>
      </c>
      <c r="AF1736" s="7" t="s">
        <v>11349</v>
      </c>
      <c r="AG1736" s="7" t="s">
        <v>744</v>
      </c>
      <c r="AH1736" s="7" t="s">
        <v>9420</v>
      </c>
      <c r="AI1736" s="7"/>
      <c r="AJ1736" s="7"/>
      <c r="AK1736" s="7"/>
      <c r="AL1736" s="7"/>
      <c r="AM1736" s="7"/>
      <c r="AN1736" s="7"/>
      <c r="AO1736" s="7" t="s">
        <v>744</v>
      </c>
      <c r="AP1736" s="7" t="s">
        <v>746</v>
      </c>
      <c r="AQ1736" s="7" t="s">
        <v>744</v>
      </c>
      <c r="AR1736" s="7" t="s">
        <v>741</v>
      </c>
      <c r="AS1736" s="7"/>
      <c r="AT1736" s="7"/>
      <c r="AU1736" s="7"/>
      <c r="AV1736" s="7"/>
      <c r="AW1736" s="7" t="s">
        <v>744</v>
      </c>
      <c r="AX1736" s="7" t="s">
        <v>11350</v>
      </c>
      <c r="AY1736" s="7"/>
      <c r="AZ1736" s="7"/>
      <c r="BA1736" s="7"/>
      <c r="BB1736" s="7"/>
      <c r="BC1736" s="7"/>
      <c r="BD1736" s="7" t="s">
        <v>747</v>
      </c>
      <c r="BE1736" s="7" t="s">
        <v>127</v>
      </c>
      <c r="BF1736" s="8"/>
      <c r="BG1736" s="8"/>
      <c r="BH1736" s="8"/>
      <c r="BI1736" s="8"/>
      <c r="BJ1736" s="8"/>
      <c r="BK1736" s="8"/>
      <c r="BL1736" s="8"/>
      <c r="BM1736" s="8"/>
      <c r="BN1736" s="8"/>
      <c r="BO1736" s="8"/>
      <c r="BP1736" s="8"/>
      <c r="BQ1736" s="8"/>
      <c r="BR1736" s="8"/>
      <c r="BS1736" s="8"/>
    </row>
    <row r="1737" customFormat="false" ht="15" hidden="false" customHeight="false" outlineLevel="0" collapsed="false">
      <c r="A1737" s="7" t="s">
        <v>11351</v>
      </c>
      <c r="B1737" s="7" t="s">
        <v>11352</v>
      </c>
      <c r="C1737" s="7" t="s">
        <v>11353</v>
      </c>
      <c r="D1737" s="7" t="s">
        <v>746</v>
      </c>
      <c r="E1737" s="7" t="s">
        <v>741</v>
      </c>
      <c r="F1737" s="7" t="s">
        <v>741</v>
      </c>
      <c r="G1737" s="7"/>
      <c r="H1737" s="7"/>
      <c r="I1737" s="7" t="s">
        <v>158</v>
      </c>
      <c r="J1737" s="7" t="s">
        <v>104</v>
      </c>
      <c r="K1737" s="7" t="s">
        <v>105</v>
      </c>
      <c r="L1737" s="7" t="s">
        <v>106</v>
      </c>
      <c r="M1737" s="7"/>
      <c r="N1737" s="7" t="s">
        <v>11354</v>
      </c>
      <c r="O1737" s="7" t="s">
        <v>11354</v>
      </c>
      <c r="P1737" s="7" t="s">
        <v>135</v>
      </c>
      <c r="Q1737" s="7"/>
      <c r="R1737" s="7" t="s">
        <v>109</v>
      </c>
      <c r="S1737" s="7" t="s">
        <v>110</v>
      </c>
      <c r="T1737" s="7" t="n">
        <v>0.718</v>
      </c>
      <c r="U1737" s="7" t="n">
        <v>1</v>
      </c>
      <c r="V1737" s="7" t="s">
        <v>90</v>
      </c>
      <c r="W1737" s="7"/>
      <c r="X1737" s="7" t="s">
        <v>9420</v>
      </c>
      <c r="Y1737" s="7" t="s">
        <v>11354</v>
      </c>
      <c r="Z1737" s="7"/>
      <c r="AA1737" s="7"/>
      <c r="AB1737" s="7"/>
      <c r="AC1737" s="7" t="n">
        <v>5</v>
      </c>
      <c r="AD1737" s="7" t="s">
        <v>743</v>
      </c>
      <c r="AE1737" s="7" t="s">
        <v>744</v>
      </c>
      <c r="AF1737" s="7" t="s">
        <v>11353</v>
      </c>
      <c r="AG1737" s="7" t="s">
        <v>744</v>
      </c>
      <c r="AH1737" s="7" t="s">
        <v>9420</v>
      </c>
      <c r="AI1737" s="7"/>
      <c r="AJ1737" s="7"/>
      <c r="AK1737" s="7"/>
      <c r="AL1737" s="7"/>
      <c r="AM1737" s="7"/>
      <c r="AN1737" s="7"/>
      <c r="AO1737" s="7" t="s">
        <v>744</v>
      </c>
      <c r="AP1737" s="7" t="s">
        <v>746</v>
      </c>
      <c r="AQ1737" s="7" t="s">
        <v>744</v>
      </c>
      <c r="AR1737" s="7" t="s">
        <v>741</v>
      </c>
      <c r="AS1737" s="7"/>
      <c r="AT1737" s="7"/>
      <c r="AU1737" s="7"/>
      <c r="AV1737" s="7"/>
      <c r="AW1737" s="7" t="s">
        <v>744</v>
      </c>
      <c r="AX1737" s="7" t="s">
        <v>11354</v>
      </c>
      <c r="AY1737" s="7"/>
      <c r="AZ1737" s="7"/>
      <c r="BA1737" s="7"/>
      <c r="BB1737" s="7"/>
      <c r="BC1737" s="7"/>
      <c r="BD1737" s="7" t="s">
        <v>747</v>
      </c>
      <c r="BE1737" s="7" t="s">
        <v>127</v>
      </c>
      <c r="BF1737" s="8"/>
      <c r="BG1737" s="8"/>
      <c r="BH1737" s="8"/>
      <c r="BI1737" s="8"/>
      <c r="BJ1737" s="8"/>
      <c r="BK1737" s="8"/>
      <c r="BL1737" s="8"/>
      <c r="BM1737" s="8"/>
      <c r="BN1737" s="8"/>
      <c r="BO1737" s="8"/>
      <c r="BP1737" s="8"/>
      <c r="BQ1737" s="8"/>
      <c r="BR1737" s="8"/>
      <c r="BS1737" s="8"/>
    </row>
    <row r="1738" customFormat="false" ht="15" hidden="false" customHeight="false" outlineLevel="0" collapsed="false">
      <c r="A1738" s="7" t="s">
        <v>11355</v>
      </c>
      <c r="B1738" s="7" t="s">
        <v>11356</v>
      </c>
      <c r="C1738" s="7" t="s">
        <v>11357</v>
      </c>
      <c r="D1738" s="7" t="s">
        <v>746</v>
      </c>
      <c r="E1738" s="7" t="s">
        <v>741</v>
      </c>
      <c r="F1738" s="7" t="s">
        <v>741</v>
      </c>
      <c r="G1738" s="7"/>
      <c r="H1738" s="7"/>
      <c r="I1738" s="7" t="s">
        <v>158</v>
      </c>
      <c r="J1738" s="7" t="s">
        <v>104</v>
      </c>
      <c r="K1738" s="7" t="s">
        <v>105</v>
      </c>
      <c r="L1738" s="7" t="s">
        <v>106</v>
      </c>
      <c r="M1738" s="7"/>
      <c r="N1738" s="7" t="s">
        <v>11358</v>
      </c>
      <c r="O1738" s="7" t="s">
        <v>11358</v>
      </c>
      <c r="P1738" s="7" t="s">
        <v>135</v>
      </c>
      <c r="Q1738" s="7"/>
      <c r="R1738" s="7" t="s">
        <v>109</v>
      </c>
      <c r="S1738" s="7" t="s">
        <v>110</v>
      </c>
      <c r="T1738" s="7" t="n">
        <v>0.641</v>
      </c>
      <c r="U1738" s="7" t="n">
        <v>1</v>
      </c>
      <c r="V1738" s="7" t="s">
        <v>90</v>
      </c>
      <c r="W1738" s="7"/>
      <c r="X1738" s="7" t="s">
        <v>9420</v>
      </c>
      <c r="Y1738" s="7" t="s">
        <v>11358</v>
      </c>
      <c r="Z1738" s="7"/>
      <c r="AA1738" s="7"/>
      <c r="AB1738" s="7"/>
      <c r="AC1738" s="7" t="n">
        <v>5</v>
      </c>
      <c r="AD1738" s="7" t="s">
        <v>743</v>
      </c>
      <c r="AE1738" s="7" t="s">
        <v>744</v>
      </c>
      <c r="AF1738" s="7" t="s">
        <v>11357</v>
      </c>
      <c r="AG1738" s="7" t="s">
        <v>744</v>
      </c>
      <c r="AH1738" s="7" t="s">
        <v>9420</v>
      </c>
      <c r="AI1738" s="7"/>
      <c r="AJ1738" s="7"/>
      <c r="AK1738" s="7"/>
      <c r="AL1738" s="7"/>
      <c r="AM1738" s="7"/>
      <c r="AN1738" s="7"/>
      <c r="AO1738" s="7" t="s">
        <v>744</v>
      </c>
      <c r="AP1738" s="7" t="s">
        <v>746</v>
      </c>
      <c r="AQ1738" s="7" t="s">
        <v>744</v>
      </c>
      <c r="AR1738" s="7" t="s">
        <v>741</v>
      </c>
      <c r="AS1738" s="7"/>
      <c r="AT1738" s="7"/>
      <c r="AU1738" s="7"/>
      <c r="AV1738" s="7"/>
      <c r="AW1738" s="7" t="s">
        <v>744</v>
      </c>
      <c r="AX1738" s="7" t="s">
        <v>11358</v>
      </c>
      <c r="AY1738" s="7"/>
      <c r="AZ1738" s="7"/>
      <c r="BA1738" s="7"/>
      <c r="BB1738" s="7"/>
      <c r="BC1738" s="7"/>
      <c r="BD1738" s="7" t="s">
        <v>747</v>
      </c>
      <c r="BE1738" s="7" t="s">
        <v>127</v>
      </c>
      <c r="BF1738" s="8"/>
      <c r="BG1738" s="8"/>
      <c r="BH1738" s="8"/>
      <c r="BI1738" s="8"/>
      <c r="BJ1738" s="8"/>
      <c r="BK1738" s="8"/>
      <c r="BL1738" s="8"/>
      <c r="BM1738" s="8"/>
      <c r="BN1738" s="8"/>
      <c r="BO1738" s="8"/>
      <c r="BP1738" s="8"/>
      <c r="BQ1738" s="8"/>
      <c r="BR1738" s="8"/>
      <c r="BS1738" s="8"/>
    </row>
    <row r="1739" customFormat="false" ht="15" hidden="false" customHeight="false" outlineLevel="0" collapsed="false">
      <c r="A1739" s="7" t="s">
        <v>11359</v>
      </c>
      <c r="B1739" s="7" t="s">
        <v>11360</v>
      </c>
      <c r="C1739" s="7" t="s">
        <v>11361</v>
      </c>
      <c r="D1739" s="7" t="s">
        <v>11362</v>
      </c>
      <c r="E1739" s="7" t="s">
        <v>737</v>
      </c>
      <c r="F1739" s="7" t="s">
        <v>737</v>
      </c>
      <c r="G1739" s="7"/>
      <c r="H1739" s="7"/>
      <c r="I1739" s="7" t="s">
        <v>132</v>
      </c>
      <c r="J1739" s="7" t="s">
        <v>104</v>
      </c>
      <c r="K1739" s="7" t="s">
        <v>105</v>
      </c>
      <c r="L1739" s="7" t="s">
        <v>106</v>
      </c>
      <c r="M1739" s="7"/>
      <c r="N1739" s="7" t="s">
        <v>11363</v>
      </c>
      <c r="O1739" s="7"/>
      <c r="P1739" s="7" t="s">
        <v>135</v>
      </c>
      <c r="Q1739" s="7"/>
      <c r="R1739" s="7" t="s">
        <v>135</v>
      </c>
      <c r="S1739" s="7" t="s">
        <v>136</v>
      </c>
      <c r="T1739" s="7" t="n">
        <v>0.459</v>
      </c>
      <c r="U1739" s="7" t="n">
        <v>1</v>
      </c>
      <c r="V1739" s="7" t="s">
        <v>90</v>
      </c>
      <c r="W1739" s="7"/>
      <c r="X1739" s="7" t="s">
        <v>11364</v>
      </c>
      <c r="Y1739" s="7" t="s">
        <v>11363</v>
      </c>
      <c r="Z1739" s="7"/>
      <c r="AA1739" s="7"/>
      <c r="AB1739" s="7"/>
      <c r="AC1739" s="7" t="n">
        <v>6</v>
      </c>
      <c r="AD1739" s="7" t="s">
        <v>1235</v>
      </c>
      <c r="AE1739" s="7" t="s">
        <v>744</v>
      </c>
      <c r="AF1739" s="7" t="s">
        <v>11361</v>
      </c>
      <c r="AG1739" s="7" t="s">
        <v>744</v>
      </c>
      <c r="AH1739" s="7" t="s">
        <v>11364</v>
      </c>
      <c r="AI1739" s="7"/>
      <c r="AJ1739" s="7"/>
      <c r="AK1739" s="7"/>
      <c r="AL1739" s="7"/>
      <c r="AM1739" s="7" t="s">
        <v>744</v>
      </c>
      <c r="AN1739" s="7" t="s">
        <v>11365</v>
      </c>
      <c r="AO1739" s="7" t="s">
        <v>744</v>
      </c>
      <c r="AP1739" s="7" t="s">
        <v>11362</v>
      </c>
      <c r="AQ1739" s="7" t="s">
        <v>744</v>
      </c>
      <c r="AR1739" s="7" t="s">
        <v>737</v>
      </c>
      <c r="AS1739" s="7"/>
      <c r="AT1739" s="7"/>
      <c r="AU1739" s="7"/>
      <c r="AV1739" s="7"/>
      <c r="AW1739" s="7" t="s">
        <v>744</v>
      </c>
      <c r="AX1739" s="7" t="s">
        <v>11363</v>
      </c>
      <c r="AY1739" s="7"/>
      <c r="AZ1739" s="7"/>
      <c r="BA1739" s="7"/>
      <c r="BB1739" s="7"/>
      <c r="BC1739" s="7"/>
      <c r="BD1739" s="7"/>
      <c r="BE1739" s="7" t="s">
        <v>127</v>
      </c>
      <c r="BF1739" s="8"/>
      <c r="BG1739" s="8"/>
      <c r="BH1739" s="8"/>
      <c r="BI1739" s="8"/>
      <c r="BJ1739" s="8"/>
      <c r="BK1739" s="8"/>
      <c r="BL1739" s="8"/>
      <c r="BM1739" s="8"/>
      <c r="BN1739" s="8"/>
      <c r="BO1739" s="8"/>
      <c r="BP1739" s="8"/>
      <c r="BQ1739" s="8"/>
      <c r="BR1739" s="8"/>
      <c r="BS1739" s="8"/>
    </row>
    <row r="1740" customFormat="false" ht="15" hidden="false" customHeight="false" outlineLevel="0" collapsed="false">
      <c r="A1740" s="7" t="s">
        <v>11366</v>
      </c>
      <c r="B1740" s="7" t="s">
        <v>11367</v>
      </c>
      <c r="C1740" s="7" t="s">
        <v>11368</v>
      </c>
      <c r="D1740" s="7" t="s">
        <v>11369</v>
      </c>
      <c r="E1740" s="7" t="s">
        <v>1966</v>
      </c>
      <c r="F1740" s="7" t="s">
        <v>1966</v>
      </c>
      <c r="G1740" s="7"/>
      <c r="H1740" s="7"/>
      <c r="I1740" s="7" t="s">
        <v>132</v>
      </c>
      <c r="J1740" s="7" t="s">
        <v>104</v>
      </c>
      <c r="K1740" s="7" t="s">
        <v>105</v>
      </c>
      <c r="L1740" s="7" t="s">
        <v>106</v>
      </c>
      <c r="M1740" s="7"/>
      <c r="N1740" s="7" t="s">
        <v>11370</v>
      </c>
      <c r="O1740" s="7" t="s">
        <v>11370</v>
      </c>
      <c r="P1740" s="7" t="s">
        <v>135</v>
      </c>
      <c r="Q1740" s="7"/>
      <c r="R1740" s="7" t="s">
        <v>109</v>
      </c>
      <c r="S1740" s="7" t="s">
        <v>110</v>
      </c>
      <c r="T1740" s="7" t="n">
        <v>0.693</v>
      </c>
      <c r="U1740" s="7" t="n">
        <v>1</v>
      </c>
      <c r="V1740" s="7" t="s">
        <v>90</v>
      </c>
      <c r="W1740" s="7"/>
      <c r="X1740" s="7" t="s">
        <v>11364</v>
      </c>
      <c r="Y1740" s="7" t="s">
        <v>11370</v>
      </c>
      <c r="Z1740" s="7"/>
      <c r="AA1740" s="7"/>
      <c r="AB1740" s="7"/>
      <c r="AC1740" s="7" t="n">
        <v>5</v>
      </c>
      <c r="AD1740" s="7" t="s">
        <v>743</v>
      </c>
      <c r="AE1740" s="7" t="s">
        <v>744</v>
      </c>
      <c r="AF1740" s="7" t="s">
        <v>11368</v>
      </c>
      <c r="AG1740" s="7" t="s">
        <v>744</v>
      </c>
      <c r="AH1740" s="7" t="s">
        <v>11364</v>
      </c>
      <c r="AI1740" s="7"/>
      <c r="AJ1740" s="7"/>
      <c r="AK1740" s="7"/>
      <c r="AL1740" s="7"/>
      <c r="AM1740" s="7"/>
      <c r="AN1740" s="7"/>
      <c r="AO1740" s="7" t="s">
        <v>744</v>
      </c>
      <c r="AP1740" s="7" t="s">
        <v>11369</v>
      </c>
      <c r="AQ1740" s="7" t="s">
        <v>744</v>
      </c>
      <c r="AR1740" s="7" t="s">
        <v>1966</v>
      </c>
      <c r="AS1740" s="7"/>
      <c r="AT1740" s="7"/>
      <c r="AU1740" s="7"/>
      <c r="AV1740" s="7"/>
      <c r="AW1740" s="7" t="s">
        <v>744</v>
      </c>
      <c r="AX1740" s="7" t="s">
        <v>11370</v>
      </c>
      <c r="AY1740" s="7"/>
      <c r="AZ1740" s="7"/>
      <c r="BA1740" s="7"/>
      <c r="BB1740" s="7"/>
      <c r="BC1740" s="7"/>
      <c r="BD1740" s="7" t="s">
        <v>440</v>
      </c>
      <c r="BE1740" s="7" t="s">
        <v>127</v>
      </c>
      <c r="BF1740" s="8"/>
      <c r="BG1740" s="8"/>
      <c r="BH1740" s="8"/>
      <c r="BI1740" s="8"/>
      <c r="BJ1740" s="8"/>
      <c r="BK1740" s="8"/>
      <c r="BL1740" s="8"/>
      <c r="BM1740" s="8"/>
      <c r="BN1740" s="8"/>
      <c r="BO1740" s="8"/>
      <c r="BP1740" s="8"/>
      <c r="BQ1740" s="8"/>
      <c r="BR1740" s="8"/>
      <c r="BS1740" s="8"/>
    </row>
    <row r="1741" customFormat="false" ht="15" hidden="false" customHeight="false" outlineLevel="0" collapsed="false">
      <c r="A1741" s="7" t="s">
        <v>11371</v>
      </c>
      <c r="B1741" s="7" t="s">
        <v>11372</v>
      </c>
      <c r="C1741" s="7" t="s">
        <v>11373</v>
      </c>
      <c r="D1741" s="7" t="s">
        <v>11374</v>
      </c>
      <c r="E1741" s="7" t="s">
        <v>737</v>
      </c>
      <c r="F1741" s="7" t="s">
        <v>737</v>
      </c>
      <c r="G1741" s="7"/>
      <c r="H1741" s="7"/>
      <c r="I1741" s="7" t="s">
        <v>158</v>
      </c>
      <c r="J1741" s="7" t="s">
        <v>104</v>
      </c>
      <c r="K1741" s="7" t="s">
        <v>105</v>
      </c>
      <c r="L1741" s="7" t="s">
        <v>106</v>
      </c>
      <c r="M1741" s="7"/>
      <c r="N1741" s="7" t="s">
        <v>11375</v>
      </c>
      <c r="O1741" s="7" t="s">
        <v>11375</v>
      </c>
      <c r="P1741" s="7" t="s">
        <v>135</v>
      </c>
      <c r="Q1741" s="7"/>
      <c r="R1741" s="7" t="s">
        <v>109</v>
      </c>
      <c r="S1741" s="7" t="s">
        <v>110</v>
      </c>
      <c r="T1741" s="7" t="n">
        <v>0.543</v>
      </c>
      <c r="U1741" s="7" t="n">
        <v>1</v>
      </c>
      <c r="V1741" s="7" t="s">
        <v>90</v>
      </c>
      <c r="W1741" s="7"/>
      <c r="X1741" s="7" t="s">
        <v>713</v>
      </c>
      <c r="Y1741" s="7" t="s">
        <v>11375</v>
      </c>
      <c r="Z1741" s="7"/>
      <c r="AA1741" s="7"/>
      <c r="AB1741" s="7"/>
      <c r="AC1741" s="7" t="n">
        <v>5</v>
      </c>
      <c r="AD1741" s="7" t="s">
        <v>743</v>
      </c>
      <c r="AE1741" s="7" t="s">
        <v>744</v>
      </c>
      <c r="AF1741" s="7" t="s">
        <v>11373</v>
      </c>
      <c r="AG1741" s="7" t="s">
        <v>744</v>
      </c>
      <c r="AH1741" s="7" t="s">
        <v>713</v>
      </c>
      <c r="AI1741" s="7"/>
      <c r="AJ1741" s="7"/>
      <c r="AK1741" s="7"/>
      <c r="AL1741" s="7"/>
      <c r="AM1741" s="7"/>
      <c r="AN1741" s="7"/>
      <c r="AO1741" s="7" t="s">
        <v>744</v>
      </c>
      <c r="AP1741" s="7" t="s">
        <v>11374</v>
      </c>
      <c r="AQ1741" s="7" t="s">
        <v>744</v>
      </c>
      <c r="AR1741" s="7" t="s">
        <v>737</v>
      </c>
      <c r="AS1741" s="7"/>
      <c r="AT1741" s="7"/>
      <c r="AU1741" s="7"/>
      <c r="AV1741" s="7"/>
      <c r="AW1741" s="7" t="s">
        <v>744</v>
      </c>
      <c r="AX1741" s="7" t="s">
        <v>11375</v>
      </c>
      <c r="AY1741" s="7"/>
      <c r="AZ1741" s="7"/>
      <c r="BA1741" s="7"/>
      <c r="BB1741" s="7"/>
      <c r="BC1741" s="7"/>
      <c r="BD1741" s="7" t="s">
        <v>440</v>
      </c>
      <c r="BE1741" s="7" t="s">
        <v>127</v>
      </c>
      <c r="BF1741" s="8"/>
      <c r="BG1741" s="8"/>
      <c r="BH1741" s="8"/>
      <c r="BI1741" s="8"/>
      <c r="BJ1741" s="8"/>
      <c r="BK1741" s="8"/>
      <c r="BL1741" s="8"/>
      <c r="BM1741" s="8"/>
      <c r="BN1741" s="8"/>
      <c r="BO1741" s="8"/>
      <c r="BP1741" s="8"/>
      <c r="BQ1741" s="8"/>
      <c r="BR1741" s="8"/>
      <c r="BS1741" s="8"/>
    </row>
    <row r="1742" customFormat="false" ht="15" hidden="false" customHeight="false" outlineLevel="0" collapsed="false">
      <c r="A1742" s="7" t="s">
        <v>11376</v>
      </c>
      <c r="B1742" s="7" t="s">
        <v>11377</v>
      </c>
      <c r="C1742" s="7" t="s">
        <v>11378</v>
      </c>
      <c r="D1742" s="7" t="s">
        <v>746</v>
      </c>
      <c r="E1742" s="7" t="s">
        <v>741</v>
      </c>
      <c r="F1742" s="7" t="s">
        <v>741</v>
      </c>
      <c r="G1742" s="7"/>
      <c r="H1742" s="7"/>
      <c r="I1742" s="7" t="s">
        <v>158</v>
      </c>
      <c r="J1742" s="7" t="s">
        <v>104</v>
      </c>
      <c r="K1742" s="7" t="s">
        <v>105</v>
      </c>
      <c r="L1742" s="7" t="s">
        <v>353</v>
      </c>
      <c r="M1742" s="7"/>
      <c r="N1742" s="7" t="s">
        <v>11379</v>
      </c>
      <c r="O1742" s="7" t="s">
        <v>11379</v>
      </c>
      <c r="P1742" s="7" t="s">
        <v>135</v>
      </c>
      <c r="Q1742" s="7"/>
      <c r="R1742" s="7" t="s">
        <v>109</v>
      </c>
      <c r="S1742" s="7" t="s">
        <v>110</v>
      </c>
      <c r="T1742" s="7" t="n">
        <v>0.442</v>
      </c>
      <c r="U1742" s="7" t="n">
        <v>1</v>
      </c>
      <c r="V1742" s="7" t="s">
        <v>90</v>
      </c>
      <c r="W1742" s="7"/>
      <c r="X1742" s="7" t="s">
        <v>713</v>
      </c>
      <c r="Y1742" s="7" t="s">
        <v>11379</v>
      </c>
      <c r="Z1742" s="7"/>
      <c r="AA1742" s="7"/>
      <c r="AB1742" s="7"/>
      <c r="AC1742" s="7" t="n">
        <v>5</v>
      </c>
      <c r="AD1742" s="7" t="s">
        <v>743</v>
      </c>
      <c r="AE1742" s="7" t="s">
        <v>744</v>
      </c>
      <c r="AF1742" s="7" t="s">
        <v>11378</v>
      </c>
      <c r="AG1742" s="7" t="s">
        <v>744</v>
      </c>
      <c r="AH1742" s="7" t="s">
        <v>713</v>
      </c>
      <c r="AI1742" s="7"/>
      <c r="AJ1742" s="7"/>
      <c r="AK1742" s="7"/>
      <c r="AL1742" s="7"/>
      <c r="AM1742" s="7"/>
      <c r="AN1742" s="7"/>
      <c r="AO1742" s="7" t="s">
        <v>744</v>
      </c>
      <c r="AP1742" s="7" t="s">
        <v>746</v>
      </c>
      <c r="AQ1742" s="7" t="s">
        <v>744</v>
      </c>
      <c r="AR1742" s="7" t="s">
        <v>741</v>
      </c>
      <c r="AS1742" s="7"/>
      <c r="AT1742" s="7"/>
      <c r="AU1742" s="7"/>
      <c r="AV1742" s="7"/>
      <c r="AW1742" s="7" t="s">
        <v>744</v>
      </c>
      <c r="AX1742" s="7" t="s">
        <v>11379</v>
      </c>
      <c r="AY1742" s="7"/>
      <c r="AZ1742" s="7"/>
      <c r="BA1742" s="7"/>
      <c r="BB1742" s="7"/>
      <c r="BC1742" s="7"/>
      <c r="BD1742" s="7" t="s">
        <v>747</v>
      </c>
      <c r="BE1742" s="7" t="s">
        <v>127</v>
      </c>
      <c r="BF1742" s="8"/>
      <c r="BG1742" s="8"/>
      <c r="BH1742" s="8"/>
      <c r="BI1742" s="8"/>
      <c r="BJ1742" s="8"/>
      <c r="BK1742" s="8"/>
      <c r="BL1742" s="8"/>
      <c r="BM1742" s="8"/>
      <c r="BN1742" s="8"/>
      <c r="BO1742" s="8"/>
      <c r="BP1742" s="8"/>
      <c r="BQ1742" s="8"/>
      <c r="BR1742" s="8"/>
      <c r="BS1742" s="8"/>
    </row>
    <row r="1743" customFormat="false" ht="15" hidden="false" customHeight="false" outlineLevel="0" collapsed="false">
      <c r="A1743" s="7" t="s">
        <v>11380</v>
      </c>
      <c r="B1743" s="7" t="s">
        <v>11381</v>
      </c>
      <c r="C1743" s="7" t="s">
        <v>11382</v>
      </c>
      <c r="D1743" s="7" t="s">
        <v>746</v>
      </c>
      <c r="E1743" s="7" t="s">
        <v>741</v>
      </c>
      <c r="F1743" s="7" t="s">
        <v>741</v>
      </c>
      <c r="G1743" s="7"/>
      <c r="H1743" s="7"/>
      <c r="I1743" s="7" t="s">
        <v>158</v>
      </c>
      <c r="J1743" s="7" t="s">
        <v>104</v>
      </c>
      <c r="K1743" s="7" t="s">
        <v>105</v>
      </c>
      <c r="L1743" s="7" t="s">
        <v>106</v>
      </c>
      <c r="M1743" s="7"/>
      <c r="N1743" s="7" t="s">
        <v>11383</v>
      </c>
      <c r="O1743" s="7" t="s">
        <v>11383</v>
      </c>
      <c r="P1743" s="7" t="s">
        <v>135</v>
      </c>
      <c r="Q1743" s="7"/>
      <c r="R1743" s="7" t="s">
        <v>109</v>
      </c>
      <c r="S1743" s="7" t="s">
        <v>110</v>
      </c>
      <c r="T1743" s="7" t="n">
        <v>0.427</v>
      </c>
      <c r="U1743" s="7" t="n">
        <v>1</v>
      </c>
      <c r="V1743" s="7" t="s">
        <v>90</v>
      </c>
      <c r="W1743" s="7"/>
      <c r="X1743" s="7" t="s">
        <v>163</v>
      </c>
      <c r="Y1743" s="7" t="s">
        <v>11383</v>
      </c>
      <c r="Z1743" s="7"/>
      <c r="AA1743" s="7"/>
      <c r="AB1743" s="7"/>
      <c r="AC1743" s="7" t="n">
        <v>5</v>
      </c>
      <c r="AD1743" s="7" t="s">
        <v>743</v>
      </c>
      <c r="AE1743" s="7" t="s">
        <v>744</v>
      </c>
      <c r="AF1743" s="7" t="s">
        <v>11382</v>
      </c>
      <c r="AG1743" s="7" t="s">
        <v>744</v>
      </c>
      <c r="AH1743" s="7" t="s">
        <v>163</v>
      </c>
      <c r="AI1743" s="7"/>
      <c r="AJ1743" s="7"/>
      <c r="AK1743" s="7"/>
      <c r="AL1743" s="7"/>
      <c r="AM1743" s="7"/>
      <c r="AN1743" s="7"/>
      <c r="AO1743" s="7" t="s">
        <v>744</v>
      </c>
      <c r="AP1743" s="7" t="s">
        <v>746</v>
      </c>
      <c r="AQ1743" s="7" t="s">
        <v>744</v>
      </c>
      <c r="AR1743" s="7" t="s">
        <v>741</v>
      </c>
      <c r="AS1743" s="7"/>
      <c r="AT1743" s="7"/>
      <c r="AU1743" s="7"/>
      <c r="AV1743" s="7"/>
      <c r="AW1743" s="7" t="s">
        <v>744</v>
      </c>
      <c r="AX1743" s="7" t="s">
        <v>11383</v>
      </c>
      <c r="AY1743" s="7"/>
      <c r="AZ1743" s="7"/>
      <c r="BA1743" s="7"/>
      <c r="BB1743" s="7"/>
      <c r="BC1743" s="7"/>
      <c r="BD1743" s="7" t="s">
        <v>747</v>
      </c>
      <c r="BE1743" s="7" t="s">
        <v>127</v>
      </c>
      <c r="BF1743" s="8"/>
      <c r="BG1743" s="8"/>
      <c r="BH1743" s="8"/>
      <c r="BI1743" s="8"/>
      <c r="BJ1743" s="8"/>
      <c r="BK1743" s="8"/>
      <c r="BL1743" s="8"/>
      <c r="BM1743" s="8"/>
      <c r="BN1743" s="8"/>
      <c r="BO1743" s="8"/>
      <c r="BP1743" s="8"/>
      <c r="BQ1743" s="8"/>
      <c r="BR1743" s="8"/>
      <c r="BS1743" s="8"/>
    </row>
    <row r="1744" customFormat="false" ht="15" hidden="false" customHeight="false" outlineLevel="0" collapsed="false">
      <c r="A1744" s="7" t="s">
        <v>11384</v>
      </c>
      <c r="B1744" s="7" t="s">
        <v>11385</v>
      </c>
      <c r="C1744" s="7" t="s">
        <v>11386</v>
      </c>
      <c r="D1744" s="7" t="s">
        <v>746</v>
      </c>
      <c r="E1744" s="7" t="s">
        <v>741</v>
      </c>
      <c r="F1744" s="7" t="s">
        <v>741</v>
      </c>
      <c r="G1744" s="7"/>
      <c r="H1744" s="7"/>
      <c r="I1744" s="7" t="s">
        <v>158</v>
      </c>
      <c r="J1744" s="7" t="s">
        <v>104</v>
      </c>
      <c r="K1744" s="7" t="s">
        <v>105</v>
      </c>
      <c r="L1744" s="7" t="s">
        <v>106</v>
      </c>
      <c r="M1744" s="7"/>
      <c r="N1744" s="7" t="s">
        <v>11387</v>
      </c>
      <c r="O1744" s="7" t="s">
        <v>11387</v>
      </c>
      <c r="P1744" s="7" t="s">
        <v>135</v>
      </c>
      <c r="Q1744" s="7"/>
      <c r="R1744" s="7" t="s">
        <v>109</v>
      </c>
      <c r="S1744" s="7" t="s">
        <v>110</v>
      </c>
      <c r="T1744" s="7" t="n">
        <v>0.492</v>
      </c>
      <c r="U1744" s="7" t="n">
        <v>1</v>
      </c>
      <c r="V1744" s="7" t="s">
        <v>90</v>
      </c>
      <c r="W1744" s="7"/>
      <c r="X1744" s="7" t="s">
        <v>163</v>
      </c>
      <c r="Y1744" s="7" t="s">
        <v>11387</v>
      </c>
      <c r="Z1744" s="7"/>
      <c r="AA1744" s="7"/>
      <c r="AB1744" s="7"/>
      <c r="AC1744" s="7" t="n">
        <v>5</v>
      </c>
      <c r="AD1744" s="7" t="s">
        <v>743</v>
      </c>
      <c r="AE1744" s="7" t="s">
        <v>744</v>
      </c>
      <c r="AF1744" s="7" t="s">
        <v>11386</v>
      </c>
      <c r="AG1744" s="7" t="s">
        <v>744</v>
      </c>
      <c r="AH1744" s="7" t="s">
        <v>163</v>
      </c>
      <c r="AI1744" s="7"/>
      <c r="AJ1744" s="7"/>
      <c r="AK1744" s="7"/>
      <c r="AL1744" s="7"/>
      <c r="AM1744" s="7"/>
      <c r="AN1744" s="7"/>
      <c r="AO1744" s="7" t="s">
        <v>744</v>
      </c>
      <c r="AP1744" s="7" t="s">
        <v>746</v>
      </c>
      <c r="AQ1744" s="7" t="s">
        <v>744</v>
      </c>
      <c r="AR1744" s="7" t="s">
        <v>741</v>
      </c>
      <c r="AS1744" s="7"/>
      <c r="AT1744" s="7"/>
      <c r="AU1744" s="7"/>
      <c r="AV1744" s="7"/>
      <c r="AW1744" s="7" t="s">
        <v>744</v>
      </c>
      <c r="AX1744" s="7" t="s">
        <v>11387</v>
      </c>
      <c r="AY1744" s="7"/>
      <c r="AZ1744" s="7"/>
      <c r="BA1744" s="7"/>
      <c r="BB1744" s="7"/>
      <c r="BC1744" s="7"/>
      <c r="BD1744" s="7" t="s">
        <v>747</v>
      </c>
      <c r="BE1744" s="7" t="s">
        <v>127</v>
      </c>
      <c r="BF1744" s="8"/>
      <c r="BG1744" s="8"/>
      <c r="BH1744" s="8"/>
      <c r="BI1744" s="8"/>
      <c r="BJ1744" s="8"/>
      <c r="BK1744" s="8"/>
      <c r="BL1744" s="8"/>
      <c r="BM1744" s="8"/>
      <c r="BN1744" s="8"/>
      <c r="BO1744" s="8"/>
      <c r="BP1744" s="8"/>
      <c r="BQ1744" s="8"/>
      <c r="BR1744" s="8"/>
      <c r="BS1744" s="8"/>
    </row>
    <row r="1745" customFormat="false" ht="15" hidden="false" customHeight="false" outlineLevel="0" collapsed="false">
      <c r="A1745" s="7" t="s">
        <v>11388</v>
      </c>
      <c r="B1745" s="7" t="s">
        <v>11389</v>
      </c>
      <c r="C1745" s="7" t="s">
        <v>11390</v>
      </c>
      <c r="D1745" s="7" t="s">
        <v>746</v>
      </c>
      <c r="E1745" s="7" t="s">
        <v>741</v>
      </c>
      <c r="F1745" s="7" t="s">
        <v>741</v>
      </c>
      <c r="G1745" s="7"/>
      <c r="H1745" s="7"/>
      <c r="I1745" s="7" t="s">
        <v>158</v>
      </c>
      <c r="J1745" s="7" t="s">
        <v>104</v>
      </c>
      <c r="K1745" s="7" t="s">
        <v>105</v>
      </c>
      <c r="L1745" s="7" t="s">
        <v>106</v>
      </c>
      <c r="M1745" s="7"/>
      <c r="N1745" s="7" t="s">
        <v>11391</v>
      </c>
      <c r="O1745" s="7" t="s">
        <v>11391</v>
      </c>
      <c r="P1745" s="7" t="s">
        <v>135</v>
      </c>
      <c r="Q1745" s="7"/>
      <c r="R1745" s="7" t="s">
        <v>109</v>
      </c>
      <c r="S1745" s="7" t="s">
        <v>110</v>
      </c>
      <c r="T1745" s="7" t="n">
        <v>0.383</v>
      </c>
      <c r="U1745" s="7" t="n">
        <v>1</v>
      </c>
      <c r="V1745" s="7" t="s">
        <v>90</v>
      </c>
      <c r="W1745" s="7"/>
      <c r="X1745" s="7" t="s">
        <v>163</v>
      </c>
      <c r="Y1745" s="7" t="s">
        <v>11391</v>
      </c>
      <c r="Z1745" s="7"/>
      <c r="AA1745" s="7"/>
      <c r="AB1745" s="7"/>
      <c r="AC1745" s="7" t="n">
        <v>5</v>
      </c>
      <c r="AD1745" s="7" t="s">
        <v>743</v>
      </c>
      <c r="AE1745" s="7" t="s">
        <v>744</v>
      </c>
      <c r="AF1745" s="7" t="s">
        <v>11390</v>
      </c>
      <c r="AG1745" s="7" t="s">
        <v>744</v>
      </c>
      <c r="AH1745" s="7" t="s">
        <v>163</v>
      </c>
      <c r="AI1745" s="7"/>
      <c r="AJ1745" s="7"/>
      <c r="AK1745" s="7"/>
      <c r="AL1745" s="7"/>
      <c r="AM1745" s="7"/>
      <c r="AN1745" s="7"/>
      <c r="AO1745" s="7" t="s">
        <v>744</v>
      </c>
      <c r="AP1745" s="7" t="s">
        <v>746</v>
      </c>
      <c r="AQ1745" s="7" t="s">
        <v>744</v>
      </c>
      <c r="AR1745" s="7" t="s">
        <v>741</v>
      </c>
      <c r="AS1745" s="7"/>
      <c r="AT1745" s="7"/>
      <c r="AU1745" s="7"/>
      <c r="AV1745" s="7"/>
      <c r="AW1745" s="7" t="s">
        <v>744</v>
      </c>
      <c r="AX1745" s="7" t="s">
        <v>11391</v>
      </c>
      <c r="AY1745" s="7"/>
      <c r="AZ1745" s="7"/>
      <c r="BA1745" s="7"/>
      <c r="BB1745" s="7"/>
      <c r="BC1745" s="7"/>
      <c r="BD1745" s="7" t="s">
        <v>747</v>
      </c>
      <c r="BE1745" s="7" t="s">
        <v>127</v>
      </c>
      <c r="BF1745" s="8"/>
      <c r="BG1745" s="8"/>
      <c r="BH1745" s="8"/>
      <c r="BI1745" s="8"/>
      <c r="BJ1745" s="8"/>
      <c r="BK1745" s="8"/>
      <c r="BL1745" s="8"/>
      <c r="BM1745" s="8"/>
      <c r="BN1745" s="8"/>
      <c r="BO1745" s="8"/>
      <c r="BP1745" s="8"/>
      <c r="BQ1745" s="8"/>
      <c r="BR1745" s="8"/>
      <c r="BS1745" s="8"/>
    </row>
    <row r="1746" customFormat="false" ht="15" hidden="false" customHeight="false" outlineLevel="0" collapsed="false">
      <c r="A1746" s="7" t="s">
        <v>11392</v>
      </c>
      <c r="B1746" s="7" t="s">
        <v>11393</v>
      </c>
      <c r="C1746" s="7" t="s">
        <v>11394</v>
      </c>
      <c r="D1746" s="7" t="s">
        <v>746</v>
      </c>
      <c r="E1746" s="7" t="s">
        <v>741</v>
      </c>
      <c r="F1746" s="7" t="s">
        <v>741</v>
      </c>
      <c r="G1746" s="7"/>
      <c r="H1746" s="7"/>
      <c r="I1746" s="7" t="s">
        <v>158</v>
      </c>
      <c r="J1746" s="7" t="s">
        <v>104</v>
      </c>
      <c r="K1746" s="7" t="s">
        <v>105</v>
      </c>
      <c r="L1746" s="7" t="s">
        <v>106</v>
      </c>
      <c r="M1746" s="7"/>
      <c r="N1746" s="7" t="s">
        <v>11395</v>
      </c>
      <c r="O1746" s="7" t="s">
        <v>11395</v>
      </c>
      <c r="P1746" s="7" t="s">
        <v>135</v>
      </c>
      <c r="Q1746" s="7"/>
      <c r="R1746" s="7" t="s">
        <v>109</v>
      </c>
      <c r="S1746" s="7" t="s">
        <v>110</v>
      </c>
      <c r="T1746" s="7" t="n">
        <v>0.435</v>
      </c>
      <c r="U1746" s="7" t="n">
        <v>1</v>
      </c>
      <c r="V1746" s="7" t="s">
        <v>90</v>
      </c>
      <c r="W1746" s="7"/>
      <c r="X1746" s="7" t="s">
        <v>163</v>
      </c>
      <c r="Y1746" s="7" t="s">
        <v>11395</v>
      </c>
      <c r="Z1746" s="7"/>
      <c r="AA1746" s="7"/>
      <c r="AB1746" s="7"/>
      <c r="AC1746" s="7" t="n">
        <v>5</v>
      </c>
      <c r="AD1746" s="7" t="s">
        <v>743</v>
      </c>
      <c r="AE1746" s="7" t="s">
        <v>744</v>
      </c>
      <c r="AF1746" s="7" t="s">
        <v>11394</v>
      </c>
      <c r="AG1746" s="7" t="s">
        <v>744</v>
      </c>
      <c r="AH1746" s="7" t="s">
        <v>163</v>
      </c>
      <c r="AI1746" s="7"/>
      <c r="AJ1746" s="7"/>
      <c r="AK1746" s="7"/>
      <c r="AL1746" s="7"/>
      <c r="AM1746" s="7"/>
      <c r="AN1746" s="7"/>
      <c r="AO1746" s="7" t="s">
        <v>744</v>
      </c>
      <c r="AP1746" s="7" t="s">
        <v>746</v>
      </c>
      <c r="AQ1746" s="7" t="s">
        <v>744</v>
      </c>
      <c r="AR1746" s="7" t="s">
        <v>741</v>
      </c>
      <c r="AS1746" s="7"/>
      <c r="AT1746" s="7"/>
      <c r="AU1746" s="7"/>
      <c r="AV1746" s="7"/>
      <c r="AW1746" s="7" t="s">
        <v>744</v>
      </c>
      <c r="AX1746" s="7" t="s">
        <v>11395</v>
      </c>
      <c r="AY1746" s="7"/>
      <c r="AZ1746" s="7"/>
      <c r="BA1746" s="7"/>
      <c r="BB1746" s="7"/>
      <c r="BC1746" s="7"/>
      <c r="BD1746" s="7" t="s">
        <v>747</v>
      </c>
      <c r="BE1746" s="7" t="s">
        <v>127</v>
      </c>
      <c r="BF1746" s="8"/>
      <c r="BG1746" s="8"/>
      <c r="BH1746" s="8"/>
      <c r="BI1746" s="8"/>
      <c r="BJ1746" s="8"/>
      <c r="BK1746" s="8"/>
      <c r="BL1746" s="8"/>
      <c r="BM1746" s="8"/>
      <c r="BN1746" s="8"/>
      <c r="BO1746" s="8"/>
      <c r="BP1746" s="8"/>
      <c r="BQ1746" s="8"/>
      <c r="BR1746" s="8"/>
      <c r="BS1746" s="8"/>
    </row>
    <row r="1747" customFormat="false" ht="15" hidden="false" customHeight="false" outlineLevel="0" collapsed="false">
      <c r="A1747" s="7" t="s">
        <v>11396</v>
      </c>
      <c r="B1747" s="7" t="s">
        <v>11397</v>
      </c>
      <c r="C1747" s="7" t="s">
        <v>11398</v>
      </c>
      <c r="D1747" s="7" t="s">
        <v>9667</v>
      </c>
      <c r="E1747" s="7" t="s">
        <v>410</v>
      </c>
      <c r="F1747" s="7" t="s">
        <v>410</v>
      </c>
      <c r="G1747" s="7"/>
      <c r="H1747" s="7"/>
      <c r="I1747" s="7" t="s">
        <v>158</v>
      </c>
      <c r="J1747" s="7" t="s">
        <v>104</v>
      </c>
      <c r="K1747" s="7" t="s">
        <v>105</v>
      </c>
      <c r="L1747" s="7" t="s">
        <v>106</v>
      </c>
      <c r="M1747" s="7"/>
      <c r="N1747" s="7" t="s">
        <v>11399</v>
      </c>
      <c r="O1747" s="7" t="s">
        <v>11399</v>
      </c>
      <c r="P1747" s="7" t="s">
        <v>135</v>
      </c>
      <c r="Q1747" s="7"/>
      <c r="R1747" s="7" t="s">
        <v>109</v>
      </c>
      <c r="S1747" s="7" t="s">
        <v>110</v>
      </c>
      <c r="T1747" s="7" t="n">
        <v>0.637</v>
      </c>
      <c r="U1747" s="7" t="n">
        <v>1</v>
      </c>
      <c r="V1747" s="7" t="s">
        <v>90</v>
      </c>
      <c r="W1747" s="7"/>
      <c r="X1747" s="7" t="s">
        <v>163</v>
      </c>
      <c r="Y1747" s="7" t="s">
        <v>11399</v>
      </c>
      <c r="Z1747" s="7"/>
      <c r="AA1747" s="7"/>
      <c r="AB1747" s="7"/>
      <c r="AC1747" s="7" t="n">
        <v>5</v>
      </c>
      <c r="AD1747" s="7" t="s">
        <v>743</v>
      </c>
      <c r="AE1747" s="7" t="s">
        <v>744</v>
      </c>
      <c r="AF1747" s="7" t="s">
        <v>11398</v>
      </c>
      <c r="AG1747" s="7" t="s">
        <v>744</v>
      </c>
      <c r="AH1747" s="7" t="s">
        <v>163</v>
      </c>
      <c r="AI1747" s="7"/>
      <c r="AJ1747" s="7"/>
      <c r="AK1747" s="7"/>
      <c r="AL1747" s="7"/>
      <c r="AM1747" s="7"/>
      <c r="AN1747" s="7"/>
      <c r="AO1747" s="7" t="s">
        <v>744</v>
      </c>
      <c r="AP1747" s="7" t="s">
        <v>9667</v>
      </c>
      <c r="AQ1747" s="7" t="s">
        <v>744</v>
      </c>
      <c r="AR1747" s="7" t="s">
        <v>410</v>
      </c>
      <c r="AS1747" s="7"/>
      <c r="AT1747" s="7"/>
      <c r="AU1747" s="7"/>
      <c r="AV1747" s="7"/>
      <c r="AW1747" s="7" t="s">
        <v>744</v>
      </c>
      <c r="AX1747" s="7" t="s">
        <v>11399</v>
      </c>
      <c r="AY1747" s="7"/>
      <c r="AZ1747" s="7"/>
      <c r="BA1747" s="7"/>
      <c r="BB1747" s="7"/>
      <c r="BC1747" s="7"/>
      <c r="BD1747" s="7" t="s">
        <v>440</v>
      </c>
      <c r="BE1747" s="7" t="s">
        <v>127</v>
      </c>
      <c r="BF1747" s="8"/>
      <c r="BG1747" s="8"/>
      <c r="BH1747" s="8"/>
      <c r="BI1747" s="8"/>
      <c r="BJ1747" s="8"/>
      <c r="BK1747" s="8"/>
      <c r="BL1747" s="8"/>
      <c r="BM1747" s="8"/>
      <c r="BN1747" s="8"/>
      <c r="BO1747" s="8"/>
      <c r="BP1747" s="8"/>
      <c r="BQ1747" s="8"/>
      <c r="BR1747" s="8"/>
      <c r="BS1747" s="8"/>
    </row>
    <row r="1748" customFormat="false" ht="15" hidden="false" customHeight="false" outlineLevel="0" collapsed="false">
      <c r="A1748" s="7" t="s">
        <v>11400</v>
      </c>
      <c r="B1748" s="7" t="s">
        <v>11401</v>
      </c>
      <c r="C1748" s="7" t="s">
        <v>11402</v>
      </c>
      <c r="D1748" s="7" t="s">
        <v>11403</v>
      </c>
      <c r="E1748" s="7"/>
      <c r="F1748" s="7" t="s">
        <v>156</v>
      </c>
      <c r="G1748" s="7"/>
      <c r="H1748" s="7" t="s">
        <v>157</v>
      </c>
      <c r="I1748" s="7" t="s">
        <v>158</v>
      </c>
      <c r="J1748" s="7" t="s">
        <v>159</v>
      </c>
      <c r="K1748" s="7" t="s">
        <v>105</v>
      </c>
      <c r="L1748" s="7" t="s">
        <v>106</v>
      </c>
      <c r="M1748" s="7"/>
      <c r="N1748" s="7" t="s">
        <v>11404</v>
      </c>
      <c r="O1748" s="7"/>
      <c r="P1748" s="7" t="s">
        <v>135</v>
      </c>
      <c r="Q1748" s="7"/>
      <c r="R1748" s="7" t="s">
        <v>135</v>
      </c>
      <c r="S1748" s="7" t="s">
        <v>136</v>
      </c>
      <c r="T1748" s="7" t="n">
        <v>0.286</v>
      </c>
      <c r="U1748" s="7" t="n">
        <v>1</v>
      </c>
      <c r="V1748" s="7" t="s">
        <v>90</v>
      </c>
      <c r="W1748" s="7"/>
      <c r="X1748" s="7" t="s">
        <v>163</v>
      </c>
      <c r="Y1748" s="7" t="s">
        <v>11404</v>
      </c>
      <c r="Z1748" s="7"/>
      <c r="AA1748" s="7"/>
      <c r="AB1748" s="7"/>
      <c r="AC1748" s="7" t="n">
        <v>5</v>
      </c>
      <c r="AD1748" s="7" t="s">
        <v>1897</v>
      </c>
      <c r="AE1748" s="7" t="s">
        <v>744</v>
      </c>
      <c r="AF1748" s="7" t="s">
        <v>11402</v>
      </c>
      <c r="AG1748" s="7" t="s">
        <v>744</v>
      </c>
      <c r="AH1748" s="7" t="s">
        <v>163</v>
      </c>
      <c r="AI1748" s="7"/>
      <c r="AJ1748" s="7"/>
      <c r="AK1748" s="7"/>
      <c r="AL1748" s="7"/>
      <c r="AM1748" s="7" t="s">
        <v>744</v>
      </c>
      <c r="AN1748" s="7" t="s">
        <v>11405</v>
      </c>
      <c r="AO1748" s="7" t="s">
        <v>744</v>
      </c>
      <c r="AP1748" s="7" t="s">
        <v>11403</v>
      </c>
      <c r="AQ1748" s="7"/>
      <c r="AR1748" s="7"/>
      <c r="AS1748" s="7"/>
      <c r="AT1748" s="7"/>
      <c r="AU1748" s="7"/>
      <c r="AV1748" s="7"/>
      <c r="AW1748" s="7" t="s">
        <v>744</v>
      </c>
      <c r="AX1748" s="7" t="s">
        <v>11404</v>
      </c>
      <c r="AY1748" s="7"/>
      <c r="AZ1748" s="7"/>
      <c r="BA1748" s="7"/>
      <c r="BB1748" s="7"/>
      <c r="BC1748" s="7"/>
      <c r="BD1748" s="7"/>
      <c r="BE1748" s="7" t="s">
        <v>127</v>
      </c>
      <c r="BF1748" s="8"/>
      <c r="BG1748" s="8"/>
      <c r="BH1748" s="8"/>
      <c r="BI1748" s="8"/>
      <c r="BJ1748" s="8"/>
      <c r="BK1748" s="8"/>
      <c r="BL1748" s="8"/>
      <c r="BM1748" s="8"/>
      <c r="BN1748" s="8"/>
      <c r="BO1748" s="8"/>
      <c r="BP1748" s="8"/>
      <c r="BQ1748" s="8"/>
      <c r="BR1748" s="8"/>
      <c r="BS1748" s="8"/>
    </row>
    <row r="1749" customFormat="false" ht="15" hidden="false" customHeight="false" outlineLevel="0" collapsed="false">
      <c r="A1749" s="7" t="s">
        <v>11406</v>
      </c>
      <c r="B1749" s="7" t="s">
        <v>11407</v>
      </c>
      <c r="C1749" s="7" t="s">
        <v>11408</v>
      </c>
      <c r="D1749" s="7" t="s">
        <v>9667</v>
      </c>
      <c r="E1749" s="7" t="s">
        <v>410</v>
      </c>
      <c r="F1749" s="7" t="s">
        <v>410</v>
      </c>
      <c r="G1749" s="7"/>
      <c r="H1749" s="7"/>
      <c r="I1749" s="7" t="s">
        <v>158</v>
      </c>
      <c r="J1749" s="7" t="s">
        <v>104</v>
      </c>
      <c r="K1749" s="7" t="s">
        <v>105</v>
      </c>
      <c r="L1749" s="7" t="s">
        <v>106</v>
      </c>
      <c r="M1749" s="7"/>
      <c r="N1749" s="7" t="s">
        <v>11409</v>
      </c>
      <c r="O1749" s="7" t="s">
        <v>11409</v>
      </c>
      <c r="P1749" s="7" t="s">
        <v>135</v>
      </c>
      <c r="Q1749" s="7"/>
      <c r="R1749" s="7" t="s">
        <v>109</v>
      </c>
      <c r="S1749" s="7" t="s">
        <v>110</v>
      </c>
      <c r="T1749" s="7" t="n">
        <v>0.501</v>
      </c>
      <c r="U1749" s="7" t="n">
        <v>1</v>
      </c>
      <c r="V1749" s="7" t="s">
        <v>90</v>
      </c>
      <c r="W1749" s="7"/>
      <c r="X1749" s="7" t="s">
        <v>163</v>
      </c>
      <c r="Y1749" s="7" t="s">
        <v>11409</v>
      </c>
      <c r="Z1749" s="7"/>
      <c r="AA1749" s="7"/>
      <c r="AB1749" s="7"/>
      <c r="AC1749" s="7" t="n">
        <v>5</v>
      </c>
      <c r="AD1749" s="7" t="s">
        <v>743</v>
      </c>
      <c r="AE1749" s="7" t="s">
        <v>744</v>
      </c>
      <c r="AF1749" s="7" t="s">
        <v>11408</v>
      </c>
      <c r="AG1749" s="7" t="s">
        <v>744</v>
      </c>
      <c r="AH1749" s="7" t="s">
        <v>163</v>
      </c>
      <c r="AI1749" s="7"/>
      <c r="AJ1749" s="7"/>
      <c r="AK1749" s="7"/>
      <c r="AL1749" s="7"/>
      <c r="AM1749" s="7"/>
      <c r="AN1749" s="7"/>
      <c r="AO1749" s="7" t="s">
        <v>744</v>
      </c>
      <c r="AP1749" s="7" t="s">
        <v>9667</v>
      </c>
      <c r="AQ1749" s="7" t="s">
        <v>744</v>
      </c>
      <c r="AR1749" s="7" t="s">
        <v>410</v>
      </c>
      <c r="AS1749" s="7"/>
      <c r="AT1749" s="7"/>
      <c r="AU1749" s="7"/>
      <c r="AV1749" s="7"/>
      <c r="AW1749" s="7" t="s">
        <v>744</v>
      </c>
      <c r="AX1749" s="7" t="s">
        <v>11409</v>
      </c>
      <c r="AY1749" s="7"/>
      <c r="AZ1749" s="7"/>
      <c r="BA1749" s="7"/>
      <c r="BB1749" s="7"/>
      <c r="BC1749" s="7"/>
      <c r="BD1749" s="7" t="s">
        <v>440</v>
      </c>
      <c r="BE1749" s="7" t="s">
        <v>127</v>
      </c>
      <c r="BF1749" s="8"/>
      <c r="BG1749" s="8"/>
      <c r="BH1749" s="8"/>
      <c r="BI1749" s="8"/>
      <c r="BJ1749" s="8"/>
      <c r="BK1749" s="8"/>
      <c r="BL1749" s="8"/>
      <c r="BM1749" s="8"/>
      <c r="BN1749" s="8"/>
      <c r="BO1749" s="8"/>
      <c r="BP1749" s="8"/>
      <c r="BQ1749" s="8"/>
      <c r="BR1749" s="8"/>
      <c r="BS1749" s="8"/>
    </row>
    <row r="1750" customFormat="false" ht="15" hidden="false" customHeight="false" outlineLevel="0" collapsed="false">
      <c r="A1750" s="7" t="s">
        <v>11410</v>
      </c>
      <c r="B1750" s="7" t="s">
        <v>11411</v>
      </c>
      <c r="C1750" s="7" t="s">
        <v>11412</v>
      </c>
      <c r="D1750" s="7" t="s">
        <v>9667</v>
      </c>
      <c r="E1750" s="7" t="s">
        <v>410</v>
      </c>
      <c r="F1750" s="7" t="s">
        <v>410</v>
      </c>
      <c r="G1750" s="7"/>
      <c r="H1750" s="7"/>
      <c r="I1750" s="7" t="s">
        <v>158</v>
      </c>
      <c r="J1750" s="7" t="s">
        <v>104</v>
      </c>
      <c r="K1750" s="7" t="s">
        <v>105</v>
      </c>
      <c r="L1750" s="7" t="s">
        <v>106</v>
      </c>
      <c r="M1750" s="7"/>
      <c r="N1750" s="7" t="s">
        <v>11413</v>
      </c>
      <c r="O1750" s="7" t="s">
        <v>11413</v>
      </c>
      <c r="P1750" s="7" t="s">
        <v>135</v>
      </c>
      <c r="Q1750" s="7"/>
      <c r="R1750" s="7" t="s">
        <v>109</v>
      </c>
      <c r="S1750" s="7" t="s">
        <v>110</v>
      </c>
      <c r="T1750" s="7" t="n">
        <v>0.501</v>
      </c>
      <c r="U1750" s="7" t="n">
        <v>1</v>
      </c>
      <c r="V1750" s="7" t="s">
        <v>90</v>
      </c>
      <c r="W1750" s="7"/>
      <c r="X1750" s="7" t="s">
        <v>163</v>
      </c>
      <c r="Y1750" s="7" t="s">
        <v>11413</v>
      </c>
      <c r="Z1750" s="7"/>
      <c r="AA1750" s="7"/>
      <c r="AB1750" s="7"/>
      <c r="AC1750" s="7" t="n">
        <v>5</v>
      </c>
      <c r="AD1750" s="7" t="s">
        <v>743</v>
      </c>
      <c r="AE1750" s="7" t="s">
        <v>744</v>
      </c>
      <c r="AF1750" s="7" t="s">
        <v>11412</v>
      </c>
      <c r="AG1750" s="7" t="s">
        <v>744</v>
      </c>
      <c r="AH1750" s="7" t="s">
        <v>163</v>
      </c>
      <c r="AI1750" s="7"/>
      <c r="AJ1750" s="7"/>
      <c r="AK1750" s="7"/>
      <c r="AL1750" s="7"/>
      <c r="AM1750" s="7"/>
      <c r="AN1750" s="7"/>
      <c r="AO1750" s="7" t="s">
        <v>744</v>
      </c>
      <c r="AP1750" s="7" t="s">
        <v>9667</v>
      </c>
      <c r="AQ1750" s="7" t="s">
        <v>744</v>
      </c>
      <c r="AR1750" s="7" t="s">
        <v>410</v>
      </c>
      <c r="AS1750" s="7"/>
      <c r="AT1750" s="7"/>
      <c r="AU1750" s="7"/>
      <c r="AV1750" s="7"/>
      <c r="AW1750" s="7" t="s">
        <v>744</v>
      </c>
      <c r="AX1750" s="7" t="s">
        <v>11413</v>
      </c>
      <c r="AY1750" s="7"/>
      <c r="AZ1750" s="7"/>
      <c r="BA1750" s="7"/>
      <c r="BB1750" s="7"/>
      <c r="BC1750" s="7"/>
      <c r="BD1750" s="7" t="s">
        <v>440</v>
      </c>
      <c r="BE1750" s="7" t="s">
        <v>127</v>
      </c>
      <c r="BF1750" s="8"/>
      <c r="BG1750" s="8"/>
      <c r="BH1750" s="8"/>
      <c r="BI1750" s="8"/>
      <c r="BJ1750" s="8"/>
      <c r="BK1750" s="8"/>
      <c r="BL1750" s="8"/>
      <c r="BM1750" s="8"/>
      <c r="BN1750" s="8"/>
      <c r="BO1750" s="8"/>
      <c r="BP1750" s="8"/>
      <c r="BQ1750" s="8"/>
      <c r="BR1750" s="8"/>
      <c r="BS1750" s="8"/>
    </row>
    <row r="1751" customFormat="false" ht="15" hidden="false" customHeight="false" outlineLevel="0" collapsed="false">
      <c r="A1751" s="7" t="s">
        <v>11414</v>
      </c>
      <c r="B1751" s="7" t="s">
        <v>11415</v>
      </c>
      <c r="C1751" s="7" t="s">
        <v>11416</v>
      </c>
      <c r="D1751" s="7" t="s">
        <v>11417</v>
      </c>
      <c r="E1751" s="7"/>
      <c r="F1751" s="7" t="s">
        <v>101</v>
      </c>
      <c r="G1751" s="7"/>
      <c r="H1751" s="7"/>
      <c r="I1751" s="7" t="s">
        <v>158</v>
      </c>
      <c r="J1751" s="7" t="s">
        <v>104</v>
      </c>
      <c r="K1751" s="7" t="s">
        <v>105</v>
      </c>
      <c r="L1751" s="7" t="s">
        <v>5433</v>
      </c>
      <c r="M1751" s="7"/>
      <c r="N1751" s="7" t="s">
        <v>11418</v>
      </c>
      <c r="O1751" s="7"/>
      <c r="P1751" s="7" t="s">
        <v>135</v>
      </c>
      <c r="Q1751" s="7"/>
      <c r="R1751" s="7" t="s">
        <v>135</v>
      </c>
      <c r="S1751" s="7" t="s">
        <v>136</v>
      </c>
      <c r="T1751" s="7" t="n">
        <v>0.53</v>
      </c>
      <c r="U1751" s="7" t="n">
        <v>1</v>
      </c>
      <c r="V1751" s="7" t="s">
        <v>90</v>
      </c>
      <c r="W1751" s="7"/>
      <c r="X1751" s="7" t="s">
        <v>597</v>
      </c>
      <c r="Y1751" s="7" t="s">
        <v>11418</v>
      </c>
      <c r="Z1751" s="7"/>
      <c r="AA1751" s="7"/>
      <c r="AB1751" s="7"/>
      <c r="AC1751" s="7" t="n">
        <v>5</v>
      </c>
      <c r="AD1751" s="7" t="s">
        <v>1897</v>
      </c>
      <c r="AE1751" s="7" t="s">
        <v>189</v>
      </c>
      <c r="AF1751" s="7" t="s">
        <v>11419</v>
      </c>
      <c r="AG1751" s="7" t="s">
        <v>744</v>
      </c>
      <c r="AH1751" s="7" t="s">
        <v>597</v>
      </c>
      <c r="AI1751" s="7"/>
      <c r="AJ1751" s="7"/>
      <c r="AK1751" s="7"/>
      <c r="AL1751" s="7"/>
      <c r="AM1751" s="7" t="s">
        <v>744</v>
      </c>
      <c r="AN1751" s="7" t="s">
        <v>11420</v>
      </c>
      <c r="AO1751" s="7" t="s">
        <v>189</v>
      </c>
      <c r="AP1751" s="7" t="s">
        <v>11421</v>
      </c>
      <c r="AQ1751" s="7"/>
      <c r="AR1751" s="7"/>
      <c r="AS1751" s="7"/>
      <c r="AT1751" s="7"/>
      <c r="AU1751" s="7"/>
      <c r="AV1751" s="7"/>
      <c r="AW1751" s="7" t="s">
        <v>744</v>
      </c>
      <c r="AX1751" s="7" t="s">
        <v>11418</v>
      </c>
      <c r="AY1751" s="7"/>
      <c r="AZ1751" s="7"/>
      <c r="BA1751" s="7"/>
      <c r="BB1751" s="7"/>
      <c r="BC1751" s="7"/>
      <c r="BD1751" s="7"/>
      <c r="BE1751" s="7" t="s">
        <v>127</v>
      </c>
      <c r="BF1751" s="8"/>
      <c r="BG1751" s="8"/>
      <c r="BH1751" s="8"/>
      <c r="BI1751" s="8"/>
      <c r="BJ1751" s="8"/>
      <c r="BK1751" s="8"/>
      <c r="BL1751" s="8"/>
      <c r="BM1751" s="8"/>
      <c r="BN1751" s="8"/>
      <c r="BO1751" s="8"/>
      <c r="BP1751" s="8"/>
      <c r="BQ1751" s="8"/>
      <c r="BR1751" s="8"/>
      <c r="BS1751" s="8"/>
    </row>
    <row r="1752" customFormat="false" ht="15" hidden="false" customHeight="false" outlineLevel="0" collapsed="false">
      <c r="A1752" s="7" t="s">
        <v>11422</v>
      </c>
      <c r="B1752" s="7" t="s">
        <v>11423</v>
      </c>
      <c r="C1752" s="7" t="s">
        <v>11424</v>
      </c>
      <c r="D1752" s="7" t="s">
        <v>11425</v>
      </c>
      <c r="E1752" s="7"/>
      <c r="F1752" s="7" t="s">
        <v>101</v>
      </c>
      <c r="G1752" s="7"/>
      <c r="H1752" s="7"/>
      <c r="I1752" s="7" t="s">
        <v>132</v>
      </c>
      <c r="J1752" s="7" t="s">
        <v>104</v>
      </c>
      <c r="K1752" s="7" t="s">
        <v>105</v>
      </c>
      <c r="L1752" s="7" t="s">
        <v>106</v>
      </c>
      <c r="M1752" s="7"/>
      <c r="N1752" s="7" t="s">
        <v>11426</v>
      </c>
      <c r="O1752" s="7"/>
      <c r="P1752" s="7" t="s">
        <v>135</v>
      </c>
      <c r="Q1752" s="7"/>
      <c r="R1752" s="7" t="s">
        <v>135</v>
      </c>
      <c r="S1752" s="7" t="s">
        <v>136</v>
      </c>
      <c r="T1752" s="7" t="n">
        <v>0.577</v>
      </c>
      <c r="U1752" s="7" t="n">
        <v>1</v>
      </c>
      <c r="V1752" s="7" t="s">
        <v>90</v>
      </c>
      <c r="W1752" s="7"/>
      <c r="X1752" s="7" t="s">
        <v>597</v>
      </c>
      <c r="Y1752" s="7" t="s">
        <v>11426</v>
      </c>
      <c r="Z1752" s="7"/>
      <c r="AA1752" s="7"/>
      <c r="AB1752" s="7"/>
      <c r="AC1752" s="7" t="n">
        <v>5</v>
      </c>
      <c r="AD1752" s="7" t="s">
        <v>1897</v>
      </c>
      <c r="AE1752" s="7" t="s">
        <v>744</v>
      </c>
      <c r="AF1752" s="7" t="s">
        <v>11424</v>
      </c>
      <c r="AG1752" s="7" t="s">
        <v>744</v>
      </c>
      <c r="AH1752" s="7" t="s">
        <v>597</v>
      </c>
      <c r="AI1752" s="7"/>
      <c r="AJ1752" s="7"/>
      <c r="AK1752" s="7"/>
      <c r="AL1752" s="7"/>
      <c r="AM1752" s="7" t="s">
        <v>744</v>
      </c>
      <c r="AN1752" s="7" t="s">
        <v>11427</v>
      </c>
      <c r="AO1752" s="7" t="s">
        <v>744</v>
      </c>
      <c r="AP1752" s="7" t="s">
        <v>11425</v>
      </c>
      <c r="AQ1752" s="7"/>
      <c r="AR1752" s="7"/>
      <c r="AS1752" s="7"/>
      <c r="AT1752" s="7"/>
      <c r="AU1752" s="7"/>
      <c r="AV1752" s="7"/>
      <c r="AW1752" s="7" t="s">
        <v>744</v>
      </c>
      <c r="AX1752" s="7" t="s">
        <v>11426</v>
      </c>
      <c r="AY1752" s="7"/>
      <c r="AZ1752" s="7"/>
      <c r="BA1752" s="7"/>
      <c r="BB1752" s="7"/>
      <c r="BC1752" s="7"/>
      <c r="BD1752" s="7"/>
      <c r="BE1752" s="7" t="s">
        <v>127</v>
      </c>
      <c r="BF1752" s="8"/>
      <c r="BG1752" s="8"/>
      <c r="BH1752" s="8"/>
      <c r="BI1752" s="8"/>
      <c r="BJ1752" s="8"/>
      <c r="BK1752" s="8"/>
      <c r="BL1752" s="8"/>
      <c r="BM1752" s="8"/>
      <c r="BN1752" s="8"/>
      <c r="BO1752" s="8"/>
      <c r="BP1752" s="8"/>
      <c r="BQ1752" s="8"/>
      <c r="BR1752" s="8"/>
      <c r="BS1752" s="8"/>
    </row>
    <row r="1753" customFormat="false" ht="15" hidden="false" customHeight="false" outlineLevel="0" collapsed="false">
      <c r="A1753" s="7" t="s">
        <v>11428</v>
      </c>
      <c r="B1753" s="7" t="s">
        <v>11429</v>
      </c>
      <c r="C1753" s="7" t="s">
        <v>11430</v>
      </c>
      <c r="D1753" s="7" t="s">
        <v>11431</v>
      </c>
      <c r="E1753" s="7" t="s">
        <v>431</v>
      </c>
      <c r="F1753" s="7" t="s">
        <v>431</v>
      </c>
      <c r="G1753" s="7" t="s">
        <v>7630</v>
      </c>
      <c r="H1753" s="7"/>
      <c r="I1753" s="7" t="s">
        <v>158</v>
      </c>
      <c r="J1753" s="7" t="s">
        <v>104</v>
      </c>
      <c r="K1753" s="7" t="s">
        <v>105</v>
      </c>
      <c r="L1753" s="7" t="s">
        <v>106</v>
      </c>
      <c r="M1753" s="7"/>
      <c r="N1753" s="7" t="s">
        <v>11432</v>
      </c>
      <c r="O1753" s="7"/>
      <c r="P1753" s="7" t="s">
        <v>135</v>
      </c>
      <c r="Q1753" s="7"/>
      <c r="R1753" s="7" t="s">
        <v>135</v>
      </c>
      <c r="S1753" s="7" t="s">
        <v>136</v>
      </c>
      <c r="T1753" s="7" t="n">
        <v>0.557</v>
      </c>
      <c r="U1753" s="7" t="n">
        <v>1</v>
      </c>
      <c r="V1753" s="7" t="s">
        <v>90</v>
      </c>
      <c r="W1753" s="7"/>
      <c r="X1753" s="7" t="s">
        <v>11433</v>
      </c>
      <c r="Y1753" s="7" t="s">
        <v>11432</v>
      </c>
      <c r="Z1753" s="7"/>
      <c r="AA1753" s="7"/>
      <c r="AB1753" s="7"/>
      <c r="AC1753" s="7" t="n">
        <v>5</v>
      </c>
      <c r="AD1753" s="7" t="s">
        <v>743</v>
      </c>
      <c r="AE1753" s="7" t="s">
        <v>744</v>
      </c>
      <c r="AF1753" s="7" t="s">
        <v>11430</v>
      </c>
      <c r="AG1753" s="7" t="s">
        <v>744</v>
      </c>
      <c r="AH1753" s="7" t="s">
        <v>11434</v>
      </c>
      <c r="AI1753" s="7"/>
      <c r="AJ1753" s="7"/>
      <c r="AK1753" s="7"/>
      <c r="AL1753" s="7"/>
      <c r="AM1753" s="7"/>
      <c r="AN1753" s="7"/>
      <c r="AO1753" s="7" t="s">
        <v>744</v>
      </c>
      <c r="AP1753" s="7" t="s">
        <v>11431</v>
      </c>
      <c r="AQ1753" s="7" t="s">
        <v>744</v>
      </c>
      <c r="AR1753" s="7" t="s">
        <v>431</v>
      </c>
      <c r="AS1753" s="7"/>
      <c r="AT1753" s="7"/>
      <c r="AU1753" s="7"/>
      <c r="AV1753" s="7"/>
      <c r="AW1753" s="7" t="s">
        <v>744</v>
      </c>
      <c r="AX1753" s="7" t="s">
        <v>11432</v>
      </c>
      <c r="AY1753" s="7"/>
      <c r="AZ1753" s="7"/>
      <c r="BA1753" s="7"/>
      <c r="BB1753" s="7"/>
      <c r="BC1753" s="7"/>
      <c r="BD1753" s="7"/>
      <c r="BE1753" s="7" t="s">
        <v>127</v>
      </c>
      <c r="BF1753" s="8"/>
      <c r="BG1753" s="8"/>
      <c r="BH1753" s="8"/>
      <c r="BI1753" s="8"/>
      <c r="BJ1753" s="8"/>
      <c r="BK1753" s="8"/>
      <c r="BL1753" s="8"/>
      <c r="BM1753" s="8"/>
      <c r="BN1753" s="8"/>
      <c r="BO1753" s="8"/>
      <c r="BP1753" s="8"/>
      <c r="BQ1753" s="8"/>
      <c r="BR1753" s="8"/>
      <c r="BS1753" s="8"/>
    </row>
    <row r="1754" customFormat="false" ht="15" hidden="false" customHeight="false" outlineLevel="0" collapsed="false">
      <c r="A1754" s="7" t="s">
        <v>11435</v>
      </c>
      <c r="B1754" s="7" t="s">
        <v>11436</v>
      </c>
      <c r="C1754" s="7" t="s">
        <v>11437</v>
      </c>
      <c r="D1754" s="7" t="s">
        <v>11438</v>
      </c>
      <c r="E1754" s="7" t="s">
        <v>819</v>
      </c>
      <c r="F1754" s="7" t="s">
        <v>819</v>
      </c>
      <c r="G1754" s="7"/>
      <c r="H1754" s="7"/>
      <c r="I1754" s="7" t="s">
        <v>132</v>
      </c>
      <c r="J1754" s="7" t="s">
        <v>104</v>
      </c>
      <c r="K1754" s="7" t="s">
        <v>105</v>
      </c>
      <c r="L1754" s="7" t="s">
        <v>106</v>
      </c>
      <c r="M1754" s="7"/>
      <c r="N1754" s="7" t="s">
        <v>11439</v>
      </c>
      <c r="O1754" s="7"/>
      <c r="P1754" s="7" t="s">
        <v>135</v>
      </c>
      <c r="Q1754" s="7"/>
      <c r="R1754" s="7" t="s">
        <v>135</v>
      </c>
      <c r="S1754" s="7" t="s">
        <v>136</v>
      </c>
      <c r="T1754" s="7" t="n">
        <v>0.556</v>
      </c>
      <c r="U1754" s="7" t="n">
        <v>1</v>
      </c>
      <c r="V1754" s="7" t="s">
        <v>90</v>
      </c>
      <c r="W1754" s="7"/>
      <c r="X1754" s="7" t="s">
        <v>942</v>
      </c>
      <c r="Y1754" s="7" t="s">
        <v>11439</v>
      </c>
      <c r="Z1754" s="7"/>
      <c r="AA1754" s="7"/>
      <c r="AB1754" s="7"/>
      <c r="AC1754" s="7" t="n">
        <v>5</v>
      </c>
      <c r="AD1754" s="7" t="s">
        <v>743</v>
      </c>
      <c r="AE1754" s="7" t="s">
        <v>744</v>
      </c>
      <c r="AF1754" s="7" t="s">
        <v>11437</v>
      </c>
      <c r="AG1754" s="7" t="s">
        <v>744</v>
      </c>
      <c r="AH1754" s="7" t="s">
        <v>942</v>
      </c>
      <c r="AI1754" s="7"/>
      <c r="AJ1754" s="7"/>
      <c r="AK1754" s="7"/>
      <c r="AL1754" s="7"/>
      <c r="AM1754" s="7"/>
      <c r="AN1754" s="7"/>
      <c r="AO1754" s="7" t="s">
        <v>744</v>
      </c>
      <c r="AP1754" s="7" t="s">
        <v>11438</v>
      </c>
      <c r="AQ1754" s="7" t="s">
        <v>744</v>
      </c>
      <c r="AR1754" s="7" t="s">
        <v>819</v>
      </c>
      <c r="AS1754" s="7"/>
      <c r="AT1754" s="7"/>
      <c r="AU1754" s="7"/>
      <c r="AV1754" s="7"/>
      <c r="AW1754" s="7" t="s">
        <v>744</v>
      </c>
      <c r="AX1754" s="7" t="s">
        <v>11439</v>
      </c>
      <c r="AY1754" s="7"/>
      <c r="AZ1754" s="7"/>
      <c r="BA1754" s="7"/>
      <c r="BB1754" s="7"/>
      <c r="BC1754" s="7"/>
      <c r="BD1754" s="7"/>
      <c r="BE1754" s="7" t="s">
        <v>127</v>
      </c>
      <c r="BF1754" s="8"/>
      <c r="BG1754" s="8"/>
      <c r="BH1754" s="8"/>
      <c r="BI1754" s="8"/>
      <c r="BJ1754" s="8"/>
      <c r="BK1754" s="8"/>
      <c r="BL1754" s="8"/>
      <c r="BM1754" s="8"/>
      <c r="BN1754" s="8"/>
      <c r="BO1754" s="8"/>
      <c r="BP1754" s="8"/>
      <c r="BQ1754" s="8"/>
      <c r="BR1754" s="8"/>
      <c r="BS1754" s="8"/>
    </row>
    <row r="1755" customFormat="false" ht="15" hidden="false" customHeight="false" outlineLevel="0" collapsed="false">
      <c r="A1755" s="7" t="s">
        <v>11440</v>
      </c>
      <c r="B1755" s="7" t="s">
        <v>11441</v>
      </c>
      <c r="C1755" s="7" t="s">
        <v>11442</v>
      </c>
      <c r="D1755" s="7" t="s">
        <v>7044</v>
      </c>
      <c r="E1755" s="7" t="s">
        <v>737</v>
      </c>
      <c r="F1755" s="7" t="s">
        <v>737</v>
      </c>
      <c r="G1755" s="7"/>
      <c r="H1755" s="7"/>
      <c r="I1755" s="7" t="s">
        <v>132</v>
      </c>
      <c r="J1755" s="7" t="s">
        <v>104</v>
      </c>
      <c r="K1755" s="7" t="s">
        <v>105</v>
      </c>
      <c r="L1755" s="7" t="s">
        <v>106</v>
      </c>
      <c r="M1755" s="7"/>
      <c r="N1755" s="7" t="s">
        <v>11443</v>
      </c>
      <c r="O1755" s="7"/>
      <c r="P1755" s="7" t="s">
        <v>135</v>
      </c>
      <c r="Q1755" s="7"/>
      <c r="R1755" s="7" t="s">
        <v>135</v>
      </c>
      <c r="S1755" s="7" t="s">
        <v>136</v>
      </c>
      <c r="T1755" s="7" t="n">
        <v>0.747</v>
      </c>
      <c r="U1755" s="7" t="n">
        <v>1</v>
      </c>
      <c r="V1755" s="7" t="s">
        <v>90</v>
      </c>
      <c r="W1755" s="7"/>
      <c r="X1755" s="7" t="s">
        <v>332</v>
      </c>
      <c r="Y1755" s="7" t="s">
        <v>11443</v>
      </c>
      <c r="Z1755" s="7"/>
      <c r="AA1755" s="7"/>
      <c r="AB1755" s="7"/>
      <c r="AC1755" s="7" t="n">
        <v>5</v>
      </c>
      <c r="AD1755" s="7" t="s">
        <v>743</v>
      </c>
      <c r="AE1755" s="7" t="s">
        <v>744</v>
      </c>
      <c r="AF1755" s="7" t="s">
        <v>11442</v>
      </c>
      <c r="AG1755" s="7" t="s">
        <v>744</v>
      </c>
      <c r="AH1755" s="7" t="s">
        <v>332</v>
      </c>
      <c r="AI1755" s="7"/>
      <c r="AJ1755" s="7"/>
      <c r="AK1755" s="7"/>
      <c r="AL1755" s="7"/>
      <c r="AM1755" s="7"/>
      <c r="AN1755" s="7"/>
      <c r="AO1755" s="7" t="s">
        <v>744</v>
      </c>
      <c r="AP1755" s="7" t="s">
        <v>7044</v>
      </c>
      <c r="AQ1755" s="7" t="s">
        <v>744</v>
      </c>
      <c r="AR1755" s="7" t="s">
        <v>737</v>
      </c>
      <c r="AS1755" s="7"/>
      <c r="AT1755" s="7"/>
      <c r="AU1755" s="7"/>
      <c r="AV1755" s="7"/>
      <c r="AW1755" s="7" t="s">
        <v>744</v>
      </c>
      <c r="AX1755" s="7" t="s">
        <v>11443</v>
      </c>
      <c r="AY1755" s="7"/>
      <c r="AZ1755" s="7"/>
      <c r="BA1755" s="7"/>
      <c r="BB1755" s="7"/>
      <c r="BC1755" s="7"/>
      <c r="BD1755" s="7"/>
      <c r="BE1755" s="7" t="s">
        <v>127</v>
      </c>
      <c r="BF1755" s="8"/>
      <c r="BG1755" s="8"/>
      <c r="BH1755" s="8"/>
      <c r="BI1755" s="8"/>
      <c r="BJ1755" s="8"/>
      <c r="BK1755" s="8"/>
      <c r="BL1755" s="8"/>
      <c r="BM1755" s="8"/>
      <c r="BN1755" s="8"/>
      <c r="BO1755" s="8"/>
      <c r="BP1755" s="8"/>
      <c r="BQ1755" s="8"/>
      <c r="BR1755" s="8"/>
      <c r="BS1755" s="8"/>
    </row>
    <row r="1756" customFormat="false" ht="15" hidden="false" customHeight="false" outlineLevel="0" collapsed="false">
      <c r="A1756" s="7" t="s">
        <v>11444</v>
      </c>
      <c r="B1756" s="7" t="s">
        <v>11445</v>
      </c>
      <c r="C1756" s="7" t="s">
        <v>11446</v>
      </c>
      <c r="D1756" s="7" t="s">
        <v>397</v>
      </c>
      <c r="E1756" s="7"/>
      <c r="F1756" s="7" t="s">
        <v>101</v>
      </c>
      <c r="G1756" s="7"/>
      <c r="H1756" s="7"/>
      <c r="I1756" s="7" t="s">
        <v>1726</v>
      </c>
      <c r="J1756" s="7" t="s">
        <v>104</v>
      </c>
      <c r="K1756" s="7" t="s">
        <v>105</v>
      </c>
      <c r="L1756" s="7" t="s">
        <v>106</v>
      </c>
      <c r="M1756" s="7"/>
      <c r="N1756" s="7" t="s">
        <v>11447</v>
      </c>
      <c r="O1756" s="7"/>
      <c r="P1756" s="7" t="s">
        <v>109</v>
      </c>
      <c r="Q1756" s="7"/>
      <c r="R1756" s="7" t="s">
        <v>135</v>
      </c>
      <c r="S1756" s="7" t="s">
        <v>136</v>
      </c>
      <c r="T1756" s="7" t="n">
        <v>0.342</v>
      </c>
      <c r="U1756" s="7" t="n">
        <v>1</v>
      </c>
      <c r="V1756" s="7"/>
      <c r="W1756" s="7"/>
      <c r="X1756" s="7"/>
      <c r="Y1756" s="7" t="s">
        <v>11447</v>
      </c>
      <c r="Z1756" s="7"/>
      <c r="AA1756" s="7"/>
      <c r="AB1756" s="7"/>
      <c r="AC1756" s="7" t="n">
        <v>5</v>
      </c>
      <c r="AD1756" s="7" t="s">
        <v>1897</v>
      </c>
      <c r="AE1756" s="7" t="s">
        <v>189</v>
      </c>
      <c r="AF1756" s="7" t="s">
        <v>11448</v>
      </c>
      <c r="AG1756" s="7" t="s">
        <v>744</v>
      </c>
      <c r="AH1756" s="7" t="s">
        <v>7632</v>
      </c>
      <c r="AI1756" s="7"/>
      <c r="AJ1756" s="7"/>
      <c r="AK1756" s="7"/>
      <c r="AL1756" s="7"/>
      <c r="AM1756" s="7" t="s">
        <v>189</v>
      </c>
      <c r="AN1756" s="7" t="s">
        <v>11449</v>
      </c>
      <c r="AO1756" s="7" t="s">
        <v>744</v>
      </c>
      <c r="AP1756" s="7" t="s">
        <v>397</v>
      </c>
      <c r="AQ1756" s="7"/>
      <c r="AR1756" s="7"/>
      <c r="AS1756" s="7"/>
      <c r="AT1756" s="7"/>
      <c r="AU1756" s="7"/>
      <c r="AV1756" s="7"/>
      <c r="AW1756" s="7" t="s">
        <v>744</v>
      </c>
      <c r="AX1756" s="7" t="s">
        <v>11447</v>
      </c>
      <c r="AY1756" s="7"/>
      <c r="AZ1756" s="7"/>
      <c r="BA1756" s="7"/>
      <c r="BB1756" s="7"/>
      <c r="BC1756" s="7"/>
      <c r="BD1756" s="7" t="s">
        <v>1218</v>
      </c>
      <c r="BE1756" s="7" t="s">
        <v>127</v>
      </c>
      <c r="BF1756" s="8"/>
      <c r="BG1756" s="8"/>
      <c r="BH1756" s="8"/>
      <c r="BI1756" s="8"/>
      <c r="BJ1756" s="8"/>
      <c r="BK1756" s="8"/>
      <c r="BL1756" s="8"/>
      <c r="BM1756" s="8"/>
      <c r="BN1756" s="8"/>
      <c r="BO1756" s="8"/>
      <c r="BP1756" s="8"/>
      <c r="BQ1756" s="8"/>
      <c r="BR1756" s="8"/>
      <c r="BS1756" s="8"/>
    </row>
    <row r="1757" customFormat="false" ht="15" hidden="false" customHeight="false" outlineLevel="0" collapsed="false">
      <c r="A1757" s="7" t="s">
        <v>11450</v>
      </c>
      <c r="B1757" s="7" t="s">
        <v>11451</v>
      </c>
      <c r="C1757" s="7" t="s">
        <v>11452</v>
      </c>
      <c r="D1757" s="7" t="s">
        <v>2468</v>
      </c>
      <c r="E1757" s="7"/>
      <c r="F1757" s="7" t="s">
        <v>101</v>
      </c>
      <c r="G1757" s="7"/>
      <c r="H1757" s="7"/>
      <c r="I1757" s="7" t="s">
        <v>300</v>
      </c>
      <c r="J1757" s="7" t="s">
        <v>104</v>
      </c>
      <c r="K1757" s="7" t="s">
        <v>105</v>
      </c>
      <c r="L1757" s="7" t="s">
        <v>2470</v>
      </c>
      <c r="M1757" s="7"/>
      <c r="N1757" s="7" t="s">
        <v>11453</v>
      </c>
      <c r="O1757" s="7"/>
      <c r="P1757" s="7" t="s">
        <v>109</v>
      </c>
      <c r="Q1757" s="7"/>
      <c r="R1757" s="7" t="s">
        <v>135</v>
      </c>
      <c r="S1757" s="7" t="s">
        <v>136</v>
      </c>
      <c r="T1757" s="7" t="n">
        <v>0.237</v>
      </c>
      <c r="U1757" s="7" t="n">
        <v>1</v>
      </c>
      <c r="V1757" s="7"/>
      <c r="W1757" s="7"/>
      <c r="X1757" s="7"/>
      <c r="Y1757" s="7" t="s">
        <v>11453</v>
      </c>
      <c r="Z1757" s="7"/>
      <c r="AA1757" s="7"/>
      <c r="AB1757" s="7"/>
      <c r="AC1757" s="7" t="n">
        <v>5</v>
      </c>
      <c r="AD1757" s="7" t="s">
        <v>1897</v>
      </c>
      <c r="AE1757" s="7" t="s">
        <v>189</v>
      </c>
      <c r="AF1757" s="7" t="s">
        <v>11454</v>
      </c>
      <c r="AG1757" s="7" t="s">
        <v>744</v>
      </c>
      <c r="AH1757" s="7" t="s">
        <v>6896</v>
      </c>
      <c r="AI1757" s="7"/>
      <c r="AJ1757" s="7"/>
      <c r="AK1757" s="7"/>
      <c r="AL1757" s="7"/>
      <c r="AM1757" s="7" t="s">
        <v>189</v>
      </c>
      <c r="AN1757" s="7" t="s">
        <v>11455</v>
      </c>
      <c r="AO1757" s="7" t="s">
        <v>744</v>
      </c>
      <c r="AP1757" s="7" t="s">
        <v>2468</v>
      </c>
      <c r="AQ1757" s="7"/>
      <c r="AR1757" s="7"/>
      <c r="AS1757" s="7"/>
      <c r="AT1757" s="7"/>
      <c r="AU1757" s="7"/>
      <c r="AV1757" s="7"/>
      <c r="AW1757" s="7" t="s">
        <v>744</v>
      </c>
      <c r="AX1757" s="7" t="s">
        <v>11453</v>
      </c>
      <c r="AY1757" s="7"/>
      <c r="AZ1757" s="7"/>
      <c r="BA1757" s="7"/>
      <c r="BB1757" s="7"/>
      <c r="BC1757" s="7"/>
      <c r="BD1757" s="7"/>
      <c r="BE1757" s="7" t="s">
        <v>127</v>
      </c>
      <c r="BF1757" s="8"/>
      <c r="BG1757" s="8"/>
      <c r="BH1757" s="8"/>
      <c r="BI1757" s="8"/>
      <c r="BJ1757" s="8"/>
      <c r="BK1757" s="8"/>
      <c r="BL1757" s="8"/>
      <c r="BM1757" s="8"/>
      <c r="BN1757" s="8"/>
      <c r="BO1757" s="8"/>
      <c r="BP1757" s="8"/>
      <c r="BQ1757" s="8"/>
      <c r="BR1757" s="8"/>
      <c r="BS1757" s="8"/>
    </row>
    <row r="1758" customFormat="false" ht="15" hidden="false" customHeight="false" outlineLevel="0" collapsed="false">
      <c r="A1758" s="7" t="s">
        <v>11456</v>
      </c>
      <c r="B1758" s="7" t="s">
        <v>11457</v>
      </c>
      <c r="C1758" s="7" t="s">
        <v>11458</v>
      </c>
      <c r="D1758" s="7" t="s">
        <v>11459</v>
      </c>
      <c r="E1758" s="7"/>
      <c r="F1758" s="7" t="s">
        <v>101</v>
      </c>
      <c r="G1758" s="7"/>
      <c r="H1758" s="7"/>
      <c r="I1758" s="7" t="s">
        <v>132</v>
      </c>
      <c r="J1758" s="7" t="s">
        <v>104</v>
      </c>
      <c r="K1758" s="7" t="s">
        <v>105</v>
      </c>
      <c r="L1758" s="7" t="s">
        <v>106</v>
      </c>
      <c r="M1758" s="7"/>
      <c r="N1758" s="7" t="s">
        <v>11460</v>
      </c>
      <c r="O1758" s="7"/>
      <c r="P1758" s="7" t="s">
        <v>109</v>
      </c>
      <c r="Q1758" s="7"/>
      <c r="R1758" s="7" t="s">
        <v>135</v>
      </c>
      <c r="S1758" s="7" t="s">
        <v>136</v>
      </c>
      <c r="T1758" s="7" t="n">
        <v>0.396</v>
      </c>
      <c r="U1758" s="7" t="n">
        <v>1</v>
      </c>
      <c r="V1758" s="7" t="s">
        <v>1156</v>
      </c>
      <c r="W1758" s="7"/>
      <c r="X1758" s="7" t="s">
        <v>11461</v>
      </c>
      <c r="Y1758" s="7" t="s">
        <v>11460</v>
      </c>
      <c r="Z1758" s="7"/>
      <c r="AA1758" s="7"/>
      <c r="AB1758" s="7"/>
      <c r="AC1758" s="7" t="n">
        <v>5</v>
      </c>
      <c r="AD1758" s="7" t="s">
        <v>1897</v>
      </c>
      <c r="AE1758" s="7" t="s">
        <v>189</v>
      </c>
      <c r="AF1758" s="7" t="s">
        <v>11462</v>
      </c>
      <c r="AG1758" s="7" t="s">
        <v>189</v>
      </c>
      <c r="AH1758" s="7" t="s">
        <v>11463</v>
      </c>
      <c r="AI1758" s="7"/>
      <c r="AJ1758" s="7"/>
      <c r="AK1758" s="7"/>
      <c r="AL1758" s="7"/>
      <c r="AM1758" s="7" t="s">
        <v>189</v>
      </c>
      <c r="AN1758" s="7" t="s">
        <v>11464</v>
      </c>
      <c r="AO1758" s="7" t="s">
        <v>744</v>
      </c>
      <c r="AP1758" s="7" t="s">
        <v>11459</v>
      </c>
      <c r="AQ1758" s="7"/>
      <c r="AR1758" s="7"/>
      <c r="AS1758" s="7"/>
      <c r="AT1758" s="7"/>
      <c r="AU1758" s="7"/>
      <c r="AV1758" s="7"/>
      <c r="AW1758" s="7" t="s">
        <v>744</v>
      </c>
      <c r="AX1758" s="7" t="s">
        <v>11460</v>
      </c>
      <c r="AY1758" s="7"/>
      <c r="AZ1758" s="7"/>
      <c r="BA1758" s="7"/>
      <c r="BB1758" s="7"/>
      <c r="BC1758" s="7"/>
      <c r="BD1758" s="7"/>
      <c r="BE1758" s="7" t="s">
        <v>127</v>
      </c>
      <c r="BF1758" s="8"/>
      <c r="BG1758" s="8"/>
      <c r="BH1758" s="8"/>
      <c r="BI1758" s="8"/>
      <c r="BJ1758" s="8"/>
      <c r="BK1758" s="8"/>
      <c r="BL1758" s="8"/>
      <c r="BM1758" s="8"/>
      <c r="BN1758" s="8"/>
      <c r="BO1758" s="8"/>
      <c r="BP1758" s="8"/>
      <c r="BQ1758" s="8"/>
      <c r="BR1758" s="8"/>
      <c r="BS1758" s="8"/>
    </row>
    <row r="1759" customFormat="false" ht="15" hidden="false" customHeight="false" outlineLevel="0" collapsed="false">
      <c r="A1759" s="7" t="s">
        <v>11465</v>
      </c>
      <c r="B1759" s="7" t="s">
        <v>11466</v>
      </c>
      <c r="C1759" s="7" t="s">
        <v>11467</v>
      </c>
      <c r="D1759" s="7" t="s">
        <v>11468</v>
      </c>
      <c r="E1759" s="7"/>
      <c r="F1759" s="7" t="s">
        <v>101</v>
      </c>
      <c r="G1759" s="7"/>
      <c r="H1759" s="7"/>
      <c r="I1759" s="7" t="s">
        <v>374</v>
      </c>
      <c r="J1759" s="7" t="s">
        <v>104</v>
      </c>
      <c r="K1759" s="7" t="s">
        <v>105</v>
      </c>
      <c r="L1759" s="7" t="s">
        <v>106</v>
      </c>
      <c r="M1759" s="7"/>
      <c r="N1759" s="7" t="s">
        <v>11469</v>
      </c>
      <c r="O1759" s="7"/>
      <c r="P1759" s="7" t="s">
        <v>109</v>
      </c>
      <c r="Q1759" s="7"/>
      <c r="R1759" s="7" t="s">
        <v>135</v>
      </c>
      <c r="S1759" s="7" t="s">
        <v>136</v>
      </c>
      <c r="T1759" s="7" t="n">
        <v>0.312</v>
      </c>
      <c r="U1759" s="7" t="n">
        <v>1</v>
      </c>
      <c r="V1759" s="7" t="s">
        <v>1156</v>
      </c>
      <c r="W1759" s="7"/>
      <c r="X1759" s="7" t="s">
        <v>11470</v>
      </c>
      <c r="Y1759" s="7" t="s">
        <v>11469</v>
      </c>
      <c r="Z1759" s="7"/>
      <c r="AA1759" s="7"/>
      <c r="AB1759" s="7"/>
      <c r="AC1759" s="7" t="n">
        <v>5</v>
      </c>
      <c r="AD1759" s="7" t="s">
        <v>1897</v>
      </c>
      <c r="AE1759" s="7" t="s">
        <v>744</v>
      </c>
      <c r="AF1759" s="7" t="s">
        <v>11467</v>
      </c>
      <c r="AG1759" s="7" t="s">
        <v>744</v>
      </c>
      <c r="AH1759" s="7" t="s">
        <v>11470</v>
      </c>
      <c r="AI1759" s="7"/>
      <c r="AJ1759" s="7"/>
      <c r="AK1759" s="7"/>
      <c r="AL1759" s="7"/>
      <c r="AM1759" s="7" t="s">
        <v>744</v>
      </c>
      <c r="AN1759" s="7" t="s">
        <v>11471</v>
      </c>
      <c r="AO1759" s="7" t="s">
        <v>744</v>
      </c>
      <c r="AP1759" s="7" t="s">
        <v>11468</v>
      </c>
      <c r="AQ1759" s="7"/>
      <c r="AR1759" s="7"/>
      <c r="AS1759" s="7"/>
      <c r="AT1759" s="7"/>
      <c r="AU1759" s="7"/>
      <c r="AV1759" s="7"/>
      <c r="AW1759" s="7" t="s">
        <v>744</v>
      </c>
      <c r="AX1759" s="7" t="s">
        <v>11469</v>
      </c>
      <c r="AY1759" s="7"/>
      <c r="AZ1759" s="7"/>
      <c r="BA1759" s="7"/>
      <c r="BB1759" s="7"/>
      <c r="BC1759" s="7"/>
      <c r="BD1759" s="7" t="s">
        <v>1826</v>
      </c>
      <c r="BE1759" s="7" t="s">
        <v>127</v>
      </c>
      <c r="BF1759" s="8"/>
      <c r="BG1759" s="8"/>
      <c r="BH1759" s="8"/>
      <c r="BI1759" s="8"/>
      <c r="BJ1759" s="8"/>
      <c r="BK1759" s="8"/>
      <c r="BL1759" s="8"/>
      <c r="BM1759" s="8"/>
      <c r="BN1759" s="8"/>
      <c r="BO1759" s="8"/>
      <c r="BP1759" s="8"/>
      <c r="BQ1759" s="8"/>
      <c r="BR1759" s="8"/>
      <c r="BS1759" s="8"/>
    </row>
    <row r="1760" customFormat="false" ht="15" hidden="false" customHeight="false" outlineLevel="0" collapsed="false">
      <c r="A1760" s="7" t="s">
        <v>11472</v>
      </c>
      <c r="B1760" s="7" t="s">
        <v>11473</v>
      </c>
      <c r="C1760" s="7" t="s">
        <v>11474</v>
      </c>
      <c r="D1760" s="7" t="s">
        <v>4514</v>
      </c>
      <c r="E1760" s="7"/>
      <c r="F1760" s="7" t="s">
        <v>101</v>
      </c>
      <c r="G1760" s="7"/>
      <c r="H1760" s="7"/>
      <c r="I1760" s="7" t="s">
        <v>300</v>
      </c>
      <c r="J1760" s="7" t="s">
        <v>104</v>
      </c>
      <c r="K1760" s="7" t="s">
        <v>105</v>
      </c>
      <c r="L1760" s="7" t="s">
        <v>106</v>
      </c>
      <c r="M1760" s="7"/>
      <c r="N1760" s="7" t="s">
        <v>11475</v>
      </c>
      <c r="O1760" s="7"/>
      <c r="P1760" s="7" t="s">
        <v>109</v>
      </c>
      <c r="Q1760" s="7"/>
      <c r="R1760" s="7" t="s">
        <v>135</v>
      </c>
      <c r="S1760" s="7" t="s">
        <v>136</v>
      </c>
      <c r="T1760" s="7" t="n">
        <v>0.53</v>
      </c>
      <c r="U1760" s="7" t="n">
        <v>1</v>
      </c>
      <c r="V1760" s="7" t="s">
        <v>86</v>
      </c>
      <c r="W1760" s="7"/>
      <c r="X1760" s="7" t="s">
        <v>11476</v>
      </c>
      <c r="Y1760" s="7" t="s">
        <v>11475</v>
      </c>
      <c r="Z1760" s="7"/>
      <c r="AA1760" s="7"/>
      <c r="AB1760" s="7"/>
      <c r="AC1760" s="7" t="n">
        <v>5</v>
      </c>
      <c r="AD1760" s="7" t="s">
        <v>1897</v>
      </c>
      <c r="AE1760" s="7" t="s">
        <v>189</v>
      </c>
      <c r="AF1760" s="7" t="s">
        <v>11477</v>
      </c>
      <c r="AG1760" s="7" t="s">
        <v>189</v>
      </c>
      <c r="AH1760" s="7" t="s">
        <v>1511</v>
      </c>
      <c r="AI1760" s="7"/>
      <c r="AJ1760" s="7"/>
      <c r="AK1760" s="7"/>
      <c r="AL1760" s="7"/>
      <c r="AM1760" s="7" t="s">
        <v>189</v>
      </c>
      <c r="AN1760" s="7" t="s">
        <v>11478</v>
      </c>
      <c r="AO1760" s="7" t="s">
        <v>744</v>
      </c>
      <c r="AP1760" s="7" t="s">
        <v>4514</v>
      </c>
      <c r="AQ1760" s="7"/>
      <c r="AR1760" s="7"/>
      <c r="AS1760" s="7"/>
      <c r="AT1760" s="7"/>
      <c r="AU1760" s="7"/>
      <c r="AV1760" s="7"/>
      <c r="AW1760" s="7" t="s">
        <v>744</v>
      </c>
      <c r="AX1760" s="7" t="s">
        <v>11475</v>
      </c>
      <c r="AY1760" s="7"/>
      <c r="AZ1760" s="7"/>
      <c r="BA1760" s="7"/>
      <c r="BB1760" s="7"/>
      <c r="BC1760" s="7"/>
      <c r="BD1760" s="7"/>
      <c r="BE1760" s="7" t="s">
        <v>127</v>
      </c>
      <c r="BF1760" s="8"/>
      <c r="BG1760" s="8"/>
      <c r="BH1760" s="8"/>
      <c r="BI1760" s="8"/>
      <c r="BJ1760" s="8"/>
      <c r="BK1760" s="8"/>
      <c r="BL1760" s="8"/>
      <c r="BM1760" s="8"/>
      <c r="BN1760" s="8"/>
      <c r="BO1760" s="8"/>
      <c r="BP1760" s="8"/>
      <c r="BQ1760" s="8"/>
      <c r="BR1760" s="8"/>
      <c r="BS1760" s="8"/>
    </row>
    <row r="1761" customFormat="false" ht="15" hidden="false" customHeight="false" outlineLevel="0" collapsed="false">
      <c r="A1761" s="7" t="s">
        <v>11479</v>
      </c>
      <c r="B1761" s="7" t="s">
        <v>11480</v>
      </c>
      <c r="C1761" s="7" t="s">
        <v>11481</v>
      </c>
      <c r="D1761" s="7" t="s">
        <v>11482</v>
      </c>
      <c r="E1761" s="7"/>
      <c r="F1761" s="7" t="s">
        <v>101</v>
      </c>
      <c r="G1761" s="7"/>
      <c r="H1761" s="7"/>
      <c r="I1761" s="7" t="s">
        <v>132</v>
      </c>
      <c r="J1761" s="7" t="s">
        <v>104</v>
      </c>
      <c r="K1761" s="7" t="s">
        <v>105</v>
      </c>
      <c r="L1761" s="7" t="s">
        <v>106</v>
      </c>
      <c r="M1761" s="7"/>
      <c r="N1761" s="7" t="s">
        <v>11483</v>
      </c>
      <c r="O1761" s="7"/>
      <c r="P1761" s="7" t="s">
        <v>135</v>
      </c>
      <c r="Q1761" s="7"/>
      <c r="R1761" s="7" t="s">
        <v>135</v>
      </c>
      <c r="S1761" s="7" t="s">
        <v>136</v>
      </c>
      <c r="T1761" s="7" t="n">
        <v>0.728</v>
      </c>
      <c r="U1761" s="7" t="n">
        <v>1</v>
      </c>
      <c r="V1761" s="7" t="s">
        <v>90</v>
      </c>
      <c r="W1761" s="7"/>
      <c r="X1761" s="7" t="s">
        <v>11484</v>
      </c>
      <c r="Y1761" s="7" t="s">
        <v>11483</v>
      </c>
      <c r="Z1761" s="7"/>
      <c r="AA1761" s="7"/>
      <c r="AB1761" s="7"/>
      <c r="AC1761" s="7" t="n">
        <v>5</v>
      </c>
      <c r="AD1761" s="7" t="s">
        <v>1897</v>
      </c>
      <c r="AE1761" s="7" t="s">
        <v>744</v>
      </c>
      <c r="AF1761" s="7" t="s">
        <v>11481</v>
      </c>
      <c r="AG1761" s="7" t="s">
        <v>744</v>
      </c>
      <c r="AH1761" s="7" t="s">
        <v>11484</v>
      </c>
      <c r="AI1761" s="7"/>
      <c r="AJ1761" s="7"/>
      <c r="AK1761" s="7"/>
      <c r="AL1761" s="7"/>
      <c r="AM1761" s="7" t="s">
        <v>744</v>
      </c>
      <c r="AN1761" s="7" t="s">
        <v>11485</v>
      </c>
      <c r="AO1761" s="7" t="s">
        <v>744</v>
      </c>
      <c r="AP1761" s="7" t="s">
        <v>11482</v>
      </c>
      <c r="AQ1761" s="7"/>
      <c r="AR1761" s="7"/>
      <c r="AS1761" s="7"/>
      <c r="AT1761" s="7"/>
      <c r="AU1761" s="7"/>
      <c r="AV1761" s="7"/>
      <c r="AW1761" s="7" t="s">
        <v>744</v>
      </c>
      <c r="AX1761" s="7" t="s">
        <v>11483</v>
      </c>
      <c r="AY1761" s="7"/>
      <c r="AZ1761" s="7"/>
      <c r="BA1761" s="7"/>
      <c r="BB1761" s="7"/>
      <c r="BC1761" s="7"/>
      <c r="BD1761" s="7" t="s">
        <v>11486</v>
      </c>
      <c r="BE1761" s="7" t="s">
        <v>127</v>
      </c>
      <c r="BF1761" s="8"/>
      <c r="BG1761" s="8"/>
      <c r="BH1761" s="8"/>
      <c r="BI1761" s="8"/>
      <c r="BJ1761" s="8"/>
      <c r="BK1761" s="8"/>
      <c r="BL1761" s="8"/>
      <c r="BM1761" s="8"/>
      <c r="BN1761" s="8"/>
      <c r="BO1761" s="8"/>
      <c r="BP1761" s="8"/>
      <c r="BQ1761" s="8"/>
      <c r="BR1761" s="8"/>
      <c r="BS1761" s="8"/>
    </row>
    <row r="1762" customFormat="false" ht="15" hidden="false" customHeight="false" outlineLevel="0" collapsed="false">
      <c r="A1762" s="7" t="s">
        <v>11487</v>
      </c>
      <c r="B1762" s="7" t="s">
        <v>11488</v>
      </c>
      <c r="C1762" s="7" t="s">
        <v>11489</v>
      </c>
      <c r="D1762" s="7" t="s">
        <v>1263</v>
      </c>
      <c r="E1762" s="7"/>
      <c r="F1762" s="7" t="s">
        <v>101</v>
      </c>
      <c r="G1762" s="7"/>
      <c r="H1762" s="7"/>
      <c r="I1762" s="7" t="s">
        <v>1726</v>
      </c>
      <c r="J1762" s="7" t="s">
        <v>104</v>
      </c>
      <c r="K1762" s="7" t="s">
        <v>105</v>
      </c>
      <c r="L1762" s="7" t="s">
        <v>1447</v>
      </c>
      <c r="M1762" s="7"/>
      <c r="N1762" s="7" t="s">
        <v>11490</v>
      </c>
      <c r="O1762" s="7"/>
      <c r="P1762" s="7" t="s">
        <v>135</v>
      </c>
      <c r="Q1762" s="7"/>
      <c r="R1762" s="7" t="s">
        <v>135</v>
      </c>
      <c r="S1762" s="7" t="s">
        <v>136</v>
      </c>
      <c r="T1762" s="7" t="n">
        <v>0.354</v>
      </c>
      <c r="U1762" s="7" t="n">
        <v>1</v>
      </c>
      <c r="V1762" s="7" t="s">
        <v>90</v>
      </c>
      <c r="W1762" s="7"/>
      <c r="X1762" s="7" t="s">
        <v>9590</v>
      </c>
      <c r="Y1762" s="7" t="s">
        <v>11490</v>
      </c>
      <c r="Z1762" s="7"/>
      <c r="AA1762" s="7"/>
      <c r="AB1762" s="7"/>
      <c r="AC1762" s="7" t="n">
        <v>5</v>
      </c>
      <c r="AD1762" s="7" t="s">
        <v>1897</v>
      </c>
      <c r="AE1762" s="7" t="s">
        <v>744</v>
      </c>
      <c r="AF1762" s="7" t="s">
        <v>11489</v>
      </c>
      <c r="AG1762" s="7" t="s">
        <v>744</v>
      </c>
      <c r="AH1762" s="7" t="s">
        <v>9590</v>
      </c>
      <c r="AI1762" s="7"/>
      <c r="AJ1762" s="7"/>
      <c r="AK1762" s="7"/>
      <c r="AL1762" s="7"/>
      <c r="AM1762" s="7" t="s">
        <v>744</v>
      </c>
      <c r="AN1762" s="7" t="s">
        <v>11491</v>
      </c>
      <c r="AO1762" s="7" t="s">
        <v>744</v>
      </c>
      <c r="AP1762" s="7" t="s">
        <v>1263</v>
      </c>
      <c r="AQ1762" s="7"/>
      <c r="AR1762" s="7"/>
      <c r="AS1762" s="7"/>
      <c r="AT1762" s="7"/>
      <c r="AU1762" s="7"/>
      <c r="AV1762" s="7"/>
      <c r="AW1762" s="7" t="s">
        <v>744</v>
      </c>
      <c r="AX1762" s="7" t="s">
        <v>11490</v>
      </c>
      <c r="AY1762" s="7"/>
      <c r="AZ1762" s="7"/>
      <c r="BA1762" s="7"/>
      <c r="BB1762" s="7"/>
      <c r="BC1762" s="7"/>
      <c r="BD1762" s="7"/>
      <c r="BE1762" s="7" t="s">
        <v>127</v>
      </c>
      <c r="BF1762" s="8"/>
      <c r="BG1762" s="8"/>
      <c r="BH1762" s="8"/>
      <c r="BI1762" s="8"/>
      <c r="BJ1762" s="8"/>
      <c r="BK1762" s="8"/>
      <c r="BL1762" s="8"/>
      <c r="BM1762" s="8"/>
      <c r="BN1762" s="8"/>
      <c r="BO1762" s="8"/>
      <c r="BP1762" s="8"/>
      <c r="BQ1762" s="8"/>
      <c r="BR1762" s="8"/>
      <c r="BS1762" s="8"/>
    </row>
    <row r="1763" customFormat="false" ht="15" hidden="false" customHeight="false" outlineLevel="0" collapsed="false">
      <c r="A1763" s="7" t="s">
        <v>11492</v>
      </c>
      <c r="B1763" s="7" t="s">
        <v>11493</v>
      </c>
      <c r="C1763" s="7" t="s">
        <v>11494</v>
      </c>
      <c r="D1763" s="7" t="s">
        <v>11459</v>
      </c>
      <c r="E1763" s="7"/>
      <c r="F1763" s="7" t="s">
        <v>101</v>
      </c>
      <c r="G1763" s="7"/>
      <c r="H1763" s="7"/>
      <c r="I1763" s="7" t="s">
        <v>132</v>
      </c>
      <c r="J1763" s="7" t="s">
        <v>104</v>
      </c>
      <c r="K1763" s="7" t="s">
        <v>105</v>
      </c>
      <c r="L1763" s="7" t="s">
        <v>106</v>
      </c>
      <c r="M1763" s="7"/>
      <c r="N1763" s="7" t="s">
        <v>11495</v>
      </c>
      <c r="O1763" s="7"/>
      <c r="P1763" s="7" t="s">
        <v>135</v>
      </c>
      <c r="Q1763" s="7"/>
      <c r="R1763" s="7" t="s">
        <v>135</v>
      </c>
      <c r="S1763" s="7" t="s">
        <v>136</v>
      </c>
      <c r="T1763" s="7" t="n">
        <v>0.459</v>
      </c>
      <c r="U1763" s="7" t="n">
        <v>1</v>
      </c>
      <c r="V1763" s="7" t="s">
        <v>90</v>
      </c>
      <c r="W1763" s="7"/>
      <c r="X1763" s="7" t="s">
        <v>2279</v>
      </c>
      <c r="Y1763" s="7" t="s">
        <v>11495</v>
      </c>
      <c r="Z1763" s="7"/>
      <c r="AA1763" s="7"/>
      <c r="AB1763" s="7"/>
      <c r="AC1763" s="7" t="n">
        <v>5</v>
      </c>
      <c r="AD1763" s="7" t="s">
        <v>1897</v>
      </c>
      <c r="AE1763" s="7" t="s">
        <v>744</v>
      </c>
      <c r="AF1763" s="7" t="s">
        <v>11494</v>
      </c>
      <c r="AG1763" s="7" t="s">
        <v>744</v>
      </c>
      <c r="AH1763" s="7" t="s">
        <v>2279</v>
      </c>
      <c r="AI1763" s="7"/>
      <c r="AJ1763" s="7"/>
      <c r="AK1763" s="7"/>
      <c r="AL1763" s="7"/>
      <c r="AM1763" s="7" t="s">
        <v>744</v>
      </c>
      <c r="AN1763" s="7" t="s">
        <v>11496</v>
      </c>
      <c r="AO1763" s="7" t="s">
        <v>744</v>
      </c>
      <c r="AP1763" s="7" t="s">
        <v>11459</v>
      </c>
      <c r="AQ1763" s="7"/>
      <c r="AR1763" s="7"/>
      <c r="AS1763" s="7"/>
      <c r="AT1763" s="7"/>
      <c r="AU1763" s="7"/>
      <c r="AV1763" s="7"/>
      <c r="AW1763" s="7" t="s">
        <v>744</v>
      </c>
      <c r="AX1763" s="7" t="s">
        <v>11495</v>
      </c>
      <c r="AY1763" s="7"/>
      <c r="AZ1763" s="7"/>
      <c r="BA1763" s="7"/>
      <c r="BB1763" s="7"/>
      <c r="BC1763" s="7"/>
      <c r="BD1763" s="7"/>
      <c r="BE1763" s="7" t="s">
        <v>127</v>
      </c>
      <c r="BF1763" s="8"/>
      <c r="BG1763" s="8"/>
      <c r="BH1763" s="8"/>
      <c r="BI1763" s="8"/>
      <c r="BJ1763" s="8"/>
      <c r="BK1763" s="8"/>
      <c r="BL1763" s="8"/>
      <c r="BM1763" s="8"/>
      <c r="BN1763" s="8"/>
      <c r="BO1763" s="8"/>
      <c r="BP1763" s="8"/>
      <c r="BQ1763" s="8"/>
      <c r="BR1763" s="8"/>
      <c r="BS1763" s="8"/>
    </row>
    <row r="1764" customFormat="false" ht="15" hidden="false" customHeight="false" outlineLevel="0" collapsed="false">
      <c r="A1764" s="7" t="s">
        <v>11497</v>
      </c>
      <c r="B1764" s="7" t="s">
        <v>11498</v>
      </c>
      <c r="C1764" s="7" t="s">
        <v>11499</v>
      </c>
      <c r="D1764" s="7" t="s">
        <v>11500</v>
      </c>
      <c r="E1764" s="7"/>
      <c r="F1764" s="7" t="s">
        <v>156</v>
      </c>
      <c r="G1764" s="7"/>
      <c r="H1764" s="7" t="s">
        <v>157</v>
      </c>
      <c r="I1764" s="7" t="s">
        <v>132</v>
      </c>
      <c r="J1764" s="7" t="s">
        <v>159</v>
      </c>
      <c r="K1764" s="7" t="s">
        <v>105</v>
      </c>
      <c r="L1764" s="7" t="s">
        <v>106</v>
      </c>
      <c r="M1764" s="7"/>
      <c r="N1764" s="7" t="s">
        <v>11501</v>
      </c>
      <c r="O1764" s="7"/>
      <c r="P1764" s="7" t="s">
        <v>135</v>
      </c>
      <c r="Q1764" s="7"/>
      <c r="R1764" s="7" t="s">
        <v>135</v>
      </c>
      <c r="S1764" s="7" t="s">
        <v>136</v>
      </c>
      <c r="T1764" s="7" t="n">
        <v>0.374</v>
      </c>
      <c r="U1764" s="7" t="n">
        <v>1</v>
      </c>
      <c r="V1764" s="7" t="s">
        <v>90</v>
      </c>
      <c r="W1764" s="7"/>
      <c r="X1764" s="7" t="s">
        <v>11502</v>
      </c>
      <c r="Y1764" s="7" t="s">
        <v>11501</v>
      </c>
      <c r="Z1764" s="7"/>
      <c r="AA1764" s="7"/>
      <c r="AB1764" s="7"/>
      <c r="AC1764" s="7" t="n">
        <v>5</v>
      </c>
      <c r="AD1764" s="7" t="s">
        <v>1897</v>
      </c>
      <c r="AE1764" s="7" t="s">
        <v>744</v>
      </c>
      <c r="AF1764" s="7" t="s">
        <v>11499</v>
      </c>
      <c r="AG1764" s="7" t="s">
        <v>744</v>
      </c>
      <c r="AH1764" s="7" t="s">
        <v>11502</v>
      </c>
      <c r="AI1764" s="7"/>
      <c r="AJ1764" s="7"/>
      <c r="AK1764" s="7"/>
      <c r="AL1764" s="7"/>
      <c r="AM1764" s="7" t="s">
        <v>744</v>
      </c>
      <c r="AN1764" s="7" t="s">
        <v>11503</v>
      </c>
      <c r="AO1764" s="7" t="s">
        <v>744</v>
      </c>
      <c r="AP1764" s="7" t="s">
        <v>11500</v>
      </c>
      <c r="AQ1764" s="7"/>
      <c r="AR1764" s="7"/>
      <c r="AS1764" s="7"/>
      <c r="AT1764" s="7"/>
      <c r="AU1764" s="7"/>
      <c r="AV1764" s="7"/>
      <c r="AW1764" s="7" t="s">
        <v>744</v>
      </c>
      <c r="AX1764" s="7" t="s">
        <v>11501</v>
      </c>
      <c r="AY1764" s="7"/>
      <c r="AZ1764" s="7"/>
      <c r="BA1764" s="7"/>
      <c r="BB1764" s="7"/>
      <c r="BC1764" s="7"/>
      <c r="BD1764" s="7" t="s">
        <v>11504</v>
      </c>
      <c r="BE1764" s="7" t="s">
        <v>127</v>
      </c>
      <c r="BF1764" s="8"/>
      <c r="BG1764" s="8"/>
      <c r="BH1764" s="8"/>
      <c r="BI1764" s="8"/>
      <c r="BJ1764" s="8"/>
      <c r="BK1764" s="8"/>
      <c r="BL1764" s="8"/>
      <c r="BM1764" s="8"/>
      <c r="BN1764" s="8"/>
      <c r="BO1764" s="8"/>
      <c r="BP1764" s="8"/>
      <c r="BQ1764" s="8"/>
      <c r="BR1764" s="8"/>
      <c r="BS1764" s="8"/>
    </row>
    <row r="1765" customFormat="false" ht="15" hidden="false" customHeight="false" outlineLevel="0" collapsed="false">
      <c r="A1765" s="7" t="s">
        <v>11505</v>
      </c>
      <c r="B1765" s="7" t="s">
        <v>11506</v>
      </c>
      <c r="C1765" s="7" t="s">
        <v>11507</v>
      </c>
      <c r="D1765" s="7" t="s">
        <v>7608</v>
      </c>
      <c r="E1765" s="7"/>
      <c r="F1765" s="7" t="s">
        <v>101</v>
      </c>
      <c r="G1765" s="7"/>
      <c r="H1765" s="7"/>
      <c r="I1765" s="7" t="s">
        <v>158</v>
      </c>
      <c r="J1765" s="7" t="s">
        <v>104</v>
      </c>
      <c r="K1765" s="7" t="s">
        <v>105</v>
      </c>
      <c r="L1765" s="7" t="s">
        <v>106</v>
      </c>
      <c r="M1765" s="7"/>
      <c r="N1765" s="7" t="s">
        <v>11508</v>
      </c>
      <c r="O1765" s="7" t="s">
        <v>11508</v>
      </c>
      <c r="P1765" s="7" t="s">
        <v>135</v>
      </c>
      <c r="Q1765" s="7"/>
      <c r="R1765" s="7" t="s">
        <v>109</v>
      </c>
      <c r="S1765" s="7" t="s">
        <v>110</v>
      </c>
      <c r="T1765" s="7" t="n">
        <v>0.342</v>
      </c>
      <c r="U1765" s="7" t="n">
        <v>1</v>
      </c>
      <c r="V1765" s="7" t="s">
        <v>1717</v>
      </c>
      <c r="W1765" s="7"/>
      <c r="X1765" s="7" t="s">
        <v>3410</v>
      </c>
      <c r="Y1765" s="7" t="s">
        <v>11508</v>
      </c>
      <c r="Z1765" s="7"/>
      <c r="AA1765" s="7"/>
      <c r="AB1765" s="7"/>
      <c r="AC1765" s="7" t="n">
        <v>4</v>
      </c>
      <c r="AD1765" s="7" t="s">
        <v>7611</v>
      </c>
      <c r="AE1765" s="7" t="s">
        <v>744</v>
      </c>
      <c r="AF1765" s="7" t="s">
        <v>11507</v>
      </c>
      <c r="AG1765" s="7" t="s">
        <v>744</v>
      </c>
      <c r="AH1765" s="7" t="s">
        <v>11509</v>
      </c>
      <c r="AI1765" s="7"/>
      <c r="AJ1765" s="7"/>
      <c r="AK1765" s="7"/>
      <c r="AL1765" s="7"/>
      <c r="AM1765" s="7"/>
      <c r="AN1765" s="7"/>
      <c r="AO1765" s="7" t="s">
        <v>744</v>
      </c>
      <c r="AP1765" s="7" t="s">
        <v>7608</v>
      </c>
      <c r="AQ1765" s="7"/>
      <c r="AR1765" s="7"/>
      <c r="AS1765" s="7"/>
      <c r="AT1765" s="7"/>
      <c r="AU1765" s="7"/>
      <c r="AV1765" s="7"/>
      <c r="AW1765" s="7" t="s">
        <v>744</v>
      </c>
      <c r="AX1765" s="7" t="s">
        <v>11508</v>
      </c>
      <c r="AY1765" s="7"/>
      <c r="AZ1765" s="7"/>
      <c r="BA1765" s="7"/>
      <c r="BB1765" s="7"/>
      <c r="BC1765" s="7"/>
      <c r="BD1765" s="7"/>
      <c r="BE1765" s="7" t="s">
        <v>127</v>
      </c>
      <c r="BF1765" s="8"/>
      <c r="BG1765" s="8"/>
      <c r="BH1765" s="8"/>
      <c r="BI1765" s="8"/>
      <c r="BJ1765" s="8"/>
      <c r="BK1765" s="8"/>
      <c r="BL1765" s="8"/>
      <c r="BM1765" s="8"/>
      <c r="BN1765" s="8"/>
      <c r="BO1765" s="8"/>
      <c r="BP1765" s="8"/>
      <c r="BQ1765" s="8"/>
      <c r="BR1765" s="8"/>
      <c r="BS1765" s="8"/>
    </row>
    <row r="1766" customFormat="false" ht="15" hidden="false" customHeight="false" outlineLevel="0" collapsed="false">
      <c r="A1766" s="7" t="s">
        <v>11510</v>
      </c>
      <c r="B1766" s="7" t="s">
        <v>11511</v>
      </c>
      <c r="C1766" s="7" t="s">
        <v>11512</v>
      </c>
      <c r="D1766" s="7" t="s">
        <v>3345</v>
      </c>
      <c r="E1766" s="7"/>
      <c r="F1766" s="7" t="s">
        <v>101</v>
      </c>
      <c r="G1766" s="7"/>
      <c r="H1766" s="7"/>
      <c r="I1766" s="7" t="s">
        <v>158</v>
      </c>
      <c r="J1766" s="7" t="s">
        <v>104</v>
      </c>
      <c r="K1766" s="7" t="s">
        <v>105</v>
      </c>
      <c r="L1766" s="7" t="s">
        <v>106</v>
      </c>
      <c r="M1766" s="7"/>
      <c r="N1766" s="7" t="s">
        <v>11513</v>
      </c>
      <c r="O1766" s="7" t="s">
        <v>11513</v>
      </c>
      <c r="P1766" s="7" t="s">
        <v>135</v>
      </c>
      <c r="Q1766" s="7"/>
      <c r="R1766" s="7" t="s">
        <v>109</v>
      </c>
      <c r="S1766" s="7" t="s">
        <v>110</v>
      </c>
      <c r="T1766" s="7" t="n">
        <v>0.243</v>
      </c>
      <c r="U1766" s="7" t="n">
        <v>1</v>
      </c>
      <c r="V1766" s="7" t="s">
        <v>1156</v>
      </c>
      <c r="W1766" s="7"/>
      <c r="X1766" s="7" t="s">
        <v>11514</v>
      </c>
      <c r="Y1766" s="7" t="s">
        <v>11513</v>
      </c>
      <c r="Z1766" s="7"/>
      <c r="AA1766" s="7"/>
      <c r="AB1766" s="7"/>
      <c r="AC1766" s="7" t="n">
        <v>4</v>
      </c>
      <c r="AD1766" s="7" t="s">
        <v>7611</v>
      </c>
      <c r="AE1766" s="7" t="s">
        <v>744</v>
      </c>
      <c r="AF1766" s="7" t="s">
        <v>11512</v>
      </c>
      <c r="AG1766" s="7" t="s">
        <v>744</v>
      </c>
      <c r="AH1766" s="7" t="s">
        <v>11515</v>
      </c>
      <c r="AI1766" s="7"/>
      <c r="AJ1766" s="7"/>
      <c r="AK1766" s="7"/>
      <c r="AL1766" s="7"/>
      <c r="AM1766" s="7"/>
      <c r="AN1766" s="7"/>
      <c r="AO1766" s="7" t="s">
        <v>744</v>
      </c>
      <c r="AP1766" s="7" t="s">
        <v>3345</v>
      </c>
      <c r="AQ1766" s="7"/>
      <c r="AR1766" s="7"/>
      <c r="AS1766" s="7"/>
      <c r="AT1766" s="7"/>
      <c r="AU1766" s="7"/>
      <c r="AV1766" s="7"/>
      <c r="AW1766" s="7" t="s">
        <v>744</v>
      </c>
      <c r="AX1766" s="7" t="s">
        <v>11513</v>
      </c>
      <c r="AY1766" s="7"/>
      <c r="AZ1766" s="7"/>
      <c r="BA1766" s="7"/>
      <c r="BB1766" s="7"/>
      <c r="BC1766" s="7"/>
      <c r="BD1766" s="7" t="s">
        <v>1343</v>
      </c>
      <c r="BE1766" s="7" t="s">
        <v>127</v>
      </c>
      <c r="BF1766" s="8"/>
      <c r="BG1766" s="8"/>
      <c r="BH1766" s="8"/>
      <c r="BI1766" s="8"/>
      <c r="BJ1766" s="8"/>
      <c r="BK1766" s="8"/>
      <c r="BL1766" s="8"/>
      <c r="BM1766" s="8"/>
      <c r="BN1766" s="8"/>
      <c r="BO1766" s="8"/>
      <c r="BP1766" s="8"/>
      <c r="BQ1766" s="8"/>
      <c r="BR1766" s="8"/>
      <c r="BS1766" s="8"/>
    </row>
    <row r="1767" customFormat="false" ht="15" hidden="false" customHeight="false" outlineLevel="0" collapsed="false">
      <c r="A1767" s="7" t="s">
        <v>11516</v>
      </c>
      <c r="B1767" s="7" t="s">
        <v>11517</v>
      </c>
      <c r="C1767" s="7" t="s">
        <v>11518</v>
      </c>
      <c r="D1767" s="7" t="s">
        <v>11519</v>
      </c>
      <c r="E1767" s="7"/>
      <c r="F1767" s="7" t="s">
        <v>101</v>
      </c>
      <c r="G1767" s="7"/>
      <c r="H1767" s="7"/>
      <c r="I1767" s="7" t="s">
        <v>158</v>
      </c>
      <c r="J1767" s="7" t="s">
        <v>104</v>
      </c>
      <c r="K1767" s="7" t="s">
        <v>105</v>
      </c>
      <c r="L1767" s="7" t="s">
        <v>106</v>
      </c>
      <c r="M1767" s="7"/>
      <c r="N1767" s="7" t="s">
        <v>11520</v>
      </c>
      <c r="O1767" s="7" t="s">
        <v>11520</v>
      </c>
      <c r="P1767" s="7" t="s">
        <v>135</v>
      </c>
      <c r="Q1767" s="7"/>
      <c r="R1767" s="7" t="s">
        <v>109</v>
      </c>
      <c r="S1767" s="7" t="s">
        <v>110</v>
      </c>
      <c r="T1767" s="7" t="n">
        <v>0.592</v>
      </c>
      <c r="U1767" s="7" t="n">
        <v>1</v>
      </c>
      <c r="V1767" s="7" t="s">
        <v>86</v>
      </c>
      <c r="W1767" s="7"/>
      <c r="X1767" s="7" t="s">
        <v>11521</v>
      </c>
      <c r="Y1767" s="7" t="s">
        <v>11520</v>
      </c>
      <c r="Z1767" s="7"/>
      <c r="AA1767" s="7"/>
      <c r="AB1767" s="7"/>
      <c r="AC1767" s="7" t="n">
        <v>4</v>
      </c>
      <c r="AD1767" s="7" t="s">
        <v>7611</v>
      </c>
      <c r="AE1767" s="7" t="s">
        <v>744</v>
      </c>
      <c r="AF1767" s="7" t="s">
        <v>11518</v>
      </c>
      <c r="AG1767" s="7" t="s">
        <v>744</v>
      </c>
      <c r="AH1767" s="7" t="s">
        <v>11522</v>
      </c>
      <c r="AI1767" s="7"/>
      <c r="AJ1767" s="7"/>
      <c r="AK1767" s="7"/>
      <c r="AL1767" s="7"/>
      <c r="AM1767" s="7"/>
      <c r="AN1767" s="7"/>
      <c r="AO1767" s="7" t="s">
        <v>744</v>
      </c>
      <c r="AP1767" s="7" t="s">
        <v>11519</v>
      </c>
      <c r="AQ1767" s="7"/>
      <c r="AR1767" s="7"/>
      <c r="AS1767" s="7"/>
      <c r="AT1767" s="7"/>
      <c r="AU1767" s="7"/>
      <c r="AV1767" s="7"/>
      <c r="AW1767" s="7" t="s">
        <v>744</v>
      </c>
      <c r="AX1767" s="7" t="s">
        <v>11520</v>
      </c>
      <c r="AY1767" s="7"/>
      <c r="AZ1767" s="7"/>
      <c r="BA1767" s="7"/>
      <c r="BB1767" s="7"/>
      <c r="BC1767" s="7"/>
      <c r="BD1767" s="7" t="s">
        <v>1343</v>
      </c>
      <c r="BE1767" s="7" t="s">
        <v>127</v>
      </c>
      <c r="BF1767" s="8"/>
      <c r="BG1767" s="8"/>
      <c r="BH1767" s="8"/>
      <c r="BI1767" s="8"/>
      <c r="BJ1767" s="8"/>
      <c r="BK1767" s="8"/>
      <c r="BL1767" s="8"/>
      <c r="BM1767" s="8"/>
      <c r="BN1767" s="8"/>
      <c r="BO1767" s="8"/>
      <c r="BP1767" s="8"/>
      <c r="BQ1767" s="8"/>
      <c r="BR1767" s="8"/>
      <c r="BS1767" s="8"/>
    </row>
    <row r="1768" customFormat="false" ht="15" hidden="false" customHeight="false" outlineLevel="0" collapsed="false">
      <c r="A1768" s="7" t="s">
        <v>11523</v>
      </c>
      <c r="B1768" s="7" t="s">
        <v>11524</v>
      </c>
      <c r="C1768" s="7" t="s">
        <v>11525</v>
      </c>
      <c r="D1768" s="7" t="s">
        <v>11526</v>
      </c>
      <c r="E1768" s="7"/>
      <c r="F1768" s="7" t="s">
        <v>101</v>
      </c>
      <c r="G1768" s="7"/>
      <c r="H1768" s="7"/>
      <c r="I1768" s="7" t="s">
        <v>158</v>
      </c>
      <c r="J1768" s="7" t="s">
        <v>104</v>
      </c>
      <c r="K1768" s="7" t="s">
        <v>105</v>
      </c>
      <c r="L1768" s="7" t="s">
        <v>106</v>
      </c>
      <c r="M1768" s="7"/>
      <c r="N1768" s="7" t="s">
        <v>11527</v>
      </c>
      <c r="O1768" s="7" t="s">
        <v>11527</v>
      </c>
      <c r="P1768" s="7" t="s">
        <v>135</v>
      </c>
      <c r="Q1768" s="7"/>
      <c r="R1768" s="7" t="s">
        <v>109</v>
      </c>
      <c r="S1768" s="7" t="s">
        <v>110</v>
      </c>
      <c r="T1768" s="7" t="n">
        <v>0.468</v>
      </c>
      <c r="U1768" s="7" t="n">
        <v>1</v>
      </c>
      <c r="V1768" s="7" t="s">
        <v>90</v>
      </c>
      <c r="W1768" s="7"/>
      <c r="X1768" s="7" t="s">
        <v>11528</v>
      </c>
      <c r="Y1768" s="7" t="s">
        <v>11527</v>
      </c>
      <c r="Z1768" s="7"/>
      <c r="AA1768" s="7"/>
      <c r="AB1768" s="7"/>
      <c r="AC1768" s="7" t="n">
        <v>4</v>
      </c>
      <c r="AD1768" s="7" t="s">
        <v>7611</v>
      </c>
      <c r="AE1768" s="7" t="s">
        <v>744</v>
      </c>
      <c r="AF1768" s="7" t="s">
        <v>11525</v>
      </c>
      <c r="AG1768" s="7" t="s">
        <v>744</v>
      </c>
      <c r="AH1768" s="7" t="s">
        <v>11529</v>
      </c>
      <c r="AI1768" s="7"/>
      <c r="AJ1768" s="7"/>
      <c r="AK1768" s="7"/>
      <c r="AL1768" s="7"/>
      <c r="AM1768" s="7"/>
      <c r="AN1768" s="7"/>
      <c r="AO1768" s="7" t="s">
        <v>744</v>
      </c>
      <c r="AP1768" s="7" t="s">
        <v>11526</v>
      </c>
      <c r="AQ1768" s="7"/>
      <c r="AR1768" s="7"/>
      <c r="AS1768" s="7"/>
      <c r="AT1768" s="7"/>
      <c r="AU1768" s="7"/>
      <c r="AV1768" s="7"/>
      <c r="AW1768" s="7" t="s">
        <v>744</v>
      </c>
      <c r="AX1768" s="7" t="s">
        <v>11527</v>
      </c>
      <c r="AY1768" s="7"/>
      <c r="AZ1768" s="7"/>
      <c r="BA1768" s="7"/>
      <c r="BB1768" s="7"/>
      <c r="BC1768" s="7"/>
      <c r="BD1768" s="7"/>
      <c r="BE1768" s="7" t="s">
        <v>127</v>
      </c>
      <c r="BF1768" s="8"/>
      <c r="BG1768" s="8"/>
      <c r="BH1768" s="8"/>
      <c r="BI1768" s="8"/>
      <c r="BJ1768" s="8"/>
      <c r="BK1768" s="8"/>
      <c r="BL1768" s="8"/>
      <c r="BM1768" s="8"/>
      <c r="BN1768" s="8"/>
      <c r="BO1768" s="8"/>
      <c r="BP1768" s="8"/>
      <c r="BQ1768" s="8"/>
      <c r="BR1768" s="8"/>
      <c r="BS1768" s="8"/>
    </row>
    <row r="1769" customFormat="false" ht="15" hidden="false" customHeight="false" outlineLevel="0" collapsed="false">
      <c r="A1769" s="7" t="s">
        <v>11530</v>
      </c>
      <c r="B1769" s="7" t="s">
        <v>10438</v>
      </c>
      <c r="C1769" s="7" t="s">
        <v>10439</v>
      </c>
      <c r="D1769" s="7" t="s">
        <v>11531</v>
      </c>
      <c r="E1769" s="7"/>
      <c r="F1769" s="7" t="s">
        <v>101</v>
      </c>
      <c r="G1769" s="7"/>
      <c r="H1769" s="7"/>
      <c r="I1769" s="7" t="s">
        <v>158</v>
      </c>
      <c r="J1769" s="7" t="s">
        <v>104</v>
      </c>
      <c r="K1769" s="7" t="s">
        <v>105</v>
      </c>
      <c r="L1769" s="7" t="s">
        <v>106</v>
      </c>
      <c r="M1769" s="7"/>
      <c r="N1769" s="7" t="s">
        <v>11532</v>
      </c>
      <c r="O1769" s="7" t="s">
        <v>11532</v>
      </c>
      <c r="P1769" s="7" t="s">
        <v>135</v>
      </c>
      <c r="Q1769" s="7"/>
      <c r="R1769" s="7" t="s">
        <v>109</v>
      </c>
      <c r="S1769" s="7" t="s">
        <v>110</v>
      </c>
      <c r="T1769" s="7" t="n">
        <v>0.463</v>
      </c>
      <c r="U1769" s="7" t="n">
        <v>1</v>
      </c>
      <c r="V1769" s="7" t="s">
        <v>90</v>
      </c>
      <c r="W1769" s="7"/>
      <c r="X1769" s="7" t="s">
        <v>11533</v>
      </c>
      <c r="Y1769" s="7" t="s">
        <v>11532</v>
      </c>
      <c r="Z1769" s="7"/>
      <c r="AA1769" s="7"/>
      <c r="AB1769" s="7"/>
      <c r="AC1769" s="7" t="n">
        <v>4</v>
      </c>
      <c r="AD1769" s="7" t="s">
        <v>7611</v>
      </c>
      <c r="AE1769" s="7" t="s">
        <v>744</v>
      </c>
      <c r="AF1769" s="7" t="s">
        <v>10439</v>
      </c>
      <c r="AG1769" s="7" t="s">
        <v>744</v>
      </c>
      <c r="AH1769" s="7" t="s">
        <v>11534</v>
      </c>
      <c r="AI1769" s="7"/>
      <c r="AJ1769" s="7"/>
      <c r="AK1769" s="7"/>
      <c r="AL1769" s="7"/>
      <c r="AM1769" s="7"/>
      <c r="AN1769" s="7"/>
      <c r="AO1769" s="7" t="s">
        <v>744</v>
      </c>
      <c r="AP1769" s="7" t="s">
        <v>11531</v>
      </c>
      <c r="AQ1769" s="7"/>
      <c r="AR1769" s="7"/>
      <c r="AS1769" s="7"/>
      <c r="AT1769" s="7"/>
      <c r="AU1769" s="7"/>
      <c r="AV1769" s="7"/>
      <c r="AW1769" s="7" t="s">
        <v>744</v>
      </c>
      <c r="AX1769" s="7" t="s">
        <v>11532</v>
      </c>
      <c r="AY1769" s="7"/>
      <c r="AZ1769" s="7"/>
      <c r="BA1769" s="7"/>
      <c r="BB1769" s="7"/>
      <c r="BC1769" s="7"/>
      <c r="BD1769" s="7"/>
      <c r="BE1769" s="7" t="s">
        <v>127</v>
      </c>
      <c r="BF1769" s="8"/>
      <c r="BG1769" s="8"/>
      <c r="BH1769" s="8"/>
      <c r="BI1769" s="8"/>
      <c r="BJ1769" s="8"/>
      <c r="BK1769" s="8"/>
      <c r="BL1769" s="8"/>
      <c r="BM1769" s="8"/>
      <c r="BN1769" s="8"/>
      <c r="BO1769" s="8"/>
      <c r="BP1769" s="8"/>
      <c r="BQ1769" s="8"/>
      <c r="BR1769" s="8"/>
      <c r="BS1769" s="8"/>
    </row>
    <row r="1770" customFormat="false" ht="15" hidden="false" customHeight="false" outlineLevel="0" collapsed="false">
      <c r="A1770" s="7" t="s">
        <v>11535</v>
      </c>
      <c r="B1770" s="7" t="s">
        <v>11536</v>
      </c>
      <c r="C1770" s="7" t="s">
        <v>11537</v>
      </c>
      <c r="D1770" s="7" t="s">
        <v>11538</v>
      </c>
      <c r="E1770" s="7"/>
      <c r="F1770" s="7" t="s">
        <v>101</v>
      </c>
      <c r="G1770" s="7"/>
      <c r="H1770" s="7"/>
      <c r="I1770" s="7" t="s">
        <v>132</v>
      </c>
      <c r="J1770" s="7" t="s">
        <v>104</v>
      </c>
      <c r="K1770" s="7" t="s">
        <v>105</v>
      </c>
      <c r="L1770" s="7" t="s">
        <v>106</v>
      </c>
      <c r="M1770" s="7"/>
      <c r="N1770" s="7" t="s">
        <v>8173</v>
      </c>
      <c r="O1770" s="7" t="s">
        <v>8173</v>
      </c>
      <c r="P1770" s="7" t="s">
        <v>135</v>
      </c>
      <c r="Q1770" s="7"/>
      <c r="R1770" s="7" t="s">
        <v>109</v>
      </c>
      <c r="S1770" s="7" t="s">
        <v>110</v>
      </c>
      <c r="T1770" s="7" t="n">
        <v>0.313</v>
      </c>
      <c r="U1770" s="7" t="n">
        <v>1</v>
      </c>
      <c r="V1770" s="7" t="s">
        <v>90</v>
      </c>
      <c r="W1770" s="7"/>
      <c r="X1770" s="7" t="s">
        <v>1265</v>
      </c>
      <c r="Y1770" s="7" t="s">
        <v>8173</v>
      </c>
      <c r="Z1770" s="7"/>
      <c r="AA1770" s="7"/>
      <c r="AB1770" s="7"/>
      <c r="AC1770" s="7" t="n">
        <v>4</v>
      </c>
      <c r="AD1770" s="7" t="s">
        <v>7611</v>
      </c>
      <c r="AE1770" s="7" t="s">
        <v>744</v>
      </c>
      <c r="AF1770" s="7" t="s">
        <v>11537</v>
      </c>
      <c r="AG1770" s="7" t="s">
        <v>744</v>
      </c>
      <c r="AH1770" s="7" t="s">
        <v>11539</v>
      </c>
      <c r="AI1770" s="7"/>
      <c r="AJ1770" s="7"/>
      <c r="AK1770" s="7"/>
      <c r="AL1770" s="7"/>
      <c r="AM1770" s="7"/>
      <c r="AN1770" s="7"/>
      <c r="AO1770" s="7" t="s">
        <v>744</v>
      </c>
      <c r="AP1770" s="7" t="s">
        <v>11538</v>
      </c>
      <c r="AQ1770" s="7"/>
      <c r="AR1770" s="7"/>
      <c r="AS1770" s="7"/>
      <c r="AT1770" s="7"/>
      <c r="AU1770" s="7"/>
      <c r="AV1770" s="7"/>
      <c r="AW1770" s="7" t="s">
        <v>744</v>
      </c>
      <c r="AX1770" s="7" t="s">
        <v>8173</v>
      </c>
      <c r="AY1770" s="7"/>
      <c r="AZ1770" s="7"/>
      <c r="BA1770" s="7"/>
      <c r="BB1770" s="7"/>
      <c r="BC1770" s="7"/>
      <c r="BD1770" s="7"/>
      <c r="BE1770" s="7" t="s">
        <v>127</v>
      </c>
      <c r="BF1770" s="8"/>
      <c r="BG1770" s="8"/>
      <c r="BH1770" s="8"/>
      <c r="BI1770" s="8"/>
      <c r="BJ1770" s="8"/>
      <c r="BK1770" s="8"/>
      <c r="BL1770" s="8"/>
      <c r="BM1770" s="8"/>
      <c r="BN1770" s="8"/>
      <c r="BO1770" s="8"/>
      <c r="BP1770" s="8"/>
      <c r="BQ1770" s="8"/>
      <c r="BR1770" s="8"/>
      <c r="BS1770" s="8"/>
    </row>
    <row r="1771" customFormat="false" ht="15" hidden="false" customHeight="false" outlineLevel="0" collapsed="false">
      <c r="A1771" s="7" t="s">
        <v>11540</v>
      </c>
      <c r="B1771" s="7" t="s">
        <v>11541</v>
      </c>
      <c r="C1771" s="7" t="s">
        <v>11542</v>
      </c>
      <c r="D1771" s="7" t="s">
        <v>11543</v>
      </c>
      <c r="E1771" s="7" t="s">
        <v>10998</v>
      </c>
      <c r="F1771" s="7" t="s">
        <v>10998</v>
      </c>
      <c r="G1771" s="7"/>
      <c r="H1771" s="7"/>
      <c r="I1771" s="7" t="s">
        <v>132</v>
      </c>
      <c r="J1771" s="7" t="s">
        <v>104</v>
      </c>
      <c r="K1771" s="7" t="s">
        <v>105</v>
      </c>
      <c r="L1771" s="7" t="s">
        <v>106</v>
      </c>
      <c r="M1771" s="7"/>
      <c r="N1771" s="7" t="s">
        <v>11544</v>
      </c>
      <c r="O1771" s="7" t="s">
        <v>11544</v>
      </c>
      <c r="P1771" s="7" t="s">
        <v>135</v>
      </c>
      <c r="Q1771" s="7"/>
      <c r="R1771" s="7" t="s">
        <v>109</v>
      </c>
      <c r="S1771" s="7" t="s">
        <v>110</v>
      </c>
      <c r="T1771" s="7" t="n">
        <v>0.469</v>
      </c>
      <c r="U1771" s="7" t="n">
        <v>1</v>
      </c>
      <c r="V1771" s="7"/>
      <c r="W1771" s="7"/>
      <c r="X1771" s="7"/>
      <c r="Y1771" s="7" t="s">
        <v>11544</v>
      </c>
      <c r="Z1771" s="7"/>
      <c r="AA1771" s="7"/>
      <c r="AB1771" s="7"/>
      <c r="AC1771" s="7" t="n">
        <v>5</v>
      </c>
      <c r="AD1771" s="7" t="s">
        <v>7301</v>
      </c>
      <c r="AE1771" s="7" t="s">
        <v>744</v>
      </c>
      <c r="AF1771" s="7" t="s">
        <v>11542</v>
      </c>
      <c r="AG1771" s="7"/>
      <c r="AH1771" s="7"/>
      <c r="AI1771" s="7"/>
      <c r="AJ1771" s="7"/>
      <c r="AK1771" s="7"/>
      <c r="AL1771" s="7"/>
      <c r="AM1771" s="7" t="s">
        <v>744</v>
      </c>
      <c r="AN1771" s="7" t="s">
        <v>11545</v>
      </c>
      <c r="AO1771" s="7" t="s">
        <v>744</v>
      </c>
      <c r="AP1771" s="7" t="s">
        <v>11543</v>
      </c>
      <c r="AQ1771" s="7" t="s">
        <v>744</v>
      </c>
      <c r="AR1771" s="7" t="s">
        <v>10998</v>
      </c>
      <c r="AS1771" s="7"/>
      <c r="AT1771" s="7"/>
      <c r="AU1771" s="7"/>
      <c r="AV1771" s="7"/>
      <c r="AW1771" s="7" t="s">
        <v>744</v>
      </c>
      <c r="AX1771" s="7" t="s">
        <v>11544</v>
      </c>
      <c r="AY1771" s="7"/>
      <c r="AZ1771" s="7"/>
      <c r="BA1771" s="7"/>
      <c r="BB1771" s="7"/>
      <c r="BC1771" s="7"/>
      <c r="BD1771" s="7"/>
      <c r="BE1771" s="7" t="s">
        <v>127</v>
      </c>
      <c r="BF1771" s="8"/>
      <c r="BG1771" s="8"/>
      <c r="BH1771" s="8"/>
      <c r="BI1771" s="8"/>
      <c r="BJ1771" s="8"/>
      <c r="BK1771" s="8"/>
      <c r="BL1771" s="8"/>
      <c r="BM1771" s="8"/>
      <c r="BN1771" s="8"/>
      <c r="BO1771" s="8"/>
      <c r="BP1771" s="8"/>
      <c r="BQ1771" s="8"/>
      <c r="BR1771" s="8"/>
      <c r="BS1771" s="8"/>
    </row>
    <row r="1772" customFormat="false" ht="15" hidden="false" customHeight="false" outlineLevel="0" collapsed="false">
      <c r="A1772" s="7" t="s">
        <v>11546</v>
      </c>
      <c r="B1772" s="7" t="s">
        <v>11547</v>
      </c>
      <c r="C1772" s="7" t="s">
        <v>11548</v>
      </c>
      <c r="D1772" s="7" t="s">
        <v>11549</v>
      </c>
      <c r="E1772" s="7" t="s">
        <v>737</v>
      </c>
      <c r="F1772" s="7" t="s">
        <v>737</v>
      </c>
      <c r="G1772" s="7"/>
      <c r="H1772" s="7"/>
      <c r="I1772" s="7" t="s">
        <v>132</v>
      </c>
      <c r="J1772" s="7" t="s">
        <v>104</v>
      </c>
      <c r="K1772" s="7" t="s">
        <v>105</v>
      </c>
      <c r="L1772" s="7" t="s">
        <v>106</v>
      </c>
      <c r="M1772" s="7"/>
      <c r="N1772" s="7" t="s">
        <v>11550</v>
      </c>
      <c r="O1772" s="7"/>
      <c r="P1772" s="7" t="s">
        <v>135</v>
      </c>
      <c r="Q1772" s="7"/>
      <c r="R1772" s="7" t="s">
        <v>135</v>
      </c>
      <c r="S1772" s="7" t="s">
        <v>136</v>
      </c>
      <c r="T1772" s="7" t="n">
        <v>0.404</v>
      </c>
      <c r="U1772" s="7" t="n">
        <v>1</v>
      </c>
      <c r="V1772" s="7"/>
      <c r="W1772" s="7"/>
      <c r="X1772" s="7"/>
      <c r="Y1772" s="7" t="s">
        <v>11550</v>
      </c>
      <c r="Z1772" s="7"/>
      <c r="AA1772" s="7"/>
      <c r="AB1772" s="7"/>
      <c r="AC1772" s="7" t="n">
        <v>4</v>
      </c>
      <c r="AD1772" s="7" t="s">
        <v>1376</v>
      </c>
      <c r="AE1772" s="7" t="s">
        <v>744</v>
      </c>
      <c r="AF1772" s="7" t="s">
        <v>11548</v>
      </c>
      <c r="AG1772" s="7"/>
      <c r="AH1772" s="7"/>
      <c r="AI1772" s="7"/>
      <c r="AJ1772" s="7"/>
      <c r="AK1772" s="7"/>
      <c r="AL1772" s="7"/>
      <c r="AM1772" s="7"/>
      <c r="AN1772" s="7"/>
      <c r="AO1772" s="7" t="s">
        <v>744</v>
      </c>
      <c r="AP1772" s="7" t="s">
        <v>11549</v>
      </c>
      <c r="AQ1772" s="7" t="s">
        <v>744</v>
      </c>
      <c r="AR1772" s="7" t="s">
        <v>737</v>
      </c>
      <c r="AS1772" s="7"/>
      <c r="AT1772" s="7"/>
      <c r="AU1772" s="7"/>
      <c r="AV1772" s="7"/>
      <c r="AW1772" s="7" t="s">
        <v>744</v>
      </c>
      <c r="AX1772" s="7" t="s">
        <v>11550</v>
      </c>
      <c r="AY1772" s="7"/>
      <c r="AZ1772" s="7"/>
      <c r="BA1772" s="7"/>
      <c r="BB1772" s="7"/>
      <c r="BC1772" s="7"/>
      <c r="BD1772" s="7"/>
      <c r="BE1772" s="7" t="s">
        <v>127</v>
      </c>
      <c r="BF1772" s="8"/>
      <c r="BG1772" s="8"/>
      <c r="BH1772" s="8"/>
      <c r="BI1772" s="8"/>
      <c r="BJ1772" s="8"/>
      <c r="BK1772" s="8"/>
      <c r="BL1772" s="8"/>
      <c r="BM1772" s="8"/>
      <c r="BN1772" s="8"/>
      <c r="BO1772" s="8"/>
      <c r="BP1772" s="8"/>
      <c r="BQ1772" s="8"/>
      <c r="BR1772" s="8"/>
      <c r="BS1772" s="8"/>
    </row>
    <row r="1773" customFormat="false" ht="15" hidden="false" customHeight="false" outlineLevel="0" collapsed="false">
      <c r="A1773" s="7" t="s">
        <v>11551</v>
      </c>
      <c r="B1773" s="7" t="s">
        <v>11552</v>
      </c>
      <c r="C1773" s="7" t="s">
        <v>11553</v>
      </c>
      <c r="D1773" s="7" t="s">
        <v>131</v>
      </c>
      <c r="E1773" s="7"/>
      <c r="F1773" s="7" t="s">
        <v>101</v>
      </c>
      <c r="G1773" s="7"/>
      <c r="H1773" s="7"/>
      <c r="I1773" s="7" t="s">
        <v>132</v>
      </c>
      <c r="J1773" s="7" t="s">
        <v>104</v>
      </c>
      <c r="K1773" s="7" t="s">
        <v>105</v>
      </c>
      <c r="L1773" s="7" t="s">
        <v>106</v>
      </c>
      <c r="M1773" s="7"/>
      <c r="N1773" s="7" t="s">
        <v>11554</v>
      </c>
      <c r="O1773" s="7"/>
      <c r="P1773" s="7" t="s">
        <v>135</v>
      </c>
      <c r="Q1773" s="7"/>
      <c r="R1773" s="7" t="s">
        <v>135</v>
      </c>
      <c r="S1773" s="7" t="s">
        <v>136</v>
      </c>
      <c r="T1773" s="7" t="n">
        <v>0.396</v>
      </c>
      <c r="U1773" s="7" t="n">
        <v>1</v>
      </c>
      <c r="V1773" s="7"/>
      <c r="W1773" s="7"/>
      <c r="X1773" s="7"/>
      <c r="Y1773" s="7" t="s">
        <v>11554</v>
      </c>
      <c r="Z1773" s="7"/>
      <c r="AA1773" s="7"/>
      <c r="AB1773" s="7"/>
      <c r="AC1773" s="7" t="n">
        <v>3</v>
      </c>
      <c r="AD1773" s="7" t="s">
        <v>1492</v>
      </c>
      <c r="AE1773" s="7" t="s">
        <v>744</v>
      </c>
      <c r="AF1773" s="7" t="s">
        <v>11553</v>
      </c>
      <c r="AG1773" s="7"/>
      <c r="AH1773" s="7"/>
      <c r="AI1773" s="7"/>
      <c r="AJ1773" s="7"/>
      <c r="AK1773" s="7"/>
      <c r="AL1773" s="7"/>
      <c r="AM1773" s="7"/>
      <c r="AN1773" s="7"/>
      <c r="AO1773" s="7" t="s">
        <v>744</v>
      </c>
      <c r="AP1773" s="7" t="s">
        <v>131</v>
      </c>
      <c r="AQ1773" s="7"/>
      <c r="AR1773" s="7"/>
      <c r="AS1773" s="7"/>
      <c r="AT1773" s="7"/>
      <c r="AU1773" s="7"/>
      <c r="AV1773" s="7"/>
      <c r="AW1773" s="7" t="s">
        <v>744</v>
      </c>
      <c r="AX1773" s="7" t="s">
        <v>11554</v>
      </c>
      <c r="AY1773" s="7"/>
      <c r="AZ1773" s="7"/>
      <c r="BA1773" s="7"/>
      <c r="BB1773" s="7"/>
      <c r="BC1773" s="7"/>
      <c r="BD1773" s="7" t="s">
        <v>152</v>
      </c>
      <c r="BE1773" s="7" t="s">
        <v>127</v>
      </c>
      <c r="BF1773" s="8"/>
      <c r="BG1773" s="8"/>
      <c r="BH1773" s="8"/>
      <c r="BI1773" s="8"/>
      <c r="BJ1773" s="8"/>
      <c r="BK1773" s="8"/>
      <c r="BL1773" s="8"/>
      <c r="BM1773" s="8"/>
      <c r="BN1773" s="8"/>
      <c r="BO1773" s="8"/>
      <c r="BP1773" s="8"/>
      <c r="BQ1773" s="8"/>
      <c r="BR1773" s="8"/>
      <c r="BS1773" s="8"/>
    </row>
    <row r="1774" customFormat="false" ht="15" hidden="false" customHeight="false" outlineLevel="0" collapsed="false">
      <c r="A1774" s="7" t="s">
        <v>11555</v>
      </c>
      <c r="B1774" s="7" t="s">
        <v>11556</v>
      </c>
      <c r="C1774" s="7" t="s">
        <v>11557</v>
      </c>
      <c r="D1774" s="7" t="s">
        <v>11558</v>
      </c>
      <c r="E1774" s="7"/>
      <c r="F1774" s="7" t="s">
        <v>101</v>
      </c>
      <c r="G1774" s="7"/>
      <c r="H1774" s="7"/>
      <c r="I1774" s="7" t="s">
        <v>132</v>
      </c>
      <c r="J1774" s="7" t="s">
        <v>104</v>
      </c>
      <c r="K1774" s="7" t="s">
        <v>105</v>
      </c>
      <c r="L1774" s="7" t="s">
        <v>106</v>
      </c>
      <c r="M1774" s="7"/>
      <c r="N1774" s="7" t="s">
        <v>11559</v>
      </c>
      <c r="O1774" s="7"/>
      <c r="P1774" s="7" t="s">
        <v>135</v>
      </c>
      <c r="Q1774" s="7"/>
      <c r="R1774" s="7" t="s">
        <v>135</v>
      </c>
      <c r="S1774" s="7" t="s">
        <v>136</v>
      </c>
      <c r="T1774" s="7" t="n">
        <v>0.511</v>
      </c>
      <c r="U1774" s="7" t="n">
        <v>1</v>
      </c>
      <c r="V1774" s="7"/>
      <c r="W1774" s="7"/>
      <c r="X1774" s="7"/>
      <c r="Y1774" s="7" t="s">
        <v>11559</v>
      </c>
      <c r="Z1774" s="7"/>
      <c r="AA1774" s="7"/>
      <c r="AB1774" s="7"/>
      <c r="AC1774" s="7" t="n">
        <v>5</v>
      </c>
      <c r="AD1774" s="7" t="s">
        <v>1897</v>
      </c>
      <c r="AE1774" s="7" t="s">
        <v>189</v>
      </c>
      <c r="AF1774" s="7" t="s">
        <v>11560</v>
      </c>
      <c r="AG1774" s="7" t="s">
        <v>744</v>
      </c>
      <c r="AH1774" s="7" t="s">
        <v>11561</v>
      </c>
      <c r="AI1774" s="7"/>
      <c r="AJ1774" s="7"/>
      <c r="AK1774" s="7"/>
      <c r="AL1774" s="7"/>
      <c r="AM1774" s="7" t="s">
        <v>189</v>
      </c>
      <c r="AN1774" s="7" t="s">
        <v>11562</v>
      </c>
      <c r="AO1774" s="7" t="s">
        <v>744</v>
      </c>
      <c r="AP1774" s="7" t="s">
        <v>11558</v>
      </c>
      <c r="AQ1774" s="7"/>
      <c r="AR1774" s="7"/>
      <c r="AS1774" s="7"/>
      <c r="AT1774" s="7"/>
      <c r="AU1774" s="7"/>
      <c r="AV1774" s="7"/>
      <c r="AW1774" s="7" t="s">
        <v>189</v>
      </c>
      <c r="AX1774" s="7" t="s">
        <v>11563</v>
      </c>
      <c r="AY1774" s="7"/>
      <c r="AZ1774" s="7"/>
      <c r="BA1774" s="7"/>
      <c r="BB1774" s="7"/>
      <c r="BC1774" s="7"/>
      <c r="BD1774" s="7" t="s">
        <v>10323</v>
      </c>
      <c r="BE1774" s="7" t="s">
        <v>127</v>
      </c>
      <c r="BF1774" s="8"/>
      <c r="BG1774" s="8"/>
      <c r="BH1774" s="8"/>
      <c r="BI1774" s="8"/>
      <c r="BJ1774" s="8"/>
      <c r="BK1774" s="8"/>
      <c r="BL1774" s="8"/>
      <c r="BM1774" s="8"/>
      <c r="BN1774" s="8"/>
      <c r="BO1774" s="8"/>
      <c r="BP1774" s="8"/>
      <c r="BQ1774" s="8"/>
      <c r="BR1774" s="8"/>
      <c r="BS1774" s="8"/>
    </row>
    <row r="1775" customFormat="false" ht="15" hidden="false" customHeight="false" outlineLevel="0" collapsed="false">
      <c r="A1775" s="7" t="s">
        <v>11564</v>
      </c>
      <c r="B1775" s="7" t="s">
        <v>11565</v>
      </c>
      <c r="C1775" s="7" t="s">
        <v>11566</v>
      </c>
      <c r="D1775" s="7" t="s">
        <v>11567</v>
      </c>
      <c r="E1775" s="7" t="s">
        <v>1966</v>
      </c>
      <c r="F1775" s="7" t="s">
        <v>1966</v>
      </c>
      <c r="G1775" s="7"/>
      <c r="H1775" s="7"/>
      <c r="I1775" s="7" t="s">
        <v>158</v>
      </c>
      <c r="J1775" s="7" t="s">
        <v>104</v>
      </c>
      <c r="K1775" s="7" t="s">
        <v>105</v>
      </c>
      <c r="L1775" s="7" t="s">
        <v>106</v>
      </c>
      <c r="M1775" s="7"/>
      <c r="N1775" s="7" t="s">
        <v>11568</v>
      </c>
      <c r="O1775" s="7" t="s">
        <v>11568</v>
      </c>
      <c r="P1775" s="7" t="s">
        <v>109</v>
      </c>
      <c r="Q1775" s="7"/>
      <c r="R1775" s="7" t="s">
        <v>109</v>
      </c>
      <c r="S1775" s="7" t="s">
        <v>110</v>
      </c>
      <c r="T1775" s="7" t="n">
        <v>0.549</v>
      </c>
      <c r="U1775" s="7" t="n">
        <v>1</v>
      </c>
      <c r="V1775" s="7"/>
      <c r="W1775" s="7"/>
      <c r="X1775" s="7"/>
      <c r="Y1775" s="7" t="s">
        <v>11568</v>
      </c>
      <c r="Z1775" s="7"/>
      <c r="AA1775" s="7"/>
      <c r="AB1775" s="7"/>
      <c r="AC1775" s="7" t="n">
        <v>5</v>
      </c>
      <c r="AD1775" s="7" t="s">
        <v>7301</v>
      </c>
      <c r="AE1775" s="7" t="s">
        <v>744</v>
      </c>
      <c r="AF1775" s="7" t="s">
        <v>11566</v>
      </c>
      <c r="AG1775" s="7"/>
      <c r="AH1775" s="7"/>
      <c r="AI1775" s="7"/>
      <c r="AJ1775" s="7"/>
      <c r="AK1775" s="7"/>
      <c r="AL1775" s="7"/>
      <c r="AM1775" s="7" t="s">
        <v>744</v>
      </c>
      <c r="AN1775" s="7" t="s">
        <v>11569</v>
      </c>
      <c r="AO1775" s="7" t="s">
        <v>744</v>
      </c>
      <c r="AP1775" s="7" t="s">
        <v>11567</v>
      </c>
      <c r="AQ1775" s="7" t="s">
        <v>744</v>
      </c>
      <c r="AR1775" s="7" t="s">
        <v>1966</v>
      </c>
      <c r="AS1775" s="7"/>
      <c r="AT1775" s="7"/>
      <c r="AU1775" s="7"/>
      <c r="AV1775" s="7"/>
      <c r="AW1775" s="7" t="s">
        <v>744</v>
      </c>
      <c r="AX1775" s="7" t="s">
        <v>11568</v>
      </c>
      <c r="AY1775" s="7"/>
      <c r="AZ1775" s="7"/>
      <c r="BA1775" s="7"/>
      <c r="BB1775" s="7"/>
      <c r="BC1775" s="7"/>
      <c r="BD1775" s="7"/>
      <c r="BE1775" s="7" t="s">
        <v>127</v>
      </c>
      <c r="BF1775" s="8"/>
      <c r="BG1775" s="8"/>
      <c r="BH1775" s="8"/>
      <c r="BI1775" s="8"/>
      <c r="BJ1775" s="8"/>
      <c r="BK1775" s="8"/>
      <c r="BL1775" s="8"/>
      <c r="BM1775" s="8"/>
      <c r="BN1775" s="8"/>
      <c r="BO1775" s="8"/>
      <c r="BP1775" s="8"/>
      <c r="BQ1775" s="8"/>
      <c r="BR1775" s="8"/>
      <c r="BS1775" s="8"/>
    </row>
    <row r="1776" customFormat="false" ht="15" hidden="false" customHeight="false" outlineLevel="0" collapsed="false">
      <c r="A1776" s="7" t="s">
        <v>11570</v>
      </c>
      <c r="B1776" s="7" t="s">
        <v>11571</v>
      </c>
      <c r="C1776" s="7" t="s">
        <v>11572</v>
      </c>
      <c r="D1776" s="7" t="s">
        <v>11573</v>
      </c>
      <c r="E1776" s="7"/>
      <c r="F1776" s="7" t="s">
        <v>101</v>
      </c>
      <c r="G1776" s="7"/>
      <c r="H1776" s="7"/>
      <c r="I1776" s="7" t="s">
        <v>1104</v>
      </c>
      <c r="J1776" s="7" t="s">
        <v>104</v>
      </c>
      <c r="K1776" s="7" t="s">
        <v>105</v>
      </c>
      <c r="L1776" s="7" t="s">
        <v>1106</v>
      </c>
      <c r="M1776" s="7"/>
      <c r="N1776" s="7" t="s">
        <v>11574</v>
      </c>
      <c r="O1776" s="7" t="s">
        <v>11574</v>
      </c>
      <c r="P1776" s="7" t="s">
        <v>109</v>
      </c>
      <c r="Q1776" s="7"/>
      <c r="R1776" s="7" t="s">
        <v>109</v>
      </c>
      <c r="S1776" s="7" t="s">
        <v>110</v>
      </c>
      <c r="T1776" s="7" t="n">
        <v>0.479</v>
      </c>
      <c r="U1776" s="7" t="n">
        <v>1</v>
      </c>
      <c r="V1776" s="7" t="s">
        <v>1717</v>
      </c>
      <c r="W1776" s="7"/>
      <c r="X1776" s="7" t="s">
        <v>11575</v>
      </c>
      <c r="Y1776" s="7" t="s">
        <v>11574</v>
      </c>
      <c r="Z1776" s="7"/>
      <c r="AA1776" s="7"/>
      <c r="AB1776" s="7"/>
      <c r="AC1776" s="7" t="n">
        <v>5</v>
      </c>
      <c r="AD1776" s="7" t="s">
        <v>1897</v>
      </c>
      <c r="AE1776" s="7" t="s">
        <v>744</v>
      </c>
      <c r="AF1776" s="7" t="s">
        <v>11572</v>
      </c>
      <c r="AG1776" s="7" t="s">
        <v>744</v>
      </c>
      <c r="AH1776" s="7" t="s">
        <v>11575</v>
      </c>
      <c r="AI1776" s="7"/>
      <c r="AJ1776" s="7"/>
      <c r="AK1776" s="7"/>
      <c r="AL1776" s="7"/>
      <c r="AM1776" s="7" t="s">
        <v>744</v>
      </c>
      <c r="AN1776" s="7" t="s">
        <v>11576</v>
      </c>
      <c r="AO1776" s="7" t="s">
        <v>744</v>
      </c>
      <c r="AP1776" s="7" t="s">
        <v>11573</v>
      </c>
      <c r="AQ1776" s="7"/>
      <c r="AR1776" s="7"/>
      <c r="AS1776" s="7"/>
      <c r="AT1776" s="7"/>
      <c r="AU1776" s="7"/>
      <c r="AV1776" s="7"/>
      <c r="AW1776" s="7" t="s">
        <v>744</v>
      </c>
      <c r="AX1776" s="7" t="s">
        <v>11574</v>
      </c>
      <c r="AY1776" s="7"/>
      <c r="AZ1776" s="7"/>
      <c r="BA1776" s="7"/>
      <c r="BB1776" s="7"/>
      <c r="BC1776" s="7"/>
      <c r="BD1776" s="7"/>
      <c r="BE1776" s="7" t="s">
        <v>127</v>
      </c>
      <c r="BF1776" s="8"/>
      <c r="BG1776" s="8"/>
      <c r="BH1776" s="8"/>
      <c r="BI1776" s="8"/>
      <c r="BJ1776" s="8"/>
      <c r="BK1776" s="8"/>
      <c r="BL1776" s="8"/>
      <c r="BM1776" s="8"/>
      <c r="BN1776" s="8"/>
      <c r="BO1776" s="8"/>
      <c r="BP1776" s="8"/>
      <c r="BQ1776" s="8"/>
      <c r="BR1776" s="8"/>
      <c r="BS1776" s="8"/>
    </row>
    <row r="1777" customFormat="false" ht="15" hidden="false" customHeight="false" outlineLevel="0" collapsed="false">
      <c r="A1777" s="7" t="s">
        <v>11577</v>
      </c>
      <c r="B1777" s="7" t="s">
        <v>11578</v>
      </c>
      <c r="C1777" s="7" t="s">
        <v>11579</v>
      </c>
      <c r="D1777" s="7" t="s">
        <v>11580</v>
      </c>
      <c r="E1777" s="7"/>
      <c r="F1777" s="7" t="s">
        <v>101</v>
      </c>
      <c r="G1777" s="7"/>
      <c r="H1777" s="7"/>
      <c r="I1777" s="7" t="s">
        <v>1726</v>
      </c>
      <c r="J1777" s="7" t="s">
        <v>104</v>
      </c>
      <c r="K1777" s="7" t="s">
        <v>105</v>
      </c>
      <c r="L1777" s="7" t="s">
        <v>1447</v>
      </c>
      <c r="M1777" s="7"/>
      <c r="N1777" s="7" t="s">
        <v>11581</v>
      </c>
      <c r="O1777" s="7" t="s">
        <v>11581</v>
      </c>
      <c r="P1777" s="7" t="s">
        <v>109</v>
      </c>
      <c r="Q1777" s="7"/>
      <c r="R1777" s="7" t="s">
        <v>109</v>
      </c>
      <c r="S1777" s="7" t="s">
        <v>110</v>
      </c>
      <c r="T1777" s="7" t="n">
        <v>0.354</v>
      </c>
      <c r="U1777" s="7" t="n">
        <v>1</v>
      </c>
      <c r="V1777" s="7" t="s">
        <v>1717</v>
      </c>
      <c r="W1777" s="7"/>
      <c r="X1777" s="7" t="s">
        <v>11575</v>
      </c>
      <c r="Y1777" s="7" t="s">
        <v>11581</v>
      </c>
      <c r="Z1777" s="7"/>
      <c r="AA1777" s="7"/>
      <c r="AB1777" s="7"/>
      <c r="AC1777" s="7" t="n">
        <v>5</v>
      </c>
      <c r="AD1777" s="7" t="s">
        <v>1897</v>
      </c>
      <c r="AE1777" s="7" t="s">
        <v>744</v>
      </c>
      <c r="AF1777" s="7" t="s">
        <v>11579</v>
      </c>
      <c r="AG1777" s="7" t="s">
        <v>744</v>
      </c>
      <c r="AH1777" s="7" t="s">
        <v>11575</v>
      </c>
      <c r="AI1777" s="7"/>
      <c r="AJ1777" s="7"/>
      <c r="AK1777" s="7"/>
      <c r="AL1777" s="7"/>
      <c r="AM1777" s="7" t="s">
        <v>744</v>
      </c>
      <c r="AN1777" s="7" t="s">
        <v>11582</v>
      </c>
      <c r="AO1777" s="7" t="s">
        <v>744</v>
      </c>
      <c r="AP1777" s="7" t="s">
        <v>11580</v>
      </c>
      <c r="AQ1777" s="7"/>
      <c r="AR1777" s="7"/>
      <c r="AS1777" s="7"/>
      <c r="AT1777" s="7"/>
      <c r="AU1777" s="7"/>
      <c r="AV1777" s="7"/>
      <c r="AW1777" s="7" t="s">
        <v>744</v>
      </c>
      <c r="AX1777" s="7" t="s">
        <v>11583</v>
      </c>
      <c r="AY1777" s="7"/>
      <c r="AZ1777" s="7"/>
      <c r="BA1777" s="7"/>
      <c r="BB1777" s="7"/>
      <c r="BC1777" s="7"/>
      <c r="BD1777" s="7"/>
      <c r="BE1777" s="7" t="s">
        <v>127</v>
      </c>
      <c r="BF1777" s="8"/>
      <c r="BG1777" s="8"/>
      <c r="BH1777" s="8"/>
      <c r="BI1777" s="8"/>
      <c r="BJ1777" s="8"/>
      <c r="BK1777" s="8"/>
      <c r="BL1777" s="8"/>
      <c r="BM1777" s="8"/>
      <c r="BN1777" s="8"/>
      <c r="BO1777" s="8"/>
      <c r="BP1777" s="8"/>
      <c r="BQ1777" s="8"/>
      <c r="BR1777" s="8"/>
      <c r="BS1777" s="8"/>
    </row>
    <row r="1778" customFormat="false" ht="15" hidden="false" customHeight="false" outlineLevel="0" collapsed="false">
      <c r="A1778" s="7" t="s">
        <v>11584</v>
      </c>
      <c r="B1778" s="7" t="s">
        <v>11585</v>
      </c>
      <c r="C1778" s="7" t="s">
        <v>11586</v>
      </c>
      <c r="D1778" s="7" t="s">
        <v>11580</v>
      </c>
      <c r="E1778" s="7"/>
      <c r="F1778" s="7" t="s">
        <v>101</v>
      </c>
      <c r="G1778" s="7"/>
      <c r="H1778" s="7"/>
      <c r="I1778" s="7" t="s">
        <v>374</v>
      </c>
      <c r="J1778" s="7" t="s">
        <v>104</v>
      </c>
      <c r="K1778" s="7" t="s">
        <v>105</v>
      </c>
      <c r="L1778" s="7" t="s">
        <v>1447</v>
      </c>
      <c r="M1778" s="7"/>
      <c r="N1778" s="7" t="s">
        <v>11587</v>
      </c>
      <c r="O1778" s="7" t="s">
        <v>11587</v>
      </c>
      <c r="P1778" s="7" t="s">
        <v>109</v>
      </c>
      <c r="Q1778" s="7"/>
      <c r="R1778" s="7" t="s">
        <v>109</v>
      </c>
      <c r="S1778" s="7" t="s">
        <v>110</v>
      </c>
      <c r="T1778" s="7" t="n">
        <v>0.435</v>
      </c>
      <c r="U1778" s="7" t="n">
        <v>1</v>
      </c>
      <c r="V1778" s="7" t="s">
        <v>1717</v>
      </c>
      <c r="W1778" s="7"/>
      <c r="X1778" s="7" t="s">
        <v>3410</v>
      </c>
      <c r="Y1778" s="7" t="s">
        <v>11587</v>
      </c>
      <c r="Z1778" s="7"/>
      <c r="AA1778" s="7"/>
      <c r="AB1778" s="7"/>
      <c r="AC1778" s="7" t="n">
        <v>5</v>
      </c>
      <c r="AD1778" s="7" t="s">
        <v>1897</v>
      </c>
      <c r="AE1778" s="7" t="s">
        <v>744</v>
      </c>
      <c r="AF1778" s="7" t="s">
        <v>11586</v>
      </c>
      <c r="AG1778" s="7" t="s">
        <v>744</v>
      </c>
      <c r="AH1778" s="7" t="s">
        <v>3410</v>
      </c>
      <c r="AI1778" s="7"/>
      <c r="AJ1778" s="7"/>
      <c r="AK1778" s="7"/>
      <c r="AL1778" s="7"/>
      <c r="AM1778" s="7" t="s">
        <v>744</v>
      </c>
      <c r="AN1778" s="7" t="s">
        <v>11588</v>
      </c>
      <c r="AO1778" s="7" t="s">
        <v>744</v>
      </c>
      <c r="AP1778" s="7" t="s">
        <v>11580</v>
      </c>
      <c r="AQ1778" s="7"/>
      <c r="AR1778" s="7"/>
      <c r="AS1778" s="7"/>
      <c r="AT1778" s="7"/>
      <c r="AU1778" s="7"/>
      <c r="AV1778" s="7"/>
      <c r="AW1778" s="7" t="s">
        <v>744</v>
      </c>
      <c r="AX1778" s="7" t="s">
        <v>11589</v>
      </c>
      <c r="AY1778" s="7"/>
      <c r="AZ1778" s="7"/>
      <c r="BA1778" s="7"/>
      <c r="BB1778" s="7"/>
      <c r="BC1778" s="7"/>
      <c r="BD1778" s="7"/>
      <c r="BE1778" s="7" t="s">
        <v>127</v>
      </c>
      <c r="BF1778" s="8"/>
      <c r="BG1778" s="8"/>
      <c r="BH1778" s="8"/>
      <c r="BI1778" s="8"/>
      <c r="BJ1778" s="8"/>
      <c r="BK1778" s="8"/>
      <c r="BL1778" s="8"/>
      <c r="BM1778" s="8"/>
      <c r="BN1778" s="8"/>
      <c r="BO1778" s="8"/>
      <c r="BP1778" s="8"/>
      <c r="BQ1778" s="8"/>
      <c r="BR1778" s="8"/>
      <c r="BS1778" s="8"/>
    </row>
    <row r="1779" customFormat="false" ht="15" hidden="false" customHeight="false" outlineLevel="0" collapsed="false">
      <c r="A1779" s="7" t="s">
        <v>11590</v>
      </c>
      <c r="B1779" s="7" t="s">
        <v>11591</v>
      </c>
      <c r="C1779" s="7" t="s">
        <v>11592</v>
      </c>
      <c r="D1779" s="7" t="s">
        <v>11593</v>
      </c>
      <c r="E1779" s="7" t="s">
        <v>11594</v>
      </c>
      <c r="F1779" s="7" t="s">
        <v>101</v>
      </c>
      <c r="G1779" s="7"/>
      <c r="H1779" s="7"/>
      <c r="I1779" s="7" t="s">
        <v>132</v>
      </c>
      <c r="J1779" s="7" t="s">
        <v>104</v>
      </c>
      <c r="K1779" s="7" t="s">
        <v>105</v>
      </c>
      <c r="L1779" s="7" t="s">
        <v>106</v>
      </c>
      <c r="M1779" s="7"/>
      <c r="N1779" s="7" t="s">
        <v>11595</v>
      </c>
      <c r="O1779" s="7"/>
      <c r="P1779" s="7" t="s">
        <v>109</v>
      </c>
      <c r="Q1779" s="7"/>
      <c r="R1779" s="7" t="s">
        <v>135</v>
      </c>
      <c r="S1779" s="7" t="s">
        <v>136</v>
      </c>
      <c r="T1779" s="7" t="n">
        <v>0.328</v>
      </c>
      <c r="U1779" s="7" t="n">
        <v>1</v>
      </c>
      <c r="V1779" s="7" t="s">
        <v>1717</v>
      </c>
      <c r="W1779" s="7"/>
      <c r="X1779" s="7" t="s">
        <v>7720</v>
      </c>
      <c r="Y1779" s="7" t="s">
        <v>11595</v>
      </c>
      <c r="Z1779" s="7"/>
      <c r="AA1779" s="7"/>
      <c r="AB1779" s="7"/>
      <c r="AC1779" s="7" t="n">
        <v>6</v>
      </c>
      <c r="AD1779" s="7" t="s">
        <v>1235</v>
      </c>
      <c r="AE1779" s="7" t="s">
        <v>744</v>
      </c>
      <c r="AF1779" s="7" t="s">
        <v>11592</v>
      </c>
      <c r="AG1779" s="7" t="s">
        <v>744</v>
      </c>
      <c r="AH1779" s="7" t="s">
        <v>7720</v>
      </c>
      <c r="AI1779" s="7"/>
      <c r="AJ1779" s="7"/>
      <c r="AK1779" s="7"/>
      <c r="AL1779" s="7"/>
      <c r="AM1779" s="7" t="s">
        <v>744</v>
      </c>
      <c r="AN1779" s="7" t="s">
        <v>11596</v>
      </c>
      <c r="AO1779" s="7" t="s">
        <v>744</v>
      </c>
      <c r="AP1779" s="7" t="s">
        <v>11593</v>
      </c>
      <c r="AQ1779" s="7" t="s">
        <v>744</v>
      </c>
      <c r="AR1779" s="7" t="s">
        <v>11594</v>
      </c>
      <c r="AS1779" s="7"/>
      <c r="AT1779" s="7"/>
      <c r="AU1779" s="7"/>
      <c r="AV1779" s="7"/>
      <c r="AW1779" s="7" t="s">
        <v>744</v>
      </c>
      <c r="AX1779" s="7" t="s">
        <v>11595</v>
      </c>
      <c r="AY1779" s="7"/>
      <c r="AZ1779" s="7"/>
      <c r="BA1779" s="7"/>
      <c r="BB1779" s="7"/>
      <c r="BC1779" s="7"/>
      <c r="BD1779" s="7"/>
      <c r="BE1779" s="7" t="s">
        <v>127</v>
      </c>
      <c r="BF1779" s="8"/>
      <c r="BG1779" s="8"/>
      <c r="BH1779" s="8"/>
      <c r="BI1779" s="8"/>
      <c r="BJ1779" s="8"/>
      <c r="BK1779" s="8"/>
      <c r="BL1779" s="8"/>
      <c r="BM1779" s="8"/>
      <c r="BN1779" s="8"/>
      <c r="BO1779" s="8"/>
      <c r="BP1779" s="8"/>
      <c r="BQ1779" s="8"/>
      <c r="BR1779" s="8"/>
      <c r="BS1779" s="8"/>
    </row>
    <row r="1780" customFormat="false" ht="15" hidden="false" customHeight="false" outlineLevel="0" collapsed="false">
      <c r="A1780" s="7" t="s">
        <v>11597</v>
      </c>
      <c r="B1780" s="7" t="s">
        <v>11598</v>
      </c>
      <c r="C1780" s="7" t="s">
        <v>11599</v>
      </c>
      <c r="D1780" s="7" t="s">
        <v>11600</v>
      </c>
      <c r="E1780" s="7"/>
      <c r="F1780" s="7" t="s">
        <v>156</v>
      </c>
      <c r="G1780" s="7"/>
      <c r="H1780" s="7" t="s">
        <v>157</v>
      </c>
      <c r="I1780" s="7" t="s">
        <v>234</v>
      </c>
      <c r="J1780" s="7" t="s">
        <v>159</v>
      </c>
      <c r="K1780" s="7" t="s">
        <v>105</v>
      </c>
      <c r="L1780" s="7" t="s">
        <v>235</v>
      </c>
      <c r="M1780" s="7"/>
      <c r="N1780" s="7" t="s">
        <v>11601</v>
      </c>
      <c r="O1780" s="7"/>
      <c r="P1780" s="7" t="s">
        <v>109</v>
      </c>
      <c r="Q1780" s="7"/>
      <c r="R1780" s="7" t="s">
        <v>135</v>
      </c>
      <c r="S1780" s="7" t="s">
        <v>136</v>
      </c>
      <c r="T1780" s="7" t="n">
        <v>0.382</v>
      </c>
      <c r="U1780" s="7" t="n">
        <v>1</v>
      </c>
      <c r="V1780" s="7" t="s">
        <v>1717</v>
      </c>
      <c r="W1780" s="7"/>
      <c r="X1780" s="7" t="s">
        <v>7720</v>
      </c>
      <c r="Y1780" s="7" t="s">
        <v>11601</v>
      </c>
      <c r="Z1780" s="7"/>
      <c r="AA1780" s="7"/>
      <c r="AB1780" s="7"/>
      <c r="AC1780" s="7" t="n">
        <v>4</v>
      </c>
      <c r="AD1780" s="7" t="s">
        <v>7611</v>
      </c>
      <c r="AE1780" s="7" t="s">
        <v>744</v>
      </c>
      <c r="AF1780" s="7" t="s">
        <v>11599</v>
      </c>
      <c r="AG1780" s="7" t="s">
        <v>744</v>
      </c>
      <c r="AH1780" s="7" t="s">
        <v>7720</v>
      </c>
      <c r="AI1780" s="7"/>
      <c r="AJ1780" s="7"/>
      <c r="AK1780" s="7"/>
      <c r="AL1780" s="7"/>
      <c r="AM1780" s="7"/>
      <c r="AN1780" s="7"/>
      <c r="AO1780" s="7" t="s">
        <v>744</v>
      </c>
      <c r="AP1780" s="7" t="s">
        <v>11600</v>
      </c>
      <c r="AQ1780" s="7"/>
      <c r="AR1780" s="7"/>
      <c r="AS1780" s="7"/>
      <c r="AT1780" s="7"/>
      <c r="AU1780" s="7"/>
      <c r="AV1780" s="7"/>
      <c r="AW1780" s="7" t="s">
        <v>744</v>
      </c>
      <c r="AX1780" s="7" t="s">
        <v>11601</v>
      </c>
      <c r="AY1780" s="7"/>
      <c r="AZ1780" s="7"/>
      <c r="BA1780" s="7"/>
      <c r="BB1780" s="7"/>
      <c r="BC1780" s="7"/>
      <c r="BD1780" s="7"/>
      <c r="BE1780" s="7" t="s">
        <v>127</v>
      </c>
      <c r="BF1780" s="8"/>
      <c r="BG1780" s="8"/>
      <c r="BH1780" s="8"/>
      <c r="BI1780" s="8"/>
      <c r="BJ1780" s="8"/>
      <c r="BK1780" s="8"/>
      <c r="BL1780" s="8"/>
      <c r="BM1780" s="8"/>
      <c r="BN1780" s="8"/>
      <c r="BO1780" s="8"/>
      <c r="BP1780" s="8"/>
      <c r="BQ1780" s="8"/>
      <c r="BR1780" s="8"/>
      <c r="BS1780" s="8"/>
    </row>
    <row r="1781" customFormat="false" ht="15" hidden="false" customHeight="false" outlineLevel="0" collapsed="false">
      <c r="A1781" s="7" t="s">
        <v>11602</v>
      </c>
      <c r="B1781" s="7" t="s">
        <v>11603</v>
      </c>
      <c r="C1781" s="7" t="s">
        <v>11604</v>
      </c>
      <c r="D1781" s="7" t="s">
        <v>11605</v>
      </c>
      <c r="E1781" s="7" t="s">
        <v>737</v>
      </c>
      <c r="F1781" s="7" t="s">
        <v>737</v>
      </c>
      <c r="G1781" s="7"/>
      <c r="H1781" s="7"/>
      <c r="I1781" s="7" t="s">
        <v>300</v>
      </c>
      <c r="J1781" s="7" t="s">
        <v>104</v>
      </c>
      <c r="K1781" s="7" t="s">
        <v>105</v>
      </c>
      <c r="L1781" s="7" t="s">
        <v>106</v>
      </c>
      <c r="M1781" s="7"/>
      <c r="N1781" s="7" t="s">
        <v>11606</v>
      </c>
      <c r="O1781" s="7"/>
      <c r="P1781" s="7" t="s">
        <v>109</v>
      </c>
      <c r="Q1781" s="7"/>
      <c r="R1781" s="7" t="s">
        <v>135</v>
      </c>
      <c r="S1781" s="7" t="s">
        <v>136</v>
      </c>
      <c r="T1781" s="7" t="n">
        <v>0.342</v>
      </c>
      <c r="U1781" s="7" t="n">
        <v>1</v>
      </c>
      <c r="V1781" s="7" t="s">
        <v>1717</v>
      </c>
      <c r="W1781" s="7"/>
      <c r="X1781" s="7" t="s">
        <v>11607</v>
      </c>
      <c r="Y1781" s="7" t="s">
        <v>11606</v>
      </c>
      <c r="Z1781" s="7"/>
      <c r="AA1781" s="7"/>
      <c r="AB1781" s="7"/>
      <c r="AC1781" s="7" t="n">
        <v>5</v>
      </c>
      <c r="AD1781" s="7" t="s">
        <v>743</v>
      </c>
      <c r="AE1781" s="7" t="s">
        <v>744</v>
      </c>
      <c r="AF1781" s="7" t="s">
        <v>11604</v>
      </c>
      <c r="AG1781" s="7" t="s">
        <v>744</v>
      </c>
      <c r="AH1781" s="7" t="s">
        <v>11607</v>
      </c>
      <c r="AI1781" s="7"/>
      <c r="AJ1781" s="7"/>
      <c r="AK1781" s="7"/>
      <c r="AL1781" s="7"/>
      <c r="AM1781" s="7"/>
      <c r="AN1781" s="7"/>
      <c r="AO1781" s="7" t="s">
        <v>744</v>
      </c>
      <c r="AP1781" s="7" t="s">
        <v>11605</v>
      </c>
      <c r="AQ1781" s="7" t="s">
        <v>744</v>
      </c>
      <c r="AR1781" s="7" t="s">
        <v>737</v>
      </c>
      <c r="AS1781" s="7"/>
      <c r="AT1781" s="7"/>
      <c r="AU1781" s="7"/>
      <c r="AV1781" s="7"/>
      <c r="AW1781" s="7" t="s">
        <v>744</v>
      </c>
      <c r="AX1781" s="7" t="s">
        <v>11606</v>
      </c>
      <c r="AY1781" s="7"/>
      <c r="AZ1781" s="7"/>
      <c r="BA1781" s="7"/>
      <c r="BB1781" s="7"/>
      <c r="BC1781" s="7"/>
      <c r="BD1781" s="7"/>
      <c r="BE1781" s="7" t="s">
        <v>127</v>
      </c>
      <c r="BF1781" s="8"/>
      <c r="BG1781" s="8"/>
      <c r="BH1781" s="8"/>
      <c r="BI1781" s="8"/>
      <c r="BJ1781" s="8"/>
      <c r="BK1781" s="8"/>
      <c r="BL1781" s="8"/>
      <c r="BM1781" s="8"/>
      <c r="BN1781" s="8"/>
      <c r="BO1781" s="8"/>
      <c r="BP1781" s="8"/>
      <c r="BQ1781" s="8"/>
      <c r="BR1781" s="8"/>
      <c r="BS1781" s="8"/>
    </row>
    <row r="1782" customFormat="false" ht="15" hidden="false" customHeight="false" outlineLevel="0" collapsed="false">
      <c r="A1782" s="7" t="s">
        <v>11608</v>
      </c>
      <c r="B1782" s="7" t="s">
        <v>11609</v>
      </c>
      <c r="C1782" s="7" t="s">
        <v>11610</v>
      </c>
      <c r="D1782" s="7" t="s">
        <v>11611</v>
      </c>
      <c r="E1782" s="7" t="s">
        <v>11612</v>
      </c>
      <c r="F1782" s="7" t="s">
        <v>101</v>
      </c>
      <c r="G1782" s="7"/>
      <c r="H1782" s="7"/>
      <c r="I1782" s="7" t="s">
        <v>132</v>
      </c>
      <c r="J1782" s="7" t="s">
        <v>104</v>
      </c>
      <c r="K1782" s="7" t="s">
        <v>105</v>
      </c>
      <c r="L1782" s="7" t="s">
        <v>106</v>
      </c>
      <c r="M1782" s="7"/>
      <c r="N1782" s="7" t="s">
        <v>11613</v>
      </c>
      <c r="O1782" s="7"/>
      <c r="P1782" s="7" t="s">
        <v>109</v>
      </c>
      <c r="Q1782" s="7"/>
      <c r="R1782" s="7" t="s">
        <v>135</v>
      </c>
      <c r="S1782" s="7" t="s">
        <v>136</v>
      </c>
      <c r="T1782" s="7" t="n">
        <v>0.455</v>
      </c>
      <c r="U1782" s="7" t="n">
        <v>1</v>
      </c>
      <c r="V1782" s="7" t="s">
        <v>1156</v>
      </c>
      <c r="W1782" s="7"/>
      <c r="X1782" s="7" t="s">
        <v>11614</v>
      </c>
      <c r="Y1782" s="7" t="s">
        <v>11613</v>
      </c>
      <c r="Z1782" s="7"/>
      <c r="AA1782" s="7"/>
      <c r="AB1782" s="7"/>
      <c r="AC1782" s="7" t="n">
        <v>5</v>
      </c>
      <c r="AD1782" s="7" t="s">
        <v>743</v>
      </c>
      <c r="AE1782" s="7" t="s">
        <v>744</v>
      </c>
      <c r="AF1782" s="7" t="s">
        <v>11610</v>
      </c>
      <c r="AG1782" s="7" t="s">
        <v>744</v>
      </c>
      <c r="AH1782" s="7" t="s">
        <v>11614</v>
      </c>
      <c r="AI1782" s="7"/>
      <c r="AJ1782" s="7"/>
      <c r="AK1782" s="7"/>
      <c r="AL1782" s="7"/>
      <c r="AM1782" s="7"/>
      <c r="AN1782" s="7"/>
      <c r="AO1782" s="7" t="s">
        <v>744</v>
      </c>
      <c r="AP1782" s="7" t="s">
        <v>11611</v>
      </c>
      <c r="AQ1782" s="7" t="s">
        <v>744</v>
      </c>
      <c r="AR1782" s="7" t="s">
        <v>11612</v>
      </c>
      <c r="AS1782" s="7"/>
      <c r="AT1782" s="7"/>
      <c r="AU1782" s="7"/>
      <c r="AV1782" s="7"/>
      <c r="AW1782" s="7" t="s">
        <v>744</v>
      </c>
      <c r="AX1782" s="7" t="s">
        <v>11613</v>
      </c>
      <c r="AY1782" s="7"/>
      <c r="AZ1782" s="7"/>
      <c r="BA1782" s="7"/>
      <c r="BB1782" s="7"/>
      <c r="BC1782" s="7"/>
      <c r="BD1782" s="7"/>
      <c r="BE1782" s="7" t="s">
        <v>127</v>
      </c>
      <c r="BF1782" s="8"/>
      <c r="BG1782" s="8"/>
      <c r="BH1782" s="8"/>
      <c r="BI1782" s="8"/>
      <c r="BJ1782" s="8"/>
      <c r="BK1782" s="8"/>
      <c r="BL1782" s="8"/>
      <c r="BM1782" s="8"/>
      <c r="BN1782" s="8"/>
      <c r="BO1782" s="8"/>
      <c r="BP1782" s="8"/>
      <c r="BQ1782" s="8"/>
      <c r="BR1782" s="8"/>
      <c r="BS1782" s="8"/>
    </row>
    <row r="1783" customFormat="false" ht="15" hidden="false" customHeight="false" outlineLevel="0" collapsed="false">
      <c r="A1783" s="7" t="s">
        <v>11615</v>
      </c>
      <c r="B1783" s="7" t="s">
        <v>11616</v>
      </c>
      <c r="C1783" s="7" t="s">
        <v>11617</v>
      </c>
      <c r="D1783" s="7" t="s">
        <v>11618</v>
      </c>
      <c r="E1783" s="7"/>
      <c r="F1783" s="7" t="s">
        <v>101</v>
      </c>
      <c r="G1783" s="7"/>
      <c r="H1783" s="7"/>
      <c r="I1783" s="7" t="s">
        <v>132</v>
      </c>
      <c r="J1783" s="7" t="s">
        <v>104</v>
      </c>
      <c r="K1783" s="7" t="s">
        <v>105</v>
      </c>
      <c r="L1783" s="7" t="s">
        <v>106</v>
      </c>
      <c r="M1783" s="7"/>
      <c r="N1783" s="7" t="s">
        <v>11619</v>
      </c>
      <c r="O1783" s="7"/>
      <c r="P1783" s="7" t="s">
        <v>109</v>
      </c>
      <c r="Q1783" s="7"/>
      <c r="R1783" s="7" t="s">
        <v>135</v>
      </c>
      <c r="S1783" s="7" t="s">
        <v>136</v>
      </c>
      <c r="T1783" s="7" t="n">
        <v>0.198</v>
      </c>
      <c r="U1783" s="7" t="n">
        <v>1</v>
      </c>
      <c r="V1783" s="7" t="s">
        <v>1156</v>
      </c>
      <c r="W1783" s="7"/>
      <c r="X1783" s="7" t="s">
        <v>11620</v>
      </c>
      <c r="Y1783" s="7" t="s">
        <v>11619</v>
      </c>
      <c r="Z1783" s="7"/>
      <c r="AA1783" s="7"/>
      <c r="AB1783" s="7"/>
      <c r="AC1783" s="7" t="n">
        <v>5</v>
      </c>
      <c r="AD1783" s="7" t="s">
        <v>1897</v>
      </c>
      <c r="AE1783" s="7" t="s">
        <v>744</v>
      </c>
      <c r="AF1783" s="7" t="s">
        <v>11617</v>
      </c>
      <c r="AG1783" s="7" t="s">
        <v>744</v>
      </c>
      <c r="AH1783" s="7" t="s">
        <v>11620</v>
      </c>
      <c r="AI1783" s="7"/>
      <c r="AJ1783" s="7"/>
      <c r="AK1783" s="7"/>
      <c r="AL1783" s="7"/>
      <c r="AM1783" s="7" t="s">
        <v>744</v>
      </c>
      <c r="AN1783" s="7" t="s">
        <v>11621</v>
      </c>
      <c r="AO1783" s="7" t="s">
        <v>744</v>
      </c>
      <c r="AP1783" s="7" t="s">
        <v>11618</v>
      </c>
      <c r="AQ1783" s="7"/>
      <c r="AR1783" s="7"/>
      <c r="AS1783" s="7"/>
      <c r="AT1783" s="7"/>
      <c r="AU1783" s="7"/>
      <c r="AV1783" s="7"/>
      <c r="AW1783" s="7" t="s">
        <v>744</v>
      </c>
      <c r="AX1783" s="7" t="s">
        <v>11619</v>
      </c>
      <c r="AY1783" s="7"/>
      <c r="AZ1783" s="7"/>
      <c r="BA1783" s="7"/>
      <c r="BB1783" s="7"/>
      <c r="BC1783" s="7"/>
      <c r="BD1783" s="7"/>
      <c r="BE1783" s="7" t="s">
        <v>127</v>
      </c>
      <c r="BF1783" s="8"/>
      <c r="BG1783" s="8"/>
      <c r="BH1783" s="8"/>
      <c r="BI1783" s="8"/>
      <c r="BJ1783" s="8"/>
      <c r="BK1783" s="8"/>
      <c r="BL1783" s="8"/>
      <c r="BM1783" s="8"/>
      <c r="BN1783" s="8"/>
      <c r="BO1783" s="8"/>
      <c r="BP1783" s="8"/>
      <c r="BQ1783" s="8"/>
      <c r="BR1783" s="8"/>
      <c r="BS1783" s="8"/>
    </row>
    <row r="1784" customFormat="false" ht="15" hidden="false" customHeight="false" outlineLevel="0" collapsed="false">
      <c r="A1784" s="7" t="s">
        <v>11622</v>
      </c>
      <c r="B1784" s="7" t="s">
        <v>11623</v>
      </c>
      <c r="C1784" s="7" t="s">
        <v>11624</v>
      </c>
      <c r="D1784" s="7" t="s">
        <v>11625</v>
      </c>
      <c r="E1784" s="7"/>
      <c r="F1784" s="7" t="s">
        <v>101</v>
      </c>
      <c r="G1784" s="7"/>
      <c r="H1784" s="7"/>
      <c r="I1784" s="7" t="s">
        <v>208</v>
      </c>
      <c r="J1784" s="7" t="s">
        <v>104</v>
      </c>
      <c r="K1784" s="7" t="s">
        <v>105</v>
      </c>
      <c r="L1784" s="7" t="s">
        <v>106</v>
      </c>
      <c r="M1784" s="7"/>
      <c r="N1784" s="7" t="s">
        <v>11626</v>
      </c>
      <c r="O1784" s="7"/>
      <c r="P1784" s="7" t="s">
        <v>109</v>
      </c>
      <c r="Q1784" s="7"/>
      <c r="R1784" s="7" t="s">
        <v>135</v>
      </c>
      <c r="S1784" s="7" t="s">
        <v>136</v>
      </c>
      <c r="T1784" s="7" t="n">
        <v>0.286</v>
      </c>
      <c r="U1784" s="7" t="n">
        <v>1</v>
      </c>
      <c r="V1784" s="7" t="s">
        <v>1156</v>
      </c>
      <c r="W1784" s="7"/>
      <c r="X1784" s="7" t="s">
        <v>11627</v>
      </c>
      <c r="Y1784" s="7" t="s">
        <v>11626</v>
      </c>
      <c r="Z1784" s="7"/>
      <c r="AA1784" s="7"/>
      <c r="AB1784" s="7"/>
      <c r="AC1784" s="7" t="n">
        <v>4</v>
      </c>
      <c r="AD1784" s="7" t="s">
        <v>7611</v>
      </c>
      <c r="AE1784" s="7" t="s">
        <v>744</v>
      </c>
      <c r="AF1784" s="7" t="s">
        <v>11624</v>
      </c>
      <c r="AG1784" s="7" t="s">
        <v>744</v>
      </c>
      <c r="AH1784" s="7" t="s">
        <v>11627</v>
      </c>
      <c r="AI1784" s="7"/>
      <c r="AJ1784" s="7"/>
      <c r="AK1784" s="7"/>
      <c r="AL1784" s="7"/>
      <c r="AM1784" s="7"/>
      <c r="AN1784" s="7"/>
      <c r="AO1784" s="7" t="s">
        <v>744</v>
      </c>
      <c r="AP1784" s="7" t="s">
        <v>11625</v>
      </c>
      <c r="AQ1784" s="7"/>
      <c r="AR1784" s="7"/>
      <c r="AS1784" s="7"/>
      <c r="AT1784" s="7"/>
      <c r="AU1784" s="7"/>
      <c r="AV1784" s="7"/>
      <c r="AW1784" s="7" t="s">
        <v>744</v>
      </c>
      <c r="AX1784" s="7" t="s">
        <v>11626</v>
      </c>
      <c r="AY1784" s="7"/>
      <c r="AZ1784" s="7"/>
      <c r="BA1784" s="7"/>
      <c r="BB1784" s="7"/>
      <c r="BC1784" s="7"/>
      <c r="BD1784" s="7"/>
      <c r="BE1784" s="7" t="s">
        <v>127</v>
      </c>
      <c r="BF1784" s="8"/>
      <c r="BG1784" s="8"/>
      <c r="BH1784" s="8"/>
      <c r="BI1784" s="8"/>
      <c r="BJ1784" s="8"/>
      <c r="BK1784" s="8"/>
      <c r="BL1784" s="8"/>
      <c r="BM1784" s="8"/>
      <c r="BN1784" s="8"/>
      <c r="BO1784" s="8"/>
      <c r="BP1784" s="8"/>
      <c r="BQ1784" s="8"/>
      <c r="BR1784" s="8"/>
      <c r="BS1784" s="8"/>
    </row>
    <row r="1785" customFormat="false" ht="15" hidden="false" customHeight="false" outlineLevel="0" collapsed="false">
      <c r="A1785" s="7" t="s">
        <v>11628</v>
      </c>
      <c r="B1785" s="7" t="s">
        <v>11629</v>
      </c>
      <c r="C1785" s="7" t="s">
        <v>11630</v>
      </c>
      <c r="D1785" s="7" t="s">
        <v>1230</v>
      </c>
      <c r="E1785" s="7"/>
      <c r="F1785" s="7" t="s">
        <v>101</v>
      </c>
      <c r="G1785" s="7"/>
      <c r="H1785" s="7"/>
      <c r="I1785" s="7" t="s">
        <v>1726</v>
      </c>
      <c r="J1785" s="7" t="s">
        <v>104</v>
      </c>
      <c r="K1785" s="7" t="s">
        <v>105</v>
      </c>
      <c r="L1785" s="7" t="s">
        <v>1447</v>
      </c>
      <c r="M1785" s="7"/>
      <c r="N1785" s="7" t="s">
        <v>11631</v>
      </c>
      <c r="O1785" s="7"/>
      <c r="P1785" s="7" t="s">
        <v>109</v>
      </c>
      <c r="Q1785" s="7"/>
      <c r="R1785" s="7" t="s">
        <v>135</v>
      </c>
      <c r="S1785" s="7" t="s">
        <v>136</v>
      </c>
      <c r="T1785" s="7" t="n">
        <v>0.413</v>
      </c>
      <c r="U1785" s="7" t="n">
        <v>1</v>
      </c>
      <c r="V1785" s="7" t="s">
        <v>1156</v>
      </c>
      <c r="W1785" s="7"/>
      <c r="X1785" s="7" t="s">
        <v>11632</v>
      </c>
      <c r="Y1785" s="7" t="s">
        <v>11631</v>
      </c>
      <c r="Z1785" s="7"/>
      <c r="AA1785" s="7"/>
      <c r="AB1785" s="7"/>
      <c r="AC1785" s="7" t="n">
        <v>5</v>
      </c>
      <c r="AD1785" s="7" t="s">
        <v>1897</v>
      </c>
      <c r="AE1785" s="7" t="s">
        <v>744</v>
      </c>
      <c r="AF1785" s="7" t="s">
        <v>11630</v>
      </c>
      <c r="AG1785" s="7" t="s">
        <v>744</v>
      </c>
      <c r="AH1785" s="7" t="s">
        <v>11632</v>
      </c>
      <c r="AI1785" s="7"/>
      <c r="AJ1785" s="7"/>
      <c r="AK1785" s="7"/>
      <c r="AL1785" s="7"/>
      <c r="AM1785" s="7" t="s">
        <v>744</v>
      </c>
      <c r="AN1785" s="7" t="s">
        <v>11633</v>
      </c>
      <c r="AO1785" s="7" t="s">
        <v>744</v>
      </c>
      <c r="AP1785" s="7" t="s">
        <v>1230</v>
      </c>
      <c r="AQ1785" s="7"/>
      <c r="AR1785" s="7"/>
      <c r="AS1785" s="7"/>
      <c r="AT1785" s="7"/>
      <c r="AU1785" s="7"/>
      <c r="AV1785" s="7"/>
      <c r="AW1785" s="7" t="s">
        <v>744</v>
      </c>
      <c r="AX1785" s="7" t="s">
        <v>11631</v>
      </c>
      <c r="AY1785" s="7"/>
      <c r="AZ1785" s="7"/>
      <c r="BA1785" s="7"/>
      <c r="BB1785" s="7"/>
      <c r="BC1785" s="7"/>
      <c r="BD1785" s="7"/>
      <c r="BE1785" s="7" t="s">
        <v>127</v>
      </c>
      <c r="BF1785" s="8"/>
      <c r="BG1785" s="8"/>
      <c r="BH1785" s="8"/>
      <c r="BI1785" s="8"/>
      <c r="BJ1785" s="8"/>
      <c r="BK1785" s="8"/>
      <c r="BL1785" s="8"/>
      <c r="BM1785" s="8"/>
      <c r="BN1785" s="8"/>
      <c r="BO1785" s="8"/>
      <c r="BP1785" s="8"/>
      <c r="BQ1785" s="8"/>
      <c r="BR1785" s="8"/>
      <c r="BS1785" s="8"/>
    </row>
    <row r="1786" customFormat="false" ht="15" hidden="false" customHeight="false" outlineLevel="0" collapsed="false">
      <c r="A1786" s="7" t="s">
        <v>11634</v>
      </c>
      <c r="B1786" s="7" t="s">
        <v>11635</v>
      </c>
      <c r="C1786" s="7" t="s">
        <v>11636</v>
      </c>
      <c r="D1786" s="7" t="s">
        <v>7636</v>
      </c>
      <c r="E1786" s="7" t="s">
        <v>11637</v>
      </c>
      <c r="F1786" s="7" t="s">
        <v>101</v>
      </c>
      <c r="G1786" s="7"/>
      <c r="H1786" s="7"/>
      <c r="I1786" s="7" t="s">
        <v>300</v>
      </c>
      <c r="J1786" s="7" t="s">
        <v>104</v>
      </c>
      <c r="K1786" s="7" t="s">
        <v>105</v>
      </c>
      <c r="L1786" s="7" t="s">
        <v>106</v>
      </c>
      <c r="M1786" s="7"/>
      <c r="N1786" s="7" t="s">
        <v>11638</v>
      </c>
      <c r="O1786" s="7"/>
      <c r="P1786" s="7" t="s">
        <v>109</v>
      </c>
      <c r="Q1786" s="7"/>
      <c r="R1786" s="7" t="s">
        <v>135</v>
      </c>
      <c r="S1786" s="7" t="s">
        <v>136</v>
      </c>
      <c r="T1786" s="7" t="n">
        <v>0.358</v>
      </c>
      <c r="U1786" s="7" t="n">
        <v>1</v>
      </c>
      <c r="V1786" s="7" t="s">
        <v>1156</v>
      </c>
      <c r="W1786" s="7"/>
      <c r="X1786" s="7" t="s">
        <v>11639</v>
      </c>
      <c r="Y1786" s="7" t="s">
        <v>11638</v>
      </c>
      <c r="Z1786" s="7"/>
      <c r="AA1786" s="7"/>
      <c r="AB1786" s="7"/>
      <c r="AC1786" s="7" t="n">
        <v>6</v>
      </c>
      <c r="AD1786" s="7" t="s">
        <v>1235</v>
      </c>
      <c r="AE1786" s="7" t="s">
        <v>744</v>
      </c>
      <c r="AF1786" s="7" t="s">
        <v>11636</v>
      </c>
      <c r="AG1786" s="7" t="s">
        <v>744</v>
      </c>
      <c r="AH1786" s="7" t="s">
        <v>11639</v>
      </c>
      <c r="AI1786" s="7"/>
      <c r="AJ1786" s="7"/>
      <c r="AK1786" s="7"/>
      <c r="AL1786" s="7"/>
      <c r="AM1786" s="7" t="s">
        <v>744</v>
      </c>
      <c r="AN1786" s="7" t="s">
        <v>11640</v>
      </c>
      <c r="AO1786" s="7" t="s">
        <v>744</v>
      </c>
      <c r="AP1786" s="7" t="s">
        <v>7636</v>
      </c>
      <c r="AQ1786" s="7" t="s">
        <v>744</v>
      </c>
      <c r="AR1786" s="7" t="s">
        <v>11637</v>
      </c>
      <c r="AS1786" s="7"/>
      <c r="AT1786" s="7"/>
      <c r="AU1786" s="7"/>
      <c r="AV1786" s="7"/>
      <c r="AW1786" s="7" t="s">
        <v>744</v>
      </c>
      <c r="AX1786" s="7" t="s">
        <v>11638</v>
      </c>
      <c r="AY1786" s="7"/>
      <c r="AZ1786" s="7"/>
      <c r="BA1786" s="7"/>
      <c r="BB1786" s="7"/>
      <c r="BC1786" s="7"/>
      <c r="BD1786" s="7"/>
      <c r="BE1786" s="7" t="s">
        <v>127</v>
      </c>
      <c r="BF1786" s="8"/>
      <c r="BG1786" s="8"/>
      <c r="BH1786" s="8"/>
      <c r="BI1786" s="8"/>
      <c r="BJ1786" s="8"/>
      <c r="BK1786" s="8"/>
      <c r="BL1786" s="8"/>
      <c r="BM1786" s="8"/>
      <c r="BN1786" s="8"/>
      <c r="BO1786" s="8"/>
      <c r="BP1786" s="8"/>
      <c r="BQ1786" s="8"/>
      <c r="BR1786" s="8"/>
      <c r="BS1786" s="8"/>
    </row>
    <row r="1787" customFormat="false" ht="15" hidden="false" customHeight="false" outlineLevel="0" collapsed="false">
      <c r="A1787" s="7" t="s">
        <v>11641</v>
      </c>
      <c r="B1787" s="7" t="s">
        <v>11642</v>
      </c>
      <c r="C1787" s="7" t="s">
        <v>11643</v>
      </c>
      <c r="D1787" s="7" t="s">
        <v>11644</v>
      </c>
      <c r="E1787" s="7" t="s">
        <v>11645</v>
      </c>
      <c r="F1787" s="7" t="s">
        <v>101</v>
      </c>
      <c r="G1787" s="7"/>
      <c r="H1787" s="7"/>
      <c r="I1787" s="7" t="s">
        <v>300</v>
      </c>
      <c r="J1787" s="7" t="s">
        <v>104</v>
      </c>
      <c r="K1787" s="7" t="s">
        <v>105</v>
      </c>
      <c r="L1787" s="7" t="s">
        <v>106</v>
      </c>
      <c r="M1787" s="7"/>
      <c r="N1787" s="7" t="s">
        <v>11646</v>
      </c>
      <c r="O1787" s="7"/>
      <c r="P1787" s="7" t="s">
        <v>109</v>
      </c>
      <c r="Q1787" s="7"/>
      <c r="R1787" s="7" t="s">
        <v>135</v>
      </c>
      <c r="S1787" s="7" t="s">
        <v>136</v>
      </c>
      <c r="T1787" s="7" t="n">
        <v>0.413</v>
      </c>
      <c r="U1787" s="7" t="n">
        <v>1</v>
      </c>
      <c r="V1787" s="7" t="s">
        <v>1156</v>
      </c>
      <c r="W1787" s="7"/>
      <c r="X1787" s="7" t="s">
        <v>11647</v>
      </c>
      <c r="Y1787" s="7" t="s">
        <v>11646</v>
      </c>
      <c r="Z1787" s="7"/>
      <c r="AA1787" s="7"/>
      <c r="AB1787" s="7"/>
      <c r="AC1787" s="7" t="n">
        <v>6</v>
      </c>
      <c r="AD1787" s="7" t="s">
        <v>1235</v>
      </c>
      <c r="AE1787" s="7" t="s">
        <v>744</v>
      </c>
      <c r="AF1787" s="7" t="s">
        <v>11643</v>
      </c>
      <c r="AG1787" s="7" t="s">
        <v>744</v>
      </c>
      <c r="AH1787" s="7" t="s">
        <v>11647</v>
      </c>
      <c r="AI1787" s="7"/>
      <c r="AJ1787" s="7"/>
      <c r="AK1787" s="7"/>
      <c r="AL1787" s="7"/>
      <c r="AM1787" s="7" t="s">
        <v>744</v>
      </c>
      <c r="AN1787" s="7" t="s">
        <v>11648</v>
      </c>
      <c r="AO1787" s="7" t="s">
        <v>744</v>
      </c>
      <c r="AP1787" s="7" t="s">
        <v>11644</v>
      </c>
      <c r="AQ1787" s="7" t="s">
        <v>744</v>
      </c>
      <c r="AR1787" s="7" t="s">
        <v>11645</v>
      </c>
      <c r="AS1787" s="7"/>
      <c r="AT1787" s="7"/>
      <c r="AU1787" s="7"/>
      <c r="AV1787" s="7"/>
      <c r="AW1787" s="7" t="s">
        <v>744</v>
      </c>
      <c r="AX1787" s="7" t="s">
        <v>11646</v>
      </c>
      <c r="AY1787" s="7"/>
      <c r="AZ1787" s="7"/>
      <c r="BA1787" s="7"/>
      <c r="BB1787" s="7"/>
      <c r="BC1787" s="7"/>
      <c r="BD1787" s="7"/>
      <c r="BE1787" s="7" t="s">
        <v>127</v>
      </c>
      <c r="BF1787" s="8"/>
      <c r="BG1787" s="8"/>
      <c r="BH1787" s="8"/>
      <c r="BI1787" s="8"/>
      <c r="BJ1787" s="8"/>
      <c r="BK1787" s="8"/>
      <c r="BL1787" s="8"/>
      <c r="BM1787" s="8"/>
      <c r="BN1787" s="8"/>
      <c r="BO1787" s="8"/>
      <c r="BP1787" s="8"/>
      <c r="BQ1787" s="8"/>
      <c r="BR1787" s="8"/>
      <c r="BS1787" s="8"/>
    </row>
    <row r="1788" customFormat="false" ht="15" hidden="false" customHeight="false" outlineLevel="0" collapsed="false">
      <c r="A1788" s="7" t="s">
        <v>11649</v>
      </c>
      <c r="B1788" s="7" t="s">
        <v>11650</v>
      </c>
      <c r="C1788" s="7" t="s">
        <v>11651</v>
      </c>
      <c r="D1788" s="7" t="s">
        <v>11652</v>
      </c>
      <c r="E1788" s="7" t="s">
        <v>11653</v>
      </c>
      <c r="F1788" s="7" t="s">
        <v>101</v>
      </c>
      <c r="G1788" s="7"/>
      <c r="H1788" s="7"/>
      <c r="I1788" s="7" t="s">
        <v>132</v>
      </c>
      <c r="J1788" s="7" t="s">
        <v>104</v>
      </c>
      <c r="K1788" s="7" t="s">
        <v>105</v>
      </c>
      <c r="L1788" s="7" t="s">
        <v>106</v>
      </c>
      <c r="M1788" s="7"/>
      <c r="N1788" s="7" t="s">
        <v>11654</v>
      </c>
      <c r="O1788" s="7"/>
      <c r="P1788" s="7" t="s">
        <v>109</v>
      </c>
      <c r="Q1788" s="7"/>
      <c r="R1788" s="7" t="s">
        <v>135</v>
      </c>
      <c r="S1788" s="7" t="s">
        <v>136</v>
      </c>
      <c r="T1788" s="7" t="n">
        <v>0.463</v>
      </c>
      <c r="U1788" s="7" t="n">
        <v>1</v>
      </c>
      <c r="V1788" s="7" t="s">
        <v>1156</v>
      </c>
      <c r="W1788" s="7"/>
      <c r="X1788" s="7" t="s">
        <v>11655</v>
      </c>
      <c r="Y1788" s="7" t="s">
        <v>11654</v>
      </c>
      <c r="Z1788" s="7"/>
      <c r="AA1788" s="7"/>
      <c r="AB1788" s="7"/>
      <c r="AC1788" s="7" t="n">
        <v>6</v>
      </c>
      <c r="AD1788" s="7" t="s">
        <v>1235</v>
      </c>
      <c r="AE1788" s="7" t="s">
        <v>189</v>
      </c>
      <c r="AF1788" s="7" t="s">
        <v>11656</v>
      </c>
      <c r="AG1788" s="7" t="s">
        <v>189</v>
      </c>
      <c r="AH1788" s="7" t="s">
        <v>1063</v>
      </c>
      <c r="AI1788" s="7"/>
      <c r="AJ1788" s="7"/>
      <c r="AK1788" s="7"/>
      <c r="AL1788" s="7"/>
      <c r="AM1788" s="7" t="s">
        <v>189</v>
      </c>
      <c r="AN1788" s="7" t="s">
        <v>11657</v>
      </c>
      <c r="AO1788" s="7" t="s">
        <v>744</v>
      </c>
      <c r="AP1788" s="7" t="s">
        <v>11652</v>
      </c>
      <c r="AQ1788" s="7" t="s">
        <v>744</v>
      </c>
      <c r="AR1788" s="7" t="s">
        <v>11653</v>
      </c>
      <c r="AS1788" s="7"/>
      <c r="AT1788" s="7"/>
      <c r="AU1788" s="7"/>
      <c r="AV1788" s="7"/>
      <c r="AW1788" s="7" t="s">
        <v>744</v>
      </c>
      <c r="AX1788" s="7" t="s">
        <v>11654</v>
      </c>
      <c r="AY1788" s="7"/>
      <c r="AZ1788" s="7"/>
      <c r="BA1788" s="7"/>
      <c r="BB1788" s="7"/>
      <c r="BC1788" s="7"/>
      <c r="BD1788" s="7"/>
      <c r="BE1788" s="7" t="s">
        <v>127</v>
      </c>
      <c r="BF1788" s="8"/>
      <c r="BG1788" s="8"/>
      <c r="BH1788" s="8"/>
      <c r="BI1788" s="8"/>
      <c r="BJ1788" s="8"/>
      <c r="BK1788" s="8"/>
      <c r="BL1788" s="8"/>
      <c r="BM1788" s="8"/>
      <c r="BN1788" s="8"/>
      <c r="BO1788" s="8"/>
      <c r="BP1788" s="8"/>
      <c r="BQ1788" s="8"/>
      <c r="BR1788" s="8"/>
      <c r="BS1788" s="8"/>
    </row>
    <row r="1789" customFormat="false" ht="15" hidden="false" customHeight="false" outlineLevel="0" collapsed="false">
      <c r="A1789" s="7" t="s">
        <v>11658</v>
      </c>
      <c r="B1789" s="7" t="s">
        <v>11659</v>
      </c>
      <c r="C1789" s="7" t="s">
        <v>11660</v>
      </c>
      <c r="D1789" s="7" t="s">
        <v>11661</v>
      </c>
      <c r="E1789" s="7" t="s">
        <v>11662</v>
      </c>
      <c r="F1789" s="7" t="s">
        <v>101</v>
      </c>
      <c r="G1789" s="7"/>
      <c r="H1789" s="7"/>
      <c r="I1789" s="7" t="s">
        <v>374</v>
      </c>
      <c r="J1789" s="7" t="s">
        <v>104</v>
      </c>
      <c r="K1789" s="7" t="s">
        <v>105</v>
      </c>
      <c r="L1789" s="7" t="s">
        <v>106</v>
      </c>
      <c r="M1789" s="7"/>
      <c r="N1789" s="7" t="s">
        <v>11663</v>
      </c>
      <c r="O1789" s="7"/>
      <c r="P1789" s="7" t="s">
        <v>109</v>
      </c>
      <c r="Q1789" s="7"/>
      <c r="R1789" s="7" t="s">
        <v>135</v>
      </c>
      <c r="S1789" s="7" t="s">
        <v>136</v>
      </c>
      <c r="T1789" s="7" t="n">
        <v>0.274</v>
      </c>
      <c r="U1789" s="7" t="n">
        <v>1</v>
      </c>
      <c r="V1789" s="7" t="s">
        <v>1156</v>
      </c>
      <c r="W1789" s="7"/>
      <c r="X1789" s="7" t="s">
        <v>11655</v>
      </c>
      <c r="Y1789" s="7" t="s">
        <v>11663</v>
      </c>
      <c r="Z1789" s="7"/>
      <c r="AA1789" s="7"/>
      <c r="AB1789" s="7"/>
      <c r="AC1789" s="7" t="n">
        <v>6</v>
      </c>
      <c r="AD1789" s="7" t="s">
        <v>1235</v>
      </c>
      <c r="AE1789" s="7" t="s">
        <v>744</v>
      </c>
      <c r="AF1789" s="7" t="s">
        <v>11660</v>
      </c>
      <c r="AG1789" s="7" t="s">
        <v>744</v>
      </c>
      <c r="AH1789" s="7" t="s">
        <v>11655</v>
      </c>
      <c r="AI1789" s="7"/>
      <c r="AJ1789" s="7"/>
      <c r="AK1789" s="7"/>
      <c r="AL1789" s="7"/>
      <c r="AM1789" s="7" t="s">
        <v>744</v>
      </c>
      <c r="AN1789" s="7" t="s">
        <v>11664</v>
      </c>
      <c r="AO1789" s="7" t="s">
        <v>744</v>
      </c>
      <c r="AP1789" s="7" t="s">
        <v>11661</v>
      </c>
      <c r="AQ1789" s="7" t="s">
        <v>744</v>
      </c>
      <c r="AR1789" s="7" t="s">
        <v>11662</v>
      </c>
      <c r="AS1789" s="7"/>
      <c r="AT1789" s="7"/>
      <c r="AU1789" s="7"/>
      <c r="AV1789" s="7"/>
      <c r="AW1789" s="7" t="s">
        <v>744</v>
      </c>
      <c r="AX1789" s="7" t="s">
        <v>11663</v>
      </c>
      <c r="AY1789" s="7"/>
      <c r="AZ1789" s="7"/>
      <c r="BA1789" s="7"/>
      <c r="BB1789" s="7"/>
      <c r="BC1789" s="7"/>
      <c r="BD1789" s="7"/>
      <c r="BE1789" s="7" t="s">
        <v>127</v>
      </c>
      <c r="BF1789" s="8"/>
      <c r="BG1789" s="8"/>
      <c r="BH1789" s="8"/>
      <c r="BI1789" s="8"/>
      <c r="BJ1789" s="8"/>
      <c r="BK1789" s="8"/>
      <c r="BL1789" s="8"/>
      <c r="BM1789" s="8"/>
      <c r="BN1789" s="8"/>
      <c r="BO1789" s="8"/>
      <c r="BP1789" s="8"/>
      <c r="BQ1789" s="8"/>
      <c r="BR1789" s="8"/>
      <c r="BS1789" s="8"/>
    </row>
    <row r="1790" customFormat="false" ht="15" hidden="false" customHeight="false" outlineLevel="0" collapsed="false">
      <c r="A1790" s="7" t="s">
        <v>11665</v>
      </c>
      <c r="B1790" s="7" t="s">
        <v>11666</v>
      </c>
      <c r="C1790" s="7" t="s">
        <v>11667</v>
      </c>
      <c r="D1790" s="7" t="s">
        <v>11668</v>
      </c>
      <c r="E1790" s="7"/>
      <c r="F1790" s="7" t="s">
        <v>101</v>
      </c>
      <c r="G1790" s="7"/>
      <c r="H1790" s="7"/>
      <c r="I1790" s="7" t="s">
        <v>300</v>
      </c>
      <c r="J1790" s="7" t="s">
        <v>104</v>
      </c>
      <c r="K1790" s="7" t="s">
        <v>105</v>
      </c>
      <c r="L1790" s="7" t="s">
        <v>2470</v>
      </c>
      <c r="M1790" s="7"/>
      <c r="N1790" s="7" t="s">
        <v>11669</v>
      </c>
      <c r="O1790" s="7" t="s">
        <v>11669</v>
      </c>
      <c r="P1790" s="7" t="s">
        <v>109</v>
      </c>
      <c r="Q1790" s="7"/>
      <c r="R1790" s="7" t="s">
        <v>109</v>
      </c>
      <c r="S1790" s="7" t="s">
        <v>110</v>
      </c>
      <c r="T1790" s="7" t="n">
        <v>0.457</v>
      </c>
      <c r="U1790" s="7" t="n">
        <v>1</v>
      </c>
      <c r="V1790" s="7" t="s">
        <v>1156</v>
      </c>
      <c r="W1790" s="7"/>
      <c r="X1790" s="7" t="s">
        <v>11655</v>
      </c>
      <c r="Y1790" s="7" t="s">
        <v>11669</v>
      </c>
      <c r="Z1790" s="7"/>
      <c r="AA1790" s="7"/>
      <c r="AB1790" s="7"/>
      <c r="AC1790" s="7" t="n">
        <v>4</v>
      </c>
      <c r="AD1790" s="7" t="s">
        <v>7611</v>
      </c>
      <c r="AE1790" s="7" t="s">
        <v>744</v>
      </c>
      <c r="AF1790" s="7" t="s">
        <v>11667</v>
      </c>
      <c r="AG1790" s="7" t="s">
        <v>744</v>
      </c>
      <c r="AH1790" s="7" t="s">
        <v>11655</v>
      </c>
      <c r="AI1790" s="7"/>
      <c r="AJ1790" s="7"/>
      <c r="AK1790" s="7"/>
      <c r="AL1790" s="7"/>
      <c r="AM1790" s="7"/>
      <c r="AN1790" s="7"/>
      <c r="AO1790" s="7" t="s">
        <v>744</v>
      </c>
      <c r="AP1790" s="7" t="s">
        <v>11668</v>
      </c>
      <c r="AQ1790" s="7"/>
      <c r="AR1790" s="7"/>
      <c r="AS1790" s="7"/>
      <c r="AT1790" s="7"/>
      <c r="AU1790" s="7"/>
      <c r="AV1790" s="7"/>
      <c r="AW1790" s="7" t="s">
        <v>744</v>
      </c>
      <c r="AX1790" s="7" t="s">
        <v>11669</v>
      </c>
      <c r="AY1790" s="7"/>
      <c r="AZ1790" s="7"/>
      <c r="BA1790" s="7"/>
      <c r="BB1790" s="7"/>
      <c r="BC1790" s="7"/>
      <c r="BD1790" s="7"/>
      <c r="BE1790" s="7" t="s">
        <v>127</v>
      </c>
      <c r="BF1790" s="8"/>
      <c r="BG1790" s="8"/>
      <c r="BH1790" s="8"/>
      <c r="BI1790" s="8"/>
      <c r="BJ1790" s="8"/>
      <c r="BK1790" s="8"/>
      <c r="BL1790" s="8"/>
      <c r="BM1790" s="8"/>
      <c r="BN1790" s="8"/>
      <c r="BO1790" s="8"/>
      <c r="BP1790" s="8"/>
      <c r="BQ1790" s="8"/>
      <c r="BR1790" s="8"/>
      <c r="BS1790" s="8"/>
    </row>
    <row r="1791" customFormat="false" ht="15" hidden="false" customHeight="false" outlineLevel="0" collapsed="false">
      <c r="A1791" s="7" t="s">
        <v>11670</v>
      </c>
      <c r="B1791" s="7" t="s">
        <v>11671</v>
      </c>
      <c r="C1791" s="7" t="s">
        <v>11672</v>
      </c>
      <c r="D1791" s="7" t="s">
        <v>11673</v>
      </c>
      <c r="E1791" s="7"/>
      <c r="F1791" s="7" t="s">
        <v>101</v>
      </c>
      <c r="G1791" s="7"/>
      <c r="H1791" s="7"/>
      <c r="I1791" s="7" t="s">
        <v>1639</v>
      </c>
      <c r="J1791" s="7" t="s">
        <v>104</v>
      </c>
      <c r="K1791" s="7" t="s">
        <v>105</v>
      </c>
      <c r="L1791" s="7" t="s">
        <v>106</v>
      </c>
      <c r="M1791" s="7"/>
      <c r="N1791" s="7" t="s">
        <v>11674</v>
      </c>
      <c r="O1791" s="7"/>
      <c r="P1791" s="7" t="s">
        <v>109</v>
      </c>
      <c r="Q1791" s="7"/>
      <c r="R1791" s="7" t="s">
        <v>135</v>
      </c>
      <c r="S1791" s="7" t="s">
        <v>136</v>
      </c>
      <c r="T1791" s="7" t="n">
        <v>0.42</v>
      </c>
      <c r="U1791" s="7" t="n">
        <v>1</v>
      </c>
      <c r="V1791" s="7" t="s">
        <v>1156</v>
      </c>
      <c r="W1791" s="7"/>
      <c r="X1791" s="7" t="s">
        <v>11675</v>
      </c>
      <c r="Y1791" s="7" t="s">
        <v>11674</v>
      </c>
      <c r="Z1791" s="7"/>
      <c r="AA1791" s="7"/>
      <c r="AB1791" s="7"/>
      <c r="AC1791" s="7" t="n">
        <v>4</v>
      </c>
      <c r="AD1791" s="7" t="s">
        <v>7611</v>
      </c>
      <c r="AE1791" s="7" t="s">
        <v>744</v>
      </c>
      <c r="AF1791" s="7" t="s">
        <v>11672</v>
      </c>
      <c r="AG1791" s="7" t="s">
        <v>744</v>
      </c>
      <c r="AH1791" s="7" t="s">
        <v>11675</v>
      </c>
      <c r="AI1791" s="7"/>
      <c r="AJ1791" s="7"/>
      <c r="AK1791" s="7"/>
      <c r="AL1791" s="7"/>
      <c r="AM1791" s="7"/>
      <c r="AN1791" s="7"/>
      <c r="AO1791" s="7" t="s">
        <v>744</v>
      </c>
      <c r="AP1791" s="7" t="s">
        <v>11673</v>
      </c>
      <c r="AQ1791" s="7"/>
      <c r="AR1791" s="7"/>
      <c r="AS1791" s="7"/>
      <c r="AT1791" s="7"/>
      <c r="AU1791" s="7"/>
      <c r="AV1791" s="7"/>
      <c r="AW1791" s="7" t="s">
        <v>744</v>
      </c>
      <c r="AX1791" s="7" t="s">
        <v>11674</v>
      </c>
      <c r="AY1791" s="7"/>
      <c r="AZ1791" s="7"/>
      <c r="BA1791" s="7"/>
      <c r="BB1791" s="7"/>
      <c r="BC1791" s="7"/>
      <c r="BD1791" s="7"/>
      <c r="BE1791" s="7" t="s">
        <v>127</v>
      </c>
      <c r="BF1791" s="8"/>
      <c r="BG1791" s="8"/>
      <c r="BH1791" s="8"/>
      <c r="BI1791" s="8"/>
      <c r="BJ1791" s="8"/>
      <c r="BK1791" s="8"/>
      <c r="BL1791" s="8"/>
      <c r="BM1791" s="8"/>
      <c r="BN1791" s="8"/>
      <c r="BO1791" s="8"/>
      <c r="BP1791" s="8"/>
      <c r="BQ1791" s="8"/>
      <c r="BR1791" s="8"/>
      <c r="BS1791" s="8"/>
    </row>
    <row r="1792" customFormat="false" ht="15" hidden="false" customHeight="false" outlineLevel="0" collapsed="false">
      <c r="A1792" s="7" t="s">
        <v>11676</v>
      </c>
      <c r="B1792" s="7" t="s">
        <v>11677</v>
      </c>
      <c r="C1792" s="7" t="s">
        <v>11678</v>
      </c>
      <c r="D1792" s="7" t="s">
        <v>2468</v>
      </c>
      <c r="E1792" s="7" t="s">
        <v>431</v>
      </c>
      <c r="F1792" s="7" t="s">
        <v>431</v>
      </c>
      <c r="G1792" s="7"/>
      <c r="H1792" s="7"/>
      <c r="I1792" s="7" t="s">
        <v>300</v>
      </c>
      <c r="J1792" s="7" t="s">
        <v>104</v>
      </c>
      <c r="K1792" s="7" t="s">
        <v>105</v>
      </c>
      <c r="L1792" s="7" t="s">
        <v>106</v>
      </c>
      <c r="M1792" s="7"/>
      <c r="N1792" s="7" t="s">
        <v>11679</v>
      </c>
      <c r="O1792" s="7"/>
      <c r="P1792" s="7" t="s">
        <v>109</v>
      </c>
      <c r="Q1792" s="7"/>
      <c r="R1792" s="7" t="s">
        <v>135</v>
      </c>
      <c r="S1792" s="7" t="s">
        <v>136</v>
      </c>
      <c r="T1792" s="7" t="n">
        <v>0.324</v>
      </c>
      <c r="U1792" s="7" t="n">
        <v>1</v>
      </c>
      <c r="V1792" s="7" t="s">
        <v>1156</v>
      </c>
      <c r="W1792" s="7"/>
      <c r="X1792" s="7" t="s">
        <v>1157</v>
      </c>
      <c r="Y1792" s="7" t="s">
        <v>11679</v>
      </c>
      <c r="Z1792" s="7"/>
      <c r="AA1792" s="7"/>
      <c r="AB1792" s="7"/>
      <c r="AC1792" s="7" t="n">
        <v>6</v>
      </c>
      <c r="AD1792" s="7" t="s">
        <v>1235</v>
      </c>
      <c r="AE1792" s="7" t="s">
        <v>744</v>
      </c>
      <c r="AF1792" s="7" t="s">
        <v>11678</v>
      </c>
      <c r="AG1792" s="7" t="s">
        <v>744</v>
      </c>
      <c r="AH1792" s="7" t="s">
        <v>1157</v>
      </c>
      <c r="AI1792" s="7"/>
      <c r="AJ1792" s="7"/>
      <c r="AK1792" s="7"/>
      <c r="AL1792" s="7"/>
      <c r="AM1792" s="7" t="s">
        <v>744</v>
      </c>
      <c r="AN1792" s="7" t="s">
        <v>11680</v>
      </c>
      <c r="AO1792" s="7" t="s">
        <v>744</v>
      </c>
      <c r="AP1792" s="7" t="s">
        <v>2468</v>
      </c>
      <c r="AQ1792" s="7" t="s">
        <v>744</v>
      </c>
      <c r="AR1792" s="7" t="s">
        <v>431</v>
      </c>
      <c r="AS1792" s="7"/>
      <c r="AT1792" s="7"/>
      <c r="AU1792" s="7"/>
      <c r="AV1792" s="7"/>
      <c r="AW1792" s="7" t="s">
        <v>744</v>
      </c>
      <c r="AX1792" s="7" t="s">
        <v>11679</v>
      </c>
      <c r="AY1792" s="7"/>
      <c r="AZ1792" s="7"/>
      <c r="BA1792" s="7"/>
      <c r="BB1792" s="7"/>
      <c r="BC1792" s="7"/>
      <c r="BD1792" s="7"/>
      <c r="BE1792" s="7" t="s">
        <v>127</v>
      </c>
      <c r="BF1792" s="8"/>
      <c r="BG1792" s="8"/>
      <c r="BH1792" s="8"/>
      <c r="BI1792" s="8"/>
      <c r="BJ1792" s="8"/>
      <c r="BK1792" s="8"/>
      <c r="BL1792" s="8"/>
      <c r="BM1792" s="8"/>
      <c r="BN1792" s="8"/>
      <c r="BO1792" s="8"/>
      <c r="BP1792" s="8"/>
      <c r="BQ1792" s="8"/>
      <c r="BR1792" s="8"/>
      <c r="BS1792" s="8"/>
    </row>
    <row r="1793" customFormat="false" ht="15" hidden="false" customHeight="false" outlineLevel="0" collapsed="false">
      <c r="A1793" s="7" t="s">
        <v>11681</v>
      </c>
      <c r="B1793" s="7" t="s">
        <v>11682</v>
      </c>
      <c r="C1793" s="7" t="s">
        <v>11683</v>
      </c>
      <c r="D1793" s="7" t="s">
        <v>11684</v>
      </c>
      <c r="E1793" s="7" t="s">
        <v>11685</v>
      </c>
      <c r="F1793" s="7" t="s">
        <v>101</v>
      </c>
      <c r="G1793" s="7"/>
      <c r="H1793" s="7"/>
      <c r="I1793" s="7" t="s">
        <v>132</v>
      </c>
      <c r="J1793" s="7" t="s">
        <v>104</v>
      </c>
      <c r="K1793" s="7" t="s">
        <v>105</v>
      </c>
      <c r="L1793" s="7" t="s">
        <v>106</v>
      </c>
      <c r="M1793" s="7"/>
      <c r="N1793" s="7" t="s">
        <v>11686</v>
      </c>
      <c r="O1793" s="7"/>
      <c r="P1793" s="7" t="s">
        <v>109</v>
      </c>
      <c r="Q1793" s="7"/>
      <c r="R1793" s="7" t="s">
        <v>135</v>
      </c>
      <c r="S1793" s="7" t="s">
        <v>136</v>
      </c>
      <c r="T1793" s="7" t="n">
        <v>0.313</v>
      </c>
      <c r="U1793" s="7" t="n">
        <v>1</v>
      </c>
      <c r="V1793" s="7" t="s">
        <v>1156</v>
      </c>
      <c r="W1793" s="7"/>
      <c r="X1793" s="7" t="s">
        <v>11687</v>
      </c>
      <c r="Y1793" s="7" t="s">
        <v>11686</v>
      </c>
      <c r="Z1793" s="7"/>
      <c r="AA1793" s="7"/>
      <c r="AB1793" s="7"/>
      <c r="AC1793" s="7" t="n">
        <v>6</v>
      </c>
      <c r="AD1793" s="7" t="s">
        <v>1235</v>
      </c>
      <c r="AE1793" s="7" t="s">
        <v>744</v>
      </c>
      <c r="AF1793" s="7" t="s">
        <v>11683</v>
      </c>
      <c r="AG1793" s="7" t="s">
        <v>744</v>
      </c>
      <c r="AH1793" s="7" t="s">
        <v>11687</v>
      </c>
      <c r="AI1793" s="7"/>
      <c r="AJ1793" s="7"/>
      <c r="AK1793" s="7"/>
      <c r="AL1793" s="7"/>
      <c r="AM1793" s="7" t="s">
        <v>744</v>
      </c>
      <c r="AN1793" s="7" t="s">
        <v>11688</v>
      </c>
      <c r="AO1793" s="7" t="s">
        <v>744</v>
      </c>
      <c r="AP1793" s="7" t="s">
        <v>11684</v>
      </c>
      <c r="AQ1793" s="7" t="s">
        <v>744</v>
      </c>
      <c r="AR1793" s="7" t="s">
        <v>11685</v>
      </c>
      <c r="AS1793" s="7"/>
      <c r="AT1793" s="7"/>
      <c r="AU1793" s="7"/>
      <c r="AV1793" s="7"/>
      <c r="AW1793" s="7" t="s">
        <v>744</v>
      </c>
      <c r="AX1793" s="7" t="s">
        <v>11686</v>
      </c>
      <c r="AY1793" s="7"/>
      <c r="AZ1793" s="7"/>
      <c r="BA1793" s="7"/>
      <c r="BB1793" s="7"/>
      <c r="BC1793" s="7"/>
      <c r="BD1793" s="7"/>
      <c r="BE1793" s="7" t="s">
        <v>127</v>
      </c>
      <c r="BF1793" s="8"/>
      <c r="BG1793" s="8"/>
      <c r="BH1793" s="8"/>
      <c r="BI1793" s="8"/>
      <c r="BJ1793" s="8"/>
      <c r="BK1793" s="8"/>
      <c r="BL1793" s="8"/>
      <c r="BM1793" s="8"/>
      <c r="BN1793" s="8"/>
      <c r="BO1793" s="8"/>
      <c r="BP1793" s="8"/>
      <c r="BQ1793" s="8"/>
      <c r="BR1793" s="8"/>
      <c r="BS1793" s="8"/>
    </row>
    <row r="1794" customFormat="false" ht="15" hidden="false" customHeight="false" outlineLevel="0" collapsed="false">
      <c r="A1794" s="7" t="s">
        <v>11689</v>
      </c>
      <c r="B1794" s="7" t="s">
        <v>11690</v>
      </c>
      <c r="C1794" s="7" t="s">
        <v>11691</v>
      </c>
      <c r="D1794" s="7" t="s">
        <v>11692</v>
      </c>
      <c r="E1794" s="7" t="s">
        <v>11693</v>
      </c>
      <c r="F1794" s="7" t="s">
        <v>101</v>
      </c>
      <c r="G1794" s="7"/>
      <c r="H1794" s="7"/>
      <c r="I1794" s="7" t="s">
        <v>103</v>
      </c>
      <c r="J1794" s="7" t="s">
        <v>104</v>
      </c>
      <c r="K1794" s="7" t="s">
        <v>105</v>
      </c>
      <c r="L1794" s="7" t="s">
        <v>106</v>
      </c>
      <c r="M1794" s="7"/>
      <c r="N1794" s="7" t="s">
        <v>11694</v>
      </c>
      <c r="O1794" s="7" t="s">
        <v>11694</v>
      </c>
      <c r="P1794" s="7" t="s">
        <v>109</v>
      </c>
      <c r="Q1794" s="7"/>
      <c r="R1794" s="7" t="s">
        <v>109</v>
      </c>
      <c r="S1794" s="7" t="s">
        <v>110</v>
      </c>
      <c r="T1794" s="7" t="n">
        <v>0.457</v>
      </c>
      <c r="U1794" s="7" t="n">
        <v>1</v>
      </c>
      <c r="V1794" s="7" t="s">
        <v>1156</v>
      </c>
      <c r="W1794" s="7"/>
      <c r="X1794" s="7" t="s">
        <v>11695</v>
      </c>
      <c r="Y1794" s="7" t="s">
        <v>11694</v>
      </c>
      <c r="Z1794" s="7"/>
      <c r="AA1794" s="7"/>
      <c r="AB1794" s="7"/>
      <c r="AC1794" s="7" t="n">
        <v>6</v>
      </c>
      <c r="AD1794" s="7" t="s">
        <v>1235</v>
      </c>
      <c r="AE1794" s="7" t="s">
        <v>744</v>
      </c>
      <c r="AF1794" s="7" t="s">
        <v>11691</v>
      </c>
      <c r="AG1794" s="7" t="s">
        <v>744</v>
      </c>
      <c r="AH1794" s="7" t="s">
        <v>11695</v>
      </c>
      <c r="AI1794" s="7"/>
      <c r="AJ1794" s="7"/>
      <c r="AK1794" s="7"/>
      <c r="AL1794" s="7"/>
      <c r="AM1794" s="7" t="s">
        <v>744</v>
      </c>
      <c r="AN1794" s="7" t="s">
        <v>11696</v>
      </c>
      <c r="AO1794" s="7" t="s">
        <v>744</v>
      </c>
      <c r="AP1794" s="7" t="s">
        <v>11692</v>
      </c>
      <c r="AQ1794" s="7" t="s">
        <v>744</v>
      </c>
      <c r="AR1794" s="7" t="s">
        <v>11693</v>
      </c>
      <c r="AS1794" s="7"/>
      <c r="AT1794" s="7"/>
      <c r="AU1794" s="7"/>
      <c r="AV1794" s="7"/>
      <c r="AW1794" s="7" t="s">
        <v>744</v>
      </c>
      <c r="AX1794" s="7" t="s">
        <v>11694</v>
      </c>
      <c r="AY1794" s="7"/>
      <c r="AZ1794" s="7"/>
      <c r="BA1794" s="7"/>
      <c r="BB1794" s="7"/>
      <c r="BC1794" s="7"/>
      <c r="BD1794" s="7"/>
      <c r="BE1794" s="7" t="s">
        <v>127</v>
      </c>
      <c r="BF1794" s="8"/>
      <c r="BG1794" s="8"/>
      <c r="BH1794" s="8"/>
      <c r="BI1794" s="8"/>
      <c r="BJ1794" s="8"/>
      <c r="BK1794" s="8"/>
      <c r="BL1794" s="8"/>
      <c r="BM1794" s="8"/>
      <c r="BN1794" s="8"/>
      <c r="BO1794" s="8"/>
      <c r="BP1794" s="8"/>
      <c r="BQ1794" s="8"/>
      <c r="BR1794" s="8"/>
      <c r="BS1794" s="8"/>
    </row>
    <row r="1795" customFormat="false" ht="15" hidden="false" customHeight="false" outlineLevel="0" collapsed="false">
      <c r="A1795" s="7" t="s">
        <v>11697</v>
      </c>
      <c r="B1795" s="7" t="s">
        <v>11698</v>
      </c>
      <c r="C1795" s="7" t="s">
        <v>11699</v>
      </c>
      <c r="D1795" s="7" t="s">
        <v>11652</v>
      </c>
      <c r="E1795" s="7" t="s">
        <v>11653</v>
      </c>
      <c r="F1795" s="7" t="s">
        <v>101</v>
      </c>
      <c r="G1795" s="7"/>
      <c r="H1795" s="7"/>
      <c r="I1795" s="7" t="s">
        <v>132</v>
      </c>
      <c r="J1795" s="7" t="s">
        <v>104</v>
      </c>
      <c r="K1795" s="7" t="s">
        <v>105</v>
      </c>
      <c r="L1795" s="7" t="s">
        <v>106</v>
      </c>
      <c r="M1795" s="7"/>
      <c r="N1795" s="7" t="s">
        <v>11700</v>
      </c>
      <c r="O1795" s="7"/>
      <c r="P1795" s="7" t="s">
        <v>109</v>
      </c>
      <c r="Q1795" s="7"/>
      <c r="R1795" s="7" t="s">
        <v>135</v>
      </c>
      <c r="S1795" s="7" t="s">
        <v>136</v>
      </c>
      <c r="T1795" s="7" t="n">
        <v>0.408</v>
      </c>
      <c r="U1795" s="7" t="n">
        <v>1</v>
      </c>
      <c r="V1795" s="7" t="s">
        <v>86</v>
      </c>
      <c r="W1795" s="7"/>
      <c r="X1795" s="7" t="s">
        <v>11701</v>
      </c>
      <c r="Y1795" s="7" t="s">
        <v>11700</v>
      </c>
      <c r="Z1795" s="7"/>
      <c r="AA1795" s="7"/>
      <c r="AB1795" s="7"/>
      <c r="AC1795" s="7" t="n">
        <v>6</v>
      </c>
      <c r="AD1795" s="7" t="s">
        <v>1235</v>
      </c>
      <c r="AE1795" s="7" t="s">
        <v>744</v>
      </c>
      <c r="AF1795" s="7" t="s">
        <v>11699</v>
      </c>
      <c r="AG1795" s="7" t="s">
        <v>744</v>
      </c>
      <c r="AH1795" s="7" t="s">
        <v>11701</v>
      </c>
      <c r="AI1795" s="7"/>
      <c r="AJ1795" s="7"/>
      <c r="AK1795" s="7"/>
      <c r="AL1795" s="7"/>
      <c r="AM1795" s="7" t="s">
        <v>744</v>
      </c>
      <c r="AN1795" s="7" t="s">
        <v>11702</v>
      </c>
      <c r="AO1795" s="7" t="s">
        <v>744</v>
      </c>
      <c r="AP1795" s="7" t="s">
        <v>11652</v>
      </c>
      <c r="AQ1795" s="7" t="s">
        <v>744</v>
      </c>
      <c r="AR1795" s="7" t="s">
        <v>11653</v>
      </c>
      <c r="AS1795" s="7"/>
      <c r="AT1795" s="7"/>
      <c r="AU1795" s="7"/>
      <c r="AV1795" s="7"/>
      <c r="AW1795" s="7" t="s">
        <v>744</v>
      </c>
      <c r="AX1795" s="7" t="s">
        <v>11700</v>
      </c>
      <c r="AY1795" s="7"/>
      <c r="AZ1795" s="7"/>
      <c r="BA1795" s="7"/>
      <c r="BB1795" s="7"/>
      <c r="BC1795" s="7"/>
      <c r="BD1795" s="7"/>
      <c r="BE1795" s="7" t="s">
        <v>127</v>
      </c>
      <c r="BF1795" s="8"/>
      <c r="BG1795" s="8"/>
      <c r="BH1795" s="8"/>
      <c r="BI1795" s="8"/>
      <c r="BJ1795" s="8"/>
      <c r="BK1795" s="8"/>
      <c r="BL1795" s="8"/>
      <c r="BM1795" s="8"/>
      <c r="BN1795" s="8"/>
      <c r="BO1795" s="8"/>
      <c r="BP1795" s="8"/>
      <c r="BQ1795" s="8"/>
      <c r="BR1795" s="8"/>
      <c r="BS1795" s="8"/>
    </row>
    <row r="1796" customFormat="false" ht="15" hidden="false" customHeight="false" outlineLevel="0" collapsed="false">
      <c r="A1796" s="7" t="s">
        <v>11703</v>
      </c>
      <c r="B1796" s="7" t="s">
        <v>11704</v>
      </c>
      <c r="C1796" s="7" t="s">
        <v>11705</v>
      </c>
      <c r="D1796" s="7" t="s">
        <v>11706</v>
      </c>
      <c r="E1796" s="7"/>
      <c r="F1796" s="7" t="s">
        <v>101</v>
      </c>
      <c r="G1796" s="7"/>
      <c r="H1796" s="7"/>
      <c r="I1796" s="7" t="s">
        <v>1726</v>
      </c>
      <c r="J1796" s="7" t="s">
        <v>104</v>
      </c>
      <c r="K1796" s="7" t="s">
        <v>105</v>
      </c>
      <c r="L1796" s="7" t="s">
        <v>106</v>
      </c>
      <c r="M1796" s="7"/>
      <c r="N1796" s="7" t="s">
        <v>11707</v>
      </c>
      <c r="O1796" s="7"/>
      <c r="P1796" s="7" t="s">
        <v>109</v>
      </c>
      <c r="Q1796" s="7"/>
      <c r="R1796" s="7" t="s">
        <v>135</v>
      </c>
      <c r="S1796" s="7" t="s">
        <v>136</v>
      </c>
      <c r="T1796" s="7" t="n">
        <v>0.401</v>
      </c>
      <c r="U1796" s="7" t="n">
        <v>1</v>
      </c>
      <c r="V1796" s="7" t="s">
        <v>86</v>
      </c>
      <c r="W1796" s="7"/>
      <c r="X1796" s="7" t="s">
        <v>11708</v>
      </c>
      <c r="Y1796" s="7" t="s">
        <v>11707</v>
      </c>
      <c r="Z1796" s="7"/>
      <c r="AA1796" s="7"/>
      <c r="AB1796" s="7"/>
      <c r="AC1796" s="7" t="n">
        <v>5</v>
      </c>
      <c r="AD1796" s="7" t="s">
        <v>1897</v>
      </c>
      <c r="AE1796" s="7" t="s">
        <v>744</v>
      </c>
      <c r="AF1796" s="7" t="s">
        <v>11705</v>
      </c>
      <c r="AG1796" s="7" t="s">
        <v>744</v>
      </c>
      <c r="AH1796" s="7" t="s">
        <v>11708</v>
      </c>
      <c r="AI1796" s="7"/>
      <c r="AJ1796" s="7"/>
      <c r="AK1796" s="7"/>
      <c r="AL1796" s="7"/>
      <c r="AM1796" s="7" t="s">
        <v>744</v>
      </c>
      <c r="AN1796" s="7" t="s">
        <v>11709</v>
      </c>
      <c r="AO1796" s="7" t="s">
        <v>744</v>
      </c>
      <c r="AP1796" s="7" t="s">
        <v>11706</v>
      </c>
      <c r="AQ1796" s="7"/>
      <c r="AR1796" s="7"/>
      <c r="AS1796" s="7"/>
      <c r="AT1796" s="7"/>
      <c r="AU1796" s="7"/>
      <c r="AV1796" s="7"/>
      <c r="AW1796" s="7" t="s">
        <v>744</v>
      </c>
      <c r="AX1796" s="7" t="s">
        <v>11707</v>
      </c>
      <c r="AY1796" s="7"/>
      <c r="AZ1796" s="7"/>
      <c r="BA1796" s="7"/>
      <c r="BB1796" s="7"/>
      <c r="BC1796" s="7"/>
      <c r="BD1796" s="7" t="s">
        <v>1218</v>
      </c>
      <c r="BE1796" s="7" t="s">
        <v>127</v>
      </c>
      <c r="BF1796" s="8"/>
      <c r="BG1796" s="8"/>
      <c r="BH1796" s="8"/>
      <c r="BI1796" s="8"/>
      <c r="BJ1796" s="8"/>
      <c r="BK1796" s="8"/>
      <c r="BL1796" s="8"/>
      <c r="BM1796" s="8"/>
      <c r="BN1796" s="8"/>
      <c r="BO1796" s="8"/>
      <c r="BP1796" s="8"/>
      <c r="BQ1796" s="8"/>
      <c r="BR1796" s="8"/>
      <c r="BS1796" s="8"/>
    </row>
    <row r="1797" customFormat="false" ht="15" hidden="false" customHeight="false" outlineLevel="0" collapsed="false">
      <c r="A1797" s="7" t="s">
        <v>11710</v>
      </c>
      <c r="B1797" s="7" t="s">
        <v>11711</v>
      </c>
      <c r="C1797" s="7" t="s">
        <v>11712</v>
      </c>
      <c r="D1797" s="7" t="s">
        <v>11713</v>
      </c>
      <c r="E1797" s="7" t="s">
        <v>1966</v>
      </c>
      <c r="F1797" s="7" t="s">
        <v>1966</v>
      </c>
      <c r="G1797" s="7" t="s">
        <v>3165</v>
      </c>
      <c r="H1797" s="7"/>
      <c r="I1797" s="7" t="s">
        <v>158</v>
      </c>
      <c r="J1797" s="7" t="s">
        <v>104</v>
      </c>
      <c r="K1797" s="7" t="s">
        <v>105</v>
      </c>
      <c r="L1797" s="7" t="s">
        <v>106</v>
      </c>
      <c r="M1797" s="7"/>
      <c r="N1797" s="7" t="s">
        <v>11714</v>
      </c>
      <c r="O1797" s="7" t="s">
        <v>11714</v>
      </c>
      <c r="P1797" s="7" t="s">
        <v>109</v>
      </c>
      <c r="Q1797" s="7"/>
      <c r="R1797" s="7" t="s">
        <v>109</v>
      </c>
      <c r="S1797" s="7" t="s">
        <v>110</v>
      </c>
      <c r="T1797" s="7" t="n">
        <v>0.517</v>
      </c>
      <c r="U1797" s="7" t="n">
        <v>1</v>
      </c>
      <c r="V1797" s="7" t="s">
        <v>86</v>
      </c>
      <c r="W1797" s="7"/>
      <c r="X1797" s="7" t="s">
        <v>11715</v>
      </c>
      <c r="Y1797" s="7" t="s">
        <v>11714</v>
      </c>
      <c r="Z1797" s="7"/>
      <c r="AA1797" s="7"/>
      <c r="AB1797" s="7"/>
      <c r="AC1797" s="7" t="n">
        <v>6</v>
      </c>
      <c r="AD1797" s="7" t="s">
        <v>1235</v>
      </c>
      <c r="AE1797" s="7" t="s">
        <v>744</v>
      </c>
      <c r="AF1797" s="7" t="s">
        <v>11712</v>
      </c>
      <c r="AG1797" s="7" t="s">
        <v>744</v>
      </c>
      <c r="AH1797" s="7" t="s">
        <v>11715</v>
      </c>
      <c r="AI1797" s="7"/>
      <c r="AJ1797" s="7"/>
      <c r="AK1797" s="7"/>
      <c r="AL1797" s="7"/>
      <c r="AM1797" s="7" t="s">
        <v>744</v>
      </c>
      <c r="AN1797" s="7" t="s">
        <v>11716</v>
      </c>
      <c r="AO1797" s="7" t="s">
        <v>744</v>
      </c>
      <c r="AP1797" s="7" t="s">
        <v>11713</v>
      </c>
      <c r="AQ1797" s="7" t="s">
        <v>744</v>
      </c>
      <c r="AR1797" s="7" t="s">
        <v>1966</v>
      </c>
      <c r="AS1797" s="7"/>
      <c r="AT1797" s="7"/>
      <c r="AU1797" s="7"/>
      <c r="AV1797" s="7"/>
      <c r="AW1797" s="7" t="s">
        <v>744</v>
      </c>
      <c r="AX1797" s="7" t="s">
        <v>11714</v>
      </c>
      <c r="AY1797" s="7"/>
      <c r="AZ1797" s="7"/>
      <c r="BA1797" s="7"/>
      <c r="BB1797" s="7"/>
      <c r="BC1797" s="7"/>
      <c r="BD1797" s="7"/>
      <c r="BE1797" s="7" t="s">
        <v>127</v>
      </c>
      <c r="BF1797" s="8"/>
      <c r="BG1797" s="8"/>
      <c r="BH1797" s="8"/>
      <c r="BI1797" s="8"/>
      <c r="BJ1797" s="8"/>
      <c r="BK1797" s="8"/>
      <c r="BL1797" s="8"/>
      <c r="BM1797" s="8"/>
      <c r="BN1797" s="8"/>
      <c r="BO1797" s="8"/>
      <c r="BP1797" s="8"/>
      <c r="BQ1797" s="8"/>
      <c r="BR1797" s="8"/>
      <c r="BS1797" s="8"/>
    </row>
    <row r="1798" customFormat="false" ht="15" hidden="false" customHeight="false" outlineLevel="0" collapsed="false">
      <c r="A1798" s="7" t="s">
        <v>11717</v>
      </c>
      <c r="B1798" s="7" t="s">
        <v>11718</v>
      </c>
      <c r="C1798" s="7" t="s">
        <v>11719</v>
      </c>
      <c r="D1798" s="7" t="s">
        <v>11720</v>
      </c>
      <c r="E1798" s="7" t="s">
        <v>737</v>
      </c>
      <c r="F1798" s="7" t="s">
        <v>737</v>
      </c>
      <c r="G1798" s="7"/>
      <c r="H1798" s="7"/>
      <c r="I1798" s="7" t="s">
        <v>132</v>
      </c>
      <c r="J1798" s="7" t="s">
        <v>104</v>
      </c>
      <c r="K1798" s="7" t="s">
        <v>105</v>
      </c>
      <c r="L1798" s="7" t="s">
        <v>106</v>
      </c>
      <c r="M1798" s="7"/>
      <c r="N1798" s="7" t="s">
        <v>11721</v>
      </c>
      <c r="O1798" s="7"/>
      <c r="P1798" s="7" t="s">
        <v>109</v>
      </c>
      <c r="Q1798" s="7"/>
      <c r="R1798" s="7" t="s">
        <v>135</v>
      </c>
      <c r="S1798" s="7" t="s">
        <v>136</v>
      </c>
      <c r="T1798" s="7" t="n">
        <v>0.437</v>
      </c>
      <c r="U1798" s="7" t="n">
        <v>1</v>
      </c>
      <c r="V1798" s="7" t="s">
        <v>86</v>
      </c>
      <c r="W1798" s="7"/>
      <c r="X1798" s="7" t="s">
        <v>1193</v>
      </c>
      <c r="Y1798" s="7" t="s">
        <v>11721</v>
      </c>
      <c r="Z1798" s="7"/>
      <c r="AA1798" s="7"/>
      <c r="AB1798" s="7"/>
      <c r="AC1798" s="7" t="n">
        <v>6</v>
      </c>
      <c r="AD1798" s="7" t="s">
        <v>1235</v>
      </c>
      <c r="AE1798" s="7" t="s">
        <v>744</v>
      </c>
      <c r="AF1798" s="7" t="s">
        <v>11719</v>
      </c>
      <c r="AG1798" s="7" t="s">
        <v>744</v>
      </c>
      <c r="AH1798" s="7" t="s">
        <v>1193</v>
      </c>
      <c r="AI1798" s="7"/>
      <c r="AJ1798" s="7"/>
      <c r="AK1798" s="7"/>
      <c r="AL1798" s="7"/>
      <c r="AM1798" s="7" t="s">
        <v>744</v>
      </c>
      <c r="AN1798" s="7" t="s">
        <v>11722</v>
      </c>
      <c r="AO1798" s="7" t="s">
        <v>744</v>
      </c>
      <c r="AP1798" s="7" t="s">
        <v>11720</v>
      </c>
      <c r="AQ1798" s="7" t="s">
        <v>744</v>
      </c>
      <c r="AR1798" s="7" t="s">
        <v>737</v>
      </c>
      <c r="AS1798" s="7"/>
      <c r="AT1798" s="7"/>
      <c r="AU1798" s="7"/>
      <c r="AV1798" s="7"/>
      <c r="AW1798" s="7" t="s">
        <v>744</v>
      </c>
      <c r="AX1798" s="7" t="s">
        <v>11721</v>
      </c>
      <c r="AY1798" s="7"/>
      <c r="AZ1798" s="7"/>
      <c r="BA1798" s="7"/>
      <c r="BB1798" s="7"/>
      <c r="BC1798" s="7"/>
      <c r="BD1798" s="7"/>
      <c r="BE1798" s="7" t="s">
        <v>127</v>
      </c>
      <c r="BF1798" s="8"/>
      <c r="BG1798" s="8"/>
      <c r="BH1798" s="8"/>
      <c r="BI1798" s="8"/>
      <c r="BJ1798" s="8"/>
      <c r="BK1798" s="8"/>
      <c r="BL1798" s="8"/>
      <c r="BM1798" s="8"/>
      <c r="BN1798" s="8"/>
      <c r="BO1798" s="8"/>
      <c r="BP1798" s="8"/>
      <c r="BQ1798" s="8"/>
      <c r="BR1798" s="8"/>
      <c r="BS1798" s="8"/>
    </row>
    <row r="1799" customFormat="false" ht="15" hidden="false" customHeight="false" outlineLevel="0" collapsed="false">
      <c r="A1799" s="7" t="s">
        <v>11723</v>
      </c>
      <c r="B1799" s="7" t="s">
        <v>11724</v>
      </c>
      <c r="C1799" s="7" t="s">
        <v>11725</v>
      </c>
      <c r="D1799" s="7" t="s">
        <v>11726</v>
      </c>
      <c r="E1799" s="7"/>
      <c r="F1799" s="7" t="s">
        <v>101</v>
      </c>
      <c r="G1799" s="7"/>
      <c r="H1799" s="7"/>
      <c r="I1799" s="7" t="s">
        <v>1104</v>
      </c>
      <c r="J1799" s="7" t="s">
        <v>104</v>
      </c>
      <c r="K1799" s="7" t="s">
        <v>105</v>
      </c>
      <c r="L1799" s="7" t="s">
        <v>106</v>
      </c>
      <c r="M1799" s="7"/>
      <c r="N1799" s="7" t="s">
        <v>11727</v>
      </c>
      <c r="O1799" s="7"/>
      <c r="P1799" s="7" t="s">
        <v>109</v>
      </c>
      <c r="Q1799" s="7"/>
      <c r="R1799" s="7" t="s">
        <v>135</v>
      </c>
      <c r="S1799" s="7" t="s">
        <v>136</v>
      </c>
      <c r="T1799" s="7" t="n">
        <v>0.759</v>
      </c>
      <c r="U1799" s="7" t="n">
        <v>1</v>
      </c>
      <c r="V1799" s="7" t="s">
        <v>86</v>
      </c>
      <c r="W1799" s="7"/>
      <c r="X1799" s="7" t="s">
        <v>11728</v>
      </c>
      <c r="Y1799" s="7" t="s">
        <v>11727</v>
      </c>
      <c r="Z1799" s="7"/>
      <c r="AA1799" s="7"/>
      <c r="AB1799" s="7"/>
      <c r="AC1799" s="7" t="n">
        <v>4</v>
      </c>
      <c r="AD1799" s="7" t="s">
        <v>7611</v>
      </c>
      <c r="AE1799" s="7" t="s">
        <v>744</v>
      </c>
      <c r="AF1799" s="7" t="s">
        <v>11725</v>
      </c>
      <c r="AG1799" s="7" t="s">
        <v>744</v>
      </c>
      <c r="AH1799" s="7" t="s">
        <v>11728</v>
      </c>
      <c r="AI1799" s="7"/>
      <c r="AJ1799" s="7"/>
      <c r="AK1799" s="7"/>
      <c r="AL1799" s="7"/>
      <c r="AM1799" s="7"/>
      <c r="AN1799" s="7"/>
      <c r="AO1799" s="7" t="s">
        <v>744</v>
      </c>
      <c r="AP1799" s="7" t="s">
        <v>11726</v>
      </c>
      <c r="AQ1799" s="7"/>
      <c r="AR1799" s="7"/>
      <c r="AS1799" s="7"/>
      <c r="AT1799" s="7"/>
      <c r="AU1799" s="7"/>
      <c r="AV1799" s="7"/>
      <c r="AW1799" s="7" t="s">
        <v>744</v>
      </c>
      <c r="AX1799" s="7" t="s">
        <v>11727</v>
      </c>
      <c r="AY1799" s="7"/>
      <c r="AZ1799" s="7"/>
      <c r="BA1799" s="7"/>
      <c r="BB1799" s="7"/>
      <c r="BC1799" s="7"/>
      <c r="BD1799" s="7"/>
      <c r="BE1799" s="7" t="s">
        <v>127</v>
      </c>
      <c r="BF1799" s="8"/>
      <c r="BG1799" s="8"/>
      <c r="BH1799" s="8"/>
      <c r="BI1799" s="8"/>
      <c r="BJ1799" s="8"/>
      <c r="BK1799" s="8"/>
      <c r="BL1799" s="8"/>
      <c r="BM1799" s="8"/>
      <c r="BN1799" s="8"/>
      <c r="BO1799" s="8"/>
      <c r="BP1799" s="8"/>
      <c r="BQ1799" s="8"/>
      <c r="BR1799" s="8"/>
      <c r="BS1799" s="8"/>
    </row>
    <row r="1800" customFormat="false" ht="15" hidden="false" customHeight="false" outlineLevel="0" collapsed="false">
      <c r="A1800" s="7" t="s">
        <v>11729</v>
      </c>
      <c r="B1800" s="7" t="s">
        <v>11730</v>
      </c>
      <c r="C1800" s="7" t="s">
        <v>11731</v>
      </c>
      <c r="D1800" s="7" t="s">
        <v>11732</v>
      </c>
      <c r="E1800" s="7" t="s">
        <v>11733</v>
      </c>
      <c r="F1800" s="7" t="s">
        <v>101</v>
      </c>
      <c r="G1800" s="7"/>
      <c r="H1800" s="7"/>
      <c r="I1800" s="7" t="s">
        <v>158</v>
      </c>
      <c r="J1800" s="7" t="s">
        <v>104</v>
      </c>
      <c r="K1800" s="7" t="s">
        <v>105</v>
      </c>
      <c r="L1800" s="7" t="s">
        <v>106</v>
      </c>
      <c r="M1800" s="7"/>
      <c r="N1800" s="7" t="s">
        <v>11734</v>
      </c>
      <c r="O1800" s="7"/>
      <c r="P1800" s="7" t="s">
        <v>109</v>
      </c>
      <c r="Q1800" s="7"/>
      <c r="R1800" s="7" t="s">
        <v>135</v>
      </c>
      <c r="S1800" s="7" t="s">
        <v>136</v>
      </c>
      <c r="T1800" s="7" t="n">
        <v>0.494</v>
      </c>
      <c r="U1800" s="7" t="n">
        <v>1</v>
      </c>
      <c r="V1800" s="7" t="s">
        <v>86</v>
      </c>
      <c r="W1800" s="7"/>
      <c r="X1800" s="7" t="s">
        <v>8246</v>
      </c>
      <c r="Y1800" s="7" t="s">
        <v>11734</v>
      </c>
      <c r="Z1800" s="7"/>
      <c r="AA1800" s="7"/>
      <c r="AB1800" s="7"/>
      <c r="AC1800" s="7" t="n">
        <v>6</v>
      </c>
      <c r="AD1800" s="7" t="s">
        <v>1235</v>
      </c>
      <c r="AE1800" s="7" t="s">
        <v>744</v>
      </c>
      <c r="AF1800" s="7" t="s">
        <v>11731</v>
      </c>
      <c r="AG1800" s="7" t="s">
        <v>744</v>
      </c>
      <c r="AH1800" s="7" t="s">
        <v>8246</v>
      </c>
      <c r="AI1800" s="7"/>
      <c r="AJ1800" s="7"/>
      <c r="AK1800" s="7"/>
      <c r="AL1800" s="7"/>
      <c r="AM1800" s="7" t="s">
        <v>744</v>
      </c>
      <c r="AN1800" s="7" t="s">
        <v>11735</v>
      </c>
      <c r="AO1800" s="7" t="s">
        <v>744</v>
      </c>
      <c r="AP1800" s="7" t="s">
        <v>11732</v>
      </c>
      <c r="AQ1800" s="7" t="s">
        <v>744</v>
      </c>
      <c r="AR1800" s="7" t="s">
        <v>11733</v>
      </c>
      <c r="AS1800" s="7"/>
      <c r="AT1800" s="7"/>
      <c r="AU1800" s="7"/>
      <c r="AV1800" s="7"/>
      <c r="AW1800" s="7" t="s">
        <v>744</v>
      </c>
      <c r="AX1800" s="7" t="s">
        <v>11734</v>
      </c>
      <c r="AY1800" s="7"/>
      <c r="AZ1800" s="7"/>
      <c r="BA1800" s="7"/>
      <c r="BB1800" s="7"/>
      <c r="BC1800" s="7"/>
      <c r="BD1800" s="7"/>
      <c r="BE1800" s="7" t="s">
        <v>127</v>
      </c>
      <c r="BF1800" s="8"/>
      <c r="BG1800" s="8"/>
      <c r="BH1800" s="8"/>
      <c r="BI1800" s="8"/>
      <c r="BJ1800" s="8"/>
      <c r="BK1800" s="8"/>
      <c r="BL1800" s="8"/>
      <c r="BM1800" s="8"/>
      <c r="BN1800" s="8"/>
      <c r="BO1800" s="8"/>
      <c r="BP1800" s="8"/>
      <c r="BQ1800" s="8"/>
      <c r="BR1800" s="8"/>
      <c r="BS1800" s="8"/>
    </row>
    <row r="1801" customFormat="false" ht="15" hidden="false" customHeight="false" outlineLevel="0" collapsed="false">
      <c r="A1801" s="7" t="s">
        <v>11736</v>
      </c>
      <c r="B1801" s="7" t="s">
        <v>11737</v>
      </c>
      <c r="C1801" s="7" t="s">
        <v>11738</v>
      </c>
      <c r="D1801" s="7" t="s">
        <v>11739</v>
      </c>
      <c r="E1801" s="7" t="s">
        <v>516</v>
      </c>
      <c r="F1801" s="7" t="s">
        <v>516</v>
      </c>
      <c r="G1801" s="7"/>
      <c r="H1801" s="7"/>
      <c r="I1801" s="7" t="s">
        <v>132</v>
      </c>
      <c r="J1801" s="7" t="s">
        <v>104</v>
      </c>
      <c r="K1801" s="7" t="s">
        <v>105</v>
      </c>
      <c r="L1801" s="7" t="s">
        <v>106</v>
      </c>
      <c r="M1801" s="7"/>
      <c r="N1801" s="7" t="s">
        <v>11740</v>
      </c>
      <c r="O1801" s="7"/>
      <c r="P1801" s="7" t="s">
        <v>109</v>
      </c>
      <c r="Q1801" s="7"/>
      <c r="R1801" s="7" t="s">
        <v>135</v>
      </c>
      <c r="S1801" s="7" t="s">
        <v>136</v>
      </c>
      <c r="T1801" s="7" t="n">
        <v>0.387</v>
      </c>
      <c r="U1801" s="7" t="n">
        <v>1</v>
      </c>
      <c r="V1801" s="7" t="s">
        <v>86</v>
      </c>
      <c r="W1801" s="7"/>
      <c r="X1801" s="7" t="s">
        <v>11741</v>
      </c>
      <c r="Y1801" s="7" t="s">
        <v>11740</v>
      </c>
      <c r="Z1801" s="7"/>
      <c r="AA1801" s="7"/>
      <c r="AB1801" s="7"/>
      <c r="AC1801" s="7" t="n">
        <v>6</v>
      </c>
      <c r="AD1801" s="7" t="s">
        <v>1235</v>
      </c>
      <c r="AE1801" s="7" t="s">
        <v>744</v>
      </c>
      <c r="AF1801" s="7" t="s">
        <v>11738</v>
      </c>
      <c r="AG1801" s="7" t="s">
        <v>744</v>
      </c>
      <c r="AH1801" s="7" t="s">
        <v>11741</v>
      </c>
      <c r="AI1801" s="7"/>
      <c r="AJ1801" s="7"/>
      <c r="AK1801" s="7"/>
      <c r="AL1801" s="7"/>
      <c r="AM1801" s="7" t="s">
        <v>744</v>
      </c>
      <c r="AN1801" s="7" t="s">
        <v>11742</v>
      </c>
      <c r="AO1801" s="7" t="s">
        <v>744</v>
      </c>
      <c r="AP1801" s="7" t="s">
        <v>11739</v>
      </c>
      <c r="AQ1801" s="7" t="s">
        <v>744</v>
      </c>
      <c r="AR1801" s="7" t="s">
        <v>516</v>
      </c>
      <c r="AS1801" s="7"/>
      <c r="AT1801" s="7"/>
      <c r="AU1801" s="7"/>
      <c r="AV1801" s="7"/>
      <c r="AW1801" s="7" t="s">
        <v>744</v>
      </c>
      <c r="AX1801" s="7" t="s">
        <v>11740</v>
      </c>
      <c r="AY1801" s="7"/>
      <c r="AZ1801" s="7"/>
      <c r="BA1801" s="7"/>
      <c r="BB1801" s="7"/>
      <c r="BC1801" s="7"/>
      <c r="BD1801" s="7"/>
      <c r="BE1801" s="7" t="s">
        <v>127</v>
      </c>
      <c r="BF1801" s="8"/>
      <c r="BG1801" s="8"/>
      <c r="BH1801" s="8"/>
      <c r="BI1801" s="8"/>
      <c r="BJ1801" s="8"/>
      <c r="BK1801" s="8"/>
      <c r="BL1801" s="8"/>
      <c r="BM1801" s="8"/>
      <c r="BN1801" s="8"/>
      <c r="BO1801" s="8"/>
      <c r="BP1801" s="8"/>
      <c r="BQ1801" s="8"/>
      <c r="BR1801" s="8"/>
      <c r="BS1801" s="8"/>
    </row>
    <row r="1802" customFormat="false" ht="15" hidden="false" customHeight="false" outlineLevel="0" collapsed="false">
      <c r="A1802" s="7" t="s">
        <v>11743</v>
      </c>
      <c r="B1802" s="7" t="s">
        <v>11744</v>
      </c>
      <c r="C1802" s="7" t="s">
        <v>11745</v>
      </c>
      <c r="D1802" s="7" t="s">
        <v>11746</v>
      </c>
      <c r="E1802" s="7"/>
      <c r="F1802" s="7" t="s">
        <v>101</v>
      </c>
      <c r="G1802" s="7"/>
      <c r="H1802" s="7"/>
      <c r="I1802" s="7" t="s">
        <v>132</v>
      </c>
      <c r="J1802" s="7" t="s">
        <v>104</v>
      </c>
      <c r="K1802" s="7" t="s">
        <v>105</v>
      </c>
      <c r="L1802" s="7" t="s">
        <v>106</v>
      </c>
      <c r="M1802" s="7"/>
      <c r="N1802" s="7" t="s">
        <v>11747</v>
      </c>
      <c r="O1802" s="7"/>
      <c r="P1802" s="7" t="s">
        <v>109</v>
      </c>
      <c r="Q1802" s="7"/>
      <c r="R1802" s="7" t="s">
        <v>135</v>
      </c>
      <c r="S1802" s="7" t="s">
        <v>136</v>
      </c>
      <c r="T1802" s="7" t="n">
        <v>0.38</v>
      </c>
      <c r="U1802" s="7" t="n">
        <v>1</v>
      </c>
      <c r="V1802" s="7" t="s">
        <v>86</v>
      </c>
      <c r="W1802" s="7"/>
      <c r="X1802" s="7" t="s">
        <v>11748</v>
      </c>
      <c r="Y1802" s="7" t="s">
        <v>11747</v>
      </c>
      <c r="Z1802" s="7"/>
      <c r="AA1802" s="7"/>
      <c r="AB1802" s="7"/>
      <c r="AC1802" s="7" t="n">
        <v>5</v>
      </c>
      <c r="AD1802" s="7" t="s">
        <v>1897</v>
      </c>
      <c r="AE1802" s="7" t="s">
        <v>744</v>
      </c>
      <c r="AF1802" s="7" t="s">
        <v>11745</v>
      </c>
      <c r="AG1802" s="7" t="s">
        <v>744</v>
      </c>
      <c r="AH1802" s="7" t="s">
        <v>11748</v>
      </c>
      <c r="AI1802" s="7"/>
      <c r="AJ1802" s="7"/>
      <c r="AK1802" s="7"/>
      <c r="AL1802" s="7"/>
      <c r="AM1802" s="7" t="s">
        <v>744</v>
      </c>
      <c r="AN1802" s="7" t="s">
        <v>11749</v>
      </c>
      <c r="AO1802" s="7" t="s">
        <v>744</v>
      </c>
      <c r="AP1802" s="7" t="s">
        <v>11746</v>
      </c>
      <c r="AQ1802" s="7"/>
      <c r="AR1802" s="7"/>
      <c r="AS1802" s="7"/>
      <c r="AT1802" s="7"/>
      <c r="AU1802" s="7"/>
      <c r="AV1802" s="7"/>
      <c r="AW1802" s="7" t="s">
        <v>744</v>
      </c>
      <c r="AX1802" s="7" t="s">
        <v>11747</v>
      </c>
      <c r="AY1802" s="7"/>
      <c r="AZ1802" s="7"/>
      <c r="BA1802" s="7"/>
      <c r="BB1802" s="7"/>
      <c r="BC1802" s="7"/>
      <c r="BD1802" s="7"/>
      <c r="BE1802" s="7" t="s">
        <v>127</v>
      </c>
      <c r="BF1802" s="8"/>
      <c r="BG1802" s="8"/>
      <c r="BH1802" s="8"/>
      <c r="BI1802" s="8"/>
      <c r="BJ1802" s="8"/>
      <c r="BK1802" s="8"/>
      <c r="BL1802" s="8"/>
      <c r="BM1802" s="8"/>
      <c r="BN1802" s="8"/>
      <c r="BO1802" s="8"/>
      <c r="BP1802" s="8"/>
      <c r="BQ1802" s="8"/>
      <c r="BR1802" s="8"/>
      <c r="BS1802" s="8"/>
    </row>
    <row r="1803" customFormat="false" ht="15" hidden="false" customHeight="false" outlineLevel="0" collapsed="false">
      <c r="A1803" s="7" t="s">
        <v>11750</v>
      </c>
      <c r="B1803" s="7" t="s">
        <v>11751</v>
      </c>
      <c r="C1803" s="7" t="s">
        <v>11752</v>
      </c>
      <c r="D1803" s="7" t="s">
        <v>11753</v>
      </c>
      <c r="E1803" s="7"/>
      <c r="F1803" s="7" t="s">
        <v>101</v>
      </c>
      <c r="G1803" s="7"/>
      <c r="H1803" s="7"/>
      <c r="I1803" s="7" t="s">
        <v>300</v>
      </c>
      <c r="J1803" s="7" t="s">
        <v>104</v>
      </c>
      <c r="K1803" s="7" t="s">
        <v>105</v>
      </c>
      <c r="L1803" s="7" t="s">
        <v>106</v>
      </c>
      <c r="M1803" s="7"/>
      <c r="N1803" s="7" t="s">
        <v>11754</v>
      </c>
      <c r="O1803" s="7" t="s">
        <v>11754</v>
      </c>
      <c r="P1803" s="7" t="s">
        <v>109</v>
      </c>
      <c r="Q1803" s="7"/>
      <c r="R1803" s="7" t="s">
        <v>109</v>
      </c>
      <c r="S1803" s="7" t="s">
        <v>110</v>
      </c>
      <c r="T1803" s="7" t="n">
        <v>0.534</v>
      </c>
      <c r="U1803" s="7" t="n">
        <v>1</v>
      </c>
      <c r="V1803" s="7" t="s">
        <v>86</v>
      </c>
      <c r="W1803" s="7"/>
      <c r="X1803" s="7" t="s">
        <v>10366</v>
      </c>
      <c r="Y1803" s="7" t="s">
        <v>11754</v>
      </c>
      <c r="Z1803" s="7"/>
      <c r="AA1803" s="7"/>
      <c r="AB1803" s="7"/>
      <c r="AC1803" s="7" t="n">
        <v>5</v>
      </c>
      <c r="AD1803" s="7" t="s">
        <v>1897</v>
      </c>
      <c r="AE1803" s="7" t="s">
        <v>744</v>
      </c>
      <c r="AF1803" s="7" t="s">
        <v>11752</v>
      </c>
      <c r="AG1803" s="7" t="s">
        <v>744</v>
      </c>
      <c r="AH1803" s="7" t="s">
        <v>10366</v>
      </c>
      <c r="AI1803" s="7"/>
      <c r="AJ1803" s="7"/>
      <c r="AK1803" s="7"/>
      <c r="AL1803" s="7"/>
      <c r="AM1803" s="7" t="s">
        <v>744</v>
      </c>
      <c r="AN1803" s="7" t="s">
        <v>11755</v>
      </c>
      <c r="AO1803" s="7" t="s">
        <v>744</v>
      </c>
      <c r="AP1803" s="7" t="s">
        <v>11753</v>
      </c>
      <c r="AQ1803" s="7"/>
      <c r="AR1803" s="7"/>
      <c r="AS1803" s="7"/>
      <c r="AT1803" s="7"/>
      <c r="AU1803" s="7"/>
      <c r="AV1803" s="7"/>
      <c r="AW1803" s="7" t="s">
        <v>744</v>
      </c>
      <c r="AX1803" s="7" t="s">
        <v>11754</v>
      </c>
      <c r="AY1803" s="7"/>
      <c r="AZ1803" s="7"/>
      <c r="BA1803" s="7"/>
      <c r="BB1803" s="7"/>
      <c r="BC1803" s="7"/>
      <c r="BD1803" s="7"/>
      <c r="BE1803" s="7" t="s">
        <v>127</v>
      </c>
      <c r="BF1803" s="8"/>
      <c r="BG1803" s="8"/>
      <c r="BH1803" s="8"/>
      <c r="BI1803" s="8"/>
      <c r="BJ1803" s="8"/>
      <c r="BK1803" s="8"/>
      <c r="BL1803" s="8"/>
      <c r="BM1803" s="8"/>
      <c r="BN1803" s="8"/>
      <c r="BO1803" s="8"/>
      <c r="BP1803" s="8"/>
      <c r="BQ1803" s="8"/>
      <c r="BR1803" s="8"/>
      <c r="BS1803" s="8"/>
    </row>
    <row r="1804" customFormat="false" ht="15" hidden="false" customHeight="false" outlineLevel="0" collapsed="false">
      <c r="A1804" s="7" t="s">
        <v>11756</v>
      </c>
      <c r="B1804" s="7" t="s">
        <v>11757</v>
      </c>
      <c r="C1804" s="7" t="s">
        <v>11758</v>
      </c>
      <c r="D1804" s="7" t="s">
        <v>11759</v>
      </c>
      <c r="E1804" s="7" t="s">
        <v>11760</v>
      </c>
      <c r="F1804" s="7" t="s">
        <v>101</v>
      </c>
      <c r="G1804" s="7"/>
      <c r="H1804" s="7"/>
      <c r="I1804" s="7" t="s">
        <v>132</v>
      </c>
      <c r="J1804" s="7" t="s">
        <v>104</v>
      </c>
      <c r="K1804" s="7" t="s">
        <v>105</v>
      </c>
      <c r="L1804" s="7" t="s">
        <v>106</v>
      </c>
      <c r="M1804" s="7"/>
      <c r="N1804" s="7" t="s">
        <v>11761</v>
      </c>
      <c r="O1804" s="7"/>
      <c r="P1804" s="7" t="s">
        <v>109</v>
      </c>
      <c r="Q1804" s="7"/>
      <c r="R1804" s="7" t="s">
        <v>135</v>
      </c>
      <c r="S1804" s="7" t="s">
        <v>136</v>
      </c>
      <c r="T1804" s="7" t="n">
        <v>0.59</v>
      </c>
      <c r="U1804" s="7" t="n">
        <v>1</v>
      </c>
      <c r="V1804" s="7" t="s">
        <v>86</v>
      </c>
      <c r="W1804" s="7"/>
      <c r="X1804" s="7" t="s">
        <v>11762</v>
      </c>
      <c r="Y1804" s="7" t="s">
        <v>11761</v>
      </c>
      <c r="Z1804" s="7"/>
      <c r="AA1804" s="7"/>
      <c r="AB1804" s="7"/>
      <c r="AC1804" s="7" t="n">
        <v>5</v>
      </c>
      <c r="AD1804" s="7" t="s">
        <v>743</v>
      </c>
      <c r="AE1804" s="7" t="s">
        <v>744</v>
      </c>
      <c r="AF1804" s="7" t="s">
        <v>11758</v>
      </c>
      <c r="AG1804" s="7" t="s">
        <v>744</v>
      </c>
      <c r="AH1804" s="7" t="s">
        <v>11762</v>
      </c>
      <c r="AI1804" s="7"/>
      <c r="AJ1804" s="7"/>
      <c r="AK1804" s="7"/>
      <c r="AL1804" s="7"/>
      <c r="AM1804" s="7"/>
      <c r="AN1804" s="7"/>
      <c r="AO1804" s="7" t="s">
        <v>744</v>
      </c>
      <c r="AP1804" s="7" t="s">
        <v>11759</v>
      </c>
      <c r="AQ1804" s="7" t="s">
        <v>744</v>
      </c>
      <c r="AR1804" s="7" t="s">
        <v>11760</v>
      </c>
      <c r="AS1804" s="7"/>
      <c r="AT1804" s="7"/>
      <c r="AU1804" s="7"/>
      <c r="AV1804" s="7"/>
      <c r="AW1804" s="7" t="s">
        <v>744</v>
      </c>
      <c r="AX1804" s="7" t="s">
        <v>11761</v>
      </c>
      <c r="AY1804" s="7"/>
      <c r="AZ1804" s="7"/>
      <c r="BA1804" s="7"/>
      <c r="BB1804" s="7"/>
      <c r="BC1804" s="7"/>
      <c r="BD1804" s="7"/>
      <c r="BE1804" s="7" t="s">
        <v>127</v>
      </c>
      <c r="BF1804" s="8"/>
      <c r="BG1804" s="8"/>
      <c r="BH1804" s="8"/>
      <c r="BI1804" s="8"/>
      <c r="BJ1804" s="8"/>
      <c r="BK1804" s="8"/>
      <c r="BL1804" s="8"/>
      <c r="BM1804" s="8"/>
      <c r="BN1804" s="8"/>
      <c r="BO1804" s="8"/>
      <c r="BP1804" s="8"/>
      <c r="BQ1804" s="8"/>
      <c r="BR1804" s="8"/>
      <c r="BS1804" s="8"/>
    </row>
    <row r="1805" customFormat="false" ht="15" hidden="false" customHeight="false" outlineLevel="0" collapsed="false">
      <c r="A1805" s="7" t="s">
        <v>11763</v>
      </c>
      <c r="B1805" s="7" t="s">
        <v>11764</v>
      </c>
      <c r="C1805" s="7" t="s">
        <v>11765</v>
      </c>
      <c r="D1805" s="7" t="s">
        <v>11766</v>
      </c>
      <c r="E1805" s="7" t="s">
        <v>11767</v>
      </c>
      <c r="F1805" s="7" t="s">
        <v>101</v>
      </c>
      <c r="G1805" s="7"/>
      <c r="H1805" s="7"/>
      <c r="I1805" s="7" t="s">
        <v>374</v>
      </c>
      <c r="J1805" s="7" t="s">
        <v>104</v>
      </c>
      <c r="K1805" s="7" t="s">
        <v>105</v>
      </c>
      <c r="L1805" s="7" t="s">
        <v>106</v>
      </c>
      <c r="M1805" s="7"/>
      <c r="N1805" s="7" t="s">
        <v>11768</v>
      </c>
      <c r="O1805" s="7"/>
      <c r="P1805" s="7" t="s">
        <v>109</v>
      </c>
      <c r="Q1805" s="7"/>
      <c r="R1805" s="7" t="s">
        <v>135</v>
      </c>
      <c r="S1805" s="7" t="s">
        <v>136</v>
      </c>
      <c r="T1805" s="7" t="n">
        <v>0.604</v>
      </c>
      <c r="U1805" s="7" t="n">
        <v>1</v>
      </c>
      <c r="V1805" s="7" t="s">
        <v>86</v>
      </c>
      <c r="W1805" s="7"/>
      <c r="X1805" s="7" t="s">
        <v>9524</v>
      </c>
      <c r="Y1805" s="7" t="s">
        <v>11768</v>
      </c>
      <c r="Z1805" s="7"/>
      <c r="AA1805" s="7"/>
      <c r="AB1805" s="7"/>
      <c r="AC1805" s="7" t="n">
        <v>6</v>
      </c>
      <c r="AD1805" s="7" t="s">
        <v>1235</v>
      </c>
      <c r="AE1805" s="7" t="s">
        <v>744</v>
      </c>
      <c r="AF1805" s="7" t="s">
        <v>11765</v>
      </c>
      <c r="AG1805" s="7" t="s">
        <v>744</v>
      </c>
      <c r="AH1805" s="7" t="s">
        <v>9524</v>
      </c>
      <c r="AI1805" s="7"/>
      <c r="AJ1805" s="7"/>
      <c r="AK1805" s="7"/>
      <c r="AL1805" s="7"/>
      <c r="AM1805" s="7" t="s">
        <v>744</v>
      </c>
      <c r="AN1805" s="7" t="s">
        <v>11769</v>
      </c>
      <c r="AO1805" s="7" t="s">
        <v>744</v>
      </c>
      <c r="AP1805" s="7" t="s">
        <v>11766</v>
      </c>
      <c r="AQ1805" s="7" t="s">
        <v>744</v>
      </c>
      <c r="AR1805" s="7" t="s">
        <v>11767</v>
      </c>
      <c r="AS1805" s="7"/>
      <c r="AT1805" s="7"/>
      <c r="AU1805" s="7"/>
      <c r="AV1805" s="7"/>
      <c r="AW1805" s="7" t="s">
        <v>744</v>
      </c>
      <c r="AX1805" s="7" t="s">
        <v>11768</v>
      </c>
      <c r="AY1805" s="7"/>
      <c r="AZ1805" s="7"/>
      <c r="BA1805" s="7"/>
      <c r="BB1805" s="7"/>
      <c r="BC1805" s="7"/>
      <c r="BD1805" s="7"/>
      <c r="BE1805" s="7" t="s">
        <v>127</v>
      </c>
      <c r="BF1805" s="8"/>
      <c r="BG1805" s="8"/>
      <c r="BH1805" s="8"/>
      <c r="BI1805" s="8"/>
      <c r="BJ1805" s="8"/>
      <c r="BK1805" s="8"/>
      <c r="BL1805" s="8"/>
      <c r="BM1805" s="8"/>
      <c r="BN1805" s="8"/>
      <c r="BO1805" s="8"/>
      <c r="BP1805" s="8"/>
      <c r="BQ1805" s="8"/>
      <c r="BR1805" s="8"/>
      <c r="BS1805" s="8"/>
    </row>
    <row r="1806" customFormat="false" ht="15" hidden="false" customHeight="false" outlineLevel="0" collapsed="false">
      <c r="A1806" s="7" t="s">
        <v>11770</v>
      </c>
      <c r="B1806" s="7" t="s">
        <v>11771</v>
      </c>
      <c r="C1806" s="7" t="s">
        <v>11772</v>
      </c>
      <c r="D1806" s="7" t="s">
        <v>3345</v>
      </c>
      <c r="E1806" s="7" t="s">
        <v>8996</v>
      </c>
      <c r="F1806" s="7" t="s">
        <v>101</v>
      </c>
      <c r="G1806" s="7"/>
      <c r="H1806" s="7"/>
      <c r="I1806" s="7" t="s">
        <v>158</v>
      </c>
      <c r="J1806" s="7" t="s">
        <v>104</v>
      </c>
      <c r="K1806" s="7" t="s">
        <v>105</v>
      </c>
      <c r="L1806" s="7" t="s">
        <v>106</v>
      </c>
      <c r="M1806" s="7"/>
      <c r="N1806" s="7" t="s">
        <v>11773</v>
      </c>
      <c r="O1806" s="7" t="s">
        <v>11773</v>
      </c>
      <c r="P1806" s="7" t="s">
        <v>109</v>
      </c>
      <c r="Q1806" s="7"/>
      <c r="R1806" s="7" t="s">
        <v>109</v>
      </c>
      <c r="S1806" s="7" t="s">
        <v>110</v>
      </c>
      <c r="T1806" s="7" t="n">
        <v>0.486</v>
      </c>
      <c r="U1806" s="7" t="n">
        <v>1</v>
      </c>
      <c r="V1806" s="7" t="s">
        <v>86</v>
      </c>
      <c r="W1806" s="7"/>
      <c r="X1806" s="7" t="s">
        <v>11774</v>
      </c>
      <c r="Y1806" s="7" t="s">
        <v>11773</v>
      </c>
      <c r="Z1806" s="7"/>
      <c r="AA1806" s="7"/>
      <c r="AB1806" s="7"/>
      <c r="AC1806" s="7" t="n">
        <v>6</v>
      </c>
      <c r="AD1806" s="7" t="s">
        <v>1235</v>
      </c>
      <c r="AE1806" s="7" t="s">
        <v>744</v>
      </c>
      <c r="AF1806" s="7" t="s">
        <v>11772</v>
      </c>
      <c r="AG1806" s="7" t="s">
        <v>744</v>
      </c>
      <c r="AH1806" s="7" t="s">
        <v>11774</v>
      </c>
      <c r="AI1806" s="7"/>
      <c r="AJ1806" s="7"/>
      <c r="AK1806" s="7"/>
      <c r="AL1806" s="7"/>
      <c r="AM1806" s="7" t="s">
        <v>744</v>
      </c>
      <c r="AN1806" s="7" t="s">
        <v>11775</v>
      </c>
      <c r="AO1806" s="7" t="s">
        <v>744</v>
      </c>
      <c r="AP1806" s="7" t="s">
        <v>3345</v>
      </c>
      <c r="AQ1806" s="7" t="s">
        <v>744</v>
      </c>
      <c r="AR1806" s="7" t="s">
        <v>8996</v>
      </c>
      <c r="AS1806" s="7"/>
      <c r="AT1806" s="7"/>
      <c r="AU1806" s="7"/>
      <c r="AV1806" s="7"/>
      <c r="AW1806" s="7" t="s">
        <v>744</v>
      </c>
      <c r="AX1806" s="7" t="s">
        <v>11773</v>
      </c>
      <c r="AY1806" s="7"/>
      <c r="AZ1806" s="7"/>
      <c r="BA1806" s="7"/>
      <c r="BB1806" s="7"/>
      <c r="BC1806" s="7"/>
      <c r="BD1806" s="7"/>
      <c r="BE1806" s="7" t="s">
        <v>127</v>
      </c>
      <c r="BF1806" s="8"/>
      <c r="BG1806" s="8"/>
      <c r="BH1806" s="8"/>
      <c r="BI1806" s="8"/>
      <c r="BJ1806" s="8"/>
      <c r="BK1806" s="8"/>
      <c r="BL1806" s="8"/>
      <c r="BM1806" s="8"/>
      <c r="BN1806" s="8"/>
      <c r="BO1806" s="8"/>
      <c r="BP1806" s="8"/>
      <c r="BQ1806" s="8"/>
      <c r="BR1806" s="8"/>
      <c r="BS1806" s="8"/>
    </row>
    <row r="1807" customFormat="false" ht="15" hidden="false" customHeight="false" outlineLevel="0" collapsed="false">
      <c r="A1807" s="7" t="s">
        <v>11776</v>
      </c>
      <c r="B1807" s="7" t="s">
        <v>11777</v>
      </c>
      <c r="C1807" s="7" t="s">
        <v>11778</v>
      </c>
      <c r="D1807" s="7" t="s">
        <v>11779</v>
      </c>
      <c r="E1807" s="7"/>
      <c r="F1807" s="7" t="s">
        <v>101</v>
      </c>
      <c r="G1807" s="7"/>
      <c r="H1807" s="7"/>
      <c r="I1807" s="7" t="s">
        <v>132</v>
      </c>
      <c r="J1807" s="7" t="s">
        <v>104</v>
      </c>
      <c r="K1807" s="7" t="s">
        <v>105</v>
      </c>
      <c r="L1807" s="7" t="s">
        <v>106</v>
      </c>
      <c r="M1807" s="7"/>
      <c r="N1807" s="7" t="s">
        <v>11780</v>
      </c>
      <c r="O1807" s="7"/>
      <c r="P1807" s="7" t="s">
        <v>109</v>
      </c>
      <c r="Q1807" s="7"/>
      <c r="R1807" s="7" t="s">
        <v>135</v>
      </c>
      <c r="S1807" s="7" t="s">
        <v>136</v>
      </c>
      <c r="T1807" s="7" t="n">
        <v>0.257</v>
      </c>
      <c r="U1807" s="7" t="n">
        <v>1</v>
      </c>
      <c r="V1807" s="7" t="s">
        <v>86</v>
      </c>
      <c r="W1807" s="7"/>
      <c r="X1807" s="7" t="s">
        <v>11781</v>
      </c>
      <c r="Y1807" s="7" t="s">
        <v>11780</v>
      </c>
      <c r="Z1807" s="7"/>
      <c r="AA1807" s="7"/>
      <c r="AB1807" s="7"/>
      <c r="AC1807" s="7" t="n">
        <v>5</v>
      </c>
      <c r="AD1807" s="7" t="s">
        <v>1897</v>
      </c>
      <c r="AE1807" s="7" t="s">
        <v>744</v>
      </c>
      <c r="AF1807" s="7" t="s">
        <v>11778</v>
      </c>
      <c r="AG1807" s="7" t="s">
        <v>744</v>
      </c>
      <c r="AH1807" s="7" t="s">
        <v>11781</v>
      </c>
      <c r="AI1807" s="7"/>
      <c r="AJ1807" s="7"/>
      <c r="AK1807" s="7"/>
      <c r="AL1807" s="7"/>
      <c r="AM1807" s="7" t="s">
        <v>744</v>
      </c>
      <c r="AN1807" s="7" t="s">
        <v>11782</v>
      </c>
      <c r="AO1807" s="7" t="s">
        <v>744</v>
      </c>
      <c r="AP1807" s="7" t="s">
        <v>11779</v>
      </c>
      <c r="AQ1807" s="7"/>
      <c r="AR1807" s="7"/>
      <c r="AS1807" s="7"/>
      <c r="AT1807" s="7"/>
      <c r="AU1807" s="7"/>
      <c r="AV1807" s="7"/>
      <c r="AW1807" s="7" t="s">
        <v>744</v>
      </c>
      <c r="AX1807" s="7" t="s">
        <v>11780</v>
      </c>
      <c r="AY1807" s="7"/>
      <c r="AZ1807" s="7"/>
      <c r="BA1807" s="7"/>
      <c r="BB1807" s="7"/>
      <c r="BC1807" s="7"/>
      <c r="BD1807" s="7"/>
      <c r="BE1807" s="7" t="s">
        <v>127</v>
      </c>
      <c r="BF1807" s="8"/>
      <c r="BG1807" s="8"/>
      <c r="BH1807" s="8"/>
      <c r="BI1807" s="8"/>
      <c r="BJ1807" s="8"/>
      <c r="BK1807" s="8"/>
      <c r="BL1807" s="8"/>
      <c r="BM1807" s="8"/>
      <c r="BN1807" s="8"/>
      <c r="BO1807" s="8"/>
      <c r="BP1807" s="8"/>
      <c r="BQ1807" s="8"/>
      <c r="BR1807" s="8"/>
      <c r="BS1807" s="8"/>
    </row>
    <row r="1808" customFormat="false" ht="15" hidden="false" customHeight="false" outlineLevel="0" collapsed="false">
      <c r="A1808" s="7" t="s">
        <v>11783</v>
      </c>
      <c r="B1808" s="7" t="s">
        <v>11784</v>
      </c>
      <c r="C1808" s="7" t="s">
        <v>11785</v>
      </c>
      <c r="D1808" s="7" t="s">
        <v>7616</v>
      </c>
      <c r="E1808" s="7" t="s">
        <v>11786</v>
      </c>
      <c r="F1808" s="7" t="s">
        <v>101</v>
      </c>
      <c r="G1808" s="7"/>
      <c r="H1808" s="7"/>
      <c r="I1808" s="7" t="s">
        <v>132</v>
      </c>
      <c r="J1808" s="7" t="s">
        <v>104</v>
      </c>
      <c r="K1808" s="7" t="s">
        <v>105</v>
      </c>
      <c r="L1808" s="7" t="s">
        <v>106</v>
      </c>
      <c r="M1808" s="7"/>
      <c r="N1808" s="7" t="s">
        <v>11787</v>
      </c>
      <c r="O1808" s="7"/>
      <c r="P1808" s="7" t="s">
        <v>109</v>
      </c>
      <c r="Q1808" s="7"/>
      <c r="R1808" s="7" t="s">
        <v>135</v>
      </c>
      <c r="S1808" s="7" t="s">
        <v>136</v>
      </c>
      <c r="T1808" s="7" t="n">
        <v>0.407</v>
      </c>
      <c r="U1808" s="7" t="n">
        <v>1</v>
      </c>
      <c r="V1808" s="7" t="s">
        <v>86</v>
      </c>
      <c r="W1808" s="7"/>
      <c r="X1808" s="7" t="s">
        <v>11788</v>
      </c>
      <c r="Y1808" s="7" t="s">
        <v>11787</v>
      </c>
      <c r="Z1808" s="7"/>
      <c r="AA1808" s="7"/>
      <c r="AB1808" s="7"/>
      <c r="AC1808" s="7" t="n">
        <v>6</v>
      </c>
      <c r="AD1808" s="7" t="s">
        <v>1235</v>
      </c>
      <c r="AE1808" s="7" t="s">
        <v>744</v>
      </c>
      <c r="AF1808" s="7" t="s">
        <v>11785</v>
      </c>
      <c r="AG1808" s="7" t="s">
        <v>744</v>
      </c>
      <c r="AH1808" s="7" t="s">
        <v>11788</v>
      </c>
      <c r="AI1808" s="7"/>
      <c r="AJ1808" s="7"/>
      <c r="AK1808" s="7"/>
      <c r="AL1808" s="7"/>
      <c r="AM1808" s="7" t="s">
        <v>744</v>
      </c>
      <c r="AN1808" s="7" t="s">
        <v>11789</v>
      </c>
      <c r="AO1808" s="7" t="s">
        <v>744</v>
      </c>
      <c r="AP1808" s="7" t="s">
        <v>7616</v>
      </c>
      <c r="AQ1808" s="7" t="s">
        <v>744</v>
      </c>
      <c r="AR1808" s="7" t="s">
        <v>11786</v>
      </c>
      <c r="AS1808" s="7"/>
      <c r="AT1808" s="7"/>
      <c r="AU1808" s="7"/>
      <c r="AV1808" s="7"/>
      <c r="AW1808" s="7" t="s">
        <v>744</v>
      </c>
      <c r="AX1808" s="7" t="s">
        <v>11787</v>
      </c>
      <c r="AY1808" s="7"/>
      <c r="AZ1808" s="7"/>
      <c r="BA1808" s="7"/>
      <c r="BB1808" s="7"/>
      <c r="BC1808" s="7"/>
      <c r="BD1808" s="7"/>
      <c r="BE1808" s="7" t="s">
        <v>127</v>
      </c>
      <c r="BF1808" s="8"/>
      <c r="BG1808" s="8"/>
      <c r="BH1808" s="8"/>
      <c r="BI1808" s="8"/>
      <c r="BJ1808" s="8"/>
      <c r="BK1808" s="8"/>
      <c r="BL1808" s="8"/>
      <c r="BM1808" s="8"/>
      <c r="BN1808" s="8"/>
      <c r="BO1808" s="8"/>
      <c r="BP1808" s="8"/>
      <c r="BQ1808" s="8"/>
      <c r="BR1808" s="8"/>
      <c r="BS1808" s="8"/>
    </row>
    <row r="1809" customFormat="false" ht="15" hidden="false" customHeight="false" outlineLevel="0" collapsed="false">
      <c r="A1809" s="7" t="s">
        <v>11790</v>
      </c>
      <c r="B1809" s="7" t="s">
        <v>11791</v>
      </c>
      <c r="C1809" s="7" t="s">
        <v>11792</v>
      </c>
      <c r="D1809" s="7" t="s">
        <v>11793</v>
      </c>
      <c r="E1809" s="7" t="s">
        <v>11794</v>
      </c>
      <c r="F1809" s="7" t="s">
        <v>101</v>
      </c>
      <c r="G1809" s="7"/>
      <c r="H1809" s="7"/>
      <c r="I1809" s="7" t="s">
        <v>158</v>
      </c>
      <c r="J1809" s="7" t="s">
        <v>104</v>
      </c>
      <c r="K1809" s="7" t="s">
        <v>105</v>
      </c>
      <c r="L1809" s="7" t="s">
        <v>106</v>
      </c>
      <c r="M1809" s="7"/>
      <c r="N1809" s="7" t="s">
        <v>11795</v>
      </c>
      <c r="O1809" s="7"/>
      <c r="P1809" s="7" t="s">
        <v>109</v>
      </c>
      <c r="Q1809" s="7"/>
      <c r="R1809" s="7" t="s">
        <v>135</v>
      </c>
      <c r="S1809" s="7" t="s">
        <v>136</v>
      </c>
      <c r="T1809" s="7" t="n">
        <v>0.258</v>
      </c>
      <c r="U1809" s="7" t="n">
        <v>1</v>
      </c>
      <c r="V1809" s="7" t="s">
        <v>86</v>
      </c>
      <c r="W1809" s="7"/>
      <c r="X1809" s="7" t="s">
        <v>9525</v>
      </c>
      <c r="Y1809" s="7" t="s">
        <v>11795</v>
      </c>
      <c r="Z1809" s="7"/>
      <c r="AA1809" s="7"/>
      <c r="AB1809" s="7"/>
      <c r="AC1809" s="7" t="n">
        <v>6</v>
      </c>
      <c r="AD1809" s="7" t="s">
        <v>1235</v>
      </c>
      <c r="AE1809" s="7" t="s">
        <v>744</v>
      </c>
      <c r="AF1809" s="7" t="s">
        <v>11792</v>
      </c>
      <c r="AG1809" s="7" t="s">
        <v>744</v>
      </c>
      <c r="AH1809" s="7" t="s">
        <v>9525</v>
      </c>
      <c r="AI1809" s="7"/>
      <c r="AJ1809" s="7"/>
      <c r="AK1809" s="7"/>
      <c r="AL1809" s="7"/>
      <c r="AM1809" s="7" t="s">
        <v>744</v>
      </c>
      <c r="AN1809" s="7" t="s">
        <v>11796</v>
      </c>
      <c r="AO1809" s="7" t="s">
        <v>744</v>
      </c>
      <c r="AP1809" s="7" t="s">
        <v>11793</v>
      </c>
      <c r="AQ1809" s="7" t="s">
        <v>744</v>
      </c>
      <c r="AR1809" s="7" t="s">
        <v>11794</v>
      </c>
      <c r="AS1809" s="7"/>
      <c r="AT1809" s="7"/>
      <c r="AU1809" s="7"/>
      <c r="AV1809" s="7"/>
      <c r="AW1809" s="7" t="s">
        <v>744</v>
      </c>
      <c r="AX1809" s="7" t="s">
        <v>11795</v>
      </c>
      <c r="AY1809" s="7"/>
      <c r="AZ1809" s="7"/>
      <c r="BA1809" s="7"/>
      <c r="BB1809" s="7"/>
      <c r="BC1809" s="7"/>
      <c r="BD1809" s="7"/>
      <c r="BE1809" s="7" t="s">
        <v>127</v>
      </c>
      <c r="BF1809" s="8"/>
      <c r="BG1809" s="8"/>
      <c r="BH1809" s="8"/>
      <c r="BI1809" s="8"/>
      <c r="BJ1809" s="8"/>
      <c r="BK1809" s="8"/>
      <c r="BL1809" s="8"/>
      <c r="BM1809" s="8"/>
      <c r="BN1809" s="8"/>
      <c r="BO1809" s="8"/>
      <c r="BP1809" s="8"/>
      <c r="BQ1809" s="8"/>
      <c r="BR1809" s="8"/>
      <c r="BS1809" s="8"/>
    </row>
    <row r="1810" customFormat="false" ht="15" hidden="false" customHeight="false" outlineLevel="0" collapsed="false">
      <c r="A1810" s="7" t="s">
        <v>11797</v>
      </c>
      <c r="B1810" s="7" t="s">
        <v>11798</v>
      </c>
      <c r="C1810" s="7" t="s">
        <v>11799</v>
      </c>
      <c r="D1810" s="7" t="s">
        <v>11800</v>
      </c>
      <c r="E1810" s="7" t="s">
        <v>737</v>
      </c>
      <c r="F1810" s="7" t="s">
        <v>737</v>
      </c>
      <c r="G1810" s="7" t="s">
        <v>4658</v>
      </c>
      <c r="H1810" s="7"/>
      <c r="I1810" s="7" t="s">
        <v>300</v>
      </c>
      <c r="J1810" s="7" t="s">
        <v>104</v>
      </c>
      <c r="K1810" s="7" t="s">
        <v>105</v>
      </c>
      <c r="L1810" s="7" t="s">
        <v>106</v>
      </c>
      <c r="M1810" s="7"/>
      <c r="N1810" s="7" t="s">
        <v>11801</v>
      </c>
      <c r="O1810" s="7"/>
      <c r="P1810" s="7" t="s">
        <v>109</v>
      </c>
      <c r="Q1810" s="7"/>
      <c r="R1810" s="7" t="s">
        <v>135</v>
      </c>
      <c r="S1810" s="7" t="s">
        <v>136</v>
      </c>
      <c r="T1810" s="7" t="n">
        <v>0.495</v>
      </c>
      <c r="U1810" s="7" t="n">
        <v>1</v>
      </c>
      <c r="V1810" s="7" t="s">
        <v>86</v>
      </c>
      <c r="W1810" s="7"/>
      <c r="X1810" s="7" t="s">
        <v>11802</v>
      </c>
      <c r="Y1810" s="7" t="s">
        <v>11801</v>
      </c>
      <c r="Z1810" s="7"/>
      <c r="AA1810" s="7"/>
      <c r="AB1810" s="7"/>
      <c r="AC1810" s="7" t="n">
        <v>6</v>
      </c>
      <c r="AD1810" s="7" t="s">
        <v>1235</v>
      </c>
      <c r="AE1810" s="7" t="s">
        <v>744</v>
      </c>
      <c r="AF1810" s="7" t="s">
        <v>11799</v>
      </c>
      <c r="AG1810" s="7" t="s">
        <v>744</v>
      </c>
      <c r="AH1810" s="7" t="s">
        <v>11802</v>
      </c>
      <c r="AI1810" s="7"/>
      <c r="AJ1810" s="7"/>
      <c r="AK1810" s="7"/>
      <c r="AL1810" s="7"/>
      <c r="AM1810" s="7" t="s">
        <v>744</v>
      </c>
      <c r="AN1810" s="7" t="s">
        <v>11803</v>
      </c>
      <c r="AO1810" s="7" t="s">
        <v>744</v>
      </c>
      <c r="AP1810" s="7" t="s">
        <v>11800</v>
      </c>
      <c r="AQ1810" s="7" t="s">
        <v>744</v>
      </c>
      <c r="AR1810" s="7" t="s">
        <v>737</v>
      </c>
      <c r="AS1810" s="7"/>
      <c r="AT1810" s="7"/>
      <c r="AU1810" s="7"/>
      <c r="AV1810" s="7"/>
      <c r="AW1810" s="7" t="s">
        <v>744</v>
      </c>
      <c r="AX1810" s="7" t="s">
        <v>11801</v>
      </c>
      <c r="AY1810" s="7"/>
      <c r="AZ1810" s="7"/>
      <c r="BA1810" s="7"/>
      <c r="BB1810" s="7"/>
      <c r="BC1810" s="7"/>
      <c r="BD1810" s="7"/>
      <c r="BE1810" s="7" t="s">
        <v>127</v>
      </c>
      <c r="BF1810" s="8"/>
      <c r="BG1810" s="8"/>
      <c r="BH1810" s="8"/>
      <c r="BI1810" s="8"/>
      <c r="BJ1810" s="8"/>
      <c r="BK1810" s="8"/>
      <c r="BL1810" s="8"/>
      <c r="BM1810" s="8"/>
      <c r="BN1810" s="8"/>
      <c r="BO1810" s="8"/>
      <c r="BP1810" s="8"/>
      <c r="BQ1810" s="8"/>
      <c r="BR1810" s="8"/>
      <c r="BS1810" s="8"/>
    </row>
    <row r="1811" customFormat="false" ht="15" hidden="false" customHeight="false" outlineLevel="0" collapsed="false">
      <c r="A1811" s="7" t="s">
        <v>11804</v>
      </c>
      <c r="B1811" s="7" t="s">
        <v>11805</v>
      </c>
      <c r="C1811" s="7" t="s">
        <v>11806</v>
      </c>
      <c r="D1811" s="7" t="s">
        <v>11807</v>
      </c>
      <c r="E1811" s="7"/>
      <c r="F1811" s="7" t="s">
        <v>101</v>
      </c>
      <c r="G1811" s="7"/>
      <c r="H1811" s="7"/>
      <c r="I1811" s="7" t="s">
        <v>1639</v>
      </c>
      <c r="J1811" s="7" t="s">
        <v>104</v>
      </c>
      <c r="K1811" s="7" t="s">
        <v>105</v>
      </c>
      <c r="L1811" s="7" t="s">
        <v>106</v>
      </c>
      <c r="M1811" s="7"/>
      <c r="N1811" s="7" t="s">
        <v>11808</v>
      </c>
      <c r="O1811" s="7" t="s">
        <v>11808</v>
      </c>
      <c r="P1811" s="7" t="s">
        <v>109</v>
      </c>
      <c r="Q1811" s="7"/>
      <c r="R1811" s="7" t="s">
        <v>109</v>
      </c>
      <c r="S1811" s="7" t="s">
        <v>110</v>
      </c>
      <c r="T1811" s="7" t="n">
        <v>0.497</v>
      </c>
      <c r="U1811" s="7" t="n">
        <v>1</v>
      </c>
      <c r="V1811" s="7" t="s">
        <v>86</v>
      </c>
      <c r="W1811" s="7"/>
      <c r="X1811" s="7" t="s">
        <v>11809</v>
      </c>
      <c r="Y1811" s="7" t="s">
        <v>11808</v>
      </c>
      <c r="Z1811" s="7"/>
      <c r="AA1811" s="7"/>
      <c r="AB1811" s="7"/>
      <c r="AC1811" s="7" t="n">
        <v>5</v>
      </c>
      <c r="AD1811" s="7" t="s">
        <v>1897</v>
      </c>
      <c r="AE1811" s="7" t="s">
        <v>744</v>
      </c>
      <c r="AF1811" s="7" t="s">
        <v>11806</v>
      </c>
      <c r="AG1811" s="7" t="s">
        <v>744</v>
      </c>
      <c r="AH1811" s="7" t="s">
        <v>11809</v>
      </c>
      <c r="AI1811" s="7"/>
      <c r="AJ1811" s="7"/>
      <c r="AK1811" s="7"/>
      <c r="AL1811" s="7"/>
      <c r="AM1811" s="7" t="s">
        <v>744</v>
      </c>
      <c r="AN1811" s="7" t="s">
        <v>11810</v>
      </c>
      <c r="AO1811" s="7" t="s">
        <v>744</v>
      </c>
      <c r="AP1811" s="7" t="s">
        <v>11807</v>
      </c>
      <c r="AQ1811" s="7"/>
      <c r="AR1811" s="7"/>
      <c r="AS1811" s="7"/>
      <c r="AT1811" s="7"/>
      <c r="AU1811" s="7"/>
      <c r="AV1811" s="7"/>
      <c r="AW1811" s="7" t="s">
        <v>744</v>
      </c>
      <c r="AX1811" s="7" t="s">
        <v>11808</v>
      </c>
      <c r="AY1811" s="7"/>
      <c r="AZ1811" s="7"/>
      <c r="BA1811" s="7"/>
      <c r="BB1811" s="7"/>
      <c r="BC1811" s="7"/>
      <c r="BD1811" s="7"/>
      <c r="BE1811" s="7" t="s">
        <v>127</v>
      </c>
      <c r="BF1811" s="8"/>
      <c r="BG1811" s="8"/>
      <c r="BH1811" s="8"/>
      <c r="BI1811" s="8"/>
      <c r="BJ1811" s="8"/>
      <c r="BK1811" s="8"/>
      <c r="BL1811" s="8"/>
      <c r="BM1811" s="8"/>
      <c r="BN1811" s="8"/>
      <c r="BO1811" s="8"/>
      <c r="BP1811" s="8"/>
      <c r="BQ1811" s="8"/>
      <c r="BR1811" s="8"/>
      <c r="BS1811" s="8"/>
    </row>
    <row r="1812" customFormat="false" ht="15" hidden="false" customHeight="false" outlineLevel="0" collapsed="false">
      <c r="A1812" s="7" t="s">
        <v>11811</v>
      </c>
      <c r="B1812" s="7" t="s">
        <v>11812</v>
      </c>
      <c r="C1812" s="7" t="s">
        <v>11813</v>
      </c>
      <c r="D1812" s="7" t="s">
        <v>11814</v>
      </c>
      <c r="E1812" s="7"/>
      <c r="F1812" s="7" t="s">
        <v>101</v>
      </c>
      <c r="G1812" s="7"/>
      <c r="H1812" s="7"/>
      <c r="I1812" s="7" t="s">
        <v>374</v>
      </c>
      <c r="J1812" s="7" t="s">
        <v>104</v>
      </c>
      <c r="K1812" s="7" t="s">
        <v>105</v>
      </c>
      <c r="L1812" s="7" t="s">
        <v>106</v>
      </c>
      <c r="M1812" s="7"/>
      <c r="N1812" s="7" t="s">
        <v>11815</v>
      </c>
      <c r="O1812" s="7"/>
      <c r="P1812" s="7" t="s">
        <v>109</v>
      </c>
      <c r="Q1812" s="7"/>
      <c r="R1812" s="7" t="s">
        <v>135</v>
      </c>
      <c r="S1812" s="7" t="s">
        <v>136</v>
      </c>
      <c r="T1812" s="7" t="n">
        <v>0.667</v>
      </c>
      <c r="U1812" s="7" t="n">
        <v>1</v>
      </c>
      <c r="V1812" s="7" t="s">
        <v>86</v>
      </c>
      <c r="W1812" s="7"/>
      <c r="X1812" s="7" t="s">
        <v>11809</v>
      </c>
      <c r="Y1812" s="7" t="s">
        <v>11815</v>
      </c>
      <c r="Z1812" s="7"/>
      <c r="AA1812" s="7"/>
      <c r="AB1812" s="7"/>
      <c r="AC1812" s="7" t="n">
        <v>4</v>
      </c>
      <c r="AD1812" s="7" t="s">
        <v>7611</v>
      </c>
      <c r="AE1812" s="7" t="s">
        <v>744</v>
      </c>
      <c r="AF1812" s="7" t="s">
        <v>11813</v>
      </c>
      <c r="AG1812" s="7" t="s">
        <v>744</v>
      </c>
      <c r="AH1812" s="7" t="s">
        <v>11809</v>
      </c>
      <c r="AI1812" s="7"/>
      <c r="AJ1812" s="7"/>
      <c r="AK1812" s="7"/>
      <c r="AL1812" s="7"/>
      <c r="AM1812" s="7"/>
      <c r="AN1812" s="7"/>
      <c r="AO1812" s="7" t="s">
        <v>744</v>
      </c>
      <c r="AP1812" s="7" t="s">
        <v>11814</v>
      </c>
      <c r="AQ1812" s="7"/>
      <c r="AR1812" s="7"/>
      <c r="AS1812" s="7"/>
      <c r="AT1812" s="7"/>
      <c r="AU1812" s="7"/>
      <c r="AV1812" s="7"/>
      <c r="AW1812" s="7" t="s">
        <v>744</v>
      </c>
      <c r="AX1812" s="7" t="s">
        <v>11815</v>
      </c>
      <c r="AY1812" s="7"/>
      <c r="AZ1812" s="7"/>
      <c r="BA1812" s="7"/>
      <c r="BB1812" s="7"/>
      <c r="BC1812" s="7"/>
      <c r="BD1812" s="7"/>
      <c r="BE1812" s="7" t="s">
        <v>127</v>
      </c>
      <c r="BF1812" s="8"/>
      <c r="BG1812" s="8"/>
      <c r="BH1812" s="8"/>
      <c r="BI1812" s="8"/>
      <c r="BJ1812" s="8"/>
      <c r="BK1812" s="8"/>
      <c r="BL1812" s="8"/>
      <c r="BM1812" s="8"/>
      <c r="BN1812" s="8"/>
      <c r="BO1812" s="8"/>
      <c r="BP1812" s="8"/>
      <c r="BQ1812" s="8"/>
      <c r="BR1812" s="8"/>
      <c r="BS1812" s="8"/>
    </row>
    <row r="1813" customFormat="false" ht="15" hidden="false" customHeight="false" outlineLevel="0" collapsed="false">
      <c r="A1813" s="7" t="s">
        <v>11816</v>
      </c>
      <c r="B1813" s="7" t="s">
        <v>11817</v>
      </c>
      <c r="C1813" s="7" t="s">
        <v>11818</v>
      </c>
      <c r="D1813" s="7" t="s">
        <v>11819</v>
      </c>
      <c r="E1813" s="7" t="s">
        <v>1966</v>
      </c>
      <c r="F1813" s="7" t="s">
        <v>1966</v>
      </c>
      <c r="G1813" s="7"/>
      <c r="H1813" s="7"/>
      <c r="I1813" s="7" t="s">
        <v>132</v>
      </c>
      <c r="J1813" s="7" t="s">
        <v>104</v>
      </c>
      <c r="K1813" s="7" t="s">
        <v>105</v>
      </c>
      <c r="L1813" s="7" t="s">
        <v>106</v>
      </c>
      <c r="M1813" s="7"/>
      <c r="N1813" s="7" t="s">
        <v>11820</v>
      </c>
      <c r="O1813" s="7"/>
      <c r="P1813" s="7" t="s">
        <v>109</v>
      </c>
      <c r="Q1813" s="7"/>
      <c r="R1813" s="7" t="s">
        <v>135</v>
      </c>
      <c r="S1813" s="7" t="s">
        <v>136</v>
      </c>
      <c r="T1813" s="7" t="n">
        <v>0.348</v>
      </c>
      <c r="U1813" s="7" t="n">
        <v>1</v>
      </c>
      <c r="V1813" s="7" t="s">
        <v>86</v>
      </c>
      <c r="W1813" s="7"/>
      <c r="X1813" s="7" t="s">
        <v>11821</v>
      </c>
      <c r="Y1813" s="7" t="s">
        <v>11820</v>
      </c>
      <c r="Z1813" s="7"/>
      <c r="AA1813" s="7"/>
      <c r="AB1813" s="7"/>
      <c r="AC1813" s="7" t="n">
        <v>5</v>
      </c>
      <c r="AD1813" s="7" t="s">
        <v>743</v>
      </c>
      <c r="AE1813" s="7" t="s">
        <v>744</v>
      </c>
      <c r="AF1813" s="7" t="s">
        <v>11818</v>
      </c>
      <c r="AG1813" s="7" t="s">
        <v>744</v>
      </c>
      <c r="AH1813" s="7" t="s">
        <v>11821</v>
      </c>
      <c r="AI1813" s="7"/>
      <c r="AJ1813" s="7"/>
      <c r="AK1813" s="7"/>
      <c r="AL1813" s="7"/>
      <c r="AM1813" s="7"/>
      <c r="AN1813" s="7"/>
      <c r="AO1813" s="7" t="s">
        <v>744</v>
      </c>
      <c r="AP1813" s="7" t="s">
        <v>11819</v>
      </c>
      <c r="AQ1813" s="7" t="s">
        <v>744</v>
      </c>
      <c r="AR1813" s="7" t="s">
        <v>1966</v>
      </c>
      <c r="AS1813" s="7"/>
      <c r="AT1813" s="7"/>
      <c r="AU1813" s="7"/>
      <c r="AV1813" s="7"/>
      <c r="AW1813" s="7" t="s">
        <v>744</v>
      </c>
      <c r="AX1813" s="7" t="s">
        <v>11820</v>
      </c>
      <c r="AY1813" s="7"/>
      <c r="AZ1813" s="7"/>
      <c r="BA1813" s="7"/>
      <c r="BB1813" s="7"/>
      <c r="BC1813" s="7"/>
      <c r="BD1813" s="7"/>
      <c r="BE1813" s="7" t="s">
        <v>127</v>
      </c>
      <c r="BF1813" s="8"/>
      <c r="BG1813" s="8"/>
      <c r="BH1813" s="8"/>
      <c r="BI1813" s="8"/>
      <c r="BJ1813" s="8"/>
      <c r="BK1813" s="8"/>
      <c r="BL1813" s="8"/>
      <c r="BM1813" s="8"/>
      <c r="BN1813" s="8"/>
      <c r="BO1813" s="8"/>
      <c r="BP1813" s="8"/>
      <c r="BQ1813" s="8"/>
      <c r="BR1813" s="8"/>
      <c r="BS1813" s="8"/>
    </row>
    <row r="1814" customFormat="false" ht="15" hidden="false" customHeight="false" outlineLevel="0" collapsed="false">
      <c r="A1814" s="7" t="s">
        <v>11822</v>
      </c>
      <c r="B1814" s="7" t="s">
        <v>11823</v>
      </c>
      <c r="C1814" s="7" t="s">
        <v>11824</v>
      </c>
      <c r="D1814" s="7" t="s">
        <v>11825</v>
      </c>
      <c r="E1814" s="7" t="s">
        <v>11826</v>
      </c>
      <c r="F1814" s="7" t="s">
        <v>101</v>
      </c>
      <c r="G1814" s="7"/>
      <c r="H1814" s="7"/>
      <c r="I1814" s="7" t="s">
        <v>132</v>
      </c>
      <c r="J1814" s="7" t="s">
        <v>104</v>
      </c>
      <c r="K1814" s="7" t="s">
        <v>105</v>
      </c>
      <c r="L1814" s="7" t="s">
        <v>106</v>
      </c>
      <c r="M1814" s="7"/>
      <c r="N1814" s="7" t="s">
        <v>11827</v>
      </c>
      <c r="O1814" s="7"/>
      <c r="P1814" s="7" t="s">
        <v>109</v>
      </c>
      <c r="Q1814" s="7"/>
      <c r="R1814" s="7" t="s">
        <v>135</v>
      </c>
      <c r="S1814" s="7" t="s">
        <v>136</v>
      </c>
      <c r="T1814" s="7" t="n">
        <v>0.351</v>
      </c>
      <c r="U1814" s="7" t="n">
        <v>1</v>
      </c>
      <c r="V1814" s="7" t="s">
        <v>90</v>
      </c>
      <c r="W1814" s="7"/>
      <c r="X1814" s="7" t="s">
        <v>2485</v>
      </c>
      <c r="Y1814" s="7" t="s">
        <v>11827</v>
      </c>
      <c r="Z1814" s="7"/>
      <c r="AA1814" s="7"/>
      <c r="AB1814" s="7"/>
      <c r="AC1814" s="7" t="n">
        <v>5</v>
      </c>
      <c r="AD1814" s="7" t="s">
        <v>743</v>
      </c>
      <c r="AE1814" s="7" t="s">
        <v>744</v>
      </c>
      <c r="AF1814" s="7" t="s">
        <v>11824</v>
      </c>
      <c r="AG1814" s="7" t="s">
        <v>744</v>
      </c>
      <c r="AH1814" s="7" t="s">
        <v>2485</v>
      </c>
      <c r="AI1814" s="7"/>
      <c r="AJ1814" s="7"/>
      <c r="AK1814" s="7"/>
      <c r="AL1814" s="7"/>
      <c r="AM1814" s="7"/>
      <c r="AN1814" s="7"/>
      <c r="AO1814" s="7" t="s">
        <v>744</v>
      </c>
      <c r="AP1814" s="7" t="s">
        <v>11825</v>
      </c>
      <c r="AQ1814" s="7" t="s">
        <v>744</v>
      </c>
      <c r="AR1814" s="7" t="s">
        <v>11826</v>
      </c>
      <c r="AS1814" s="7"/>
      <c r="AT1814" s="7"/>
      <c r="AU1814" s="7"/>
      <c r="AV1814" s="7"/>
      <c r="AW1814" s="7" t="s">
        <v>744</v>
      </c>
      <c r="AX1814" s="7" t="s">
        <v>11827</v>
      </c>
      <c r="AY1814" s="7"/>
      <c r="AZ1814" s="7"/>
      <c r="BA1814" s="7"/>
      <c r="BB1814" s="7"/>
      <c r="BC1814" s="7"/>
      <c r="BD1814" s="7"/>
      <c r="BE1814" s="7" t="s">
        <v>127</v>
      </c>
      <c r="BF1814" s="8"/>
      <c r="BG1814" s="8"/>
      <c r="BH1814" s="8"/>
      <c r="BI1814" s="8"/>
      <c r="BJ1814" s="8"/>
      <c r="BK1814" s="8"/>
      <c r="BL1814" s="8"/>
      <c r="BM1814" s="8"/>
      <c r="BN1814" s="8"/>
      <c r="BO1814" s="8"/>
      <c r="BP1814" s="8"/>
      <c r="BQ1814" s="8"/>
      <c r="BR1814" s="8"/>
      <c r="BS1814" s="8"/>
    </row>
    <row r="1815" customFormat="false" ht="15" hidden="false" customHeight="false" outlineLevel="0" collapsed="false">
      <c r="A1815" s="7" t="s">
        <v>11828</v>
      </c>
      <c r="B1815" s="7" t="s">
        <v>11829</v>
      </c>
      <c r="C1815" s="7" t="s">
        <v>11830</v>
      </c>
      <c r="D1815" s="7" t="s">
        <v>11831</v>
      </c>
      <c r="E1815" s="7" t="s">
        <v>6664</v>
      </c>
      <c r="F1815" s="7" t="s">
        <v>6664</v>
      </c>
      <c r="G1815" s="7"/>
      <c r="H1815" s="7"/>
      <c r="I1815" s="7" t="s">
        <v>132</v>
      </c>
      <c r="J1815" s="7" t="s">
        <v>104</v>
      </c>
      <c r="K1815" s="7" t="s">
        <v>105</v>
      </c>
      <c r="L1815" s="7" t="s">
        <v>106</v>
      </c>
      <c r="M1815" s="7"/>
      <c r="N1815" s="7" t="s">
        <v>11832</v>
      </c>
      <c r="O1815" s="7"/>
      <c r="P1815" s="7" t="s">
        <v>109</v>
      </c>
      <c r="Q1815" s="7"/>
      <c r="R1815" s="7" t="s">
        <v>135</v>
      </c>
      <c r="S1815" s="7" t="s">
        <v>136</v>
      </c>
      <c r="T1815" s="7" t="n">
        <v>0.505</v>
      </c>
      <c r="U1815" s="7" t="n">
        <v>1</v>
      </c>
      <c r="V1815" s="7" t="s">
        <v>90</v>
      </c>
      <c r="W1815" s="7"/>
      <c r="X1815" s="7" t="s">
        <v>9247</v>
      </c>
      <c r="Y1815" s="7" t="s">
        <v>11832</v>
      </c>
      <c r="Z1815" s="7"/>
      <c r="AA1815" s="7"/>
      <c r="AB1815" s="7"/>
      <c r="AC1815" s="7" t="n">
        <v>6</v>
      </c>
      <c r="AD1815" s="7" t="s">
        <v>1235</v>
      </c>
      <c r="AE1815" s="7" t="s">
        <v>744</v>
      </c>
      <c r="AF1815" s="7" t="s">
        <v>11830</v>
      </c>
      <c r="AG1815" s="7" t="s">
        <v>744</v>
      </c>
      <c r="AH1815" s="7" t="s">
        <v>9247</v>
      </c>
      <c r="AI1815" s="7"/>
      <c r="AJ1815" s="7"/>
      <c r="AK1815" s="7"/>
      <c r="AL1815" s="7"/>
      <c r="AM1815" s="7" t="s">
        <v>744</v>
      </c>
      <c r="AN1815" s="7" t="s">
        <v>11833</v>
      </c>
      <c r="AO1815" s="7" t="s">
        <v>744</v>
      </c>
      <c r="AP1815" s="7" t="s">
        <v>11831</v>
      </c>
      <c r="AQ1815" s="7" t="s">
        <v>744</v>
      </c>
      <c r="AR1815" s="7" t="s">
        <v>6664</v>
      </c>
      <c r="AS1815" s="7"/>
      <c r="AT1815" s="7"/>
      <c r="AU1815" s="7"/>
      <c r="AV1815" s="7"/>
      <c r="AW1815" s="7" t="s">
        <v>744</v>
      </c>
      <c r="AX1815" s="7" t="s">
        <v>11832</v>
      </c>
      <c r="AY1815" s="7"/>
      <c r="AZ1815" s="7"/>
      <c r="BA1815" s="7"/>
      <c r="BB1815" s="7"/>
      <c r="BC1815" s="7"/>
      <c r="BD1815" s="7"/>
      <c r="BE1815" s="7" t="s">
        <v>127</v>
      </c>
      <c r="BF1815" s="8"/>
      <c r="BG1815" s="8"/>
      <c r="BH1815" s="8"/>
      <c r="BI1815" s="8"/>
      <c r="BJ1815" s="8"/>
      <c r="BK1815" s="8"/>
      <c r="BL1815" s="8"/>
      <c r="BM1815" s="8"/>
      <c r="BN1815" s="8"/>
      <c r="BO1815" s="8"/>
      <c r="BP1815" s="8"/>
      <c r="BQ1815" s="8"/>
      <c r="BR1815" s="8"/>
      <c r="BS1815" s="8"/>
    </row>
    <row r="1816" customFormat="false" ht="15" hidden="false" customHeight="false" outlineLevel="0" collapsed="false">
      <c r="A1816" s="7" t="s">
        <v>11834</v>
      </c>
      <c r="B1816" s="7" t="s">
        <v>11835</v>
      </c>
      <c r="C1816" s="7" t="s">
        <v>11836</v>
      </c>
      <c r="D1816" s="7" t="s">
        <v>1263</v>
      </c>
      <c r="E1816" s="7" t="s">
        <v>11837</v>
      </c>
      <c r="F1816" s="7" t="s">
        <v>101</v>
      </c>
      <c r="G1816" s="7"/>
      <c r="H1816" s="7"/>
      <c r="I1816" s="7" t="s">
        <v>132</v>
      </c>
      <c r="J1816" s="7" t="s">
        <v>104</v>
      </c>
      <c r="K1816" s="7" t="s">
        <v>105</v>
      </c>
      <c r="L1816" s="7" t="s">
        <v>106</v>
      </c>
      <c r="M1816" s="7"/>
      <c r="N1816" s="7" t="s">
        <v>11838</v>
      </c>
      <c r="O1816" s="7"/>
      <c r="P1816" s="7" t="s">
        <v>109</v>
      </c>
      <c r="Q1816" s="7"/>
      <c r="R1816" s="7" t="s">
        <v>135</v>
      </c>
      <c r="S1816" s="7" t="s">
        <v>136</v>
      </c>
      <c r="T1816" s="7" t="n">
        <v>0.458</v>
      </c>
      <c r="U1816" s="7" t="n">
        <v>1</v>
      </c>
      <c r="V1816" s="7" t="s">
        <v>90</v>
      </c>
      <c r="W1816" s="7"/>
      <c r="X1816" s="7" t="s">
        <v>11839</v>
      </c>
      <c r="Y1816" s="7" t="s">
        <v>11838</v>
      </c>
      <c r="Z1816" s="7"/>
      <c r="AA1816" s="7"/>
      <c r="AB1816" s="7"/>
      <c r="AC1816" s="7" t="n">
        <v>6</v>
      </c>
      <c r="AD1816" s="7" t="s">
        <v>1235</v>
      </c>
      <c r="AE1816" s="7" t="s">
        <v>744</v>
      </c>
      <c r="AF1816" s="7" t="s">
        <v>11836</v>
      </c>
      <c r="AG1816" s="7" t="s">
        <v>744</v>
      </c>
      <c r="AH1816" s="7" t="s">
        <v>11839</v>
      </c>
      <c r="AI1816" s="7"/>
      <c r="AJ1816" s="7"/>
      <c r="AK1816" s="7"/>
      <c r="AL1816" s="7"/>
      <c r="AM1816" s="7" t="s">
        <v>744</v>
      </c>
      <c r="AN1816" s="7" t="s">
        <v>11840</v>
      </c>
      <c r="AO1816" s="7" t="s">
        <v>744</v>
      </c>
      <c r="AP1816" s="7" t="s">
        <v>1263</v>
      </c>
      <c r="AQ1816" s="7" t="s">
        <v>744</v>
      </c>
      <c r="AR1816" s="7" t="s">
        <v>11837</v>
      </c>
      <c r="AS1816" s="7"/>
      <c r="AT1816" s="7"/>
      <c r="AU1816" s="7"/>
      <c r="AV1816" s="7"/>
      <c r="AW1816" s="7" t="s">
        <v>744</v>
      </c>
      <c r="AX1816" s="7" t="s">
        <v>11838</v>
      </c>
      <c r="AY1816" s="7"/>
      <c r="AZ1816" s="7"/>
      <c r="BA1816" s="7"/>
      <c r="BB1816" s="7"/>
      <c r="BC1816" s="7"/>
      <c r="BD1816" s="7"/>
      <c r="BE1816" s="7" t="s">
        <v>127</v>
      </c>
      <c r="BF1816" s="8"/>
      <c r="BG1816" s="8"/>
      <c r="BH1816" s="8"/>
      <c r="BI1816" s="8"/>
      <c r="BJ1816" s="8"/>
      <c r="BK1816" s="8"/>
      <c r="BL1816" s="8"/>
      <c r="BM1816" s="8"/>
      <c r="BN1816" s="8"/>
      <c r="BO1816" s="8"/>
      <c r="BP1816" s="8"/>
      <c r="BQ1816" s="8"/>
      <c r="BR1816" s="8"/>
      <c r="BS1816" s="8"/>
    </row>
    <row r="1817" customFormat="false" ht="15" hidden="false" customHeight="false" outlineLevel="0" collapsed="false">
      <c r="A1817" s="7" t="s">
        <v>11841</v>
      </c>
      <c r="B1817" s="7" t="s">
        <v>11842</v>
      </c>
      <c r="C1817" s="7" t="s">
        <v>11843</v>
      </c>
      <c r="D1817" s="7" t="s">
        <v>11844</v>
      </c>
      <c r="E1817" s="7"/>
      <c r="F1817" s="7" t="s">
        <v>101</v>
      </c>
      <c r="G1817" s="7"/>
      <c r="H1817" s="7"/>
      <c r="I1817" s="7" t="s">
        <v>132</v>
      </c>
      <c r="J1817" s="7" t="s">
        <v>104</v>
      </c>
      <c r="K1817" s="7" t="s">
        <v>105</v>
      </c>
      <c r="L1817" s="7" t="s">
        <v>106</v>
      </c>
      <c r="M1817" s="7"/>
      <c r="N1817" s="7" t="s">
        <v>11845</v>
      </c>
      <c r="O1817" s="7"/>
      <c r="P1817" s="7" t="s">
        <v>135</v>
      </c>
      <c r="Q1817" s="7"/>
      <c r="R1817" s="7" t="s">
        <v>135</v>
      </c>
      <c r="S1817" s="7" t="s">
        <v>136</v>
      </c>
      <c r="T1817" s="7" t="n">
        <v>0.301</v>
      </c>
      <c r="U1817" s="7" t="n">
        <v>1</v>
      </c>
      <c r="V1817" s="7" t="s">
        <v>90</v>
      </c>
      <c r="W1817" s="7"/>
      <c r="X1817" s="7" t="s">
        <v>2339</v>
      </c>
      <c r="Y1817" s="7" t="s">
        <v>11845</v>
      </c>
      <c r="Z1817" s="7"/>
      <c r="AA1817" s="7"/>
      <c r="AB1817" s="7"/>
      <c r="AC1817" s="7" t="n">
        <v>5</v>
      </c>
      <c r="AD1817" s="7" t="s">
        <v>1897</v>
      </c>
      <c r="AE1817" s="7" t="s">
        <v>744</v>
      </c>
      <c r="AF1817" s="7" t="s">
        <v>11843</v>
      </c>
      <c r="AG1817" s="7" t="s">
        <v>744</v>
      </c>
      <c r="AH1817" s="7" t="s">
        <v>2339</v>
      </c>
      <c r="AI1817" s="7"/>
      <c r="AJ1817" s="7"/>
      <c r="AK1817" s="7"/>
      <c r="AL1817" s="7"/>
      <c r="AM1817" s="7" t="s">
        <v>744</v>
      </c>
      <c r="AN1817" s="7" t="s">
        <v>11846</v>
      </c>
      <c r="AO1817" s="7" t="s">
        <v>744</v>
      </c>
      <c r="AP1817" s="7" t="s">
        <v>11844</v>
      </c>
      <c r="AQ1817" s="7"/>
      <c r="AR1817" s="7"/>
      <c r="AS1817" s="7"/>
      <c r="AT1817" s="7"/>
      <c r="AU1817" s="7"/>
      <c r="AV1817" s="7"/>
      <c r="AW1817" s="7" t="s">
        <v>744</v>
      </c>
      <c r="AX1817" s="7" t="s">
        <v>11845</v>
      </c>
      <c r="AY1817" s="7"/>
      <c r="AZ1817" s="7"/>
      <c r="BA1817" s="7"/>
      <c r="BB1817" s="7"/>
      <c r="BC1817" s="7"/>
      <c r="BD1817" s="7"/>
      <c r="BE1817" s="7" t="s">
        <v>127</v>
      </c>
      <c r="BF1817" s="8"/>
      <c r="BG1817" s="8"/>
      <c r="BH1817" s="8"/>
      <c r="BI1817" s="8"/>
      <c r="BJ1817" s="8"/>
      <c r="BK1817" s="8"/>
      <c r="BL1817" s="8"/>
      <c r="BM1817" s="8"/>
      <c r="BN1817" s="8"/>
      <c r="BO1817" s="8"/>
      <c r="BP1817" s="8"/>
      <c r="BQ1817" s="8"/>
      <c r="BR1817" s="8"/>
      <c r="BS1817" s="8"/>
    </row>
    <row r="1818" customFormat="false" ht="15" hidden="false" customHeight="false" outlineLevel="0" collapsed="false">
      <c r="A1818" s="7" t="s">
        <v>11847</v>
      </c>
      <c r="B1818" s="7" t="s">
        <v>11848</v>
      </c>
      <c r="C1818" s="7" t="s">
        <v>11849</v>
      </c>
      <c r="D1818" s="7" t="s">
        <v>11850</v>
      </c>
      <c r="E1818" s="7" t="s">
        <v>737</v>
      </c>
      <c r="F1818" s="7" t="s">
        <v>737</v>
      </c>
      <c r="G1818" s="7"/>
      <c r="H1818" s="7"/>
      <c r="I1818" s="7" t="s">
        <v>132</v>
      </c>
      <c r="J1818" s="7" t="s">
        <v>104</v>
      </c>
      <c r="K1818" s="7" t="s">
        <v>105</v>
      </c>
      <c r="L1818" s="7" t="s">
        <v>106</v>
      </c>
      <c r="M1818" s="7"/>
      <c r="N1818" s="7" t="s">
        <v>11851</v>
      </c>
      <c r="O1818" s="7"/>
      <c r="P1818" s="7" t="s">
        <v>135</v>
      </c>
      <c r="Q1818" s="7"/>
      <c r="R1818" s="7" t="s">
        <v>135</v>
      </c>
      <c r="S1818" s="7" t="s">
        <v>136</v>
      </c>
      <c r="T1818" s="7" t="n">
        <v>0.253</v>
      </c>
      <c r="U1818" s="7" t="n">
        <v>1</v>
      </c>
      <c r="V1818" s="7" t="s">
        <v>90</v>
      </c>
      <c r="W1818" s="7"/>
      <c r="X1818" s="7" t="s">
        <v>11852</v>
      </c>
      <c r="Y1818" s="7" t="s">
        <v>11851</v>
      </c>
      <c r="Z1818" s="7"/>
      <c r="AA1818" s="7"/>
      <c r="AB1818" s="7"/>
      <c r="AC1818" s="7" t="n">
        <v>6</v>
      </c>
      <c r="AD1818" s="7" t="s">
        <v>1235</v>
      </c>
      <c r="AE1818" s="7" t="s">
        <v>744</v>
      </c>
      <c r="AF1818" s="7" t="s">
        <v>11849</v>
      </c>
      <c r="AG1818" s="7" t="s">
        <v>744</v>
      </c>
      <c r="AH1818" s="7" t="s">
        <v>11852</v>
      </c>
      <c r="AI1818" s="7"/>
      <c r="AJ1818" s="7"/>
      <c r="AK1818" s="7"/>
      <c r="AL1818" s="7"/>
      <c r="AM1818" s="7" t="s">
        <v>744</v>
      </c>
      <c r="AN1818" s="7" t="s">
        <v>11853</v>
      </c>
      <c r="AO1818" s="7" t="s">
        <v>744</v>
      </c>
      <c r="AP1818" s="7" t="s">
        <v>11850</v>
      </c>
      <c r="AQ1818" s="7" t="s">
        <v>744</v>
      </c>
      <c r="AR1818" s="7" t="s">
        <v>737</v>
      </c>
      <c r="AS1818" s="7"/>
      <c r="AT1818" s="7"/>
      <c r="AU1818" s="7"/>
      <c r="AV1818" s="7"/>
      <c r="AW1818" s="7" t="s">
        <v>744</v>
      </c>
      <c r="AX1818" s="7" t="s">
        <v>11851</v>
      </c>
      <c r="AY1818" s="7"/>
      <c r="AZ1818" s="7"/>
      <c r="BA1818" s="7"/>
      <c r="BB1818" s="7"/>
      <c r="BC1818" s="7"/>
      <c r="BD1818" s="7"/>
      <c r="BE1818" s="7" t="s">
        <v>127</v>
      </c>
      <c r="BF1818" s="8"/>
      <c r="BG1818" s="8"/>
      <c r="BH1818" s="8"/>
      <c r="BI1818" s="8"/>
      <c r="BJ1818" s="8"/>
      <c r="BK1818" s="8"/>
      <c r="BL1818" s="8"/>
      <c r="BM1818" s="8"/>
      <c r="BN1818" s="8"/>
      <c r="BO1818" s="8"/>
      <c r="BP1818" s="8"/>
      <c r="BQ1818" s="8"/>
      <c r="BR1818" s="8"/>
      <c r="BS1818" s="8"/>
    </row>
    <row r="1819" customFormat="false" ht="15" hidden="false" customHeight="false" outlineLevel="0" collapsed="false">
      <c r="A1819" s="7" t="s">
        <v>11854</v>
      </c>
      <c r="B1819" s="7" t="s">
        <v>11855</v>
      </c>
      <c r="C1819" s="7" t="s">
        <v>11856</v>
      </c>
      <c r="D1819" s="7" t="s">
        <v>11857</v>
      </c>
      <c r="E1819" s="7" t="s">
        <v>1966</v>
      </c>
      <c r="F1819" s="7" t="s">
        <v>1966</v>
      </c>
      <c r="G1819" s="7"/>
      <c r="H1819" s="7"/>
      <c r="I1819" s="7" t="s">
        <v>300</v>
      </c>
      <c r="J1819" s="7" t="s">
        <v>104</v>
      </c>
      <c r="K1819" s="7" t="s">
        <v>105</v>
      </c>
      <c r="L1819" s="7" t="s">
        <v>106</v>
      </c>
      <c r="M1819" s="7"/>
      <c r="N1819" s="7" t="s">
        <v>11858</v>
      </c>
      <c r="O1819" s="7"/>
      <c r="P1819" s="7" t="s">
        <v>135</v>
      </c>
      <c r="Q1819" s="7"/>
      <c r="R1819" s="7" t="s">
        <v>135</v>
      </c>
      <c r="S1819" s="7" t="s">
        <v>136</v>
      </c>
      <c r="T1819" s="7" t="n">
        <v>0.331</v>
      </c>
      <c r="U1819" s="7" t="n">
        <v>1</v>
      </c>
      <c r="V1819" s="7" t="s">
        <v>90</v>
      </c>
      <c r="W1819" s="7"/>
      <c r="X1819" s="7" t="s">
        <v>3889</v>
      </c>
      <c r="Y1819" s="7" t="s">
        <v>11858</v>
      </c>
      <c r="Z1819" s="7"/>
      <c r="AA1819" s="7"/>
      <c r="AB1819" s="7"/>
      <c r="AC1819" s="7" t="n">
        <v>6</v>
      </c>
      <c r="AD1819" s="7" t="s">
        <v>1235</v>
      </c>
      <c r="AE1819" s="7" t="s">
        <v>744</v>
      </c>
      <c r="AF1819" s="7" t="s">
        <v>11856</v>
      </c>
      <c r="AG1819" s="7" t="s">
        <v>744</v>
      </c>
      <c r="AH1819" s="7" t="s">
        <v>3889</v>
      </c>
      <c r="AI1819" s="7"/>
      <c r="AJ1819" s="7"/>
      <c r="AK1819" s="7"/>
      <c r="AL1819" s="7"/>
      <c r="AM1819" s="7" t="s">
        <v>744</v>
      </c>
      <c r="AN1819" s="7" t="s">
        <v>11859</v>
      </c>
      <c r="AO1819" s="7" t="s">
        <v>744</v>
      </c>
      <c r="AP1819" s="7" t="s">
        <v>11857</v>
      </c>
      <c r="AQ1819" s="7" t="s">
        <v>744</v>
      </c>
      <c r="AR1819" s="7" t="s">
        <v>1966</v>
      </c>
      <c r="AS1819" s="7"/>
      <c r="AT1819" s="7"/>
      <c r="AU1819" s="7"/>
      <c r="AV1819" s="7"/>
      <c r="AW1819" s="7" t="s">
        <v>744</v>
      </c>
      <c r="AX1819" s="7" t="s">
        <v>11858</v>
      </c>
      <c r="AY1819" s="7"/>
      <c r="AZ1819" s="7"/>
      <c r="BA1819" s="7"/>
      <c r="BB1819" s="7"/>
      <c r="BC1819" s="7"/>
      <c r="BD1819" s="7"/>
      <c r="BE1819" s="7" t="s">
        <v>127</v>
      </c>
      <c r="BF1819" s="8"/>
      <c r="BG1819" s="8"/>
      <c r="BH1819" s="8"/>
      <c r="BI1819" s="8"/>
      <c r="BJ1819" s="8"/>
      <c r="BK1819" s="8"/>
      <c r="BL1819" s="8"/>
      <c r="BM1819" s="8"/>
      <c r="BN1819" s="8"/>
      <c r="BO1819" s="8"/>
      <c r="BP1819" s="8"/>
      <c r="BQ1819" s="8"/>
      <c r="BR1819" s="8"/>
      <c r="BS1819" s="8"/>
    </row>
    <row r="1820" customFormat="false" ht="15" hidden="false" customHeight="false" outlineLevel="0" collapsed="false">
      <c r="A1820" s="7" t="s">
        <v>11860</v>
      </c>
      <c r="B1820" s="7" t="s">
        <v>11861</v>
      </c>
      <c r="C1820" s="7" t="s">
        <v>11862</v>
      </c>
      <c r="D1820" s="7" t="s">
        <v>11863</v>
      </c>
      <c r="E1820" s="7" t="s">
        <v>11864</v>
      </c>
      <c r="F1820" s="7" t="s">
        <v>101</v>
      </c>
      <c r="G1820" s="7"/>
      <c r="H1820" s="7"/>
      <c r="I1820" s="7" t="s">
        <v>300</v>
      </c>
      <c r="J1820" s="7" t="s">
        <v>104</v>
      </c>
      <c r="K1820" s="7" t="s">
        <v>105</v>
      </c>
      <c r="L1820" s="7" t="s">
        <v>106</v>
      </c>
      <c r="M1820" s="7"/>
      <c r="N1820" s="7" t="s">
        <v>11865</v>
      </c>
      <c r="O1820" s="7"/>
      <c r="P1820" s="7" t="s">
        <v>135</v>
      </c>
      <c r="Q1820" s="7"/>
      <c r="R1820" s="7" t="s">
        <v>135</v>
      </c>
      <c r="S1820" s="7" t="s">
        <v>136</v>
      </c>
      <c r="T1820" s="7" t="n">
        <v>0.365</v>
      </c>
      <c r="U1820" s="7" t="n">
        <v>1</v>
      </c>
      <c r="V1820" s="7" t="s">
        <v>90</v>
      </c>
      <c r="W1820" s="7"/>
      <c r="X1820" s="7" t="s">
        <v>9171</v>
      </c>
      <c r="Y1820" s="7" t="s">
        <v>11865</v>
      </c>
      <c r="Z1820" s="7"/>
      <c r="AA1820" s="7"/>
      <c r="AB1820" s="7"/>
      <c r="AC1820" s="7" t="n">
        <v>6</v>
      </c>
      <c r="AD1820" s="7" t="s">
        <v>1235</v>
      </c>
      <c r="AE1820" s="7" t="s">
        <v>744</v>
      </c>
      <c r="AF1820" s="7" t="s">
        <v>11862</v>
      </c>
      <c r="AG1820" s="7" t="s">
        <v>744</v>
      </c>
      <c r="AH1820" s="7" t="s">
        <v>9171</v>
      </c>
      <c r="AI1820" s="7"/>
      <c r="AJ1820" s="7"/>
      <c r="AK1820" s="7"/>
      <c r="AL1820" s="7"/>
      <c r="AM1820" s="7" t="s">
        <v>744</v>
      </c>
      <c r="AN1820" s="7" t="s">
        <v>11866</v>
      </c>
      <c r="AO1820" s="7" t="s">
        <v>744</v>
      </c>
      <c r="AP1820" s="7" t="s">
        <v>11863</v>
      </c>
      <c r="AQ1820" s="7" t="s">
        <v>744</v>
      </c>
      <c r="AR1820" s="7" t="s">
        <v>11864</v>
      </c>
      <c r="AS1820" s="7"/>
      <c r="AT1820" s="7"/>
      <c r="AU1820" s="7"/>
      <c r="AV1820" s="7"/>
      <c r="AW1820" s="7" t="s">
        <v>744</v>
      </c>
      <c r="AX1820" s="7" t="s">
        <v>11865</v>
      </c>
      <c r="AY1820" s="7"/>
      <c r="AZ1820" s="7"/>
      <c r="BA1820" s="7"/>
      <c r="BB1820" s="7"/>
      <c r="BC1820" s="7"/>
      <c r="BD1820" s="7"/>
      <c r="BE1820" s="7" t="s">
        <v>127</v>
      </c>
      <c r="BF1820" s="8"/>
      <c r="BG1820" s="8"/>
      <c r="BH1820" s="8"/>
      <c r="BI1820" s="8"/>
      <c r="BJ1820" s="8"/>
      <c r="BK1820" s="8"/>
      <c r="BL1820" s="8"/>
      <c r="BM1820" s="8"/>
      <c r="BN1820" s="8"/>
      <c r="BO1820" s="8"/>
      <c r="BP1820" s="8"/>
      <c r="BQ1820" s="8"/>
      <c r="BR1820" s="8"/>
      <c r="BS1820" s="8"/>
    </row>
    <row r="1821" customFormat="false" ht="15" hidden="false" customHeight="false" outlineLevel="0" collapsed="false">
      <c r="A1821" s="7" t="s">
        <v>11867</v>
      </c>
      <c r="B1821" s="7" t="s">
        <v>11868</v>
      </c>
      <c r="C1821" s="7" t="s">
        <v>11869</v>
      </c>
      <c r="D1821" s="7" t="s">
        <v>11870</v>
      </c>
      <c r="E1821" s="7"/>
      <c r="F1821" s="7" t="s">
        <v>101</v>
      </c>
      <c r="G1821" s="7"/>
      <c r="H1821" s="7"/>
      <c r="I1821" s="7" t="s">
        <v>132</v>
      </c>
      <c r="J1821" s="7" t="s">
        <v>104</v>
      </c>
      <c r="K1821" s="7" t="s">
        <v>105</v>
      </c>
      <c r="L1821" s="7" t="s">
        <v>106</v>
      </c>
      <c r="M1821" s="7"/>
      <c r="N1821" s="7" t="s">
        <v>11871</v>
      </c>
      <c r="O1821" s="7"/>
      <c r="P1821" s="7" t="s">
        <v>135</v>
      </c>
      <c r="Q1821" s="7"/>
      <c r="R1821" s="7" t="s">
        <v>135</v>
      </c>
      <c r="S1821" s="7" t="s">
        <v>136</v>
      </c>
      <c r="T1821" s="7" t="n">
        <v>0.457</v>
      </c>
      <c r="U1821" s="7" t="n">
        <v>1</v>
      </c>
      <c r="V1821" s="7" t="s">
        <v>90</v>
      </c>
      <c r="W1821" s="7"/>
      <c r="X1821" s="7" t="s">
        <v>11872</v>
      </c>
      <c r="Y1821" s="7" t="s">
        <v>11871</v>
      </c>
      <c r="Z1821" s="7"/>
      <c r="AA1821" s="7"/>
      <c r="AB1821" s="7"/>
      <c r="AC1821" s="7" t="n">
        <v>4</v>
      </c>
      <c r="AD1821" s="7" t="s">
        <v>7611</v>
      </c>
      <c r="AE1821" s="7" t="s">
        <v>744</v>
      </c>
      <c r="AF1821" s="7" t="s">
        <v>11869</v>
      </c>
      <c r="AG1821" s="7" t="s">
        <v>744</v>
      </c>
      <c r="AH1821" s="7" t="s">
        <v>11872</v>
      </c>
      <c r="AI1821" s="7"/>
      <c r="AJ1821" s="7"/>
      <c r="AK1821" s="7"/>
      <c r="AL1821" s="7"/>
      <c r="AM1821" s="7"/>
      <c r="AN1821" s="7"/>
      <c r="AO1821" s="7" t="s">
        <v>744</v>
      </c>
      <c r="AP1821" s="7" t="s">
        <v>11870</v>
      </c>
      <c r="AQ1821" s="7"/>
      <c r="AR1821" s="7"/>
      <c r="AS1821" s="7"/>
      <c r="AT1821" s="7"/>
      <c r="AU1821" s="7"/>
      <c r="AV1821" s="7"/>
      <c r="AW1821" s="7" t="s">
        <v>744</v>
      </c>
      <c r="AX1821" s="7" t="s">
        <v>11871</v>
      </c>
      <c r="AY1821" s="7"/>
      <c r="AZ1821" s="7"/>
      <c r="BA1821" s="7"/>
      <c r="BB1821" s="7"/>
      <c r="BC1821" s="7"/>
      <c r="BD1821" s="7"/>
      <c r="BE1821" s="7" t="s">
        <v>127</v>
      </c>
      <c r="BF1821" s="8"/>
      <c r="BG1821" s="8"/>
      <c r="BH1821" s="8"/>
      <c r="BI1821" s="8"/>
      <c r="BJ1821" s="8"/>
      <c r="BK1821" s="8"/>
      <c r="BL1821" s="8"/>
      <c r="BM1821" s="8"/>
      <c r="BN1821" s="8"/>
      <c r="BO1821" s="8"/>
      <c r="BP1821" s="8"/>
      <c r="BQ1821" s="8"/>
      <c r="BR1821" s="8"/>
      <c r="BS1821" s="8"/>
    </row>
    <row r="1822" customFormat="false" ht="15" hidden="false" customHeight="false" outlineLevel="0" collapsed="false">
      <c r="A1822" s="7" t="s">
        <v>11873</v>
      </c>
      <c r="B1822" s="7" t="s">
        <v>11874</v>
      </c>
      <c r="C1822" s="7" t="s">
        <v>11875</v>
      </c>
      <c r="D1822" s="7" t="s">
        <v>11876</v>
      </c>
      <c r="E1822" s="7"/>
      <c r="F1822" s="7" t="s">
        <v>101</v>
      </c>
      <c r="G1822" s="7"/>
      <c r="H1822" s="7"/>
      <c r="I1822" s="7" t="s">
        <v>132</v>
      </c>
      <c r="J1822" s="7" t="s">
        <v>104</v>
      </c>
      <c r="K1822" s="7" t="s">
        <v>105</v>
      </c>
      <c r="L1822" s="7" t="s">
        <v>106</v>
      </c>
      <c r="M1822" s="7"/>
      <c r="N1822" s="7" t="s">
        <v>11877</v>
      </c>
      <c r="O1822" s="7"/>
      <c r="P1822" s="7" t="s">
        <v>135</v>
      </c>
      <c r="Q1822" s="7"/>
      <c r="R1822" s="7" t="s">
        <v>135</v>
      </c>
      <c r="S1822" s="7" t="s">
        <v>136</v>
      </c>
      <c r="T1822" s="7" t="n">
        <v>0.302</v>
      </c>
      <c r="U1822" s="7" t="n">
        <v>1</v>
      </c>
      <c r="V1822" s="7" t="s">
        <v>90</v>
      </c>
      <c r="W1822" s="7"/>
      <c r="X1822" s="7" t="s">
        <v>11872</v>
      </c>
      <c r="Y1822" s="7" t="s">
        <v>11877</v>
      </c>
      <c r="Z1822" s="7"/>
      <c r="AA1822" s="7"/>
      <c r="AB1822" s="7"/>
      <c r="AC1822" s="7" t="n">
        <v>5</v>
      </c>
      <c r="AD1822" s="7" t="s">
        <v>1897</v>
      </c>
      <c r="AE1822" s="7" t="s">
        <v>744</v>
      </c>
      <c r="AF1822" s="7" t="s">
        <v>11875</v>
      </c>
      <c r="AG1822" s="7" t="s">
        <v>744</v>
      </c>
      <c r="AH1822" s="7" t="s">
        <v>11872</v>
      </c>
      <c r="AI1822" s="7"/>
      <c r="AJ1822" s="7"/>
      <c r="AK1822" s="7"/>
      <c r="AL1822" s="7"/>
      <c r="AM1822" s="7" t="s">
        <v>744</v>
      </c>
      <c r="AN1822" s="7" t="s">
        <v>11878</v>
      </c>
      <c r="AO1822" s="7" t="s">
        <v>744</v>
      </c>
      <c r="AP1822" s="7" t="s">
        <v>11876</v>
      </c>
      <c r="AQ1822" s="7"/>
      <c r="AR1822" s="7"/>
      <c r="AS1822" s="7"/>
      <c r="AT1822" s="7"/>
      <c r="AU1822" s="7"/>
      <c r="AV1822" s="7"/>
      <c r="AW1822" s="7" t="s">
        <v>744</v>
      </c>
      <c r="AX1822" s="7" t="s">
        <v>11877</v>
      </c>
      <c r="AY1822" s="7"/>
      <c r="AZ1822" s="7"/>
      <c r="BA1822" s="7"/>
      <c r="BB1822" s="7"/>
      <c r="BC1822" s="7"/>
      <c r="BD1822" s="7" t="s">
        <v>11879</v>
      </c>
      <c r="BE1822" s="7" t="s">
        <v>127</v>
      </c>
      <c r="BF1822" s="8"/>
      <c r="BG1822" s="8"/>
      <c r="BH1822" s="8"/>
      <c r="BI1822" s="8"/>
      <c r="BJ1822" s="8"/>
      <c r="BK1822" s="8"/>
      <c r="BL1822" s="8"/>
      <c r="BM1822" s="8"/>
      <c r="BN1822" s="8"/>
      <c r="BO1822" s="8"/>
      <c r="BP1822" s="8"/>
      <c r="BQ1822" s="8"/>
      <c r="BR1822" s="8"/>
      <c r="BS1822" s="8"/>
    </row>
    <row r="1823" customFormat="false" ht="15" hidden="false" customHeight="false" outlineLevel="0" collapsed="false">
      <c r="A1823" s="7" t="s">
        <v>11880</v>
      </c>
      <c r="B1823" s="7" t="s">
        <v>11881</v>
      </c>
      <c r="C1823" s="7" t="s">
        <v>11882</v>
      </c>
      <c r="D1823" s="7" t="s">
        <v>11876</v>
      </c>
      <c r="E1823" s="7"/>
      <c r="F1823" s="7" t="s">
        <v>101</v>
      </c>
      <c r="G1823" s="7"/>
      <c r="H1823" s="7"/>
      <c r="I1823" s="7" t="s">
        <v>132</v>
      </c>
      <c r="J1823" s="7" t="s">
        <v>104</v>
      </c>
      <c r="K1823" s="7" t="s">
        <v>105</v>
      </c>
      <c r="L1823" s="7" t="s">
        <v>106</v>
      </c>
      <c r="M1823" s="7"/>
      <c r="N1823" s="7" t="s">
        <v>11883</v>
      </c>
      <c r="O1823" s="7"/>
      <c r="P1823" s="7" t="s">
        <v>135</v>
      </c>
      <c r="Q1823" s="7"/>
      <c r="R1823" s="7" t="s">
        <v>135</v>
      </c>
      <c r="S1823" s="7" t="s">
        <v>136</v>
      </c>
      <c r="T1823" s="7" t="n">
        <v>0.499</v>
      </c>
      <c r="U1823" s="7" t="n">
        <v>1</v>
      </c>
      <c r="V1823" s="7" t="s">
        <v>90</v>
      </c>
      <c r="W1823" s="7"/>
      <c r="X1823" s="7" t="s">
        <v>5534</v>
      </c>
      <c r="Y1823" s="7" t="s">
        <v>11883</v>
      </c>
      <c r="Z1823" s="7"/>
      <c r="AA1823" s="7"/>
      <c r="AB1823" s="7"/>
      <c r="AC1823" s="7" t="n">
        <v>5</v>
      </c>
      <c r="AD1823" s="7" t="s">
        <v>1897</v>
      </c>
      <c r="AE1823" s="7" t="s">
        <v>744</v>
      </c>
      <c r="AF1823" s="7" t="s">
        <v>11882</v>
      </c>
      <c r="AG1823" s="7" t="s">
        <v>744</v>
      </c>
      <c r="AH1823" s="7" t="s">
        <v>5534</v>
      </c>
      <c r="AI1823" s="7"/>
      <c r="AJ1823" s="7"/>
      <c r="AK1823" s="7"/>
      <c r="AL1823" s="7"/>
      <c r="AM1823" s="7" t="s">
        <v>744</v>
      </c>
      <c r="AN1823" s="7" t="s">
        <v>11884</v>
      </c>
      <c r="AO1823" s="7" t="s">
        <v>744</v>
      </c>
      <c r="AP1823" s="7" t="s">
        <v>11876</v>
      </c>
      <c r="AQ1823" s="7"/>
      <c r="AR1823" s="7"/>
      <c r="AS1823" s="7"/>
      <c r="AT1823" s="7"/>
      <c r="AU1823" s="7"/>
      <c r="AV1823" s="7"/>
      <c r="AW1823" s="7" t="s">
        <v>744</v>
      </c>
      <c r="AX1823" s="7" t="s">
        <v>11883</v>
      </c>
      <c r="AY1823" s="7"/>
      <c r="AZ1823" s="7"/>
      <c r="BA1823" s="7"/>
      <c r="BB1823" s="7"/>
      <c r="BC1823" s="7"/>
      <c r="BD1823" s="7" t="s">
        <v>11879</v>
      </c>
      <c r="BE1823" s="7" t="s">
        <v>127</v>
      </c>
      <c r="BF1823" s="8"/>
      <c r="BG1823" s="8"/>
      <c r="BH1823" s="8"/>
      <c r="BI1823" s="8"/>
      <c r="BJ1823" s="8"/>
      <c r="BK1823" s="8"/>
      <c r="BL1823" s="8"/>
      <c r="BM1823" s="8"/>
      <c r="BN1823" s="8"/>
      <c r="BO1823" s="8"/>
      <c r="BP1823" s="8"/>
      <c r="BQ1823" s="8"/>
      <c r="BR1823" s="8"/>
      <c r="BS1823" s="8"/>
    </row>
    <row r="1824" customFormat="false" ht="15" hidden="false" customHeight="false" outlineLevel="0" collapsed="false">
      <c r="A1824" s="7" t="s">
        <v>11885</v>
      </c>
      <c r="B1824" s="7" t="s">
        <v>11886</v>
      </c>
      <c r="C1824" s="7" t="s">
        <v>11887</v>
      </c>
      <c r="D1824" s="7" t="s">
        <v>11888</v>
      </c>
      <c r="E1824" s="7"/>
      <c r="F1824" s="7" t="s">
        <v>101</v>
      </c>
      <c r="G1824" s="7"/>
      <c r="H1824" s="7"/>
      <c r="I1824" s="7" t="s">
        <v>132</v>
      </c>
      <c r="J1824" s="7" t="s">
        <v>104</v>
      </c>
      <c r="K1824" s="7" t="s">
        <v>105</v>
      </c>
      <c r="L1824" s="7" t="s">
        <v>106</v>
      </c>
      <c r="M1824" s="7"/>
      <c r="N1824" s="7" t="s">
        <v>11889</v>
      </c>
      <c r="O1824" s="7"/>
      <c r="P1824" s="7" t="s">
        <v>135</v>
      </c>
      <c r="Q1824" s="7"/>
      <c r="R1824" s="7" t="s">
        <v>135</v>
      </c>
      <c r="S1824" s="7" t="s">
        <v>136</v>
      </c>
      <c r="T1824" s="7" t="n">
        <v>0.296</v>
      </c>
      <c r="U1824" s="7" t="n">
        <v>1</v>
      </c>
      <c r="V1824" s="7" t="s">
        <v>90</v>
      </c>
      <c r="W1824" s="7"/>
      <c r="X1824" s="7" t="s">
        <v>5534</v>
      </c>
      <c r="Y1824" s="7" t="s">
        <v>11889</v>
      </c>
      <c r="Z1824" s="7"/>
      <c r="AA1824" s="7"/>
      <c r="AB1824" s="7"/>
      <c r="AC1824" s="7" t="n">
        <v>5</v>
      </c>
      <c r="AD1824" s="7" t="s">
        <v>1897</v>
      </c>
      <c r="AE1824" s="7" t="s">
        <v>744</v>
      </c>
      <c r="AF1824" s="7" t="s">
        <v>11887</v>
      </c>
      <c r="AG1824" s="7" t="s">
        <v>744</v>
      </c>
      <c r="AH1824" s="7" t="s">
        <v>5534</v>
      </c>
      <c r="AI1824" s="7"/>
      <c r="AJ1824" s="7"/>
      <c r="AK1824" s="7"/>
      <c r="AL1824" s="7"/>
      <c r="AM1824" s="7" t="s">
        <v>744</v>
      </c>
      <c r="AN1824" s="7" t="s">
        <v>11890</v>
      </c>
      <c r="AO1824" s="7" t="s">
        <v>744</v>
      </c>
      <c r="AP1824" s="7" t="s">
        <v>11888</v>
      </c>
      <c r="AQ1824" s="7"/>
      <c r="AR1824" s="7"/>
      <c r="AS1824" s="7"/>
      <c r="AT1824" s="7"/>
      <c r="AU1824" s="7"/>
      <c r="AV1824" s="7"/>
      <c r="AW1824" s="7" t="s">
        <v>744</v>
      </c>
      <c r="AX1824" s="7" t="s">
        <v>11889</v>
      </c>
      <c r="AY1824" s="7"/>
      <c r="AZ1824" s="7"/>
      <c r="BA1824" s="7"/>
      <c r="BB1824" s="7"/>
      <c r="BC1824" s="7"/>
      <c r="BD1824" s="7"/>
      <c r="BE1824" s="7" t="s">
        <v>127</v>
      </c>
      <c r="BF1824" s="8"/>
      <c r="BG1824" s="8"/>
      <c r="BH1824" s="8"/>
      <c r="BI1824" s="8"/>
      <c r="BJ1824" s="8"/>
      <c r="BK1824" s="8"/>
      <c r="BL1824" s="8"/>
      <c r="BM1824" s="8"/>
      <c r="BN1824" s="8"/>
      <c r="BO1824" s="8"/>
      <c r="BP1824" s="8"/>
      <c r="BQ1824" s="8"/>
      <c r="BR1824" s="8"/>
      <c r="BS1824" s="8"/>
    </row>
    <row r="1825" customFormat="false" ht="15" hidden="false" customHeight="false" outlineLevel="0" collapsed="false">
      <c r="A1825" s="7" t="s">
        <v>11891</v>
      </c>
      <c r="B1825" s="7" t="s">
        <v>11892</v>
      </c>
      <c r="C1825" s="7" t="s">
        <v>11893</v>
      </c>
      <c r="D1825" s="7" t="s">
        <v>11894</v>
      </c>
      <c r="E1825" s="7"/>
      <c r="F1825" s="7" t="s">
        <v>101</v>
      </c>
      <c r="G1825" s="7"/>
      <c r="H1825" s="7"/>
      <c r="I1825" s="7" t="s">
        <v>132</v>
      </c>
      <c r="J1825" s="7" t="s">
        <v>104</v>
      </c>
      <c r="K1825" s="7" t="s">
        <v>105</v>
      </c>
      <c r="L1825" s="7" t="s">
        <v>106</v>
      </c>
      <c r="M1825" s="7"/>
      <c r="N1825" s="7" t="s">
        <v>11895</v>
      </c>
      <c r="O1825" s="7"/>
      <c r="P1825" s="7" t="s">
        <v>135</v>
      </c>
      <c r="Q1825" s="7"/>
      <c r="R1825" s="7" t="s">
        <v>135</v>
      </c>
      <c r="S1825" s="7" t="s">
        <v>136</v>
      </c>
      <c r="T1825" s="7" t="n">
        <v>0.409</v>
      </c>
      <c r="U1825" s="7" t="n">
        <v>1</v>
      </c>
      <c r="V1825" s="7" t="s">
        <v>90</v>
      </c>
      <c r="W1825" s="7"/>
      <c r="X1825" s="7" t="s">
        <v>2377</v>
      </c>
      <c r="Y1825" s="7" t="s">
        <v>11895</v>
      </c>
      <c r="Z1825" s="7"/>
      <c r="AA1825" s="7"/>
      <c r="AB1825" s="7"/>
      <c r="AC1825" s="7" t="n">
        <v>5</v>
      </c>
      <c r="AD1825" s="7" t="s">
        <v>1897</v>
      </c>
      <c r="AE1825" s="7" t="s">
        <v>744</v>
      </c>
      <c r="AF1825" s="7" t="s">
        <v>11893</v>
      </c>
      <c r="AG1825" s="7" t="s">
        <v>744</v>
      </c>
      <c r="AH1825" s="7" t="s">
        <v>2377</v>
      </c>
      <c r="AI1825" s="7"/>
      <c r="AJ1825" s="7"/>
      <c r="AK1825" s="7"/>
      <c r="AL1825" s="7"/>
      <c r="AM1825" s="7" t="s">
        <v>744</v>
      </c>
      <c r="AN1825" s="7" t="s">
        <v>11896</v>
      </c>
      <c r="AO1825" s="7" t="s">
        <v>744</v>
      </c>
      <c r="AP1825" s="7" t="s">
        <v>11894</v>
      </c>
      <c r="AQ1825" s="7"/>
      <c r="AR1825" s="7"/>
      <c r="AS1825" s="7"/>
      <c r="AT1825" s="7"/>
      <c r="AU1825" s="7"/>
      <c r="AV1825" s="7"/>
      <c r="AW1825" s="7" t="s">
        <v>744</v>
      </c>
      <c r="AX1825" s="7" t="s">
        <v>11895</v>
      </c>
      <c r="AY1825" s="7"/>
      <c r="AZ1825" s="7"/>
      <c r="BA1825" s="7"/>
      <c r="BB1825" s="7"/>
      <c r="BC1825" s="7"/>
      <c r="BD1825" s="7"/>
      <c r="BE1825" s="7" t="s">
        <v>127</v>
      </c>
      <c r="BF1825" s="8"/>
      <c r="BG1825" s="8"/>
      <c r="BH1825" s="8"/>
      <c r="BI1825" s="8"/>
      <c r="BJ1825" s="8"/>
      <c r="BK1825" s="8"/>
      <c r="BL1825" s="8"/>
      <c r="BM1825" s="8"/>
      <c r="BN1825" s="8"/>
      <c r="BO1825" s="8"/>
      <c r="BP1825" s="8"/>
      <c r="BQ1825" s="8"/>
      <c r="BR1825" s="8"/>
      <c r="BS1825" s="8"/>
    </row>
    <row r="1826" customFormat="false" ht="15" hidden="false" customHeight="false" outlineLevel="0" collapsed="false">
      <c r="A1826" s="7" t="s">
        <v>11897</v>
      </c>
      <c r="B1826" s="7" t="s">
        <v>11898</v>
      </c>
      <c r="C1826" s="7" t="s">
        <v>11899</v>
      </c>
      <c r="D1826" s="7" t="s">
        <v>11900</v>
      </c>
      <c r="E1826" s="7"/>
      <c r="F1826" s="7" t="s">
        <v>101</v>
      </c>
      <c r="G1826" s="7"/>
      <c r="H1826" s="7"/>
      <c r="I1826" s="7" t="s">
        <v>132</v>
      </c>
      <c r="J1826" s="7" t="s">
        <v>104</v>
      </c>
      <c r="K1826" s="7" t="s">
        <v>105</v>
      </c>
      <c r="L1826" s="7" t="s">
        <v>106</v>
      </c>
      <c r="M1826" s="7"/>
      <c r="N1826" s="7" t="s">
        <v>11901</v>
      </c>
      <c r="O1826" s="7"/>
      <c r="P1826" s="7" t="s">
        <v>135</v>
      </c>
      <c r="Q1826" s="7"/>
      <c r="R1826" s="7" t="s">
        <v>135</v>
      </c>
      <c r="S1826" s="7" t="s">
        <v>136</v>
      </c>
      <c r="T1826" s="7" t="n">
        <v>0.548</v>
      </c>
      <c r="U1826" s="7" t="n">
        <v>1</v>
      </c>
      <c r="V1826" s="7" t="s">
        <v>90</v>
      </c>
      <c r="W1826" s="7"/>
      <c r="X1826" s="7" t="s">
        <v>1276</v>
      </c>
      <c r="Y1826" s="7" t="s">
        <v>11901</v>
      </c>
      <c r="Z1826" s="7"/>
      <c r="AA1826" s="7"/>
      <c r="AB1826" s="7"/>
      <c r="AC1826" s="7" t="n">
        <v>5</v>
      </c>
      <c r="AD1826" s="7" t="s">
        <v>1897</v>
      </c>
      <c r="AE1826" s="7" t="s">
        <v>744</v>
      </c>
      <c r="AF1826" s="7" t="s">
        <v>11899</v>
      </c>
      <c r="AG1826" s="7" t="s">
        <v>744</v>
      </c>
      <c r="AH1826" s="7" t="s">
        <v>1276</v>
      </c>
      <c r="AI1826" s="7"/>
      <c r="AJ1826" s="7"/>
      <c r="AK1826" s="7"/>
      <c r="AL1826" s="7"/>
      <c r="AM1826" s="7" t="s">
        <v>744</v>
      </c>
      <c r="AN1826" s="7" t="s">
        <v>11902</v>
      </c>
      <c r="AO1826" s="7" t="s">
        <v>744</v>
      </c>
      <c r="AP1826" s="7" t="s">
        <v>11900</v>
      </c>
      <c r="AQ1826" s="7"/>
      <c r="AR1826" s="7"/>
      <c r="AS1826" s="7"/>
      <c r="AT1826" s="7"/>
      <c r="AU1826" s="7"/>
      <c r="AV1826" s="7"/>
      <c r="AW1826" s="7" t="s">
        <v>744</v>
      </c>
      <c r="AX1826" s="7" t="s">
        <v>11901</v>
      </c>
      <c r="AY1826" s="7"/>
      <c r="AZ1826" s="7"/>
      <c r="BA1826" s="7"/>
      <c r="BB1826" s="7"/>
      <c r="BC1826" s="7"/>
      <c r="BD1826" s="7"/>
      <c r="BE1826" s="7" t="s">
        <v>127</v>
      </c>
      <c r="BF1826" s="8"/>
      <c r="BG1826" s="8"/>
      <c r="BH1826" s="8"/>
      <c r="BI1826" s="8"/>
      <c r="BJ1826" s="8"/>
      <c r="BK1826" s="8"/>
      <c r="BL1826" s="8"/>
      <c r="BM1826" s="8"/>
      <c r="BN1826" s="8"/>
      <c r="BO1826" s="8"/>
      <c r="BP1826" s="8"/>
      <c r="BQ1826" s="8"/>
      <c r="BR1826" s="8"/>
      <c r="BS1826" s="8"/>
    </row>
    <row r="1827" customFormat="false" ht="15" hidden="false" customHeight="false" outlineLevel="0" collapsed="false">
      <c r="A1827" s="7" t="s">
        <v>11903</v>
      </c>
      <c r="B1827" s="7" t="s">
        <v>11904</v>
      </c>
      <c r="C1827" s="7" t="s">
        <v>11905</v>
      </c>
      <c r="D1827" s="7" t="s">
        <v>11779</v>
      </c>
      <c r="E1827" s="7"/>
      <c r="F1827" s="7" t="s">
        <v>101</v>
      </c>
      <c r="G1827" s="7"/>
      <c r="H1827" s="7"/>
      <c r="I1827" s="7" t="s">
        <v>132</v>
      </c>
      <c r="J1827" s="7" t="s">
        <v>104</v>
      </c>
      <c r="K1827" s="7" t="s">
        <v>105</v>
      </c>
      <c r="L1827" s="7" t="s">
        <v>106</v>
      </c>
      <c r="M1827" s="7"/>
      <c r="N1827" s="7" t="s">
        <v>11906</v>
      </c>
      <c r="O1827" s="7"/>
      <c r="P1827" s="7" t="s">
        <v>135</v>
      </c>
      <c r="Q1827" s="7"/>
      <c r="R1827" s="7" t="s">
        <v>135</v>
      </c>
      <c r="S1827" s="7" t="s">
        <v>136</v>
      </c>
      <c r="T1827" s="7" t="n">
        <v>0.251</v>
      </c>
      <c r="U1827" s="7" t="n">
        <v>1</v>
      </c>
      <c r="V1827" s="7" t="s">
        <v>90</v>
      </c>
      <c r="W1827" s="7"/>
      <c r="X1827" s="7" t="s">
        <v>4647</v>
      </c>
      <c r="Y1827" s="7" t="s">
        <v>11906</v>
      </c>
      <c r="Z1827" s="7"/>
      <c r="AA1827" s="7"/>
      <c r="AB1827" s="7"/>
      <c r="AC1827" s="7" t="n">
        <v>5</v>
      </c>
      <c r="AD1827" s="7" t="s">
        <v>1897</v>
      </c>
      <c r="AE1827" s="7" t="s">
        <v>744</v>
      </c>
      <c r="AF1827" s="7" t="s">
        <v>11905</v>
      </c>
      <c r="AG1827" s="7" t="s">
        <v>744</v>
      </c>
      <c r="AH1827" s="7" t="s">
        <v>4647</v>
      </c>
      <c r="AI1827" s="7"/>
      <c r="AJ1827" s="7"/>
      <c r="AK1827" s="7"/>
      <c r="AL1827" s="7"/>
      <c r="AM1827" s="7" t="s">
        <v>744</v>
      </c>
      <c r="AN1827" s="7" t="s">
        <v>11907</v>
      </c>
      <c r="AO1827" s="7" t="s">
        <v>744</v>
      </c>
      <c r="AP1827" s="7" t="s">
        <v>11779</v>
      </c>
      <c r="AQ1827" s="7"/>
      <c r="AR1827" s="7"/>
      <c r="AS1827" s="7"/>
      <c r="AT1827" s="7"/>
      <c r="AU1827" s="7"/>
      <c r="AV1827" s="7"/>
      <c r="AW1827" s="7" t="s">
        <v>744</v>
      </c>
      <c r="AX1827" s="7" t="s">
        <v>11906</v>
      </c>
      <c r="AY1827" s="7"/>
      <c r="AZ1827" s="7"/>
      <c r="BA1827" s="7"/>
      <c r="BB1827" s="7"/>
      <c r="BC1827" s="7"/>
      <c r="BD1827" s="7" t="s">
        <v>1400</v>
      </c>
      <c r="BE1827" s="7" t="s">
        <v>127</v>
      </c>
      <c r="BF1827" s="8"/>
      <c r="BG1827" s="8"/>
      <c r="BH1827" s="8"/>
      <c r="BI1827" s="8"/>
      <c r="BJ1827" s="8"/>
      <c r="BK1827" s="8"/>
      <c r="BL1827" s="8"/>
      <c r="BM1827" s="8"/>
      <c r="BN1827" s="8"/>
      <c r="BO1827" s="8"/>
      <c r="BP1827" s="8"/>
      <c r="BQ1827" s="8"/>
      <c r="BR1827" s="8"/>
      <c r="BS1827" s="8"/>
    </row>
    <row r="1828" customFormat="false" ht="15" hidden="false" customHeight="false" outlineLevel="0" collapsed="false">
      <c r="A1828" s="7" t="s">
        <v>11908</v>
      </c>
      <c r="B1828" s="7" t="s">
        <v>11909</v>
      </c>
      <c r="C1828" s="7" t="s">
        <v>11910</v>
      </c>
      <c r="D1828" s="7" t="s">
        <v>11911</v>
      </c>
      <c r="E1828" s="7"/>
      <c r="F1828" s="7" t="s">
        <v>101</v>
      </c>
      <c r="G1828" s="7"/>
      <c r="H1828" s="7"/>
      <c r="I1828" s="7" t="s">
        <v>132</v>
      </c>
      <c r="J1828" s="7" t="s">
        <v>104</v>
      </c>
      <c r="K1828" s="7" t="s">
        <v>105</v>
      </c>
      <c r="L1828" s="7" t="s">
        <v>106</v>
      </c>
      <c r="M1828" s="7"/>
      <c r="N1828" s="7" t="s">
        <v>11912</v>
      </c>
      <c r="O1828" s="7"/>
      <c r="P1828" s="7" t="s">
        <v>135</v>
      </c>
      <c r="Q1828" s="7"/>
      <c r="R1828" s="7" t="s">
        <v>135</v>
      </c>
      <c r="S1828" s="7" t="s">
        <v>136</v>
      </c>
      <c r="T1828" s="7" t="n">
        <v>0.499</v>
      </c>
      <c r="U1828" s="7" t="n">
        <v>1</v>
      </c>
      <c r="V1828" s="7" t="s">
        <v>90</v>
      </c>
      <c r="W1828" s="7"/>
      <c r="X1828" s="7" t="s">
        <v>162</v>
      </c>
      <c r="Y1828" s="7" t="s">
        <v>11912</v>
      </c>
      <c r="Z1828" s="7"/>
      <c r="AA1828" s="7"/>
      <c r="AB1828" s="7"/>
      <c r="AC1828" s="7" t="n">
        <v>5</v>
      </c>
      <c r="AD1828" s="7" t="s">
        <v>1897</v>
      </c>
      <c r="AE1828" s="7" t="s">
        <v>744</v>
      </c>
      <c r="AF1828" s="7" t="s">
        <v>11910</v>
      </c>
      <c r="AG1828" s="7" t="s">
        <v>744</v>
      </c>
      <c r="AH1828" s="7" t="s">
        <v>162</v>
      </c>
      <c r="AI1828" s="7"/>
      <c r="AJ1828" s="7"/>
      <c r="AK1828" s="7"/>
      <c r="AL1828" s="7"/>
      <c r="AM1828" s="7" t="s">
        <v>744</v>
      </c>
      <c r="AN1828" s="7" t="s">
        <v>11913</v>
      </c>
      <c r="AO1828" s="7" t="s">
        <v>744</v>
      </c>
      <c r="AP1828" s="7" t="s">
        <v>11911</v>
      </c>
      <c r="AQ1828" s="7"/>
      <c r="AR1828" s="7"/>
      <c r="AS1828" s="7"/>
      <c r="AT1828" s="7"/>
      <c r="AU1828" s="7"/>
      <c r="AV1828" s="7"/>
      <c r="AW1828" s="7" t="s">
        <v>744</v>
      </c>
      <c r="AX1828" s="7" t="s">
        <v>11912</v>
      </c>
      <c r="AY1828" s="7"/>
      <c r="AZ1828" s="7"/>
      <c r="BA1828" s="7"/>
      <c r="BB1828" s="7"/>
      <c r="BC1828" s="7"/>
      <c r="BD1828" s="7"/>
      <c r="BE1828" s="7" t="s">
        <v>127</v>
      </c>
      <c r="BF1828" s="8"/>
      <c r="BG1828" s="8"/>
      <c r="BH1828" s="8"/>
      <c r="BI1828" s="8"/>
      <c r="BJ1828" s="8"/>
      <c r="BK1828" s="8"/>
      <c r="BL1828" s="8"/>
      <c r="BM1828" s="8"/>
      <c r="BN1828" s="8"/>
      <c r="BO1828" s="8"/>
      <c r="BP1828" s="8"/>
      <c r="BQ1828" s="8"/>
      <c r="BR1828" s="8"/>
      <c r="BS1828" s="8"/>
    </row>
    <row r="1829" customFormat="false" ht="15" hidden="false" customHeight="false" outlineLevel="0" collapsed="false">
      <c r="A1829" s="7" t="s">
        <v>11914</v>
      </c>
      <c r="B1829" s="7" t="s">
        <v>11915</v>
      </c>
      <c r="C1829" s="7" t="s">
        <v>11916</v>
      </c>
      <c r="D1829" s="7" t="s">
        <v>397</v>
      </c>
      <c r="E1829" s="7"/>
      <c r="F1829" s="7" t="s">
        <v>101</v>
      </c>
      <c r="G1829" s="7"/>
      <c r="H1829" s="7"/>
      <c r="I1829" s="7" t="s">
        <v>1726</v>
      </c>
      <c r="J1829" s="7" t="s">
        <v>104</v>
      </c>
      <c r="K1829" s="7" t="s">
        <v>105</v>
      </c>
      <c r="L1829" s="7" t="s">
        <v>106</v>
      </c>
      <c r="M1829" s="7"/>
      <c r="N1829" s="7" t="s">
        <v>11917</v>
      </c>
      <c r="O1829" s="7"/>
      <c r="P1829" s="7" t="s">
        <v>135</v>
      </c>
      <c r="Q1829" s="7"/>
      <c r="R1829" s="7" t="s">
        <v>135</v>
      </c>
      <c r="S1829" s="7" t="s">
        <v>136</v>
      </c>
      <c r="T1829" s="7" t="n">
        <v>0.624</v>
      </c>
      <c r="U1829" s="7" t="n">
        <v>1</v>
      </c>
      <c r="V1829" s="7" t="s">
        <v>90</v>
      </c>
      <c r="W1829" s="7"/>
      <c r="X1829" s="7" t="s">
        <v>3653</v>
      </c>
      <c r="Y1829" s="7" t="s">
        <v>11917</v>
      </c>
      <c r="Z1829" s="7"/>
      <c r="AA1829" s="7"/>
      <c r="AB1829" s="7"/>
      <c r="AC1829" s="7" t="n">
        <v>5</v>
      </c>
      <c r="AD1829" s="7" t="s">
        <v>1897</v>
      </c>
      <c r="AE1829" s="7" t="s">
        <v>744</v>
      </c>
      <c r="AF1829" s="7" t="s">
        <v>11916</v>
      </c>
      <c r="AG1829" s="7" t="s">
        <v>744</v>
      </c>
      <c r="AH1829" s="7" t="s">
        <v>3653</v>
      </c>
      <c r="AI1829" s="7"/>
      <c r="AJ1829" s="7"/>
      <c r="AK1829" s="7"/>
      <c r="AL1829" s="7"/>
      <c r="AM1829" s="7" t="s">
        <v>744</v>
      </c>
      <c r="AN1829" s="7" t="s">
        <v>11918</v>
      </c>
      <c r="AO1829" s="7" t="s">
        <v>744</v>
      </c>
      <c r="AP1829" s="7" t="s">
        <v>397</v>
      </c>
      <c r="AQ1829" s="7"/>
      <c r="AR1829" s="7"/>
      <c r="AS1829" s="7"/>
      <c r="AT1829" s="7"/>
      <c r="AU1829" s="7"/>
      <c r="AV1829" s="7"/>
      <c r="AW1829" s="7" t="s">
        <v>744</v>
      </c>
      <c r="AX1829" s="7" t="s">
        <v>11917</v>
      </c>
      <c r="AY1829" s="7"/>
      <c r="AZ1829" s="7"/>
      <c r="BA1829" s="7"/>
      <c r="BB1829" s="7"/>
      <c r="BC1829" s="7"/>
      <c r="BD1829" s="7" t="s">
        <v>1218</v>
      </c>
      <c r="BE1829" s="7" t="s">
        <v>127</v>
      </c>
      <c r="BF1829" s="8"/>
      <c r="BG1829" s="8"/>
      <c r="BH1829" s="8"/>
      <c r="BI1829" s="8"/>
      <c r="BJ1829" s="8"/>
      <c r="BK1829" s="8"/>
      <c r="BL1829" s="8"/>
      <c r="BM1829" s="8"/>
      <c r="BN1829" s="8"/>
      <c r="BO1829" s="8"/>
      <c r="BP1829" s="8"/>
      <c r="BQ1829" s="8"/>
      <c r="BR1829" s="8"/>
      <c r="BS1829" s="8"/>
    </row>
    <row r="1830" customFormat="false" ht="15" hidden="false" customHeight="false" outlineLevel="0" collapsed="false">
      <c r="A1830" s="7" t="s">
        <v>11919</v>
      </c>
      <c r="B1830" s="7" t="s">
        <v>11920</v>
      </c>
      <c r="C1830" s="7" t="s">
        <v>11921</v>
      </c>
      <c r="D1830" s="7" t="s">
        <v>11922</v>
      </c>
      <c r="E1830" s="7"/>
      <c r="F1830" s="7" t="s">
        <v>101</v>
      </c>
      <c r="G1830" s="7"/>
      <c r="H1830" s="7"/>
      <c r="I1830" s="7" t="s">
        <v>132</v>
      </c>
      <c r="J1830" s="7" t="s">
        <v>104</v>
      </c>
      <c r="K1830" s="7" t="s">
        <v>105</v>
      </c>
      <c r="L1830" s="7" t="s">
        <v>106</v>
      </c>
      <c r="M1830" s="7"/>
      <c r="N1830" s="7" t="s">
        <v>11923</v>
      </c>
      <c r="O1830" s="7"/>
      <c r="P1830" s="7" t="s">
        <v>135</v>
      </c>
      <c r="Q1830" s="7"/>
      <c r="R1830" s="7" t="s">
        <v>135</v>
      </c>
      <c r="S1830" s="7" t="s">
        <v>136</v>
      </c>
      <c r="T1830" s="7" t="n">
        <v>0.249</v>
      </c>
      <c r="U1830" s="7" t="n">
        <v>1</v>
      </c>
      <c r="V1830" s="7" t="s">
        <v>90</v>
      </c>
      <c r="W1830" s="7"/>
      <c r="X1830" s="7" t="s">
        <v>3616</v>
      </c>
      <c r="Y1830" s="7" t="s">
        <v>11923</v>
      </c>
      <c r="Z1830" s="7"/>
      <c r="AA1830" s="7"/>
      <c r="AB1830" s="7"/>
      <c r="AC1830" s="7" t="n">
        <v>5</v>
      </c>
      <c r="AD1830" s="7" t="s">
        <v>1897</v>
      </c>
      <c r="AE1830" s="7" t="s">
        <v>744</v>
      </c>
      <c r="AF1830" s="7" t="s">
        <v>11921</v>
      </c>
      <c r="AG1830" s="7" t="s">
        <v>744</v>
      </c>
      <c r="AH1830" s="7" t="s">
        <v>3616</v>
      </c>
      <c r="AI1830" s="7"/>
      <c r="AJ1830" s="7"/>
      <c r="AK1830" s="7"/>
      <c r="AL1830" s="7"/>
      <c r="AM1830" s="7" t="s">
        <v>744</v>
      </c>
      <c r="AN1830" s="7" t="s">
        <v>11924</v>
      </c>
      <c r="AO1830" s="7" t="s">
        <v>744</v>
      </c>
      <c r="AP1830" s="7" t="s">
        <v>11922</v>
      </c>
      <c r="AQ1830" s="7"/>
      <c r="AR1830" s="7"/>
      <c r="AS1830" s="7"/>
      <c r="AT1830" s="7"/>
      <c r="AU1830" s="7"/>
      <c r="AV1830" s="7"/>
      <c r="AW1830" s="7" t="s">
        <v>744</v>
      </c>
      <c r="AX1830" s="7" t="s">
        <v>11923</v>
      </c>
      <c r="AY1830" s="7"/>
      <c r="AZ1830" s="7"/>
      <c r="BA1830" s="7"/>
      <c r="BB1830" s="7"/>
      <c r="BC1830" s="7"/>
      <c r="BD1830" s="7"/>
      <c r="BE1830" s="7" t="s">
        <v>127</v>
      </c>
      <c r="BF1830" s="8"/>
      <c r="BG1830" s="8"/>
      <c r="BH1830" s="8"/>
      <c r="BI1830" s="8"/>
      <c r="BJ1830" s="8"/>
      <c r="BK1830" s="8"/>
      <c r="BL1830" s="8"/>
      <c r="BM1830" s="8"/>
      <c r="BN1830" s="8"/>
      <c r="BO1830" s="8"/>
      <c r="BP1830" s="8"/>
      <c r="BQ1830" s="8"/>
      <c r="BR1830" s="8"/>
      <c r="BS1830" s="8"/>
    </row>
    <row r="1831" customFormat="false" ht="15" hidden="false" customHeight="false" outlineLevel="0" collapsed="false">
      <c r="A1831" s="7" t="s">
        <v>11925</v>
      </c>
      <c r="B1831" s="7" t="s">
        <v>11926</v>
      </c>
      <c r="C1831" s="7" t="s">
        <v>11927</v>
      </c>
      <c r="D1831" s="7" t="s">
        <v>1263</v>
      </c>
      <c r="E1831" s="7"/>
      <c r="F1831" s="7" t="s">
        <v>101</v>
      </c>
      <c r="G1831" s="7"/>
      <c r="H1831" s="7"/>
      <c r="I1831" s="7" t="s">
        <v>1726</v>
      </c>
      <c r="J1831" s="7" t="s">
        <v>104</v>
      </c>
      <c r="K1831" s="7" t="s">
        <v>105</v>
      </c>
      <c r="L1831" s="7" t="s">
        <v>1447</v>
      </c>
      <c r="M1831" s="7"/>
      <c r="N1831" s="7" t="s">
        <v>11928</v>
      </c>
      <c r="O1831" s="7"/>
      <c r="P1831" s="7" t="s">
        <v>135</v>
      </c>
      <c r="Q1831" s="7"/>
      <c r="R1831" s="7" t="s">
        <v>135</v>
      </c>
      <c r="S1831" s="7" t="s">
        <v>136</v>
      </c>
      <c r="T1831" s="7" t="n">
        <v>0.328</v>
      </c>
      <c r="U1831" s="7" t="n">
        <v>1</v>
      </c>
      <c r="V1831" s="7" t="s">
        <v>90</v>
      </c>
      <c r="W1831" s="7"/>
      <c r="X1831" s="7" t="s">
        <v>9197</v>
      </c>
      <c r="Y1831" s="7" t="s">
        <v>11928</v>
      </c>
      <c r="Z1831" s="7"/>
      <c r="AA1831" s="7"/>
      <c r="AB1831" s="7"/>
      <c r="AC1831" s="7" t="n">
        <v>5</v>
      </c>
      <c r="AD1831" s="7" t="s">
        <v>1897</v>
      </c>
      <c r="AE1831" s="7" t="s">
        <v>744</v>
      </c>
      <c r="AF1831" s="7" t="s">
        <v>11927</v>
      </c>
      <c r="AG1831" s="7" t="s">
        <v>744</v>
      </c>
      <c r="AH1831" s="7" t="s">
        <v>9197</v>
      </c>
      <c r="AI1831" s="7"/>
      <c r="AJ1831" s="7"/>
      <c r="AK1831" s="7"/>
      <c r="AL1831" s="7"/>
      <c r="AM1831" s="7" t="s">
        <v>744</v>
      </c>
      <c r="AN1831" s="7" t="s">
        <v>11929</v>
      </c>
      <c r="AO1831" s="7" t="s">
        <v>744</v>
      </c>
      <c r="AP1831" s="7" t="s">
        <v>1263</v>
      </c>
      <c r="AQ1831" s="7"/>
      <c r="AR1831" s="7"/>
      <c r="AS1831" s="7"/>
      <c r="AT1831" s="7"/>
      <c r="AU1831" s="7"/>
      <c r="AV1831" s="7"/>
      <c r="AW1831" s="7" t="s">
        <v>744</v>
      </c>
      <c r="AX1831" s="7" t="s">
        <v>11928</v>
      </c>
      <c r="AY1831" s="7"/>
      <c r="AZ1831" s="7"/>
      <c r="BA1831" s="7"/>
      <c r="BB1831" s="7"/>
      <c r="BC1831" s="7"/>
      <c r="BD1831" s="7" t="s">
        <v>11930</v>
      </c>
      <c r="BE1831" s="7" t="s">
        <v>127</v>
      </c>
      <c r="BF1831" s="8"/>
      <c r="BG1831" s="8"/>
      <c r="BH1831" s="8"/>
      <c r="BI1831" s="8"/>
      <c r="BJ1831" s="8"/>
      <c r="BK1831" s="8"/>
      <c r="BL1831" s="8"/>
      <c r="BM1831" s="8"/>
      <c r="BN1831" s="8"/>
      <c r="BO1831" s="8"/>
      <c r="BP1831" s="8"/>
      <c r="BQ1831" s="8"/>
      <c r="BR1831" s="8"/>
      <c r="BS1831" s="8"/>
    </row>
    <row r="1832" customFormat="false" ht="15" hidden="false" customHeight="false" outlineLevel="0" collapsed="false">
      <c r="A1832" s="7" t="s">
        <v>11931</v>
      </c>
      <c r="B1832" s="7" t="s">
        <v>11932</v>
      </c>
      <c r="C1832" s="7" t="s">
        <v>11933</v>
      </c>
      <c r="D1832" s="7" t="s">
        <v>11934</v>
      </c>
      <c r="E1832" s="7" t="s">
        <v>737</v>
      </c>
      <c r="F1832" s="7" t="s">
        <v>737</v>
      </c>
      <c r="G1832" s="7" t="s">
        <v>4658</v>
      </c>
      <c r="H1832" s="7"/>
      <c r="I1832" s="7" t="s">
        <v>374</v>
      </c>
      <c r="J1832" s="7" t="s">
        <v>104</v>
      </c>
      <c r="K1832" s="7" t="s">
        <v>105</v>
      </c>
      <c r="L1832" s="7" t="s">
        <v>106</v>
      </c>
      <c r="M1832" s="7"/>
      <c r="N1832" s="7" t="s">
        <v>11935</v>
      </c>
      <c r="O1832" s="7"/>
      <c r="P1832" s="7" t="s">
        <v>135</v>
      </c>
      <c r="Q1832" s="7"/>
      <c r="R1832" s="7" t="s">
        <v>135</v>
      </c>
      <c r="S1832" s="7" t="s">
        <v>136</v>
      </c>
      <c r="T1832" s="7" t="n">
        <v>0.549</v>
      </c>
      <c r="U1832" s="7" t="n">
        <v>1</v>
      </c>
      <c r="V1832" s="7" t="s">
        <v>90</v>
      </c>
      <c r="W1832" s="7"/>
      <c r="X1832" s="7" t="s">
        <v>9680</v>
      </c>
      <c r="Y1832" s="7" t="s">
        <v>11935</v>
      </c>
      <c r="Z1832" s="7"/>
      <c r="AA1832" s="7"/>
      <c r="AB1832" s="7"/>
      <c r="AC1832" s="7" t="n">
        <v>6</v>
      </c>
      <c r="AD1832" s="7" t="s">
        <v>1235</v>
      </c>
      <c r="AE1832" s="7" t="s">
        <v>744</v>
      </c>
      <c r="AF1832" s="7" t="s">
        <v>11933</v>
      </c>
      <c r="AG1832" s="7" t="s">
        <v>744</v>
      </c>
      <c r="AH1832" s="7" t="s">
        <v>9680</v>
      </c>
      <c r="AI1832" s="7"/>
      <c r="AJ1832" s="7"/>
      <c r="AK1832" s="7"/>
      <c r="AL1832" s="7"/>
      <c r="AM1832" s="7" t="s">
        <v>744</v>
      </c>
      <c r="AN1832" s="7" t="s">
        <v>11936</v>
      </c>
      <c r="AO1832" s="7" t="s">
        <v>744</v>
      </c>
      <c r="AP1832" s="7" t="s">
        <v>11934</v>
      </c>
      <c r="AQ1832" s="7" t="s">
        <v>744</v>
      </c>
      <c r="AR1832" s="7" t="s">
        <v>737</v>
      </c>
      <c r="AS1832" s="7"/>
      <c r="AT1832" s="7"/>
      <c r="AU1832" s="7"/>
      <c r="AV1832" s="7"/>
      <c r="AW1832" s="7" t="s">
        <v>744</v>
      </c>
      <c r="AX1832" s="7" t="s">
        <v>11935</v>
      </c>
      <c r="AY1832" s="7"/>
      <c r="AZ1832" s="7"/>
      <c r="BA1832" s="7"/>
      <c r="BB1832" s="7"/>
      <c r="BC1832" s="7"/>
      <c r="BD1832" s="7" t="s">
        <v>11937</v>
      </c>
      <c r="BE1832" s="7" t="s">
        <v>127</v>
      </c>
      <c r="BF1832" s="8"/>
      <c r="BG1832" s="8"/>
      <c r="BH1832" s="8"/>
      <c r="BI1832" s="8"/>
      <c r="BJ1832" s="8"/>
      <c r="BK1832" s="8"/>
      <c r="BL1832" s="8"/>
      <c r="BM1832" s="8"/>
      <c r="BN1832" s="8"/>
      <c r="BO1832" s="8"/>
      <c r="BP1832" s="8"/>
      <c r="BQ1832" s="8"/>
      <c r="BR1832" s="8"/>
      <c r="BS1832" s="8"/>
    </row>
    <row r="1833" customFormat="false" ht="15" hidden="false" customHeight="false" outlineLevel="0" collapsed="false">
      <c r="A1833" s="7" t="s">
        <v>11938</v>
      </c>
      <c r="B1833" s="7" t="s">
        <v>11939</v>
      </c>
      <c r="C1833" s="7" t="s">
        <v>11940</v>
      </c>
      <c r="D1833" s="7" t="s">
        <v>9161</v>
      </c>
      <c r="E1833" s="7"/>
      <c r="F1833" s="7" t="s">
        <v>101</v>
      </c>
      <c r="G1833" s="7"/>
      <c r="H1833" s="7"/>
      <c r="I1833" s="7" t="s">
        <v>132</v>
      </c>
      <c r="J1833" s="7" t="s">
        <v>104</v>
      </c>
      <c r="K1833" s="7" t="s">
        <v>105</v>
      </c>
      <c r="L1833" s="7" t="s">
        <v>106</v>
      </c>
      <c r="M1833" s="7"/>
      <c r="N1833" s="7" t="s">
        <v>11941</v>
      </c>
      <c r="O1833" s="7"/>
      <c r="P1833" s="7" t="s">
        <v>135</v>
      </c>
      <c r="Q1833" s="7"/>
      <c r="R1833" s="7" t="s">
        <v>135</v>
      </c>
      <c r="S1833" s="7" t="s">
        <v>136</v>
      </c>
      <c r="T1833" s="7" t="n">
        <v>0.343</v>
      </c>
      <c r="U1833" s="7" t="n">
        <v>1</v>
      </c>
      <c r="V1833" s="7" t="s">
        <v>90</v>
      </c>
      <c r="W1833" s="7"/>
      <c r="X1833" s="7" t="s">
        <v>6212</v>
      </c>
      <c r="Y1833" s="7" t="s">
        <v>11941</v>
      </c>
      <c r="Z1833" s="7"/>
      <c r="AA1833" s="7"/>
      <c r="AB1833" s="7"/>
      <c r="AC1833" s="7" t="n">
        <v>5</v>
      </c>
      <c r="AD1833" s="7" t="s">
        <v>1897</v>
      </c>
      <c r="AE1833" s="7" t="s">
        <v>744</v>
      </c>
      <c r="AF1833" s="7" t="s">
        <v>11940</v>
      </c>
      <c r="AG1833" s="7" t="s">
        <v>744</v>
      </c>
      <c r="AH1833" s="7" t="s">
        <v>6212</v>
      </c>
      <c r="AI1833" s="7"/>
      <c r="AJ1833" s="7"/>
      <c r="AK1833" s="7"/>
      <c r="AL1833" s="7"/>
      <c r="AM1833" s="7" t="s">
        <v>744</v>
      </c>
      <c r="AN1833" s="7" t="s">
        <v>11853</v>
      </c>
      <c r="AO1833" s="7" t="s">
        <v>744</v>
      </c>
      <c r="AP1833" s="7" t="s">
        <v>9161</v>
      </c>
      <c r="AQ1833" s="7"/>
      <c r="AR1833" s="7"/>
      <c r="AS1833" s="7"/>
      <c r="AT1833" s="7"/>
      <c r="AU1833" s="7"/>
      <c r="AV1833" s="7"/>
      <c r="AW1833" s="7" t="s">
        <v>744</v>
      </c>
      <c r="AX1833" s="7" t="s">
        <v>11941</v>
      </c>
      <c r="AY1833" s="7"/>
      <c r="AZ1833" s="7"/>
      <c r="BA1833" s="7"/>
      <c r="BB1833" s="7"/>
      <c r="BC1833" s="7"/>
      <c r="BD1833" s="7" t="s">
        <v>1826</v>
      </c>
      <c r="BE1833" s="7" t="s">
        <v>127</v>
      </c>
      <c r="BF1833" s="8"/>
      <c r="BG1833" s="8"/>
      <c r="BH1833" s="8"/>
      <c r="BI1833" s="8"/>
      <c r="BJ1833" s="8"/>
      <c r="BK1833" s="8"/>
      <c r="BL1833" s="8"/>
      <c r="BM1833" s="8"/>
      <c r="BN1833" s="8"/>
      <c r="BO1833" s="8"/>
      <c r="BP1833" s="8"/>
      <c r="BQ1833" s="8"/>
      <c r="BR1833" s="8"/>
      <c r="BS1833" s="8"/>
    </row>
    <row r="1834" customFormat="false" ht="15" hidden="false" customHeight="false" outlineLevel="0" collapsed="false">
      <c r="A1834" s="7" t="s">
        <v>11942</v>
      </c>
      <c r="B1834" s="7" t="s">
        <v>11943</v>
      </c>
      <c r="C1834" s="7" t="s">
        <v>11944</v>
      </c>
      <c r="D1834" s="7" t="s">
        <v>11945</v>
      </c>
      <c r="E1834" s="7"/>
      <c r="F1834" s="7" t="s">
        <v>101</v>
      </c>
      <c r="G1834" s="7"/>
      <c r="H1834" s="7"/>
      <c r="I1834" s="7" t="s">
        <v>132</v>
      </c>
      <c r="J1834" s="7" t="s">
        <v>104</v>
      </c>
      <c r="K1834" s="7" t="s">
        <v>105</v>
      </c>
      <c r="L1834" s="7" t="s">
        <v>106</v>
      </c>
      <c r="M1834" s="7"/>
      <c r="N1834" s="7" t="s">
        <v>11946</v>
      </c>
      <c r="O1834" s="7"/>
      <c r="P1834" s="7" t="s">
        <v>135</v>
      </c>
      <c r="Q1834" s="7"/>
      <c r="R1834" s="7" t="s">
        <v>135</v>
      </c>
      <c r="S1834" s="7" t="s">
        <v>136</v>
      </c>
      <c r="T1834" s="7" t="n">
        <v>0.441</v>
      </c>
      <c r="U1834" s="7" t="n">
        <v>1</v>
      </c>
      <c r="V1834" s="7" t="s">
        <v>90</v>
      </c>
      <c r="W1834" s="7"/>
      <c r="X1834" s="7" t="s">
        <v>5628</v>
      </c>
      <c r="Y1834" s="7" t="s">
        <v>11946</v>
      </c>
      <c r="Z1834" s="7"/>
      <c r="AA1834" s="7"/>
      <c r="AB1834" s="7"/>
      <c r="AC1834" s="7" t="n">
        <v>5</v>
      </c>
      <c r="AD1834" s="7" t="s">
        <v>1897</v>
      </c>
      <c r="AE1834" s="7" t="s">
        <v>744</v>
      </c>
      <c r="AF1834" s="7" t="s">
        <v>11944</v>
      </c>
      <c r="AG1834" s="7" t="s">
        <v>744</v>
      </c>
      <c r="AH1834" s="7" t="s">
        <v>5628</v>
      </c>
      <c r="AI1834" s="7"/>
      <c r="AJ1834" s="7"/>
      <c r="AK1834" s="7"/>
      <c r="AL1834" s="7"/>
      <c r="AM1834" s="7" t="s">
        <v>744</v>
      </c>
      <c r="AN1834" s="7" t="s">
        <v>11947</v>
      </c>
      <c r="AO1834" s="7" t="s">
        <v>744</v>
      </c>
      <c r="AP1834" s="7" t="s">
        <v>11945</v>
      </c>
      <c r="AQ1834" s="7"/>
      <c r="AR1834" s="7"/>
      <c r="AS1834" s="7"/>
      <c r="AT1834" s="7"/>
      <c r="AU1834" s="7"/>
      <c r="AV1834" s="7"/>
      <c r="AW1834" s="7" t="s">
        <v>744</v>
      </c>
      <c r="AX1834" s="7" t="s">
        <v>11946</v>
      </c>
      <c r="AY1834" s="7"/>
      <c r="AZ1834" s="7"/>
      <c r="BA1834" s="7"/>
      <c r="BB1834" s="7"/>
      <c r="BC1834" s="7"/>
      <c r="BD1834" s="7" t="s">
        <v>1080</v>
      </c>
      <c r="BE1834" s="7" t="s">
        <v>127</v>
      </c>
      <c r="BF1834" s="8"/>
      <c r="BG1834" s="8"/>
      <c r="BH1834" s="8"/>
      <c r="BI1834" s="8"/>
      <c r="BJ1834" s="8"/>
      <c r="BK1834" s="8"/>
      <c r="BL1834" s="8"/>
      <c r="BM1834" s="8"/>
      <c r="BN1834" s="8"/>
      <c r="BO1834" s="8"/>
      <c r="BP1834" s="8"/>
      <c r="BQ1834" s="8"/>
      <c r="BR1834" s="8"/>
      <c r="BS1834" s="8"/>
    </row>
    <row r="1835" customFormat="false" ht="15" hidden="false" customHeight="false" outlineLevel="0" collapsed="false">
      <c r="A1835" s="7" t="s">
        <v>11948</v>
      </c>
      <c r="B1835" s="7" t="s">
        <v>11949</v>
      </c>
      <c r="C1835" s="7" t="s">
        <v>11950</v>
      </c>
      <c r="D1835" s="7" t="s">
        <v>11951</v>
      </c>
      <c r="E1835" s="7"/>
      <c r="F1835" s="7" t="s">
        <v>101</v>
      </c>
      <c r="G1835" s="7"/>
      <c r="H1835" s="7"/>
      <c r="I1835" s="7" t="s">
        <v>300</v>
      </c>
      <c r="J1835" s="7" t="s">
        <v>104</v>
      </c>
      <c r="K1835" s="7" t="s">
        <v>105</v>
      </c>
      <c r="L1835" s="7" t="s">
        <v>106</v>
      </c>
      <c r="M1835" s="7"/>
      <c r="N1835" s="7" t="s">
        <v>11952</v>
      </c>
      <c r="O1835" s="7"/>
      <c r="P1835" s="7" t="s">
        <v>135</v>
      </c>
      <c r="Q1835" s="7"/>
      <c r="R1835" s="7" t="s">
        <v>135</v>
      </c>
      <c r="S1835" s="7" t="s">
        <v>136</v>
      </c>
      <c r="T1835" s="7" t="n">
        <v>0.611</v>
      </c>
      <c r="U1835" s="7" t="n">
        <v>1</v>
      </c>
      <c r="V1835" s="7" t="s">
        <v>90</v>
      </c>
      <c r="W1835" s="7"/>
      <c r="X1835" s="7" t="s">
        <v>3789</v>
      </c>
      <c r="Y1835" s="7" t="s">
        <v>11952</v>
      </c>
      <c r="Z1835" s="7"/>
      <c r="AA1835" s="7"/>
      <c r="AB1835" s="7"/>
      <c r="AC1835" s="7" t="n">
        <v>5</v>
      </c>
      <c r="AD1835" s="7" t="s">
        <v>1897</v>
      </c>
      <c r="AE1835" s="7" t="s">
        <v>744</v>
      </c>
      <c r="AF1835" s="7" t="s">
        <v>11950</v>
      </c>
      <c r="AG1835" s="7" t="s">
        <v>744</v>
      </c>
      <c r="AH1835" s="7" t="s">
        <v>3789</v>
      </c>
      <c r="AI1835" s="7"/>
      <c r="AJ1835" s="7"/>
      <c r="AK1835" s="7"/>
      <c r="AL1835" s="7"/>
      <c r="AM1835" s="7" t="s">
        <v>744</v>
      </c>
      <c r="AN1835" s="7" t="s">
        <v>11953</v>
      </c>
      <c r="AO1835" s="7" t="s">
        <v>744</v>
      </c>
      <c r="AP1835" s="7" t="s">
        <v>11951</v>
      </c>
      <c r="AQ1835" s="7"/>
      <c r="AR1835" s="7"/>
      <c r="AS1835" s="7"/>
      <c r="AT1835" s="7"/>
      <c r="AU1835" s="7"/>
      <c r="AV1835" s="7"/>
      <c r="AW1835" s="7" t="s">
        <v>744</v>
      </c>
      <c r="AX1835" s="7" t="s">
        <v>11952</v>
      </c>
      <c r="AY1835" s="7"/>
      <c r="AZ1835" s="7"/>
      <c r="BA1835" s="7"/>
      <c r="BB1835" s="7"/>
      <c r="BC1835" s="7"/>
      <c r="BD1835" s="7"/>
      <c r="BE1835" s="7" t="s">
        <v>127</v>
      </c>
      <c r="BF1835" s="8"/>
      <c r="BG1835" s="8"/>
      <c r="BH1835" s="8"/>
      <c r="BI1835" s="8"/>
      <c r="BJ1835" s="8"/>
      <c r="BK1835" s="8"/>
      <c r="BL1835" s="8"/>
      <c r="BM1835" s="8"/>
      <c r="BN1835" s="8"/>
      <c r="BO1835" s="8"/>
      <c r="BP1835" s="8"/>
      <c r="BQ1835" s="8"/>
      <c r="BR1835" s="8"/>
      <c r="BS1835" s="8"/>
    </row>
    <row r="1836" customFormat="false" ht="15" hidden="false" customHeight="false" outlineLevel="0" collapsed="false">
      <c r="A1836" s="7" t="s">
        <v>11954</v>
      </c>
      <c r="B1836" s="7" t="s">
        <v>11955</v>
      </c>
      <c r="C1836" s="7" t="s">
        <v>11956</v>
      </c>
      <c r="D1836" s="7" t="s">
        <v>11759</v>
      </c>
      <c r="E1836" s="7" t="s">
        <v>11957</v>
      </c>
      <c r="F1836" s="7" t="s">
        <v>101</v>
      </c>
      <c r="G1836" s="7"/>
      <c r="H1836" s="7"/>
      <c r="I1836" s="7" t="s">
        <v>132</v>
      </c>
      <c r="J1836" s="7" t="s">
        <v>104</v>
      </c>
      <c r="K1836" s="7" t="s">
        <v>105</v>
      </c>
      <c r="L1836" s="7" t="s">
        <v>106</v>
      </c>
      <c r="M1836" s="7"/>
      <c r="N1836" s="7" t="s">
        <v>11958</v>
      </c>
      <c r="O1836" s="7"/>
      <c r="P1836" s="7" t="s">
        <v>135</v>
      </c>
      <c r="Q1836" s="7"/>
      <c r="R1836" s="7" t="s">
        <v>135</v>
      </c>
      <c r="S1836" s="7" t="s">
        <v>136</v>
      </c>
      <c r="T1836" s="7" t="n">
        <v>0.395</v>
      </c>
      <c r="U1836" s="7" t="n">
        <v>1</v>
      </c>
      <c r="V1836" s="7" t="s">
        <v>90</v>
      </c>
      <c r="W1836" s="7"/>
      <c r="X1836" s="7" t="s">
        <v>5477</v>
      </c>
      <c r="Y1836" s="7" t="s">
        <v>11958</v>
      </c>
      <c r="Z1836" s="7"/>
      <c r="AA1836" s="7"/>
      <c r="AB1836" s="7"/>
      <c r="AC1836" s="7" t="n">
        <v>5</v>
      </c>
      <c r="AD1836" s="7" t="s">
        <v>743</v>
      </c>
      <c r="AE1836" s="7" t="s">
        <v>744</v>
      </c>
      <c r="AF1836" s="7" t="s">
        <v>11956</v>
      </c>
      <c r="AG1836" s="7" t="s">
        <v>744</v>
      </c>
      <c r="AH1836" s="7" t="s">
        <v>5477</v>
      </c>
      <c r="AI1836" s="7"/>
      <c r="AJ1836" s="7"/>
      <c r="AK1836" s="7"/>
      <c r="AL1836" s="7"/>
      <c r="AM1836" s="7"/>
      <c r="AN1836" s="7"/>
      <c r="AO1836" s="7" t="s">
        <v>744</v>
      </c>
      <c r="AP1836" s="7" t="s">
        <v>11759</v>
      </c>
      <c r="AQ1836" s="7" t="s">
        <v>744</v>
      </c>
      <c r="AR1836" s="7" t="s">
        <v>11957</v>
      </c>
      <c r="AS1836" s="7"/>
      <c r="AT1836" s="7"/>
      <c r="AU1836" s="7"/>
      <c r="AV1836" s="7"/>
      <c r="AW1836" s="7" t="s">
        <v>744</v>
      </c>
      <c r="AX1836" s="7" t="s">
        <v>11958</v>
      </c>
      <c r="AY1836" s="7"/>
      <c r="AZ1836" s="7"/>
      <c r="BA1836" s="7"/>
      <c r="BB1836" s="7"/>
      <c r="BC1836" s="7"/>
      <c r="BD1836" s="7"/>
      <c r="BE1836" s="7" t="s">
        <v>127</v>
      </c>
      <c r="BF1836" s="8"/>
      <c r="BG1836" s="8"/>
      <c r="BH1836" s="8"/>
      <c r="BI1836" s="8"/>
      <c r="BJ1836" s="8"/>
      <c r="BK1836" s="8"/>
      <c r="BL1836" s="8"/>
      <c r="BM1836" s="8"/>
      <c r="BN1836" s="8"/>
      <c r="BO1836" s="8"/>
      <c r="BP1836" s="8"/>
      <c r="BQ1836" s="8"/>
      <c r="BR1836" s="8"/>
      <c r="BS1836" s="8"/>
    </row>
    <row r="1837" customFormat="false" ht="15" hidden="false" customHeight="false" outlineLevel="0" collapsed="false">
      <c r="A1837" s="7" t="s">
        <v>11959</v>
      </c>
      <c r="B1837" s="7" t="s">
        <v>11960</v>
      </c>
      <c r="C1837" s="7" t="s">
        <v>11961</v>
      </c>
      <c r="D1837" s="7" t="s">
        <v>567</v>
      </c>
      <c r="E1837" s="7" t="s">
        <v>431</v>
      </c>
      <c r="F1837" s="7" t="s">
        <v>431</v>
      </c>
      <c r="G1837" s="7"/>
      <c r="H1837" s="7"/>
      <c r="I1837" s="7" t="s">
        <v>158</v>
      </c>
      <c r="J1837" s="7" t="s">
        <v>104</v>
      </c>
      <c r="K1837" s="7" t="s">
        <v>105</v>
      </c>
      <c r="L1837" s="7" t="s">
        <v>106</v>
      </c>
      <c r="M1837" s="7"/>
      <c r="N1837" s="7" t="s">
        <v>11962</v>
      </c>
      <c r="O1837" s="7"/>
      <c r="P1837" s="7" t="s">
        <v>135</v>
      </c>
      <c r="Q1837" s="7"/>
      <c r="R1837" s="7" t="s">
        <v>135</v>
      </c>
      <c r="S1837" s="7" t="s">
        <v>136</v>
      </c>
      <c r="T1837" s="7" t="n">
        <v>0.591</v>
      </c>
      <c r="U1837" s="7" t="n">
        <v>1</v>
      </c>
      <c r="V1837" s="7" t="s">
        <v>90</v>
      </c>
      <c r="W1837" s="7"/>
      <c r="X1837" s="7" t="s">
        <v>1233</v>
      </c>
      <c r="Y1837" s="7" t="s">
        <v>11962</v>
      </c>
      <c r="Z1837" s="7"/>
      <c r="AA1837" s="7"/>
      <c r="AB1837" s="7"/>
      <c r="AC1837" s="7" t="n">
        <v>6</v>
      </c>
      <c r="AD1837" s="7" t="s">
        <v>1235</v>
      </c>
      <c r="AE1837" s="7" t="s">
        <v>744</v>
      </c>
      <c r="AF1837" s="7" t="s">
        <v>11961</v>
      </c>
      <c r="AG1837" s="7" t="s">
        <v>744</v>
      </c>
      <c r="AH1837" s="7" t="s">
        <v>1233</v>
      </c>
      <c r="AI1837" s="7"/>
      <c r="AJ1837" s="7"/>
      <c r="AK1837" s="7"/>
      <c r="AL1837" s="7"/>
      <c r="AM1837" s="7" t="s">
        <v>744</v>
      </c>
      <c r="AN1837" s="7" t="s">
        <v>11963</v>
      </c>
      <c r="AO1837" s="7" t="s">
        <v>744</v>
      </c>
      <c r="AP1837" s="7" t="s">
        <v>567</v>
      </c>
      <c r="AQ1837" s="7" t="s">
        <v>744</v>
      </c>
      <c r="AR1837" s="7" t="s">
        <v>431</v>
      </c>
      <c r="AS1837" s="7"/>
      <c r="AT1837" s="7"/>
      <c r="AU1837" s="7"/>
      <c r="AV1837" s="7"/>
      <c r="AW1837" s="7" t="s">
        <v>744</v>
      </c>
      <c r="AX1837" s="7" t="s">
        <v>11962</v>
      </c>
      <c r="AY1837" s="7"/>
      <c r="AZ1837" s="7"/>
      <c r="BA1837" s="7"/>
      <c r="BB1837" s="7"/>
      <c r="BC1837" s="7"/>
      <c r="BD1837" s="7" t="s">
        <v>11964</v>
      </c>
      <c r="BE1837" s="7" t="s">
        <v>127</v>
      </c>
      <c r="BF1837" s="8"/>
      <c r="BG1837" s="8"/>
      <c r="BH1837" s="8"/>
      <c r="BI1837" s="8"/>
      <c r="BJ1837" s="8"/>
      <c r="BK1837" s="8"/>
      <c r="BL1837" s="8"/>
      <c r="BM1837" s="8"/>
      <c r="BN1837" s="8"/>
      <c r="BO1837" s="8"/>
      <c r="BP1837" s="8"/>
      <c r="BQ1837" s="8"/>
      <c r="BR1837" s="8"/>
      <c r="BS1837" s="8"/>
    </row>
    <row r="1838" customFormat="false" ht="15" hidden="false" customHeight="false" outlineLevel="0" collapsed="false">
      <c r="A1838" s="7" t="s">
        <v>11965</v>
      </c>
      <c r="B1838" s="7" t="s">
        <v>11966</v>
      </c>
      <c r="C1838" s="7" t="s">
        <v>11967</v>
      </c>
      <c r="D1838" s="7" t="s">
        <v>11968</v>
      </c>
      <c r="E1838" s="7" t="s">
        <v>737</v>
      </c>
      <c r="F1838" s="7" t="s">
        <v>737</v>
      </c>
      <c r="G1838" s="7" t="s">
        <v>4658</v>
      </c>
      <c r="H1838" s="7"/>
      <c r="I1838" s="7" t="s">
        <v>132</v>
      </c>
      <c r="J1838" s="7" t="s">
        <v>104</v>
      </c>
      <c r="K1838" s="7" t="s">
        <v>105</v>
      </c>
      <c r="L1838" s="7" t="s">
        <v>106</v>
      </c>
      <c r="M1838" s="7"/>
      <c r="N1838" s="7" t="s">
        <v>11969</v>
      </c>
      <c r="O1838" s="7"/>
      <c r="P1838" s="7" t="s">
        <v>135</v>
      </c>
      <c r="Q1838" s="7"/>
      <c r="R1838" s="7" t="s">
        <v>135</v>
      </c>
      <c r="S1838" s="7" t="s">
        <v>136</v>
      </c>
      <c r="T1838" s="7" t="n">
        <v>0.604</v>
      </c>
      <c r="U1838" s="7" t="n">
        <v>1</v>
      </c>
      <c r="V1838" s="7" t="s">
        <v>90</v>
      </c>
      <c r="W1838" s="7"/>
      <c r="X1838" s="7" t="s">
        <v>6844</v>
      </c>
      <c r="Y1838" s="7" t="s">
        <v>11969</v>
      </c>
      <c r="Z1838" s="7"/>
      <c r="AA1838" s="7"/>
      <c r="AB1838" s="7"/>
      <c r="AC1838" s="7" t="n">
        <v>6</v>
      </c>
      <c r="AD1838" s="7" t="s">
        <v>1235</v>
      </c>
      <c r="AE1838" s="7" t="s">
        <v>744</v>
      </c>
      <c r="AF1838" s="7" t="s">
        <v>11967</v>
      </c>
      <c r="AG1838" s="7" t="s">
        <v>744</v>
      </c>
      <c r="AH1838" s="7" t="s">
        <v>6844</v>
      </c>
      <c r="AI1838" s="7"/>
      <c r="AJ1838" s="7"/>
      <c r="AK1838" s="7"/>
      <c r="AL1838" s="7"/>
      <c r="AM1838" s="7" t="s">
        <v>744</v>
      </c>
      <c r="AN1838" s="7" t="s">
        <v>11970</v>
      </c>
      <c r="AO1838" s="7" t="s">
        <v>744</v>
      </c>
      <c r="AP1838" s="7" t="s">
        <v>11968</v>
      </c>
      <c r="AQ1838" s="7" t="s">
        <v>744</v>
      </c>
      <c r="AR1838" s="7" t="s">
        <v>737</v>
      </c>
      <c r="AS1838" s="7"/>
      <c r="AT1838" s="7"/>
      <c r="AU1838" s="7"/>
      <c r="AV1838" s="7"/>
      <c r="AW1838" s="7" t="s">
        <v>744</v>
      </c>
      <c r="AX1838" s="7" t="s">
        <v>11969</v>
      </c>
      <c r="AY1838" s="7"/>
      <c r="AZ1838" s="7"/>
      <c r="BA1838" s="7"/>
      <c r="BB1838" s="7"/>
      <c r="BC1838" s="7"/>
      <c r="BD1838" s="7"/>
      <c r="BE1838" s="7" t="s">
        <v>127</v>
      </c>
      <c r="BF1838" s="8"/>
      <c r="BG1838" s="8"/>
      <c r="BH1838" s="8"/>
      <c r="BI1838" s="8"/>
      <c r="BJ1838" s="8"/>
      <c r="BK1838" s="8"/>
      <c r="BL1838" s="8"/>
      <c r="BM1838" s="8"/>
      <c r="BN1838" s="8"/>
      <c r="BO1838" s="8"/>
      <c r="BP1838" s="8"/>
      <c r="BQ1838" s="8"/>
      <c r="BR1838" s="8"/>
      <c r="BS1838" s="8"/>
    </row>
    <row r="1839" customFormat="false" ht="15" hidden="false" customHeight="false" outlineLevel="0" collapsed="false">
      <c r="A1839" s="7" t="s">
        <v>11971</v>
      </c>
      <c r="B1839" s="7" t="s">
        <v>11972</v>
      </c>
      <c r="C1839" s="7" t="s">
        <v>11973</v>
      </c>
      <c r="D1839" s="7" t="s">
        <v>11974</v>
      </c>
      <c r="E1839" s="7"/>
      <c r="F1839" s="7" t="s">
        <v>101</v>
      </c>
      <c r="G1839" s="7"/>
      <c r="H1839" s="7"/>
      <c r="I1839" s="7" t="s">
        <v>234</v>
      </c>
      <c r="J1839" s="7" t="s">
        <v>104</v>
      </c>
      <c r="K1839" s="7" t="s">
        <v>105</v>
      </c>
      <c r="L1839" s="7" t="s">
        <v>106</v>
      </c>
      <c r="M1839" s="7"/>
      <c r="N1839" s="7" t="s">
        <v>1730</v>
      </c>
      <c r="O1839" s="7" t="s">
        <v>1730</v>
      </c>
      <c r="P1839" s="7" t="s">
        <v>135</v>
      </c>
      <c r="Q1839" s="7"/>
      <c r="R1839" s="7" t="s">
        <v>109</v>
      </c>
      <c r="S1839" s="7" t="s">
        <v>110</v>
      </c>
      <c r="T1839" s="7" t="n">
        <v>0.609</v>
      </c>
      <c r="U1839" s="7" t="n">
        <v>1</v>
      </c>
      <c r="V1839" s="7" t="s">
        <v>90</v>
      </c>
      <c r="W1839" s="7"/>
      <c r="X1839" s="7" t="s">
        <v>1729</v>
      </c>
      <c r="Y1839" s="7" t="s">
        <v>1730</v>
      </c>
      <c r="Z1839" s="7"/>
      <c r="AA1839" s="7"/>
      <c r="AB1839" s="7"/>
      <c r="AC1839" s="7" t="n">
        <v>5</v>
      </c>
      <c r="AD1839" s="7" t="s">
        <v>1897</v>
      </c>
      <c r="AE1839" s="7" t="s">
        <v>744</v>
      </c>
      <c r="AF1839" s="7" t="s">
        <v>11973</v>
      </c>
      <c r="AG1839" s="7" t="s">
        <v>744</v>
      </c>
      <c r="AH1839" s="7" t="s">
        <v>1729</v>
      </c>
      <c r="AI1839" s="7"/>
      <c r="AJ1839" s="7"/>
      <c r="AK1839" s="7"/>
      <c r="AL1839" s="7"/>
      <c r="AM1839" s="7" t="s">
        <v>744</v>
      </c>
      <c r="AN1839" s="7" t="s">
        <v>11975</v>
      </c>
      <c r="AO1839" s="7" t="s">
        <v>744</v>
      </c>
      <c r="AP1839" s="7" t="s">
        <v>11974</v>
      </c>
      <c r="AQ1839" s="7"/>
      <c r="AR1839" s="7"/>
      <c r="AS1839" s="7"/>
      <c r="AT1839" s="7"/>
      <c r="AU1839" s="7"/>
      <c r="AV1839" s="7"/>
      <c r="AW1839" s="7" t="s">
        <v>744</v>
      </c>
      <c r="AX1839" s="7" t="s">
        <v>1730</v>
      </c>
      <c r="AY1839" s="7"/>
      <c r="AZ1839" s="7"/>
      <c r="BA1839" s="7"/>
      <c r="BB1839" s="7"/>
      <c r="BC1839" s="7"/>
      <c r="BD1839" s="7" t="s">
        <v>1080</v>
      </c>
      <c r="BE1839" s="7" t="s">
        <v>127</v>
      </c>
      <c r="BF1839" s="8"/>
      <c r="BG1839" s="8"/>
      <c r="BH1839" s="8"/>
      <c r="BI1839" s="8"/>
      <c r="BJ1839" s="8"/>
      <c r="BK1839" s="8"/>
      <c r="BL1839" s="8"/>
      <c r="BM1839" s="8"/>
      <c r="BN1839" s="8"/>
      <c r="BO1839" s="8"/>
      <c r="BP1839" s="8"/>
      <c r="BQ1839" s="8"/>
      <c r="BR1839" s="8"/>
      <c r="BS1839" s="8"/>
    </row>
    <row r="1840" customFormat="false" ht="15" hidden="false" customHeight="false" outlineLevel="0" collapsed="false">
      <c r="A1840" s="7" t="s">
        <v>11976</v>
      </c>
      <c r="B1840" s="7" t="s">
        <v>11977</v>
      </c>
      <c r="C1840" s="7" t="s">
        <v>11978</v>
      </c>
      <c r="D1840" s="7" t="s">
        <v>11979</v>
      </c>
      <c r="E1840" s="7"/>
      <c r="F1840" s="7" t="s">
        <v>101</v>
      </c>
      <c r="G1840" s="7"/>
      <c r="H1840" s="7"/>
      <c r="I1840" s="7" t="s">
        <v>132</v>
      </c>
      <c r="J1840" s="7" t="s">
        <v>104</v>
      </c>
      <c r="K1840" s="7" t="s">
        <v>105</v>
      </c>
      <c r="L1840" s="7" t="s">
        <v>106</v>
      </c>
      <c r="M1840" s="7"/>
      <c r="N1840" s="7" t="s">
        <v>11980</v>
      </c>
      <c r="O1840" s="7"/>
      <c r="P1840" s="7" t="s">
        <v>135</v>
      </c>
      <c r="Q1840" s="7"/>
      <c r="R1840" s="7" t="s">
        <v>135</v>
      </c>
      <c r="S1840" s="7" t="s">
        <v>136</v>
      </c>
      <c r="T1840" s="7" t="n">
        <v>0.321</v>
      </c>
      <c r="U1840" s="7" t="n">
        <v>1</v>
      </c>
      <c r="V1840" s="7" t="s">
        <v>90</v>
      </c>
      <c r="W1840" s="7"/>
      <c r="X1840" s="7" t="s">
        <v>163</v>
      </c>
      <c r="Y1840" s="7" t="s">
        <v>11980</v>
      </c>
      <c r="Z1840" s="7"/>
      <c r="AA1840" s="7"/>
      <c r="AB1840" s="7"/>
      <c r="AC1840" s="7" t="n">
        <v>4</v>
      </c>
      <c r="AD1840" s="7" t="s">
        <v>7611</v>
      </c>
      <c r="AE1840" s="7" t="s">
        <v>744</v>
      </c>
      <c r="AF1840" s="7" t="s">
        <v>11978</v>
      </c>
      <c r="AG1840" s="7" t="s">
        <v>744</v>
      </c>
      <c r="AH1840" s="7" t="s">
        <v>163</v>
      </c>
      <c r="AI1840" s="7"/>
      <c r="AJ1840" s="7"/>
      <c r="AK1840" s="7"/>
      <c r="AL1840" s="7"/>
      <c r="AM1840" s="7"/>
      <c r="AN1840" s="7"/>
      <c r="AO1840" s="7" t="s">
        <v>744</v>
      </c>
      <c r="AP1840" s="7" t="s">
        <v>11979</v>
      </c>
      <c r="AQ1840" s="7"/>
      <c r="AR1840" s="7"/>
      <c r="AS1840" s="7"/>
      <c r="AT1840" s="7"/>
      <c r="AU1840" s="7"/>
      <c r="AV1840" s="7"/>
      <c r="AW1840" s="7" t="s">
        <v>744</v>
      </c>
      <c r="AX1840" s="7" t="s">
        <v>11980</v>
      </c>
      <c r="AY1840" s="7"/>
      <c r="AZ1840" s="7"/>
      <c r="BA1840" s="7"/>
      <c r="BB1840" s="7"/>
      <c r="BC1840" s="7"/>
      <c r="BD1840" s="7"/>
      <c r="BE1840" s="7" t="s">
        <v>127</v>
      </c>
      <c r="BF1840" s="8"/>
      <c r="BG1840" s="8"/>
      <c r="BH1840" s="8"/>
      <c r="BI1840" s="8"/>
      <c r="BJ1840" s="8"/>
      <c r="BK1840" s="8"/>
      <c r="BL1840" s="8"/>
      <c r="BM1840" s="8"/>
      <c r="BN1840" s="8"/>
      <c r="BO1840" s="8"/>
      <c r="BP1840" s="8"/>
      <c r="BQ1840" s="8"/>
      <c r="BR1840" s="8"/>
      <c r="BS1840" s="8"/>
    </row>
    <row r="1841" customFormat="false" ht="15" hidden="false" customHeight="false" outlineLevel="0" collapsed="false">
      <c r="A1841" s="7" t="s">
        <v>11981</v>
      </c>
      <c r="B1841" s="7" t="s">
        <v>11982</v>
      </c>
      <c r="C1841" s="7" t="s">
        <v>11983</v>
      </c>
      <c r="D1841" s="7" t="s">
        <v>11984</v>
      </c>
      <c r="E1841" s="7" t="s">
        <v>11985</v>
      </c>
      <c r="F1841" s="7" t="s">
        <v>101</v>
      </c>
      <c r="G1841" s="7"/>
      <c r="H1841" s="7"/>
      <c r="I1841" s="7" t="s">
        <v>132</v>
      </c>
      <c r="J1841" s="7" t="s">
        <v>104</v>
      </c>
      <c r="K1841" s="7" t="s">
        <v>105</v>
      </c>
      <c r="L1841" s="7" t="s">
        <v>106</v>
      </c>
      <c r="M1841" s="7"/>
      <c r="N1841" s="7" t="s">
        <v>11986</v>
      </c>
      <c r="O1841" s="7"/>
      <c r="P1841" s="7" t="s">
        <v>135</v>
      </c>
      <c r="Q1841" s="7"/>
      <c r="R1841" s="7" t="s">
        <v>135</v>
      </c>
      <c r="S1841" s="7" t="s">
        <v>136</v>
      </c>
      <c r="T1841" s="7" t="n">
        <v>0.514</v>
      </c>
      <c r="U1841" s="7" t="n">
        <v>1</v>
      </c>
      <c r="V1841" s="7" t="s">
        <v>90</v>
      </c>
      <c r="W1841" s="7"/>
      <c r="X1841" s="7" t="s">
        <v>1952</v>
      </c>
      <c r="Y1841" s="7" t="s">
        <v>11986</v>
      </c>
      <c r="Z1841" s="7"/>
      <c r="AA1841" s="7"/>
      <c r="AB1841" s="7"/>
      <c r="AC1841" s="7" t="n">
        <v>6</v>
      </c>
      <c r="AD1841" s="7" t="s">
        <v>1235</v>
      </c>
      <c r="AE1841" s="7" t="s">
        <v>744</v>
      </c>
      <c r="AF1841" s="7" t="s">
        <v>11983</v>
      </c>
      <c r="AG1841" s="7" t="s">
        <v>744</v>
      </c>
      <c r="AH1841" s="7" t="s">
        <v>1952</v>
      </c>
      <c r="AI1841" s="7"/>
      <c r="AJ1841" s="7"/>
      <c r="AK1841" s="7"/>
      <c r="AL1841" s="7"/>
      <c r="AM1841" s="7" t="s">
        <v>744</v>
      </c>
      <c r="AN1841" s="7" t="s">
        <v>11987</v>
      </c>
      <c r="AO1841" s="7" t="s">
        <v>744</v>
      </c>
      <c r="AP1841" s="7" t="s">
        <v>11984</v>
      </c>
      <c r="AQ1841" s="7" t="s">
        <v>744</v>
      </c>
      <c r="AR1841" s="7" t="s">
        <v>11985</v>
      </c>
      <c r="AS1841" s="7"/>
      <c r="AT1841" s="7"/>
      <c r="AU1841" s="7"/>
      <c r="AV1841" s="7"/>
      <c r="AW1841" s="7" t="s">
        <v>744</v>
      </c>
      <c r="AX1841" s="7" t="s">
        <v>11986</v>
      </c>
      <c r="AY1841" s="7"/>
      <c r="AZ1841" s="7"/>
      <c r="BA1841" s="7"/>
      <c r="BB1841" s="7"/>
      <c r="BC1841" s="7"/>
      <c r="BD1841" s="7"/>
      <c r="BE1841" s="7" t="s">
        <v>127</v>
      </c>
      <c r="BF1841" s="8"/>
      <c r="BG1841" s="8"/>
      <c r="BH1841" s="8"/>
      <c r="BI1841" s="8"/>
      <c r="BJ1841" s="8"/>
      <c r="BK1841" s="8"/>
      <c r="BL1841" s="8"/>
      <c r="BM1841" s="8"/>
      <c r="BN1841" s="8"/>
      <c r="BO1841" s="8"/>
      <c r="BP1841" s="8"/>
      <c r="BQ1841" s="8"/>
      <c r="BR1841" s="8"/>
      <c r="BS1841" s="8"/>
    </row>
    <row r="1842" customFormat="false" ht="15" hidden="false" customHeight="false" outlineLevel="0" collapsed="false">
      <c r="A1842" s="7" t="s">
        <v>11988</v>
      </c>
      <c r="B1842" s="7" t="s">
        <v>11989</v>
      </c>
      <c r="C1842" s="7" t="s">
        <v>11990</v>
      </c>
      <c r="D1842" s="7" t="s">
        <v>2037</v>
      </c>
      <c r="E1842" s="7"/>
      <c r="F1842" s="7" t="s">
        <v>101</v>
      </c>
      <c r="G1842" s="7"/>
      <c r="H1842" s="7"/>
      <c r="I1842" s="7" t="s">
        <v>158</v>
      </c>
      <c r="J1842" s="7" t="s">
        <v>104</v>
      </c>
      <c r="K1842" s="7" t="s">
        <v>105</v>
      </c>
      <c r="L1842" s="7" t="s">
        <v>353</v>
      </c>
      <c r="M1842" s="7"/>
      <c r="N1842" s="7" t="s">
        <v>11991</v>
      </c>
      <c r="O1842" s="7" t="s">
        <v>11991</v>
      </c>
      <c r="P1842" s="7" t="s">
        <v>109</v>
      </c>
      <c r="Q1842" s="7"/>
      <c r="R1842" s="7" t="s">
        <v>109</v>
      </c>
      <c r="S1842" s="7" t="s">
        <v>110</v>
      </c>
      <c r="T1842" s="7" t="n">
        <v>0.671</v>
      </c>
      <c r="U1842" s="7" t="n">
        <v>1</v>
      </c>
      <c r="V1842" s="7"/>
      <c r="W1842" s="7"/>
      <c r="X1842" s="7"/>
      <c r="Y1842" s="7" t="s">
        <v>11991</v>
      </c>
      <c r="Z1842" s="7"/>
      <c r="AA1842" s="7"/>
      <c r="AB1842" s="7"/>
      <c r="AC1842" s="7" t="n">
        <v>4</v>
      </c>
      <c r="AD1842" s="7" t="s">
        <v>862</v>
      </c>
      <c r="AE1842" s="7" t="s">
        <v>744</v>
      </c>
      <c r="AF1842" s="7" t="s">
        <v>11990</v>
      </c>
      <c r="AG1842" s="7"/>
      <c r="AH1842" s="7"/>
      <c r="AI1842" s="7"/>
      <c r="AJ1842" s="7"/>
      <c r="AK1842" s="7"/>
      <c r="AL1842" s="7"/>
      <c r="AM1842" s="7" t="s">
        <v>744</v>
      </c>
      <c r="AN1842" s="7" t="s">
        <v>11992</v>
      </c>
      <c r="AO1842" s="7" t="s">
        <v>744</v>
      </c>
      <c r="AP1842" s="7" t="s">
        <v>2037</v>
      </c>
      <c r="AQ1842" s="7"/>
      <c r="AR1842" s="7"/>
      <c r="AS1842" s="7"/>
      <c r="AT1842" s="7"/>
      <c r="AU1842" s="7"/>
      <c r="AV1842" s="7"/>
      <c r="AW1842" s="7" t="s">
        <v>744</v>
      </c>
      <c r="AX1842" s="7" t="s">
        <v>11991</v>
      </c>
      <c r="AY1842" s="7"/>
      <c r="AZ1842" s="7"/>
      <c r="BA1842" s="7"/>
      <c r="BB1842" s="7"/>
      <c r="BC1842" s="7"/>
      <c r="BD1842" s="7" t="s">
        <v>3272</v>
      </c>
      <c r="BE1842" s="7" t="s">
        <v>127</v>
      </c>
      <c r="BF1842" s="8"/>
      <c r="BG1842" s="8"/>
      <c r="BH1842" s="8"/>
      <c r="BI1842" s="8"/>
      <c r="BJ1842" s="8"/>
      <c r="BK1842" s="8"/>
      <c r="BL1842" s="8"/>
      <c r="BM1842" s="8"/>
      <c r="BN1842" s="8"/>
      <c r="BO1842" s="8"/>
      <c r="BP1842" s="8"/>
      <c r="BQ1842" s="8"/>
      <c r="BR1842" s="8"/>
      <c r="BS1842" s="8"/>
    </row>
    <row r="1843" customFormat="false" ht="15" hidden="false" customHeight="false" outlineLevel="0" collapsed="false">
      <c r="A1843" s="7" t="s">
        <v>11993</v>
      </c>
      <c r="B1843" s="7" t="s">
        <v>11994</v>
      </c>
      <c r="C1843" s="7" t="s">
        <v>11995</v>
      </c>
      <c r="D1843" s="7" t="s">
        <v>2055</v>
      </c>
      <c r="E1843" s="7"/>
      <c r="F1843" s="7" t="s">
        <v>101</v>
      </c>
      <c r="G1843" s="7"/>
      <c r="H1843" s="7"/>
      <c r="I1843" s="7" t="s">
        <v>158</v>
      </c>
      <c r="J1843" s="7" t="s">
        <v>104</v>
      </c>
      <c r="K1843" s="7" t="s">
        <v>105</v>
      </c>
      <c r="L1843" s="7" t="s">
        <v>106</v>
      </c>
      <c r="M1843" s="7"/>
      <c r="N1843" s="7" t="s">
        <v>11996</v>
      </c>
      <c r="O1843" s="7" t="s">
        <v>11996</v>
      </c>
      <c r="P1843" s="7" t="s">
        <v>135</v>
      </c>
      <c r="Q1843" s="7"/>
      <c r="R1843" s="7" t="s">
        <v>109</v>
      </c>
      <c r="S1843" s="7" t="s">
        <v>110</v>
      </c>
      <c r="T1843" s="7" t="n">
        <v>0.512</v>
      </c>
      <c r="U1843" s="7" t="n">
        <v>1</v>
      </c>
      <c r="V1843" s="7"/>
      <c r="W1843" s="7"/>
      <c r="X1843" s="7"/>
      <c r="Y1843" s="7" t="s">
        <v>11996</v>
      </c>
      <c r="Z1843" s="7"/>
      <c r="AA1843" s="7"/>
      <c r="AB1843" s="7"/>
      <c r="AC1843" s="7" t="n">
        <v>3</v>
      </c>
      <c r="AD1843" s="7" t="s">
        <v>1492</v>
      </c>
      <c r="AE1843" s="7" t="s">
        <v>744</v>
      </c>
      <c r="AF1843" s="7" t="s">
        <v>11995</v>
      </c>
      <c r="AG1843" s="7"/>
      <c r="AH1843" s="7"/>
      <c r="AI1843" s="7"/>
      <c r="AJ1843" s="7"/>
      <c r="AK1843" s="7"/>
      <c r="AL1843" s="7"/>
      <c r="AM1843" s="7"/>
      <c r="AN1843" s="7"/>
      <c r="AO1843" s="7" t="s">
        <v>744</v>
      </c>
      <c r="AP1843" s="7" t="s">
        <v>2055</v>
      </c>
      <c r="AQ1843" s="7"/>
      <c r="AR1843" s="7"/>
      <c r="AS1843" s="7"/>
      <c r="AT1843" s="7"/>
      <c r="AU1843" s="7"/>
      <c r="AV1843" s="7"/>
      <c r="AW1843" s="7" t="s">
        <v>744</v>
      </c>
      <c r="AX1843" s="7" t="s">
        <v>11996</v>
      </c>
      <c r="AY1843" s="7"/>
      <c r="AZ1843" s="7"/>
      <c r="BA1843" s="7"/>
      <c r="BB1843" s="7"/>
      <c r="BC1843" s="7"/>
      <c r="BD1843" s="7" t="s">
        <v>3272</v>
      </c>
      <c r="BE1843" s="7" t="s">
        <v>127</v>
      </c>
      <c r="BF1843" s="8"/>
      <c r="BG1843" s="8"/>
      <c r="BH1843" s="8"/>
      <c r="BI1843" s="8"/>
      <c r="BJ1843" s="8"/>
      <c r="BK1843" s="8"/>
      <c r="BL1843" s="8"/>
      <c r="BM1843" s="8"/>
      <c r="BN1843" s="8"/>
      <c r="BO1843" s="8"/>
      <c r="BP1843" s="8"/>
      <c r="BQ1843" s="8"/>
      <c r="BR1843" s="8"/>
      <c r="BS1843" s="8"/>
    </row>
    <row r="1844" customFormat="false" ht="15" hidden="false" customHeight="false" outlineLevel="0" collapsed="false">
      <c r="A1844" s="7" t="s">
        <v>11997</v>
      </c>
      <c r="B1844" s="7" t="s">
        <v>11998</v>
      </c>
      <c r="C1844" s="7" t="s">
        <v>11999</v>
      </c>
      <c r="D1844" s="7" t="s">
        <v>2055</v>
      </c>
      <c r="E1844" s="7"/>
      <c r="F1844" s="7" t="s">
        <v>101</v>
      </c>
      <c r="G1844" s="7"/>
      <c r="H1844" s="7"/>
      <c r="I1844" s="7" t="s">
        <v>132</v>
      </c>
      <c r="J1844" s="7" t="s">
        <v>104</v>
      </c>
      <c r="K1844" s="7" t="s">
        <v>105</v>
      </c>
      <c r="L1844" s="7" t="s">
        <v>106</v>
      </c>
      <c r="M1844" s="7"/>
      <c r="N1844" s="7" t="s">
        <v>12000</v>
      </c>
      <c r="O1844" s="7" t="s">
        <v>12000</v>
      </c>
      <c r="P1844" s="7" t="s">
        <v>109</v>
      </c>
      <c r="Q1844" s="7"/>
      <c r="R1844" s="7" t="s">
        <v>109</v>
      </c>
      <c r="S1844" s="7" t="s">
        <v>110</v>
      </c>
      <c r="T1844" s="7" t="n">
        <v>0.627</v>
      </c>
      <c r="U1844" s="7" t="n">
        <v>1</v>
      </c>
      <c r="V1844" s="7" t="s">
        <v>1156</v>
      </c>
      <c r="W1844" s="7"/>
      <c r="X1844" s="7" t="s">
        <v>12001</v>
      </c>
      <c r="Y1844" s="7" t="s">
        <v>12000</v>
      </c>
      <c r="Z1844" s="7"/>
      <c r="AA1844" s="7"/>
      <c r="AB1844" s="7"/>
      <c r="AC1844" s="7" t="n">
        <v>4</v>
      </c>
      <c r="AD1844" s="7" t="s">
        <v>7611</v>
      </c>
      <c r="AE1844" s="7" t="s">
        <v>744</v>
      </c>
      <c r="AF1844" s="7" t="s">
        <v>11999</v>
      </c>
      <c r="AG1844" s="7" t="s">
        <v>744</v>
      </c>
      <c r="AH1844" s="7" t="s">
        <v>12001</v>
      </c>
      <c r="AI1844" s="7"/>
      <c r="AJ1844" s="7"/>
      <c r="AK1844" s="7"/>
      <c r="AL1844" s="7"/>
      <c r="AM1844" s="7"/>
      <c r="AN1844" s="7"/>
      <c r="AO1844" s="7" t="s">
        <v>744</v>
      </c>
      <c r="AP1844" s="7" t="s">
        <v>2055</v>
      </c>
      <c r="AQ1844" s="7"/>
      <c r="AR1844" s="7"/>
      <c r="AS1844" s="7"/>
      <c r="AT1844" s="7"/>
      <c r="AU1844" s="7"/>
      <c r="AV1844" s="7"/>
      <c r="AW1844" s="7" t="s">
        <v>744</v>
      </c>
      <c r="AX1844" s="7" t="s">
        <v>12000</v>
      </c>
      <c r="AY1844" s="7"/>
      <c r="AZ1844" s="7"/>
      <c r="BA1844" s="7"/>
      <c r="BB1844" s="7"/>
      <c r="BC1844" s="7"/>
      <c r="BD1844" s="7" t="s">
        <v>3272</v>
      </c>
      <c r="BE1844" s="7" t="s">
        <v>127</v>
      </c>
      <c r="BF1844" s="8"/>
      <c r="BG1844" s="8"/>
      <c r="BH1844" s="8"/>
      <c r="BI1844" s="8"/>
      <c r="BJ1844" s="8"/>
      <c r="BK1844" s="8"/>
      <c r="BL1844" s="8"/>
      <c r="BM1844" s="8"/>
      <c r="BN1844" s="8"/>
      <c r="BO1844" s="8"/>
      <c r="BP1844" s="8"/>
      <c r="BQ1844" s="8"/>
      <c r="BR1844" s="8"/>
      <c r="BS1844" s="8"/>
    </row>
    <row r="1845" customFormat="false" ht="15" hidden="false" customHeight="false" outlineLevel="0" collapsed="false">
      <c r="A1845" s="7" t="s">
        <v>12002</v>
      </c>
      <c r="B1845" s="7" t="s">
        <v>12003</v>
      </c>
      <c r="C1845" s="7" t="s">
        <v>12004</v>
      </c>
      <c r="D1845" s="7" t="s">
        <v>2037</v>
      </c>
      <c r="E1845" s="7" t="s">
        <v>431</v>
      </c>
      <c r="F1845" s="7" t="s">
        <v>431</v>
      </c>
      <c r="G1845" s="7"/>
      <c r="H1845" s="7"/>
      <c r="I1845" s="7" t="s">
        <v>158</v>
      </c>
      <c r="J1845" s="7" t="s">
        <v>104</v>
      </c>
      <c r="K1845" s="7" t="s">
        <v>105</v>
      </c>
      <c r="L1845" s="7" t="s">
        <v>353</v>
      </c>
      <c r="M1845" s="7"/>
      <c r="N1845" s="7" t="s">
        <v>12005</v>
      </c>
      <c r="O1845" s="7" t="s">
        <v>12005</v>
      </c>
      <c r="P1845" s="7" t="s">
        <v>109</v>
      </c>
      <c r="Q1845" s="7"/>
      <c r="R1845" s="7" t="s">
        <v>109</v>
      </c>
      <c r="S1845" s="7" t="s">
        <v>110</v>
      </c>
      <c r="T1845" s="7" t="n">
        <v>0.779</v>
      </c>
      <c r="U1845" s="7" t="n">
        <v>1</v>
      </c>
      <c r="V1845" s="7" t="s">
        <v>1156</v>
      </c>
      <c r="W1845" s="7"/>
      <c r="X1845" s="7" t="s">
        <v>1200</v>
      </c>
      <c r="Y1845" s="7" t="s">
        <v>12005</v>
      </c>
      <c r="Z1845" s="7"/>
      <c r="AA1845" s="7"/>
      <c r="AB1845" s="7"/>
      <c r="AC1845" s="7" t="n">
        <v>6</v>
      </c>
      <c r="AD1845" s="7" t="s">
        <v>1235</v>
      </c>
      <c r="AE1845" s="7" t="s">
        <v>744</v>
      </c>
      <c r="AF1845" s="7" t="s">
        <v>12004</v>
      </c>
      <c r="AG1845" s="7" t="s">
        <v>744</v>
      </c>
      <c r="AH1845" s="7" t="s">
        <v>12006</v>
      </c>
      <c r="AI1845" s="7"/>
      <c r="AJ1845" s="7"/>
      <c r="AK1845" s="7"/>
      <c r="AL1845" s="7"/>
      <c r="AM1845" s="7" t="s">
        <v>744</v>
      </c>
      <c r="AN1845" s="7" t="s">
        <v>12007</v>
      </c>
      <c r="AO1845" s="7" t="s">
        <v>744</v>
      </c>
      <c r="AP1845" s="7" t="s">
        <v>2037</v>
      </c>
      <c r="AQ1845" s="7" t="s">
        <v>744</v>
      </c>
      <c r="AR1845" s="7" t="s">
        <v>431</v>
      </c>
      <c r="AS1845" s="7"/>
      <c r="AT1845" s="7"/>
      <c r="AU1845" s="7"/>
      <c r="AV1845" s="7"/>
      <c r="AW1845" s="7" t="s">
        <v>744</v>
      </c>
      <c r="AX1845" s="7" t="s">
        <v>12005</v>
      </c>
      <c r="AY1845" s="7"/>
      <c r="AZ1845" s="7"/>
      <c r="BA1845" s="7"/>
      <c r="BB1845" s="7"/>
      <c r="BC1845" s="7"/>
      <c r="BD1845" s="7"/>
      <c r="BE1845" s="7" t="s">
        <v>127</v>
      </c>
      <c r="BF1845" s="8"/>
      <c r="BG1845" s="8"/>
      <c r="BH1845" s="8"/>
      <c r="BI1845" s="8"/>
      <c r="BJ1845" s="8"/>
      <c r="BK1845" s="8"/>
      <c r="BL1845" s="8"/>
      <c r="BM1845" s="8"/>
      <c r="BN1845" s="8"/>
      <c r="BO1845" s="8"/>
      <c r="BP1845" s="8"/>
      <c r="BQ1845" s="8"/>
      <c r="BR1845" s="8"/>
      <c r="BS1845" s="8"/>
    </row>
    <row r="1846" customFormat="false" ht="15" hidden="false" customHeight="false" outlineLevel="0" collapsed="false">
      <c r="A1846" s="7" t="s">
        <v>12008</v>
      </c>
      <c r="B1846" s="7" t="s">
        <v>12009</v>
      </c>
      <c r="C1846" s="7" t="s">
        <v>12010</v>
      </c>
      <c r="D1846" s="7" t="s">
        <v>2037</v>
      </c>
      <c r="E1846" s="7"/>
      <c r="F1846" s="7" t="s">
        <v>101</v>
      </c>
      <c r="G1846" s="7"/>
      <c r="H1846" s="7"/>
      <c r="I1846" s="7" t="s">
        <v>374</v>
      </c>
      <c r="J1846" s="7" t="s">
        <v>104</v>
      </c>
      <c r="K1846" s="7" t="s">
        <v>105</v>
      </c>
      <c r="L1846" s="7" t="s">
        <v>106</v>
      </c>
      <c r="M1846" s="7"/>
      <c r="N1846" s="7" t="s">
        <v>12011</v>
      </c>
      <c r="O1846" s="7" t="s">
        <v>12011</v>
      </c>
      <c r="P1846" s="7" t="s">
        <v>109</v>
      </c>
      <c r="Q1846" s="7"/>
      <c r="R1846" s="7" t="s">
        <v>109</v>
      </c>
      <c r="S1846" s="7" t="s">
        <v>110</v>
      </c>
      <c r="T1846" s="7" t="n">
        <v>0.503</v>
      </c>
      <c r="U1846" s="7" t="n">
        <v>1</v>
      </c>
      <c r="V1846" s="7" t="s">
        <v>1156</v>
      </c>
      <c r="W1846" s="7"/>
      <c r="X1846" s="7" t="s">
        <v>3441</v>
      </c>
      <c r="Y1846" s="7" t="s">
        <v>12011</v>
      </c>
      <c r="Z1846" s="7"/>
      <c r="AA1846" s="7"/>
      <c r="AB1846" s="7"/>
      <c r="AC1846" s="7" t="n">
        <v>5</v>
      </c>
      <c r="AD1846" s="7" t="s">
        <v>1897</v>
      </c>
      <c r="AE1846" s="7" t="s">
        <v>744</v>
      </c>
      <c r="AF1846" s="7" t="s">
        <v>12010</v>
      </c>
      <c r="AG1846" s="7" t="s">
        <v>744</v>
      </c>
      <c r="AH1846" s="7" t="s">
        <v>12012</v>
      </c>
      <c r="AI1846" s="7"/>
      <c r="AJ1846" s="7"/>
      <c r="AK1846" s="7"/>
      <c r="AL1846" s="7"/>
      <c r="AM1846" s="7" t="s">
        <v>744</v>
      </c>
      <c r="AN1846" s="7" t="s">
        <v>12013</v>
      </c>
      <c r="AO1846" s="7" t="s">
        <v>744</v>
      </c>
      <c r="AP1846" s="7" t="s">
        <v>2037</v>
      </c>
      <c r="AQ1846" s="7"/>
      <c r="AR1846" s="7"/>
      <c r="AS1846" s="7"/>
      <c r="AT1846" s="7"/>
      <c r="AU1846" s="7"/>
      <c r="AV1846" s="7"/>
      <c r="AW1846" s="7" t="s">
        <v>744</v>
      </c>
      <c r="AX1846" s="7" t="s">
        <v>12011</v>
      </c>
      <c r="AY1846" s="7"/>
      <c r="AZ1846" s="7"/>
      <c r="BA1846" s="7"/>
      <c r="BB1846" s="7"/>
      <c r="BC1846" s="7"/>
      <c r="BD1846" s="7" t="s">
        <v>3272</v>
      </c>
      <c r="BE1846" s="7" t="s">
        <v>127</v>
      </c>
      <c r="BF1846" s="8"/>
      <c r="BG1846" s="8"/>
      <c r="BH1846" s="8"/>
      <c r="BI1846" s="8"/>
      <c r="BJ1846" s="8"/>
      <c r="BK1846" s="8"/>
      <c r="BL1846" s="8"/>
      <c r="BM1846" s="8"/>
      <c r="BN1846" s="8"/>
      <c r="BO1846" s="8"/>
      <c r="BP1846" s="8"/>
      <c r="BQ1846" s="8"/>
      <c r="BR1846" s="8"/>
      <c r="BS1846" s="8"/>
    </row>
    <row r="1847" customFormat="false" ht="15" hidden="false" customHeight="false" outlineLevel="0" collapsed="false">
      <c r="A1847" s="7" t="s">
        <v>12014</v>
      </c>
      <c r="B1847" s="7" t="s">
        <v>12015</v>
      </c>
      <c r="C1847" s="7" t="s">
        <v>12016</v>
      </c>
      <c r="D1847" s="7" t="s">
        <v>2037</v>
      </c>
      <c r="E1847" s="7" t="s">
        <v>516</v>
      </c>
      <c r="F1847" s="7" t="s">
        <v>516</v>
      </c>
      <c r="G1847" s="7"/>
      <c r="H1847" s="7"/>
      <c r="I1847" s="7" t="s">
        <v>158</v>
      </c>
      <c r="J1847" s="7" t="s">
        <v>104</v>
      </c>
      <c r="K1847" s="7" t="s">
        <v>105</v>
      </c>
      <c r="L1847" s="7" t="s">
        <v>353</v>
      </c>
      <c r="M1847" s="7"/>
      <c r="N1847" s="7" t="s">
        <v>12017</v>
      </c>
      <c r="O1847" s="7" t="s">
        <v>12017</v>
      </c>
      <c r="P1847" s="7" t="s">
        <v>109</v>
      </c>
      <c r="Q1847" s="7"/>
      <c r="R1847" s="7" t="s">
        <v>109</v>
      </c>
      <c r="S1847" s="7" t="s">
        <v>110</v>
      </c>
      <c r="T1847" s="7" t="n">
        <v>0.735</v>
      </c>
      <c r="U1847" s="7" t="n">
        <v>1</v>
      </c>
      <c r="V1847" s="7" t="s">
        <v>1156</v>
      </c>
      <c r="W1847" s="7"/>
      <c r="X1847" s="7" t="s">
        <v>10329</v>
      </c>
      <c r="Y1847" s="7" t="s">
        <v>12017</v>
      </c>
      <c r="Z1847" s="7"/>
      <c r="AA1847" s="7"/>
      <c r="AB1847" s="7"/>
      <c r="AC1847" s="7" t="n">
        <v>6</v>
      </c>
      <c r="AD1847" s="7" t="s">
        <v>1235</v>
      </c>
      <c r="AE1847" s="7" t="s">
        <v>744</v>
      </c>
      <c r="AF1847" s="7" t="s">
        <v>12016</v>
      </c>
      <c r="AG1847" s="7" t="s">
        <v>744</v>
      </c>
      <c r="AH1847" s="7" t="s">
        <v>12018</v>
      </c>
      <c r="AI1847" s="7"/>
      <c r="AJ1847" s="7"/>
      <c r="AK1847" s="7"/>
      <c r="AL1847" s="7"/>
      <c r="AM1847" s="7" t="s">
        <v>744</v>
      </c>
      <c r="AN1847" s="7" t="s">
        <v>12019</v>
      </c>
      <c r="AO1847" s="7" t="s">
        <v>744</v>
      </c>
      <c r="AP1847" s="7" t="s">
        <v>2037</v>
      </c>
      <c r="AQ1847" s="7" t="s">
        <v>744</v>
      </c>
      <c r="AR1847" s="7" t="s">
        <v>516</v>
      </c>
      <c r="AS1847" s="7"/>
      <c r="AT1847" s="7"/>
      <c r="AU1847" s="7"/>
      <c r="AV1847" s="7"/>
      <c r="AW1847" s="7" t="s">
        <v>744</v>
      </c>
      <c r="AX1847" s="7" t="s">
        <v>12017</v>
      </c>
      <c r="AY1847" s="7"/>
      <c r="AZ1847" s="7"/>
      <c r="BA1847" s="7"/>
      <c r="BB1847" s="7"/>
      <c r="BC1847" s="7"/>
      <c r="BD1847" s="7"/>
      <c r="BE1847" s="7" t="s">
        <v>127</v>
      </c>
      <c r="BF1847" s="8"/>
      <c r="BG1847" s="8"/>
      <c r="BH1847" s="8"/>
      <c r="BI1847" s="8"/>
      <c r="BJ1847" s="8"/>
      <c r="BK1847" s="8"/>
      <c r="BL1847" s="8"/>
      <c r="BM1847" s="8"/>
      <c r="BN1847" s="8"/>
      <c r="BO1847" s="8"/>
      <c r="BP1847" s="8"/>
      <c r="BQ1847" s="8"/>
      <c r="BR1847" s="8"/>
      <c r="BS1847" s="8"/>
    </row>
    <row r="1848" customFormat="false" ht="15" hidden="false" customHeight="false" outlineLevel="0" collapsed="false">
      <c r="A1848" s="7" t="s">
        <v>12020</v>
      </c>
      <c r="B1848" s="7" t="s">
        <v>12021</v>
      </c>
      <c r="C1848" s="7" t="s">
        <v>12022</v>
      </c>
      <c r="D1848" s="7" t="s">
        <v>2037</v>
      </c>
      <c r="E1848" s="7" t="s">
        <v>516</v>
      </c>
      <c r="F1848" s="7" t="s">
        <v>516</v>
      </c>
      <c r="G1848" s="7"/>
      <c r="H1848" s="7"/>
      <c r="I1848" s="7" t="s">
        <v>158</v>
      </c>
      <c r="J1848" s="7" t="s">
        <v>104</v>
      </c>
      <c r="K1848" s="7" t="s">
        <v>105</v>
      </c>
      <c r="L1848" s="7" t="s">
        <v>106</v>
      </c>
      <c r="M1848" s="7"/>
      <c r="N1848" s="7" t="s">
        <v>12023</v>
      </c>
      <c r="O1848" s="7" t="s">
        <v>12023</v>
      </c>
      <c r="P1848" s="7" t="s">
        <v>109</v>
      </c>
      <c r="Q1848" s="7"/>
      <c r="R1848" s="7" t="s">
        <v>109</v>
      </c>
      <c r="S1848" s="7" t="s">
        <v>110</v>
      </c>
      <c r="T1848" s="7" t="n">
        <v>0.186</v>
      </c>
      <c r="U1848" s="7" t="n">
        <v>1</v>
      </c>
      <c r="V1848" s="7" t="s">
        <v>1156</v>
      </c>
      <c r="W1848" s="7"/>
      <c r="X1848" s="7" t="s">
        <v>12024</v>
      </c>
      <c r="Y1848" s="7" t="s">
        <v>12023</v>
      </c>
      <c r="Z1848" s="7"/>
      <c r="AA1848" s="7"/>
      <c r="AB1848" s="7"/>
      <c r="AC1848" s="7" t="n">
        <v>6</v>
      </c>
      <c r="AD1848" s="7" t="s">
        <v>1235</v>
      </c>
      <c r="AE1848" s="7" t="s">
        <v>744</v>
      </c>
      <c r="AF1848" s="7" t="s">
        <v>12022</v>
      </c>
      <c r="AG1848" s="7" t="s">
        <v>744</v>
      </c>
      <c r="AH1848" s="7" t="s">
        <v>12025</v>
      </c>
      <c r="AI1848" s="7"/>
      <c r="AJ1848" s="7"/>
      <c r="AK1848" s="7"/>
      <c r="AL1848" s="7"/>
      <c r="AM1848" s="7" t="s">
        <v>744</v>
      </c>
      <c r="AN1848" s="7" t="s">
        <v>12026</v>
      </c>
      <c r="AO1848" s="7" t="s">
        <v>744</v>
      </c>
      <c r="AP1848" s="7" t="s">
        <v>2037</v>
      </c>
      <c r="AQ1848" s="7" t="s">
        <v>744</v>
      </c>
      <c r="AR1848" s="7" t="s">
        <v>516</v>
      </c>
      <c r="AS1848" s="7"/>
      <c r="AT1848" s="7"/>
      <c r="AU1848" s="7"/>
      <c r="AV1848" s="7"/>
      <c r="AW1848" s="7" t="s">
        <v>744</v>
      </c>
      <c r="AX1848" s="7" t="s">
        <v>12023</v>
      </c>
      <c r="AY1848" s="7"/>
      <c r="AZ1848" s="7"/>
      <c r="BA1848" s="7"/>
      <c r="BB1848" s="7"/>
      <c r="BC1848" s="7"/>
      <c r="BD1848" s="7"/>
      <c r="BE1848" s="7" t="s">
        <v>127</v>
      </c>
      <c r="BF1848" s="8"/>
      <c r="BG1848" s="8"/>
      <c r="BH1848" s="8"/>
      <c r="BI1848" s="8"/>
      <c r="BJ1848" s="8"/>
      <c r="BK1848" s="8"/>
      <c r="BL1848" s="8"/>
      <c r="BM1848" s="8"/>
      <c r="BN1848" s="8"/>
      <c r="BO1848" s="8"/>
      <c r="BP1848" s="8"/>
      <c r="BQ1848" s="8"/>
      <c r="BR1848" s="8"/>
      <c r="BS1848" s="8"/>
    </row>
    <row r="1849" customFormat="false" ht="15" hidden="false" customHeight="false" outlineLevel="0" collapsed="false">
      <c r="A1849" s="7" t="s">
        <v>12027</v>
      </c>
      <c r="B1849" s="7" t="s">
        <v>12028</v>
      </c>
      <c r="C1849" s="7" t="s">
        <v>12029</v>
      </c>
      <c r="D1849" s="7" t="s">
        <v>2037</v>
      </c>
      <c r="E1849" s="7"/>
      <c r="F1849" s="7" t="s">
        <v>101</v>
      </c>
      <c r="G1849" s="7"/>
      <c r="H1849" s="7"/>
      <c r="I1849" s="7" t="s">
        <v>158</v>
      </c>
      <c r="J1849" s="7" t="s">
        <v>104</v>
      </c>
      <c r="K1849" s="7" t="s">
        <v>105</v>
      </c>
      <c r="L1849" s="7" t="s">
        <v>106</v>
      </c>
      <c r="M1849" s="7"/>
      <c r="N1849" s="7" t="s">
        <v>12030</v>
      </c>
      <c r="O1849" s="7" t="s">
        <v>12030</v>
      </c>
      <c r="P1849" s="7" t="s">
        <v>109</v>
      </c>
      <c r="Q1849" s="7"/>
      <c r="R1849" s="7" t="s">
        <v>109</v>
      </c>
      <c r="S1849" s="7" t="s">
        <v>110</v>
      </c>
      <c r="T1849" s="7" t="n">
        <v>0.854</v>
      </c>
      <c r="U1849" s="7" t="n">
        <v>1</v>
      </c>
      <c r="V1849" s="7" t="s">
        <v>86</v>
      </c>
      <c r="W1849" s="7"/>
      <c r="X1849" s="7" t="s">
        <v>12031</v>
      </c>
      <c r="Y1849" s="7" t="s">
        <v>12030</v>
      </c>
      <c r="Z1849" s="7"/>
      <c r="AA1849" s="7"/>
      <c r="AB1849" s="7"/>
      <c r="AC1849" s="7" t="n">
        <v>5</v>
      </c>
      <c r="AD1849" s="7" t="s">
        <v>1897</v>
      </c>
      <c r="AE1849" s="7" t="s">
        <v>744</v>
      </c>
      <c r="AF1849" s="7" t="s">
        <v>12029</v>
      </c>
      <c r="AG1849" s="7" t="s">
        <v>744</v>
      </c>
      <c r="AH1849" s="7" t="s">
        <v>12032</v>
      </c>
      <c r="AI1849" s="7"/>
      <c r="AJ1849" s="7"/>
      <c r="AK1849" s="7"/>
      <c r="AL1849" s="7"/>
      <c r="AM1849" s="7" t="s">
        <v>744</v>
      </c>
      <c r="AN1849" s="7" t="s">
        <v>12033</v>
      </c>
      <c r="AO1849" s="7" t="s">
        <v>744</v>
      </c>
      <c r="AP1849" s="7" t="s">
        <v>2037</v>
      </c>
      <c r="AQ1849" s="7"/>
      <c r="AR1849" s="7"/>
      <c r="AS1849" s="7"/>
      <c r="AT1849" s="7"/>
      <c r="AU1849" s="7"/>
      <c r="AV1849" s="7"/>
      <c r="AW1849" s="7" t="s">
        <v>744</v>
      </c>
      <c r="AX1849" s="7" t="s">
        <v>12030</v>
      </c>
      <c r="AY1849" s="7"/>
      <c r="AZ1849" s="7"/>
      <c r="BA1849" s="7"/>
      <c r="BB1849" s="7"/>
      <c r="BC1849" s="7"/>
      <c r="BD1849" s="7" t="s">
        <v>3272</v>
      </c>
      <c r="BE1849" s="7" t="s">
        <v>127</v>
      </c>
      <c r="BF1849" s="8"/>
      <c r="BG1849" s="8"/>
      <c r="BH1849" s="8"/>
      <c r="BI1849" s="8"/>
      <c r="BJ1849" s="8"/>
      <c r="BK1849" s="8"/>
      <c r="BL1849" s="8"/>
      <c r="BM1849" s="8"/>
      <c r="BN1849" s="8"/>
      <c r="BO1849" s="8"/>
      <c r="BP1849" s="8"/>
      <c r="BQ1849" s="8"/>
      <c r="BR1849" s="8"/>
      <c r="BS1849" s="8"/>
    </row>
    <row r="1850" customFormat="false" ht="15" hidden="false" customHeight="false" outlineLevel="0" collapsed="false">
      <c r="A1850" s="7" t="s">
        <v>12034</v>
      </c>
      <c r="B1850" s="7" t="s">
        <v>12035</v>
      </c>
      <c r="C1850" s="7" t="s">
        <v>12036</v>
      </c>
      <c r="D1850" s="7" t="s">
        <v>12037</v>
      </c>
      <c r="E1850" s="7" t="s">
        <v>444</v>
      </c>
      <c r="F1850" s="7" t="s">
        <v>444</v>
      </c>
      <c r="G1850" s="7" t="s">
        <v>9634</v>
      </c>
      <c r="H1850" s="7"/>
      <c r="I1850" s="7" t="s">
        <v>132</v>
      </c>
      <c r="J1850" s="7" t="s">
        <v>104</v>
      </c>
      <c r="K1850" s="7" t="s">
        <v>105</v>
      </c>
      <c r="L1850" s="7" t="s">
        <v>1785</v>
      </c>
      <c r="M1850" s="7"/>
      <c r="N1850" s="7" t="s">
        <v>12038</v>
      </c>
      <c r="O1850" s="7"/>
      <c r="P1850" s="7" t="s">
        <v>109</v>
      </c>
      <c r="Q1850" s="7"/>
      <c r="R1850" s="7" t="s">
        <v>135</v>
      </c>
      <c r="S1850" s="7" t="s">
        <v>136</v>
      </c>
      <c r="T1850" s="7" t="n">
        <v>0.342</v>
      </c>
      <c r="U1850" s="7" t="n">
        <v>1</v>
      </c>
      <c r="V1850" s="7" t="s">
        <v>86</v>
      </c>
      <c r="W1850" s="7"/>
      <c r="X1850" s="7" t="s">
        <v>12039</v>
      </c>
      <c r="Y1850" s="7" t="s">
        <v>12038</v>
      </c>
      <c r="Z1850" s="7"/>
      <c r="AA1850" s="7"/>
      <c r="AB1850" s="7"/>
      <c r="AC1850" s="7" t="n">
        <v>6</v>
      </c>
      <c r="AD1850" s="7" t="s">
        <v>1235</v>
      </c>
      <c r="AE1850" s="7" t="s">
        <v>744</v>
      </c>
      <c r="AF1850" s="7" t="s">
        <v>12036</v>
      </c>
      <c r="AG1850" s="7" t="s">
        <v>744</v>
      </c>
      <c r="AH1850" s="7" t="s">
        <v>12039</v>
      </c>
      <c r="AI1850" s="7"/>
      <c r="AJ1850" s="7"/>
      <c r="AK1850" s="7"/>
      <c r="AL1850" s="7"/>
      <c r="AM1850" s="7" t="s">
        <v>744</v>
      </c>
      <c r="AN1850" s="7" t="s">
        <v>12040</v>
      </c>
      <c r="AO1850" s="7" t="s">
        <v>744</v>
      </c>
      <c r="AP1850" s="7" t="s">
        <v>12037</v>
      </c>
      <c r="AQ1850" s="7" t="s">
        <v>744</v>
      </c>
      <c r="AR1850" s="7" t="s">
        <v>444</v>
      </c>
      <c r="AS1850" s="7"/>
      <c r="AT1850" s="7"/>
      <c r="AU1850" s="7"/>
      <c r="AV1850" s="7"/>
      <c r="AW1850" s="7" t="s">
        <v>744</v>
      </c>
      <c r="AX1850" s="7" t="s">
        <v>12038</v>
      </c>
      <c r="AY1850" s="7"/>
      <c r="AZ1850" s="7"/>
      <c r="BA1850" s="7"/>
      <c r="BB1850" s="7"/>
      <c r="BC1850" s="7"/>
      <c r="BD1850" s="7"/>
      <c r="BE1850" s="7" t="s">
        <v>127</v>
      </c>
      <c r="BF1850" s="8"/>
      <c r="BG1850" s="8"/>
      <c r="BH1850" s="8"/>
      <c r="BI1850" s="8"/>
      <c r="BJ1850" s="8"/>
      <c r="BK1850" s="8"/>
      <c r="BL1850" s="8"/>
      <c r="BM1850" s="8"/>
      <c r="BN1850" s="8"/>
      <c r="BO1850" s="8"/>
      <c r="BP1850" s="8"/>
      <c r="BQ1850" s="8"/>
      <c r="BR1850" s="8"/>
      <c r="BS1850" s="8"/>
    </row>
    <row r="1851" customFormat="false" ht="15" hidden="false" customHeight="false" outlineLevel="0" collapsed="false">
      <c r="A1851" s="7" t="s">
        <v>12041</v>
      </c>
      <c r="B1851" s="7" t="s">
        <v>12042</v>
      </c>
      <c r="C1851" s="7" t="s">
        <v>12043</v>
      </c>
      <c r="D1851" s="7" t="s">
        <v>12044</v>
      </c>
      <c r="E1851" s="7" t="s">
        <v>737</v>
      </c>
      <c r="F1851" s="7" t="s">
        <v>737</v>
      </c>
      <c r="G1851" s="7"/>
      <c r="H1851" s="7"/>
      <c r="I1851" s="7" t="s">
        <v>158</v>
      </c>
      <c r="J1851" s="7" t="s">
        <v>104</v>
      </c>
      <c r="K1851" s="7" t="s">
        <v>105</v>
      </c>
      <c r="L1851" s="7" t="s">
        <v>235</v>
      </c>
      <c r="M1851" s="7"/>
      <c r="N1851" s="7" t="s">
        <v>12045</v>
      </c>
      <c r="O1851" s="7"/>
      <c r="P1851" s="7" t="s">
        <v>135</v>
      </c>
      <c r="Q1851" s="7"/>
      <c r="R1851" s="7" t="s">
        <v>135</v>
      </c>
      <c r="S1851" s="7" t="s">
        <v>136</v>
      </c>
      <c r="T1851" s="7" t="n">
        <v>0.305</v>
      </c>
      <c r="U1851" s="7" t="n">
        <v>1</v>
      </c>
      <c r="V1851" s="7" t="s">
        <v>90</v>
      </c>
      <c r="W1851" s="7"/>
      <c r="X1851" s="7" t="s">
        <v>1276</v>
      </c>
      <c r="Y1851" s="7" t="s">
        <v>12045</v>
      </c>
      <c r="Z1851" s="7"/>
      <c r="AA1851" s="7"/>
      <c r="AB1851" s="7"/>
      <c r="AC1851" s="7" t="n">
        <v>6</v>
      </c>
      <c r="AD1851" s="7" t="s">
        <v>1235</v>
      </c>
      <c r="AE1851" s="7" t="s">
        <v>744</v>
      </c>
      <c r="AF1851" s="7" t="s">
        <v>12043</v>
      </c>
      <c r="AG1851" s="7" t="s">
        <v>744</v>
      </c>
      <c r="AH1851" s="7" t="s">
        <v>12046</v>
      </c>
      <c r="AI1851" s="7"/>
      <c r="AJ1851" s="7"/>
      <c r="AK1851" s="7"/>
      <c r="AL1851" s="7"/>
      <c r="AM1851" s="7" t="s">
        <v>744</v>
      </c>
      <c r="AN1851" s="7" t="s">
        <v>12047</v>
      </c>
      <c r="AO1851" s="7" t="s">
        <v>744</v>
      </c>
      <c r="AP1851" s="7" t="s">
        <v>12044</v>
      </c>
      <c r="AQ1851" s="7" t="s">
        <v>744</v>
      </c>
      <c r="AR1851" s="7" t="s">
        <v>737</v>
      </c>
      <c r="AS1851" s="7"/>
      <c r="AT1851" s="7"/>
      <c r="AU1851" s="7"/>
      <c r="AV1851" s="7"/>
      <c r="AW1851" s="7" t="s">
        <v>744</v>
      </c>
      <c r="AX1851" s="7" t="s">
        <v>12045</v>
      </c>
      <c r="AY1851" s="7"/>
      <c r="AZ1851" s="7"/>
      <c r="BA1851" s="7"/>
      <c r="BB1851" s="7"/>
      <c r="BC1851" s="7"/>
      <c r="BD1851" s="7"/>
      <c r="BE1851" s="7" t="s">
        <v>127</v>
      </c>
      <c r="BF1851" s="8"/>
      <c r="BG1851" s="8"/>
      <c r="BH1851" s="8"/>
      <c r="BI1851" s="8"/>
      <c r="BJ1851" s="8"/>
      <c r="BK1851" s="8"/>
      <c r="BL1851" s="8"/>
      <c r="BM1851" s="8"/>
      <c r="BN1851" s="8"/>
      <c r="BO1851" s="8"/>
      <c r="BP1851" s="8"/>
      <c r="BQ1851" s="8"/>
      <c r="BR1851" s="8"/>
      <c r="BS1851" s="8"/>
    </row>
    <row r="1852" customFormat="false" ht="15" hidden="false" customHeight="false" outlineLevel="0" collapsed="false">
      <c r="A1852" s="7" t="s">
        <v>12048</v>
      </c>
      <c r="B1852" s="7" t="s">
        <v>12049</v>
      </c>
      <c r="C1852" s="7" t="s">
        <v>12050</v>
      </c>
      <c r="D1852" s="7" t="s">
        <v>12051</v>
      </c>
      <c r="E1852" s="7"/>
      <c r="F1852" s="7" t="s">
        <v>101</v>
      </c>
      <c r="G1852" s="7"/>
      <c r="H1852" s="7"/>
      <c r="I1852" s="7" t="s">
        <v>300</v>
      </c>
      <c r="J1852" s="7" t="s">
        <v>104</v>
      </c>
      <c r="K1852" s="7" t="s">
        <v>105</v>
      </c>
      <c r="L1852" s="7" t="s">
        <v>106</v>
      </c>
      <c r="M1852" s="7"/>
      <c r="N1852" s="7" t="s">
        <v>12052</v>
      </c>
      <c r="O1852" s="7"/>
      <c r="P1852" s="7" t="s">
        <v>135</v>
      </c>
      <c r="Q1852" s="7"/>
      <c r="R1852" s="7" t="s">
        <v>135</v>
      </c>
      <c r="S1852" s="7" t="s">
        <v>136</v>
      </c>
      <c r="T1852" s="7" t="n">
        <v>0.64</v>
      </c>
      <c r="U1852" s="7" t="n">
        <v>1</v>
      </c>
      <c r="V1852" s="7" t="s">
        <v>90</v>
      </c>
      <c r="W1852" s="7"/>
      <c r="X1852" s="7" t="s">
        <v>752</v>
      </c>
      <c r="Y1852" s="7" t="s">
        <v>12052</v>
      </c>
      <c r="Z1852" s="7"/>
      <c r="AA1852" s="7"/>
      <c r="AB1852" s="7"/>
      <c r="AC1852" s="7" t="n">
        <v>5</v>
      </c>
      <c r="AD1852" s="7" t="s">
        <v>1897</v>
      </c>
      <c r="AE1852" s="7" t="s">
        <v>744</v>
      </c>
      <c r="AF1852" s="7" t="s">
        <v>12050</v>
      </c>
      <c r="AG1852" s="7" t="s">
        <v>744</v>
      </c>
      <c r="AH1852" s="7" t="s">
        <v>12053</v>
      </c>
      <c r="AI1852" s="7"/>
      <c r="AJ1852" s="7"/>
      <c r="AK1852" s="7"/>
      <c r="AL1852" s="7"/>
      <c r="AM1852" s="7" t="s">
        <v>744</v>
      </c>
      <c r="AN1852" s="7" t="s">
        <v>12054</v>
      </c>
      <c r="AO1852" s="7" t="s">
        <v>744</v>
      </c>
      <c r="AP1852" s="7" t="s">
        <v>12051</v>
      </c>
      <c r="AQ1852" s="7"/>
      <c r="AR1852" s="7"/>
      <c r="AS1852" s="7"/>
      <c r="AT1852" s="7"/>
      <c r="AU1852" s="7"/>
      <c r="AV1852" s="7"/>
      <c r="AW1852" s="7" t="s">
        <v>744</v>
      </c>
      <c r="AX1852" s="7" t="s">
        <v>12052</v>
      </c>
      <c r="AY1852" s="7"/>
      <c r="AZ1852" s="7"/>
      <c r="BA1852" s="7"/>
      <c r="BB1852" s="7"/>
      <c r="BC1852" s="7"/>
      <c r="BD1852" s="7"/>
      <c r="BE1852" s="7" t="s">
        <v>127</v>
      </c>
      <c r="BF1852" s="8"/>
      <c r="BG1852" s="8"/>
      <c r="BH1852" s="8"/>
      <c r="BI1852" s="8"/>
      <c r="BJ1852" s="8"/>
      <c r="BK1852" s="8"/>
      <c r="BL1852" s="8"/>
      <c r="BM1852" s="8"/>
      <c r="BN1852" s="8"/>
      <c r="BO1852" s="8"/>
      <c r="BP1852" s="8"/>
      <c r="BQ1852" s="8"/>
      <c r="BR1852" s="8"/>
      <c r="BS1852" s="8"/>
    </row>
    <row r="1853" customFormat="false" ht="15" hidden="false" customHeight="false" outlineLevel="0" collapsed="false">
      <c r="A1853" s="7" t="s">
        <v>12055</v>
      </c>
      <c r="B1853" s="7" t="s">
        <v>12056</v>
      </c>
      <c r="C1853" s="7" t="s">
        <v>12057</v>
      </c>
      <c r="D1853" s="7" t="s">
        <v>12058</v>
      </c>
      <c r="E1853" s="7"/>
      <c r="F1853" s="7" t="s">
        <v>101</v>
      </c>
      <c r="G1853" s="7"/>
      <c r="H1853" s="7"/>
      <c r="I1853" s="7" t="s">
        <v>158</v>
      </c>
      <c r="J1853" s="7" t="s">
        <v>104</v>
      </c>
      <c r="K1853" s="7" t="s">
        <v>105</v>
      </c>
      <c r="L1853" s="7" t="s">
        <v>106</v>
      </c>
      <c r="M1853" s="7"/>
      <c r="N1853" s="7" t="s">
        <v>12059</v>
      </c>
      <c r="O1853" s="7"/>
      <c r="P1853" s="7" t="s">
        <v>135</v>
      </c>
      <c r="Q1853" s="7"/>
      <c r="R1853" s="7" t="s">
        <v>135</v>
      </c>
      <c r="S1853" s="7" t="s">
        <v>136</v>
      </c>
      <c r="T1853" s="7" t="n">
        <v>0.303</v>
      </c>
      <c r="U1853" s="7" t="n">
        <v>1</v>
      </c>
      <c r="V1853" s="7"/>
      <c r="W1853" s="7"/>
      <c r="X1853" s="7"/>
      <c r="Y1853" s="7" t="s">
        <v>12059</v>
      </c>
      <c r="Z1853" s="7"/>
      <c r="AA1853" s="7"/>
      <c r="AB1853" s="7"/>
      <c r="AC1853" s="7" t="n">
        <v>3</v>
      </c>
      <c r="AD1853" s="7" t="s">
        <v>1492</v>
      </c>
      <c r="AE1853" s="7" t="s">
        <v>744</v>
      </c>
      <c r="AF1853" s="7" t="s">
        <v>12057</v>
      </c>
      <c r="AG1853" s="7"/>
      <c r="AH1853" s="7"/>
      <c r="AI1853" s="7"/>
      <c r="AJ1853" s="7"/>
      <c r="AK1853" s="7"/>
      <c r="AL1853" s="7"/>
      <c r="AM1853" s="7"/>
      <c r="AN1853" s="7"/>
      <c r="AO1853" s="7" t="s">
        <v>744</v>
      </c>
      <c r="AP1853" s="7" t="s">
        <v>12058</v>
      </c>
      <c r="AQ1853" s="7"/>
      <c r="AR1853" s="7"/>
      <c r="AS1853" s="7"/>
      <c r="AT1853" s="7"/>
      <c r="AU1853" s="7"/>
      <c r="AV1853" s="7"/>
      <c r="AW1853" s="7" t="s">
        <v>744</v>
      </c>
      <c r="AX1853" s="7" t="s">
        <v>12059</v>
      </c>
      <c r="AY1853" s="7"/>
      <c r="AZ1853" s="7"/>
      <c r="BA1853" s="7"/>
      <c r="BB1853" s="7"/>
      <c r="BC1853" s="7"/>
      <c r="BD1853" s="7" t="s">
        <v>3272</v>
      </c>
      <c r="BE1853" s="7" t="s">
        <v>127</v>
      </c>
      <c r="BF1853" s="8"/>
      <c r="BG1853" s="8"/>
      <c r="BH1853" s="8"/>
      <c r="BI1853" s="8"/>
      <c r="BJ1853" s="8"/>
      <c r="BK1853" s="8"/>
      <c r="BL1853" s="8"/>
      <c r="BM1853" s="8"/>
      <c r="BN1853" s="8"/>
      <c r="BO1853" s="8"/>
      <c r="BP1853" s="8"/>
      <c r="BQ1853" s="8"/>
      <c r="BR1853" s="8"/>
      <c r="BS1853" s="8"/>
    </row>
    <row r="1854" customFormat="false" ht="15" hidden="false" customHeight="false" outlineLevel="0" collapsed="false">
      <c r="A1854" s="7" t="s">
        <v>12060</v>
      </c>
      <c r="B1854" s="7" t="s">
        <v>12061</v>
      </c>
      <c r="C1854" s="7" t="s">
        <v>12062</v>
      </c>
      <c r="D1854" s="7" t="s">
        <v>12063</v>
      </c>
      <c r="E1854" s="7"/>
      <c r="F1854" s="7" t="s">
        <v>101</v>
      </c>
      <c r="G1854" s="7"/>
      <c r="H1854" s="7"/>
      <c r="I1854" s="7" t="s">
        <v>132</v>
      </c>
      <c r="J1854" s="7" t="s">
        <v>104</v>
      </c>
      <c r="K1854" s="7" t="s">
        <v>105</v>
      </c>
      <c r="L1854" s="7" t="s">
        <v>106</v>
      </c>
      <c r="M1854" s="7"/>
      <c r="N1854" s="7" t="s">
        <v>12064</v>
      </c>
      <c r="O1854" s="7"/>
      <c r="P1854" s="7" t="s">
        <v>135</v>
      </c>
      <c r="Q1854" s="7"/>
      <c r="R1854" s="7" t="s">
        <v>135</v>
      </c>
      <c r="S1854" s="7" t="s">
        <v>136</v>
      </c>
      <c r="T1854" s="7" t="n">
        <v>0.383</v>
      </c>
      <c r="U1854" s="7" t="n">
        <v>1</v>
      </c>
      <c r="V1854" s="7" t="s">
        <v>1156</v>
      </c>
      <c r="W1854" s="7"/>
      <c r="X1854" s="7" t="s">
        <v>12065</v>
      </c>
      <c r="Y1854" s="7" t="s">
        <v>12064</v>
      </c>
      <c r="Z1854" s="7"/>
      <c r="AA1854" s="7"/>
      <c r="AB1854" s="7"/>
      <c r="AC1854" s="7" t="n">
        <v>5</v>
      </c>
      <c r="AD1854" s="7" t="s">
        <v>1897</v>
      </c>
      <c r="AE1854" s="7" t="s">
        <v>744</v>
      </c>
      <c r="AF1854" s="7" t="s">
        <v>12062</v>
      </c>
      <c r="AG1854" s="7" t="s">
        <v>744</v>
      </c>
      <c r="AH1854" s="7" t="s">
        <v>12065</v>
      </c>
      <c r="AI1854" s="7"/>
      <c r="AJ1854" s="7"/>
      <c r="AK1854" s="7"/>
      <c r="AL1854" s="7"/>
      <c r="AM1854" s="7" t="s">
        <v>744</v>
      </c>
      <c r="AN1854" s="7" t="s">
        <v>12066</v>
      </c>
      <c r="AO1854" s="7" t="s">
        <v>744</v>
      </c>
      <c r="AP1854" s="7" t="s">
        <v>12063</v>
      </c>
      <c r="AQ1854" s="7"/>
      <c r="AR1854" s="7"/>
      <c r="AS1854" s="7"/>
      <c r="AT1854" s="7"/>
      <c r="AU1854" s="7"/>
      <c r="AV1854" s="7"/>
      <c r="AW1854" s="7" t="s">
        <v>744</v>
      </c>
      <c r="AX1854" s="7" t="s">
        <v>12064</v>
      </c>
      <c r="AY1854" s="7"/>
      <c r="AZ1854" s="7"/>
      <c r="BA1854" s="7"/>
      <c r="BB1854" s="7"/>
      <c r="BC1854" s="7"/>
      <c r="BD1854" s="7"/>
      <c r="BE1854" s="7" t="s">
        <v>127</v>
      </c>
      <c r="BF1854" s="8"/>
      <c r="BG1854" s="8"/>
      <c r="BH1854" s="8"/>
      <c r="BI1854" s="8"/>
      <c r="BJ1854" s="8"/>
      <c r="BK1854" s="8"/>
      <c r="BL1854" s="8"/>
      <c r="BM1854" s="8"/>
      <c r="BN1854" s="8"/>
      <c r="BO1854" s="8"/>
      <c r="BP1854" s="8"/>
      <c r="BQ1854" s="8"/>
      <c r="BR1854" s="8"/>
      <c r="BS1854" s="8"/>
    </row>
    <row r="1855" customFormat="false" ht="15" hidden="false" customHeight="false" outlineLevel="0" collapsed="false">
      <c r="A1855" s="7" t="s">
        <v>12067</v>
      </c>
      <c r="B1855" s="7" t="s">
        <v>12068</v>
      </c>
      <c r="C1855" s="7" t="s">
        <v>12069</v>
      </c>
      <c r="D1855" s="7" t="s">
        <v>12070</v>
      </c>
      <c r="E1855" s="7"/>
      <c r="F1855" s="7" t="s">
        <v>101</v>
      </c>
      <c r="G1855" s="7"/>
      <c r="H1855" s="7"/>
      <c r="I1855" s="7" t="s">
        <v>158</v>
      </c>
      <c r="J1855" s="7" t="s">
        <v>104</v>
      </c>
      <c r="K1855" s="7" t="s">
        <v>105</v>
      </c>
      <c r="L1855" s="7" t="s">
        <v>106</v>
      </c>
      <c r="M1855" s="7"/>
      <c r="N1855" s="7" t="s">
        <v>12071</v>
      </c>
      <c r="O1855" s="7"/>
      <c r="P1855" s="7" t="s">
        <v>135</v>
      </c>
      <c r="Q1855" s="7"/>
      <c r="R1855" s="7" t="s">
        <v>135</v>
      </c>
      <c r="S1855" s="7" t="s">
        <v>136</v>
      </c>
      <c r="T1855" s="7" t="n">
        <v>0.363</v>
      </c>
      <c r="U1855" s="7" t="n">
        <v>1</v>
      </c>
      <c r="V1855" s="7" t="s">
        <v>86</v>
      </c>
      <c r="W1855" s="7"/>
      <c r="X1855" s="7" t="s">
        <v>12072</v>
      </c>
      <c r="Y1855" s="7" t="s">
        <v>12071</v>
      </c>
      <c r="Z1855" s="7"/>
      <c r="AA1855" s="7"/>
      <c r="AB1855" s="7"/>
      <c r="AC1855" s="7" t="n">
        <v>4</v>
      </c>
      <c r="AD1855" s="7" t="s">
        <v>7611</v>
      </c>
      <c r="AE1855" s="7" t="s">
        <v>189</v>
      </c>
      <c r="AF1855" s="7" t="s">
        <v>12073</v>
      </c>
      <c r="AG1855" s="7" t="s">
        <v>189</v>
      </c>
      <c r="AH1855" s="7" t="s">
        <v>12074</v>
      </c>
      <c r="AI1855" s="7"/>
      <c r="AJ1855" s="7"/>
      <c r="AK1855" s="7"/>
      <c r="AL1855" s="7"/>
      <c r="AM1855" s="7"/>
      <c r="AN1855" s="7"/>
      <c r="AO1855" s="7" t="s">
        <v>744</v>
      </c>
      <c r="AP1855" s="7" t="s">
        <v>12070</v>
      </c>
      <c r="AQ1855" s="7"/>
      <c r="AR1855" s="7"/>
      <c r="AS1855" s="7"/>
      <c r="AT1855" s="7"/>
      <c r="AU1855" s="7"/>
      <c r="AV1855" s="7"/>
      <c r="AW1855" s="7" t="s">
        <v>744</v>
      </c>
      <c r="AX1855" s="7" t="s">
        <v>12071</v>
      </c>
      <c r="AY1855" s="7"/>
      <c r="AZ1855" s="7"/>
      <c r="BA1855" s="7"/>
      <c r="BB1855" s="7"/>
      <c r="BC1855" s="7"/>
      <c r="BD1855" s="7"/>
      <c r="BE1855" s="7" t="s">
        <v>127</v>
      </c>
      <c r="BF1855" s="8"/>
      <c r="BG1855" s="8"/>
      <c r="BH1855" s="8"/>
      <c r="BI1855" s="8"/>
      <c r="BJ1855" s="8"/>
      <c r="BK1855" s="8"/>
      <c r="BL1855" s="8"/>
      <c r="BM1855" s="8"/>
      <c r="BN1855" s="8"/>
      <c r="BO1855" s="8"/>
      <c r="BP1855" s="8"/>
      <c r="BQ1855" s="8"/>
      <c r="BR1855" s="8"/>
      <c r="BS1855" s="8"/>
    </row>
    <row r="1856" customFormat="false" ht="15" hidden="false" customHeight="false" outlineLevel="0" collapsed="false">
      <c r="A1856" s="7" t="s">
        <v>12075</v>
      </c>
      <c r="B1856" s="7" t="s">
        <v>12076</v>
      </c>
      <c r="C1856" s="7" t="s">
        <v>12077</v>
      </c>
      <c r="D1856" s="7" t="s">
        <v>12078</v>
      </c>
      <c r="E1856" s="7" t="s">
        <v>516</v>
      </c>
      <c r="F1856" s="7" t="s">
        <v>516</v>
      </c>
      <c r="G1856" s="7" t="s">
        <v>2455</v>
      </c>
      <c r="H1856" s="7"/>
      <c r="I1856" s="7" t="s">
        <v>158</v>
      </c>
      <c r="J1856" s="7" t="s">
        <v>104</v>
      </c>
      <c r="K1856" s="7" t="s">
        <v>105</v>
      </c>
      <c r="L1856" s="7" t="s">
        <v>106</v>
      </c>
      <c r="M1856" s="7"/>
      <c r="N1856" s="7" t="s">
        <v>12079</v>
      </c>
      <c r="O1856" s="7"/>
      <c r="P1856" s="7" t="s">
        <v>135</v>
      </c>
      <c r="Q1856" s="7"/>
      <c r="R1856" s="7" t="s">
        <v>135</v>
      </c>
      <c r="S1856" s="7" t="s">
        <v>136</v>
      </c>
      <c r="T1856" s="7" t="n">
        <v>0.236</v>
      </c>
      <c r="U1856" s="7" t="n">
        <v>1</v>
      </c>
      <c r="V1856" s="7" t="s">
        <v>90</v>
      </c>
      <c r="W1856" s="7"/>
      <c r="X1856" s="7" t="s">
        <v>12080</v>
      </c>
      <c r="Y1856" s="7" t="s">
        <v>12079</v>
      </c>
      <c r="Z1856" s="7"/>
      <c r="AA1856" s="7"/>
      <c r="AB1856" s="7"/>
      <c r="AC1856" s="7" t="n">
        <v>6</v>
      </c>
      <c r="AD1856" s="7" t="s">
        <v>1235</v>
      </c>
      <c r="AE1856" s="7" t="s">
        <v>744</v>
      </c>
      <c r="AF1856" s="7" t="s">
        <v>12077</v>
      </c>
      <c r="AG1856" s="7" t="s">
        <v>744</v>
      </c>
      <c r="AH1856" s="7" t="s">
        <v>12081</v>
      </c>
      <c r="AI1856" s="7"/>
      <c r="AJ1856" s="7"/>
      <c r="AK1856" s="7"/>
      <c r="AL1856" s="7"/>
      <c r="AM1856" s="7" t="s">
        <v>744</v>
      </c>
      <c r="AN1856" s="7" t="s">
        <v>12082</v>
      </c>
      <c r="AO1856" s="7" t="s">
        <v>744</v>
      </c>
      <c r="AP1856" s="7" t="s">
        <v>12078</v>
      </c>
      <c r="AQ1856" s="7" t="s">
        <v>744</v>
      </c>
      <c r="AR1856" s="7" t="s">
        <v>516</v>
      </c>
      <c r="AS1856" s="7"/>
      <c r="AT1856" s="7"/>
      <c r="AU1856" s="7"/>
      <c r="AV1856" s="7"/>
      <c r="AW1856" s="7" t="s">
        <v>744</v>
      </c>
      <c r="AX1856" s="7" t="s">
        <v>12079</v>
      </c>
      <c r="AY1856" s="7"/>
      <c r="AZ1856" s="7"/>
      <c r="BA1856" s="7"/>
      <c r="BB1856" s="7"/>
      <c r="BC1856" s="7"/>
      <c r="BD1856" s="7"/>
      <c r="BE1856" s="7" t="s">
        <v>127</v>
      </c>
      <c r="BF1856" s="8"/>
      <c r="BG1856" s="8"/>
      <c r="BH1856" s="8"/>
      <c r="BI1856" s="8"/>
      <c r="BJ1856" s="8"/>
      <c r="BK1856" s="8"/>
      <c r="BL1856" s="8"/>
      <c r="BM1856" s="8"/>
      <c r="BN1856" s="8"/>
      <c r="BO1856" s="8"/>
      <c r="BP1856" s="8"/>
      <c r="BQ1856" s="8"/>
      <c r="BR1856" s="8"/>
      <c r="BS1856" s="8"/>
    </row>
    <row r="1857" customFormat="false" ht="15" hidden="false" customHeight="false" outlineLevel="0" collapsed="false">
      <c r="A1857" s="7" t="s">
        <v>12083</v>
      </c>
      <c r="B1857" s="7" t="s">
        <v>12084</v>
      </c>
      <c r="C1857" s="7" t="s">
        <v>12085</v>
      </c>
      <c r="D1857" s="7" t="s">
        <v>397</v>
      </c>
      <c r="E1857" s="7"/>
      <c r="F1857" s="7" t="s">
        <v>101</v>
      </c>
      <c r="G1857" s="7"/>
      <c r="H1857" s="7"/>
      <c r="I1857" s="7" t="s">
        <v>300</v>
      </c>
      <c r="J1857" s="7" t="s">
        <v>104</v>
      </c>
      <c r="K1857" s="7" t="s">
        <v>105</v>
      </c>
      <c r="L1857" s="7" t="s">
        <v>2470</v>
      </c>
      <c r="M1857" s="7"/>
      <c r="N1857" s="7" t="s">
        <v>12086</v>
      </c>
      <c r="O1857" s="7"/>
      <c r="P1857" s="7" t="s">
        <v>109</v>
      </c>
      <c r="Q1857" s="7"/>
      <c r="R1857" s="7" t="s">
        <v>135</v>
      </c>
      <c r="S1857" s="7" t="s">
        <v>136</v>
      </c>
      <c r="T1857" s="7" t="n">
        <v>0.302</v>
      </c>
      <c r="U1857" s="7" t="n">
        <v>1</v>
      </c>
      <c r="V1857" s="7" t="s">
        <v>1156</v>
      </c>
      <c r="W1857" s="7"/>
      <c r="X1857" s="7" t="s">
        <v>11614</v>
      </c>
      <c r="Y1857" s="7" t="s">
        <v>12086</v>
      </c>
      <c r="Z1857" s="7"/>
      <c r="AA1857" s="7"/>
      <c r="AB1857" s="7"/>
      <c r="AC1857" s="7" t="n">
        <v>5</v>
      </c>
      <c r="AD1857" s="7" t="s">
        <v>1897</v>
      </c>
      <c r="AE1857" s="7" t="s">
        <v>744</v>
      </c>
      <c r="AF1857" s="7" t="s">
        <v>12085</v>
      </c>
      <c r="AG1857" s="7" t="s">
        <v>744</v>
      </c>
      <c r="AH1857" s="7" t="s">
        <v>12087</v>
      </c>
      <c r="AI1857" s="7"/>
      <c r="AJ1857" s="7"/>
      <c r="AK1857" s="7"/>
      <c r="AL1857" s="7"/>
      <c r="AM1857" s="7" t="s">
        <v>744</v>
      </c>
      <c r="AN1857" s="7" t="s">
        <v>12088</v>
      </c>
      <c r="AO1857" s="7" t="s">
        <v>744</v>
      </c>
      <c r="AP1857" s="7" t="s">
        <v>397</v>
      </c>
      <c r="AQ1857" s="7"/>
      <c r="AR1857" s="7"/>
      <c r="AS1857" s="7"/>
      <c r="AT1857" s="7"/>
      <c r="AU1857" s="7"/>
      <c r="AV1857" s="7"/>
      <c r="AW1857" s="7" t="s">
        <v>744</v>
      </c>
      <c r="AX1857" s="7" t="s">
        <v>12086</v>
      </c>
      <c r="AY1857" s="7"/>
      <c r="AZ1857" s="7"/>
      <c r="BA1857" s="7"/>
      <c r="BB1857" s="7"/>
      <c r="BC1857" s="7"/>
      <c r="BD1857" s="7" t="s">
        <v>1218</v>
      </c>
      <c r="BE1857" s="7" t="s">
        <v>127</v>
      </c>
      <c r="BF1857" s="8"/>
      <c r="BG1857" s="8"/>
      <c r="BH1857" s="8"/>
      <c r="BI1857" s="8"/>
      <c r="BJ1857" s="8"/>
      <c r="BK1857" s="8"/>
      <c r="BL1857" s="8"/>
      <c r="BM1857" s="8"/>
      <c r="BN1857" s="8"/>
      <c r="BO1857" s="8"/>
      <c r="BP1857" s="8"/>
      <c r="BQ1857" s="8"/>
      <c r="BR1857" s="8"/>
      <c r="BS1857" s="8"/>
    </row>
    <row r="1858" customFormat="false" ht="15" hidden="false" customHeight="false" outlineLevel="0" collapsed="false">
      <c r="A1858" s="7" t="s">
        <v>12089</v>
      </c>
      <c r="B1858" s="7" t="s">
        <v>12090</v>
      </c>
      <c r="C1858" s="7" t="s">
        <v>12091</v>
      </c>
      <c r="D1858" s="7" t="s">
        <v>397</v>
      </c>
      <c r="E1858" s="7"/>
      <c r="F1858" s="7" t="s">
        <v>101</v>
      </c>
      <c r="G1858" s="7"/>
      <c r="H1858" s="7"/>
      <c r="I1858" s="7" t="s">
        <v>300</v>
      </c>
      <c r="J1858" s="7" t="s">
        <v>104</v>
      </c>
      <c r="K1858" s="7" t="s">
        <v>105</v>
      </c>
      <c r="L1858" s="7" t="s">
        <v>2470</v>
      </c>
      <c r="M1858" s="7"/>
      <c r="N1858" s="7" t="s">
        <v>12092</v>
      </c>
      <c r="O1858" s="7"/>
      <c r="P1858" s="7" t="s">
        <v>109</v>
      </c>
      <c r="Q1858" s="7"/>
      <c r="R1858" s="7" t="s">
        <v>135</v>
      </c>
      <c r="S1858" s="7" t="s">
        <v>136</v>
      </c>
      <c r="T1858" s="7" t="n">
        <v>0.205</v>
      </c>
      <c r="U1858" s="7" t="n">
        <v>1</v>
      </c>
      <c r="V1858" s="7" t="s">
        <v>1156</v>
      </c>
      <c r="W1858" s="7"/>
      <c r="X1858" s="7" t="s">
        <v>12093</v>
      </c>
      <c r="Y1858" s="7" t="s">
        <v>12092</v>
      </c>
      <c r="Z1858" s="7"/>
      <c r="AA1858" s="7"/>
      <c r="AB1858" s="7"/>
      <c r="AC1858" s="7" t="n">
        <v>5</v>
      </c>
      <c r="AD1858" s="7" t="s">
        <v>1897</v>
      </c>
      <c r="AE1858" s="7" t="s">
        <v>744</v>
      </c>
      <c r="AF1858" s="7" t="s">
        <v>12091</v>
      </c>
      <c r="AG1858" s="7" t="s">
        <v>744</v>
      </c>
      <c r="AH1858" s="7" t="s">
        <v>12094</v>
      </c>
      <c r="AI1858" s="7"/>
      <c r="AJ1858" s="7"/>
      <c r="AK1858" s="7"/>
      <c r="AL1858" s="7"/>
      <c r="AM1858" s="7" t="s">
        <v>744</v>
      </c>
      <c r="AN1858" s="7" t="s">
        <v>12095</v>
      </c>
      <c r="AO1858" s="7" t="s">
        <v>744</v>
      </c>
      <c r="AP1858" s="7" t="s">
        <v>397</v>
      </c>
      <c r="AQ1858" s="7"/>
      <c r="AR1858" s="7"/>
      <c r="AS1858" s="7"/>
      <c r="AT1858" s="7"/>
      <c r="AU1858" s="7"/>
      <c r="AV1858" s="7"/>
      <c r="AW1858" s="7" t="s">
        <v>744</v>
      </c>
      <c r="AX1858" s="7" t="s">
        <v>12092</v>
      </c>
      <c r="AY1858" s="7"/>
      <c r="AZ1858" s="7"/>
      <c r="BA1858" s="7"/>
      <c r="BB1858" s="7"/>
      <c r="BC1858" s="7"/>
      <c r="BD1858" s="7" t="s">
        <v>1218</v>
      </c>
      <c r="BE1858" s="7" t="s">
        <v>127</v>
      </c>
      <c r="BF1858" s="8"/>
      <c r="BG1858" s="8"/>
      <c r="BH1858" s="8"/>
      <c r="BI1858" s="8"/>
      <c r="BJ1858" s="8"/>
      <c r="BK1858" s="8"/>
      <c r="BL1858" s="8"/>
      <c r="BM1858" s="8"/>
      <c r="BN1858" s="8"/>
      <c r="BO1858" s="8"/>
      <c r="BP1858" s="8"/>
      <c r="BQ1858" s="8"/>
      <c r="BR1858" s="8"/>
      <c r="BS1858" s="8"/>
    </row>
    <row r="1859" customFormat="false" ht="15" hidden="false" customHeight="false" outlineLevel="0" collapsed="false">
      <c r="A1859" s="7" t="s">
        <v>12096</v>
      </c>
      <c r="B1859" s="7" t="s">
        <v>12097</v>
      </c>
      <c r="C1859" s="7" t="s">
        <v>12098</v>
      </c>
      <c r="D1859" s="7" t="s">
        <v>397</v>
      </c>
      <c r="E1859" s="7"/>
      <c r="F1859" s="7" t="s">
        <v>101</v>
      </c>
      <c r="G1859" s="7"/>
      <c r="H1859" s="7"/>
      <c r="I1859" s="7" t="s">
        <v>1726</v>
      </c>
      <c r="J1859" s="7" t="s">
        <v>104</v>
      </c>
      <c r="K1859" s="7" t="s">
        <v>105</v>
      </c>
      <c r="L1859" s="7" t="s">
        <v>106</v>
      </c>
      <c r="M1859" s="7"/>
      <c r="N1859" s="7" t="s">
        <v>12099</v>
      </c>
      <c r="O1859" s="7"/>
      <c r="P1859" s="7" t="s">
        <v>109</v>
      </c>
      <c r="Q1859" s="7"/>
      <c r="R1859" s="7" t="s">
        <v>135</v>
      </c>
      <c r="S1859" s="7" t="s">
        <v>136</v>
      </c>
      <c r="T1859" s="7" t="n">
        <v>0.284</v>
      </c>
      <c r="U1859" s="7" t="n">
        <v>1</v>
      </c>
      <c r="V1859" s="7" t="s">
        <v>1156</v>
      </c>
      <c r="W1859" s="7"/>
      <c r="X1859" s="7" t="s">
        <v>12100</v>
      </c>
      <c r="Y1859" s="7" t="s">
        <v>12099</v>
      </c>
      <c r="Z1859" s="7"/>
      <c r="AA1859" s="7"/>
      <c r="AB1859" s="7"/>
      <c r="AC1859" s="7" t="n">
        <v>5</v>
      </c>
      <c r="AD1859" s="7" t="s">
        <v>1897</v>
      </c>
      <c r="AE1859" s="7" t="s">
        <v>744</v>
      </c>
      <c r="AF1859" s="7" t="s">
        <v>12098</v>
      </c>
      <c r="AG1859" s="7" t="s">
        <v>744</v>
      </c>
      <c r="AH1859" s="7" t="s">
        <v>12101</v>
      </c>
      <c r="AI1859" s="7"/>
      <c r="AJ1859" s="7"/>
      <c r="AK1859" s="7"/>
      <c r="AL1859" s="7"/>
      <c r="AM1859" s="7" t="s">
        <v>744</v>
      </c>
      <c r="AN1859" s="7" t="s">
        <v>12102</v>
      </c>
      <c r="AO1859" s="7" t="s">
        <v>744</v>
      </c>
      <c r="AP1859" s="7" t="s">
        <v>397</v>
      </c>
      <c r="AQ1859" s="7"/>
      <c r="AR1859" s="7"/>
      <c r="AS1859" s="7"/>
      <c r="AT1859" s="7"/>
      <c r="AU1859" s="7"/>
      <c r="AV1859" s="7"/>
      <c r="AW1859" s="7" t="s">
        <v>744</v>
      </c>
      <c r="AX1859" s="7" t="s">
        <v>12099</v>
      </c>
      <c r="AY1859" s="7"/>
      <c r="AZ1859" s="7"/>
      <c r="BA1859" s="7"/>
      <c r="BB1859" s="7"/>
      <c r="BC1859" s="7"/>
      <c r="BD1859" s="7" t="s">
        <v>1218</v>
      </c>
      <c r="BE1859" s="7" t="s">
        <v>127</v>
      </c>
      <c r="BF1859" s="8"/>
      <c r="BG1859" s="8"/>
      <c r="BH1859" s="8"/>
      <c r="BI1859" s="8"/>
      <c r="BJ1859" s="8"/>
      <c r="BK1859" s="8"/>
      <c r="BL1859" s="8"/>
      <c r="BM1859" s="8"/>
      <c r="BN1859" s="8"/>
      <c r="BO1859" s="8"/>
      <c r="BP1859" s="8"/>
      <c r="BQ1859" s="8"/>
      <c r="BR1859" s="8"/>
      <c r="BS1859" s="8"/>
    </row>
    <row r="1860" customFormat="false" ht="15" hidden="false" customHeight="false" outlineLevel="0" collapsed="false">
      <c r="A1860" s="7" t="s">
        <v>12103</v>
      </c>
      <c r="B1860" s="7" t="s">
        <v>12104</v>
      </c>
      <c r="C1860" s="7" t="s">
        <v>12105</v>
      </c>
      <c r="D1860" s="7" t="s">
        <v>397</v>
      </c>
      <c r="E1860" s="7"/>
      <c r="F1860" s="7" t="s">
        <v>101</v>
      </c>
      <c r="G1860" s="7"/>
      <c r="H1860" s="7"/>
      <c r="I1860" s="7" t="s">
        <v>1726</v>
      </c>
      <c r="J1860" s="7" t="s">
        <v>104</v>
      </c>
      <c r="K1860" s="7" t="s">
        <v>105</v>
      </c>
      <c r="L1860" s="7" t="s">
        <v>106</v>
      </c>
      <c r="M1860" s="7"/>
      <c r="N1860" s="7" t="s">
        <v>12106</v>
      </c>
      <c r="O1860" s="7"/>
      <c r="P1860" s="7" t="s">
        <v>109</v>
      </c>
      <c r="Q1860" s="7"/>
      <c r="R1860" s="7" t="s">
        <v>135</v>
      </c>
      <c r="S1860" s="7" t="s">
        <v>136</v>
      </c>
      <c r="T1860" s="7" t="n">
        <v>0.487</v>
      </c>
      <c r="U1860" s="7" t="n">
        <v>1</v>
      </c>
      <c r="V1860" s="7" t="s">
        <v>1156</v>
      </c>
      <c r="W1860" s="7"/>
      <c r="X1860" s="7" t="s">
        <v>12107</v>
      </c>
      <c r="Y1860" s="7" t="s">
        <v>12106</v>
      </c>
      <c r="Z1860" s="7"/>
      <c r="AA1860" s="7"/>
      <c r="AB1860" s="7"/>
      <c r="AC1860" s="7" t="n">
        <v>5</v>
      </c>
      <c r="AD1860" s="7" t="s">
        <v>1897</v>
      </c>
      <c r="AE1860" s="7" t="s">
        <v>744</v>
      </c>
      <c r="AF1860" s="7" t="s">
        <v>12105</v>
      </c>
      <c r="AG1860" s="7" t="s">
        <v>744</v>
      </c>
      <c r="AH1860" s="7" t="s">
        <v>12108</v>
      </c>
      <c r="AI1860" s="7"/>
      <c r="AJ1860" s="7"/>
      <c r="AK1860" s="7"/>
      <c r="AL1860" s="7"/>
      <c r="AM1860" s="7" t="s">
        <v>744</v>
      </c>
      <c r="AN1860" s="7" t="s">
        <v>12109</v>
      </c>
      <c r="AO1860" s="7" t="s">
        <v>744</v>
      </c>
      <c r="AP1860" s="7" t="s">
        <v>397</v>
      </c>
      <c r="AQ1860" s="7"/>
      <c r="AR1860" s="7"/>
      <c r="AS1860" s="7"/>
      <c r="AT1860" s="7"/>
      <c r="AU1860" s="7"/>
      <c r="AV1860" s="7"/>
      <c r="AW1860" s="7" t="s">
        <v>744</v>
      </c>
      <c r="AX1860" s="7" t="s">
        <v>12106</v>
      </c>
      <c r="AY1860" s="7"/>
      <c r="AZ1860" s="7"/>
      <c r="BA1860" s="7"/>
      <c r="BB1860" s="7"/>
      <c r="BC1860" s="7"/>
      <c r="BD1860" s="7" t="s">
        <v>1218</v>
      </c>
      <c r="BE1860" s="7" t="s">
        <v>127</v>
      </c>
      <c r="BF1860" s="8"/>
      <c r="BG1860" s="8"/>
      <c r="BH1860" s="8"/>
      <c r="BI1860" s="8"/>
      <c r="BJ1860" s="8"/>
      <c r="BK1860" s="8"/>
      <c r="BL1860" s="8"/>
      <c r="BM1860" s="8"/>
      <c r="BN1860" s="8"/>
      <c r="BO1860" s="8"/>
      <c r="BP1860" s="8"/>
      <c r="BQ1860" s="8"/>
      <c r="BR1860" s="8"/>
      <c r="BS1860" s="8"/>
    </row>
    <row r="1861" customFormat="false" ht="15" hidden="false" customHeight="false" outlineLevel="0" collapsed="false">
      <c r="A1861" s="7" t="s">
        <v>12110</v>
      </c>
      <c r="B1861" s="7" t="s">
        <v>12111</v>
      </c>
      <c r="C1861" s="7" t="s">
        <v>12112</v>
      </c>
      <c r="D1861" s="7" t="s">
        <v>397</v>
      </c>
      <c r="E1861" s="7"/>
      <c r="F1861" s="7" t="s">
        <v>101</v>
      </c>
      <c r="G1861" s="7"/>
      <c r="H1861" s="7"/>
      <c r="I1861" s="7" t="s">
        <v>300</v>
      </c>
      <c r="J1861" s="7" t="s">
        <v>104</v>
      </c>
      <c r="K1861" s="7" t="s">
        <v>105</v>
      </c>
      <c r="L1861" s="7" t="s">
        <v>106</v>
      </c>
      <c r="M1861" s="7"/>
      <c r="N1861" s="7" t="s">
        <v>12113</v>
      </c>
      <c r="O1861" s="7"/>
      <c r="P1861" s="7" t="s">
        <v>109</v>
      </c>
      <c r="Q1861" s="7"/>
      <c r="R1861" s="7" t="s">
        <v>135</v>
      </c>
      <c r="S1861" s="7" t="s">
        <v>136</v>
      </c>
      <c r="T1861" s="7" t="n">
        <v>0.462</v>
      </c>
      <c r="U1861" s="7" t="n">
        <v>1</v>
      </c>
      <c r="V1861" s="7" t="s">
        <v>1156</v>
      </c>
      <c r="W1861" s="7"/>
      <c r="X1861" s="7" t="s">
        <v>10329</v>
      </c>
      <c r="Y1861" s="7" t="s">
        <v>12113</v>
      </c>
      <c r="Z1861" s="7"/>
      <c r="AA1861" s="7"/>
      <c r="AB1861" s="7"/>
      <c r="AC1861" s="7" t="n">
        <v>5</v>
      </c>
      <c r="AD1861" s="7" t="s">
        <v>1897</v>
      </c>
      <c r="AE1861" s="7" t="s">
        <v>744</v>
      </c>
      <c r="AF1861" s="7" t="s">
        <v>12112</v>
      </c>
      <c r="AG1861" s="7" t="s">
        <v>744</v>
      </c>
      <c r="AH1861" s="7" t="s">
        <v>12114</v>
      </c>
      <c r="AI1861" s="7"/>
      <c r="AJ1861" s="7"/>
      <c r="AK1861" s="7"/>
      <c r="AL1861" s="7"/>
      <c r="AM1861" s="7" t="s">
        <v>744</v>
      </c>
      <c r="AN1861" s="7" t="s">
        <v>12115</v>
      </c>
      <c r="AO1861" s="7" t="s">
        <v>744</v>
      </c>
      <c r="AP1861" s="7" t="s">
        <v>397</v>
      </c>
      <c r="AQ1861" s="7"/>
      <c r="AR1861" s="7"/>
      <c r="AS1861" s="7"/>
      <c r="AT1861" s="7"/>
      <c r="AU1861" s="7"/>
      <c r="AV1861" s="7"/>
      <c r="AW1861" s="7" t="s">
        <v>744</v>
      </c>
      <c r="AX1861" s="7" t="s">
        <v>12113</v>
      </c>
      <c r="AY1861" s="7"/>
      <c r="AZ1861" s="7"/>
      <c r="BA1861" s="7"/>
      <c r="BB1861" s="7"/>
      <c r="BC1861" s="7"/>
      <c r="BD1861" s="7" t="s">
        <v>1218</v>
      </c>
      <c r="BE1861" s="7" t="s">
        <v>127</v>
      </c>
      <c r="BF1861" s="8"/>
      <c r="BG1861" s="8"/>
      <c r="BH1861" s="8"/>
      <c r="BI1861" s="8"/>
      <c r="BJ1861" s="8"/>
      <c r="BK1861" s="8"/>
      <c r="BL1861" s="8"/>
      <c r="BM1861" s="8"/>
      <c r="BN1861" s="8"/>
      <c r="BO1861" s="8"/>
      <c r="BP1861" s="8"/>
      <c r="BQ1861" s="8"/>
      <c r="BR1861" s="8"/>
      <c r="BS1861" s="8"/>
    </row>
    <row r="1862" customFormat="false" ht="15" hidden="false" customHeight="false" outlineLevel="0" collapsed="false">
      <c r="A1862" s="7" t="s">
        <v>12116</v>
      </c>
      <c r="B1862" s="7" t="s">
        <v>12117</v>
      </c>
      <c r="C1862" s="7" t="s">
        <v>12118</v>
      </c>
      <c r="D1862" s="7" t="s">
        <v>397</v>
      </c>
      <c r="E1862" s="7"/>
      <c r="F1862" s="7" t="s">
        <v>101</v>
      </c>
      <c r="G1862" s="7"/>
      <c r="H1862" s="7"/>
      <c r="I1862" s="7" t="s">
        <v>300</v>
      </c>
      <c r="J1862" s="7" t="s">
        <v>104</v>
      </c>
      <c r="K1862" s="7" t="s">
        <v>105</v>
      </c>
      <c r="L1862" s="7" t="s">
        <v>2470</v>
      </c>
      <c r="M1862" s="7"/>
      <c r="N1862" s="7" t="s">
        <v>12119</v>
      </c>
      <c r="O1862" s="7"/>
      <c r="P1862" s="7" t="s">
        <v>109</v>
      </c>
      <c r="Q1862" s="7"/>
      <c r="R1862" s="7" t="s">
        <v>135</v>
      </c>
      <c r="S1862" s="7" t="s">
        <v>136</v>
      </c>
      <c r="T1862" s="7" t="n">
        <v>0.137</v>
      </c>
      <c r="U1862" s="7" t="n">
        <v>1</v>
      </c>
      <c r="V1862" s="7" t="s">
        <v>86</v>
      </c>
      <c r="W1862" s="7"/>
      <c r="X1862" s="7" t="s">
        <v>12120</v>
      </c>
      <c r="Y1862" s="7" t="s">
        <v>12119</v>
      </c>
      <c r="Z1862" s="7"/>
      <c r="AA1862" s="7"/>
      <c r="AB1862" s="7"/>
      <c r="AC1862" s="7" t="n">
        <v>5</v>
      </c>
      <c r="AD1862" s="7" t="s">
        <v>1897</v>
      </c>
      <c r="AE1862" s="7" t="s">
        <v>744</v>
      </c>
      <c r="AF1862" s="7" t="s">
        <v>12118</v>
      </c>
      <c r="AG1862" s="7" t="s">
        <v>744</v>
      </c>
      <c r="AH1862" s="7" t="s">
        <v>12121</v>
      </c>
      <c r="AI1862" s="7"/>
      <c r="AJ1862" s="7"/>
      <c r="AK1862" s="7"/>
      <c r="AL1862" s="7"/>
      <c r="AM1862" s="7" t="s">
        <v>744</v>
      </c>
      <c r="AN1862" s="7" t="s">
        <v>12122</v>
      </c>
      <c r="AO1862" s="7" t="s">
        <v>744</v>
      </c>
      <c r="AP1862" s="7" t="s">
        <v>397</v>
      </c>
      <c r="AQ1862" s="7"/>
      <c r="AR1862" s="7"/>
      <c r="AS1862" s="7"/>
      <c r="AT1862" s="7"/>
      <c r="AU1862" s="7"/>
      <c r="AV1862" s="7"/>
      <c r="AW1862" s="7" t="s">
        <v>744</v>
      </c>
      <c r="AX1862" s="7" t="s">
        <v>12119</v>
      </c>
      <c r="AY1862" s="7"/>
      <c r="AZ1862" s="7"/>
      <c r="BA1862" s="7"/>
      <c r="BB1862" s="7"/>
      <c r="BC1862" s="7"/>
      <c r="BD1862" s="7" t="s">
        <v>1218</v>
      </c>
      <c r="BE1862" s="7" t="s">
        <v>127</v>
      </c>
      <c r="BF1862" s="8"/>
      <c r="BG1862" s="8"/>
      <c r="BH1862" s="8"/>
      <c r="BI1862" s="8"/>
      <c r="BJ1862" s="8"/>
      <c r="BK1862" s="8"/>
      <c r="BL1862" s="8"/>
      <c r="BM1862" s="8"/>
      <c r="BN1862" s="8"/>
      <c r="BO1862" s="8"/>
      <c r="BP1862" s="8"/>
      <c r="BQ1862" s="8"/>
      <c r="BR1862" s="8"/>
      <c r="BS1862" s="8"/>
    </row>
    <row r="1863" customFormat="false" ht="15" hidden="false" customHeight="false" outlineLevel="0" collapsed="false">
      <c r="A1863" s="7" t="s">
        <v>12123</v>
      </c>
      <c r="B1863" s="7" t="s">
        <v>12124</v>
      </c>
      <c r="C1863" s="7" t="s">
        <v>12125</v>
      </c>
      <c r="D1863" s="7" t="s">
        <v>397</v>
      </c>
      <c r="E1863" s="7"/>
      <c r="F1863" s="7" t="s">
        <v>101</v>
      </c>
      <c r="G1863" s="7"/>
      <c r="H1863" s="7"/>
      <c r="I1863" s="7" t="s">
        <v>300</v>
      </c>
      <c r="J1863" s="7" t="s">
        <v>104</v>
      </c>
      <c r="K1863" s="7" t="s">
        <v>105</v>
      </c>
      <c r="L1863" s="7" t="s">
        <v>2470</v>
      </c>
      <c r="M1863" s="7"/>
      <c r="N1863" s="7" t="s">
        <v>12126</v>
      </c>
      <c r="O1863" s="7"/>
      <c r="P1863" s="7" t="s">
        <v>109</v>
      </c>
      <c r="Q1863" s="7"/>
      <c r="R1863" s="7" t="s">
        <v>135</v>
      </c>
      <c r="S1863" s="7" t="s">
        <v>136</v>
      </c>
      <c r="T1863" s="7" t="n">
        <v>0.135</v>
      </c>
      <c r="U1863" s="7" t="n">
        <v>1</v>
      </c>
      <c r="V1863" s="7" t="s">
        <v>86</v>
      </c>
      <c r="W1863" s="7"/>
      <c r="X1863" s="7" t="s">
        <v>88</v>
      </c>
      <c r="Y1863" s="7" t="s">
        <v>12126</v>
      </c>
      <c r="Z1863" s="7"/>
      <c r="AA1863" s="7"/>
      <c r="AB1863" s="7"/>
      <c r="AC1863" s="7" t="n">
        <v>5</v>
      </c>
      <c r="AD1863" s="7" t="s">
        <v>1897</v>
      </c>
      <c r="AE1863" s="7" t="s">
        <v>744</v>
      </c>
      <c r="AF1863" s="7" t="s">
        <v>12125</v>
      </c>
      <c r="AG1863" s="7" t="s">
        <v>744</v>
      </c>
      <c r="AH1863" s="7" t="s">
        <v>12127</v>
      </c>
      <c r="AI1863" s="7"/>
      <c r="AJ1863" s="7"/>
      <c r="AK1863" s="7"/>
      <c r="AL1863" s="7"/>
      <c r="AM1863" s="7" t="s">
        <v>744</v>
      </c>
      <c r="AN1863" s="7" t="s">
        <v>12128</v>
      </c>
      <c r="AO1863" s="7" t="s">
        <v>744</v>
      </c>
      <c r="AP1863" s="7" t="s">
        <v>397</v>
      </c>
      <c r="AQ1863" s="7"/>
      <c r="AR1863" s="7"/>
      <c r="AS1863" s="7"/>
      <c r="AT1863" s="7"/>
      <c r="AU1863" s="7"/>
      <c r="AV1863" s="7"/>
      <c r="AW1863" s="7" t="s">
        <v>744</v>
      </c>
      <c r="AX1863" s="7" t="s">
        <v>12126</v>
      </c>
      <c r="AY1863" s="7"/>
      <c r="AZ1863" s="7"/>
      <c r="BA1863" s="7"/>
      <c r="BB1863" s="7"/>
      <c r="BC1863" s="7"/>
      <c r="BD1863" s="7" t="s">
        <v>1218</v>
      </c>
      <c r="BE1863" s="7" t="s">
        <v>127</v>
      </c>
      <c r="BF1863" s="8"/>
      <c r="BG1863" s="8"/>
      <c r="BH1863" s="8"/>
      <c r="BI1863" s="8"/>
      <c r="BJ1863" s="8"/>
      <c r="BK1863" s="8"/>
      <c r="BL1863" s="8"/>
      <c r="BM1863" s="8"/>
      <c r="BN1863" s="8"/>
      <c r="BO1863" s="8"/>
      <c r="BP1863" s="8"/>
      <c r="BQ1863" s="8"/>
      <c r="BR1863" s="8"/>
      <c r="BS1863" s="8"/>
    </row>
    <row r="1864" customFormat="false" ht="15" hidden="false" customHeight="false" outlineLevel="0" collapsed="false">
      <c r="A1864" s="7" t="s">
        <v>12129</v>
      </c>
      <c r="B1864" s="7" t="s">
        <v>12130</v>
      </c>
      <c r="C1864" s="7" t="s">
        <v>12131</v>
      </c>
      <c r="D1864" s="7" t="s">
        <v>397</v>
      </c>
      <c r="E1864" s="7"/>
      <c r="F1864" s="7" t="s">
        <v>101</v>
      </c>
      <c r="G1864" s="7"/>
      <c r="H1864" s="7"/>
      <c r="I1864" s="7" t="s">
        <v>1726</v>
      </c>
      <c r="J1864" s="7" t="s">
        <v>104</v>
      </c>
      <c r="K1864" s="7" t="s">
        <v>105</v>
      </c>
      <c r="L1864" s="7" t="s">
        <v>106</v>
      </c>
      <c r="M1864" s="7"/>
      <c r="N1864" s="7" t="s">
        <v>12132</v>
      </c>
      <c r="O1864" s="7"/>
      <c r="P1864" s="7" t="s">
        <v>109</v>
      </c>
      <c r="Q1864" s="7"/>
      <c r="R1864" s="7" t="s">
        <v>135</v>
      </c>
      <c r="S1864" s="7" t="s">
        <v>136</v>
      </c>
      <c r="T1864" s="7" t="n">
        <v>0.297</v>
      </c>
      <c r="U1864" s="7" t="n">
        <v>1</v>
      </c>
      <c r="V1864" s="7" t="s">
        <v>86</v>
      </c>
      <c r="W1864" s="7"/>
      <c r="X1864" s="7" t="s">
        <v>12133</v>
      </c>
      <c r="Y1864" s="7" t="s">
        <v>12132</v>
      </c>
      <c r="Z1864" s="7"/>
      <c r="AA1864" s="7"/>
      <c r="AB1864" s="7"/>
      <c r="AC1864" s="7" t="n">
        <v>5</v>
      </c>
      <c r="AD1864" s="7" t="s">
        <v>1897</v>
      </c>
      <c r="AE1864" s="7" t="s">
        <v>744</v>
      </c>
      <c r="AF1864" s="7" t="s">
        <v>12131</v>
      </c>
      <c r="AG1864" s="7" t="s">
        <v>744</v>
      </c>
      <c r="AH1864" s="7" t="s">
        <v>12134</v>
      </c>
      <c r="AI1864" s="7"/>
      <c r="AJ1864" s="7"/>
      <c r="AK1864" s="7"/>
      <c r="AL1864" s="7"/>
      <c r="AM1864" s="7" t="s">
        <v>744</v>
      </c>
      <c r="AN1864" s="7" t="s">
        <v>12135</v>
      </c>
      <c r="AO1864" s="7" t="s">
        <v>744</v>
      </c>
      <c r="AP1864" s="7" t="s">
        <v>397</v>
      </c>
      <c r="AQ1864" s="7"/>
      <c r="AR1864" s="7"/>
      <c r="AS1864" s="7"/>
      <c r="AT1864" s="7"/>
      <c r="AU1864" s="7"/>
      <c r="AV1864" s="7"/>
      <c r="AW1864" s="7" t="s">
        <v>744</v>
      </c>
      <c r="AX1864" s="7" t="s">
        <v>12132</v>
      </c>
      <c r="AY1864" s="7"/>
      <c r="AZ1864" s="7"/>
      <c r="BA1864" s="7"/>
      <c r="BB1864" s="7"/>
      <c r="BC1864" s="7"/>
      <c r="BD1864" s="7" t="s">
        <v>1218</v>
      </c>
      <c r="BE1864" s="7" t="s">
        <v>127</v>
      </c>
      <c r="BF1864" s="8"/>
      <c r="BG1864" s="8"/>
      <c r="BH1864" s="8"/>
      <c r="BI1864" s="8"/>
      <c r="BJ1864" s="8"/>
      <c r="BK1864" s="8"/>
      <c r="BL1864" s="8"/>
      <c r="BM1864" s="8"/>
      <c r="BN1864" s="8"/>
      <c r="BO1864" s="8"/>
      <c r="BP1864" s="8"/>
      <c r="BQ1864" s="8"/>
      <c r="BR1864" s="8"/>
      <c r="BS1864" s="8"/>
    </row>
    <row r="1865" customFormat="false" ht="15" hidden="false" customHeight="false" outlineLevel="0" collapsed="false">
      <c r="A1865" s="7" t="s">
        <v>12136</v>
      </c>
      <c r="B1865" s="7" t="s">
        <v>12137</v>
      </c>
      <c r="C1865" s="7" t="s">
        <v>12138</v>
      </c>
      <c r="D1865" s="7" t="s">
        <v>397</v>
      </c>
      <c r="E1865" s="7"/>
      <c r="F1865" s="7" t="s">
        <v>101</v>
      </c>
      <c r="G1865" s="7"/>
      <c r="H1865" s="7"/>
      <c r="I1865" s="7" t="s">
        <v>1726</v>
      </c>
      <c r="J1865" s="7" t="s">
        <v>104</v>
      </c>
      <c r="K1865" s="7" t="s">
        <v>105</v>
      </c>
      <c r="L1865" s="7" t="s">
        <v>106</v>
      </c>
      <c r="M1865" s="7"/>
      <c r="N1865" s="7" t="s">
        <v>12139</v>
      </c>
      <c r="O1865" s="7"/>
      <c r="P1865" s="7" t="s">
        <v>135</v>
      </c>
      <c r="Q1865" s="7"/>
      <c r="R1865" s="7" t="s">
        <v>135</v>
      </c>
      <c r="S1865" s="7" t="s">
        <v>136</v>
      </c>
      <c r="T1865" s="7" t="n">
        <v>0.316</v>
      </c>
      <c r="U1865" s="7" t="n">
        <v>1</v>
      </c>
      <c r="V1865" s="7" t="s">
        <v>90</v>
      </c>
      <c r="W1865" s="7"/>
      <c r="X1865" s="7" t="s">
        <v>12140</v>
      </c>
      <c r="Y1865" s="7" t="s">
        <v>12139</v>
      </c>
      <c r="Z1865" s="7"/>
      <c r="AA1865" s="7"/>
      <c r="AB1865" s="7"/>
      <c r="AC1865" s="7" t="n">
        <v>5</v>
      </c>
      <c r="AD1865" s="7" t="s">
        <v>1897</v>
      </c>
      <c r="AE1865" s="7" t="s">
        <v>744</v>
      </c>
      <c r="AF1865" s="7" t="s">
        <v>12138</v>
      </c>
      <c r="AG1865" s="7" t="s">
        <v>744</v>
      </c>
      <c r="AH1865" s="7" t="s">
        <v>12141</v>
      </c>
      <c r="AI1865" s="7"/>
      <c r="AJ1865" s="7"/>
      <c r="AK1865" s="7"/>
      <c r="AL1865" s="7"/>
      <c r="AM1865" s="7" t="s">
        <v>744</v>
      </c>
      <c r="AN1865" s="7" t="s">
        <v>12142</v>
      </c>
      <c r="AO1865" s="7" t="s">
        <v>744</v>
      </c>
      <c r="AP1865" s="7" t="s">
        <v>397</v>
      </c>
      <c r="AQ1865" s="7"/>
      <c r="AR1865" s="7"/>
      <c r="AS1865" s="7"/>
      <c r="AT1865" s="7"/>
      <c r="AU1865" s="7"/>
      <c r="AV1865" s="7"/>
      <c r="AW1865" s="7" t="s">
        <v>744</v>
      </c>
      <c r="AX1865" s="7" t="s">
        <v>12139</v>
      </c>
      <c r="AY1865" s="7"/>
      <c r="AZ1865" s="7"/>
      <c r="BA1865" s="7"/>
      <c r="BB1865" s="7"/>
      <c r="BC1865" s="7"/>
      <c r="BD1865" s="7" t="s">
        <v>12143</v>
      </c>
      <c r="BE1865" s="7" t="s">
        <v>127</v>
      </c>
      <c r="BF1865" s="8"/>
      <c r="BG1865" s="8"/>
      <c r="BH1865" s="8"/>
      <c r="BI1865" s="8"/>
      <c r="BJ1865" s="8"/>
      <c r="BK1865" s="8"/>
      <c r="BL1865" s="8"/>
      <c r="BM1865" s="8"/>
      <c r="BN1865" s="8"/>
      <c r="BO1865" s="8"/>
      <c r="BP1865" s="8"/>
      <c r="BQ1865" s="8"/>
      <c r="BR1865" s="8"/>
      <c r="BS1865" s="8"/>
    </row>
    <row r="1866" customFormat="false" ht="15" hidden="false" customHeight="false" outlineLevel="0" collapsed="false">
      <c r="A1866" s="7" t="s">
        <v>12144</v>
      </c>
      <c r="B1866" s="7" t="s">
        <v>12145</v>
      </c>
      <c r="C1866" s="7" t="s">
        <v>12146</v>
      </c>
      <c r="D1866" s="7" t="s">
        <v>397</v>
      </c>
      <c r="E1866" s="7"/>
      <c r="F1866" s="7" t="s">
        <v>101</v>
      </c>
      <c r="G1866" s="7"/>
      <c r="H1866" s="7"/>
      <c r="I1866" s="7" t="s">
        <v>1726</v>
      </c>
      <c r="J1866" s="7" t="s">
        <v>104</v>
      </c>
      <c r="K1866" s="7" t="s">
        <v>105</v>
      </c>
      <c r="L1866" s="7" t="s">
        <v>106</v>
      </c>
      <c r="M1866" s="7"/>
      <c r="N1866" s="7" t="s">
        <v>12147</v>
      </c>
      <c r="O1866" s="7"/>
      <c r="P1866" s="7" t="s">
        <v>135</v>
      </c>
      <c r="Q1866" s="7"/>
      <c r="R1866" s="7" t="s">
        <v>135</v>
      </c>
      <c r="S1866" s="7" t="s">
        <v>136</v>
      </c>
      <c r="T1866" s="7" t="n">
        <v>0.535</v>
      </c>
      <c r="U1866" s="7" t="n">
        <v>1</v>
      </c>
      <c r="V1866" s="7" t="s">
        <v>90</v>
      </c>
      <c r="W1866" s="7"/>
      <c r="X1866" s="7" t="s">
        <v>5314</v>
      </c>
      <c r="Y1866" s="7" t="s">
        <v>12147</v>
      </c>
      <c r="Z1866" s="7"/>
      <c r="AA1866" s="7"/>
      <c r="AB1866" s="7"/>
      <c r="AC1866" s="7" t="n">
        <v>5</v>
      </c>
      <c r="AD1866" s="7" t="s">
        <v>1897</v>
      </c>
      <c r="AE1866" s="7" t="s">
        <v>744</v>
      </c>
      <c r="AF1866" s="7" t="s">
        <v>12146</v>
      </c>
      <c r="AG1866" s="7" t="s">
        <v>744</v>
      </c>
      <c r="AH1866" s="7" t="s">
        <v>12148</v>
      </c>
      <c r="AI1866" s="7"/>
      <c r="AJ1866" s="7"/>
      <c r="AK1866" s="7"/>
      <c r="AL1866" s="7"/>
      <c r="AM1866" s="7" t="s">
        <v>744</v>
      </c>
      <c r="AN1866" s="7" t="s">
        <v>12149</v>
      </c>
      <c r="AO1866" s="7" t="s">
        <v>744</v>
      </c>
      <c r="AP1866" s="7" t="s">
        <v>397</v>
      </c>
      <c r="AQ1866" s="7"/>
      <c r="AR1866" s="7"/>
      <c r="AS1866" s="7"/>
      <c r="AT1866" s="7"/>
      <c r="AU1866" s="7"/>
      <c r="AV1866" s="7"/>
      <c r="AW1866" s="7" t="s">
        <v>744</v>
      </c>
      <c r="AX1866" s="7" t="s">
        <v>12147</v>
      </c>
      <c r="AY1866" s="7"/>
      <c r="AZ1866" s="7"/>
      <c r="BA1866" s="7"/>
      <c r="BB1866" s="7"/>
      <c r="BC1866" s="7"/>
      <c r="BD1866" s="7" t="s">
        <v>12150</v>
      </c>
      <c r="BE1866" s="7" t="s">
        <v>127</v>
      </c>
      <c r="BF1866" s="8"/>
      <c r="BG1866" s="8"/>
      <c r="BH1866" s="8"/>
      <c r="BI1866" s="8"/>
      <c r="BJ1866" s="8"/>
      <c r="BK1866" s="8"/>
      <c r="BL1866" s="8"/>
      <c r="BM1866" s="8"/>
      <c r="BN1866" s="8"/>
      <c r="BO1866" s="8"/>
      <c r="BP1866" s="8"/>
      <c r="BQ1866" s="8"/>
      <c r="BR1866" s="8"/>
      <c r="BS1866" s="8"/>
    </row>
    <row r="1867" customFormat="false" ht="15" hidden="false" customHeight="false" outlineLevel="0" collapsed="false">
      <c r="A1867" s="7" t="s">
        <v>12151</v>
      </c>
      <c r="B1867" s="7" t="s">
        <v>12152</v>
      </c>
      <c r="C1867" s="7" t="s">
        <v>12153</v>
      </c>
      <c r="D1867" s="7" t="s">
        <v>12154</v>
      </c>
      <c r="E1867" s="7" t="s">
        <v>12155</v>
      </c>
      <c r="F1867" s="7" t="s">
        <v>101</v>
      </c>
      <c r="G1867" s="7"/>
      <c r="H1867" s="7"/>
      <c r="I1867" s="7" t="s">
        <v>103</v>
      </c>
      <c r="J1867" s="7" t="s">
        <v>104</v>
      </c>
      <c r="K1867" s="7" t="s">
        <v>105</v>
      </c>
      <c r="L1867" s="7" t="s">
        <v>106</v>
      </c>
      <c r="M1867" s="7"/>
      <c r="N1867" s="7" t="s">
        <v>12156</v>
      </c>
      <c r="O1867" s="7"/>
      <c r="P1867" s="7" t="s">
        <v>109</v>
      </c>
      <c r="Q1867" s="7"/>
      <c r="R1867" s="7" t="s">
        <v>135</v>
      </c>
      <c r="S1867" s="7" t="s">
        <v>136</v>
      </c>
      <c r="T1867" s="7" t="n">
        <v>0.688</v>
      </c>
      <c r="U1867" s="7" t="n">
        <v>1</v>
      </c>
      <c r="V1867" s="7" t="s">
        <v>1156</v>
      </c>
      <c r="W1867" s="7"/>
      <c r="X1867" s="7" t="s">
        <v>12157</v>
      </c>
      <c r="Y1867" s="7" t="s">
        <v>12156</v>
      </c>
      <c r="Z1867" s="7"/>
      <c r="AA1867" s="7"/>
      <c r="AB1867" s="7"/>
      <c r="AC1867" s="7" t="n">
        <v>6</v>
      </c>
      <c r="AD1867" s="7" t="s">
        <v>1235</v>
      </c>
      <c r="AE1867" s="7" t="s">
        <v>189</v>
      </c>
      <c r="AF1867" s="7" t="s">
        <v>12158</v>
      </c>
      <c r="AG1867" s="7" t="s">
        <v>189</v>
      </c>
      <c r="AH1867" s="7" t="s">
        <v>3857</v>
      </c>
      <c r="AI1867" s="7"/>
      <c r="AJ1867" s="7"/>
      <c r="AK1867" s="7"/>
      <c r="AL1867" s="7"/>
      <c r="AM1867" s="7" t="s">
        <v>189</v>
      </c>
      <c r="AN1867" s="7" t="s">
        <v>12159</v>
      </c>
      <c r="AO1867" s="7" t="s">
        <v>189</v>
      </c>
      <c r="AP1867" s="7" t="s">
        <v>12160</v>
      </c>
      <c r="AQ1867" s="7" t="s">
        <v>189</v>
      </c>
      <c r="AR1867" s="7" t="s">
        <v>12161</v>
      </c>
      <c r="AS1867" s="7"/>
      <c r="AT1867" s="7"/>
      <c r="AU1867" s="7"/>
      <c r="AV1867" s="7"/>
      <c r="AW1867" s="7" t="s">
        <v>744</v>
      </c>
      <c r="AX1867" s="7" t="s">
        <v>12156</v>
      </c>
      <c r="AY1867" s="7"/>
      <c r="AZ1867" s="7"/>
      <c r="BA1867" s="7"/>
      <c r="BB1867" s="7"/>
      <c r="BC1867" s="7"/>
      <c r="BD1867" s="7"/>
      <c r="BE1867" s="7" t="s">
        <v>127</v>
      </c>
      <c r="BF1867" s="8"/>
      <c r="BG1867" s="8"/>
      <c r="BH1867" s="8"/>
      <c r="BI1867" s="8"/>
      <c r="BJ1867" s="8"/>
      <c r="BK1867" s="8"/>
      <c r="BL1867" s="8"/>
      <c r="BM1867" s="8"/>
      <c r="BN1867" s="8"/>
      <c r="BO1867" s="8"/>
      <c r="BP1867" s="8"/>
      <c r="BQ1867" s="8"/>
      <c r="BR1867" s="8"/>
      <c r="BS1867" s="8"/>
    </row>
    <row r="1868" customFormat="false" ht="15" hidden="false" customHeight="false" outlineLevel="0" collapsed="false">
      <c r="A1868" s="7" t="s">
        <v>12162</v>
      </c>
      <c r="B1868" s="7" t="s">
        <v>12163</v>
      </c>
      <c r="C1868" s="7" t="s">
        <v>12164</v>
      </c>
      <c r="D1868" s="7" t="s">
        <v>12165</v>
      </c>
      <c r="E1868" s="7"/>
      <c r="F1868" s="7" t="s">
        <v>101</v>
      </c>
      <c r="G1868" s="7"/>
      <c r="H1868" s="7"/>
      <c r="I1868" s="7" t="s">
        <v>132</v>
      </c>
      <c r="J1868" s="7" t="s">
        <v>104</v>
      </c>
      <c r="K1868" s="7" t="s">
        <v>105</v>
      </c>
      <c r="L1868" s="7" t="s">
        <v>106</v>
      </c>
      <c r="M1868" s="7"/>
      <c r="N1868" s="7" t="s">
        <v>12166</v>
      </c>
      <c r="O1868" s="7"/>
      <c r="P1868" s="7" t="s">
        <v>109</v>
      </c>
      <c r="Q1868" s="7"/>
      <c r="R1868" s="7" t="s">
        <v>135</v>
      </c>
      <c r="S1868" s="7" t="s">
        <v>136</v>
      </c>
      <c r="T1868" s="7" t="n">
        <v>0.526</v>
      </c>
      <c r="U1868" s="7" t="n">
        <v>1</v>
      </c>
      <c r="V1868" s="7" t="s">
        <v>86</v>
      </c>
      <c r="W1868" s="7"/>
      <c r="X1868" s="7" t="s">
        <v>12167</v>
      </c>
      <c r="Y1868" s="7" t="s">
        <v>12166</v>
      </c>
      <c r="Z1868" s="7"/>
      <c r="AA1868" s="7"/>
      <c r="AB1868" s="7"/>
      <c r="AC1868" s="7" t="n">
        <v>4</v>
      </c>
      <c r="AD1868" s="7" t="s">
        <v>7611</v>
      </c>
      <c r="AE1868" s="7" t="s">
        <v>744</v>
      </c>
      <c r="AF1868" s="7" t="s">
        <v>12164</v>
      </c>
      <c r="AG1868" s="7" t="s">
        <v>744</v>
      </c>
      <c r="AH1868" s="7" t="s">
        <v>12167</v>
      </c>
      <c r="AI1868" s="7"/>
      <c r="AJ1868" s="7"/>
      <c r="AK1868" s="7"/>
      <c r="AL1868" s="7"/>
      <c r="AM1868" s="7"/>
      <c r="AN1868" s="7"/>
      <c r="AO1868" s="7" t="s">
        <v>744</v>
      </c>
      <c r="AP1868" s="7" t="s">
        <v>12165</v>
      </c>
      <c r="AQ1868" s="7"/>
      <c r="AR1868" s="7"/>
      <c r="AS1868" s="7"/>
      <c r="AT1868" s="7"/>
      <c r="AU1868" s="7"/>
      <c r="AV1868" s="7"/>
      <c r="AW1868" s="7" t="s">
        <v>744</v>
      </c>
      <c r="AX1868" s="7" t="s">
        <v>12166</v>
      </c>
      <c r="AY1868" s="7"/>
      <c r="AZ1868" s="7"/>
      <c r="BA1868" s="7"/>
      <c r="BB1868" s="7"/>
      <c r="BC1868" s="7"/>
      <c r="BD1868" s="7"/>
      <c r="BE1868" s="7" t="s">
        <v>127</v>
      </c>
      <c r="BF1868" s="8"/>
      <c r="BG1868" s="8"/>
      <c r="BH1868" s="8"/>
      <c r="BI1868" s="8"/>
      <c r="BJ1868" s="8"/>
      <c r="BK1868" s="8"/>
      <c r="BL1868" s="8"/>
      <c r="BM1868" s="8"/>
      <c r="BN1868" s="8"/>
      <c r="BO1868" s="8"/>
      <c r="BP1868" s="8"/>
      <c r="BQ1868" s="8"/>
      <c r="BR1868" s="8"/>
      <c r="BS1868" s="8"/>
    </row>
    <row r="1869" customFormat="false" ht="15" hidden="false" customHeight="false" outlineLevel="0" collapsed="false">
      <c r="A1869" s="7" t="s">
        <v>12168</v>
      </c>
      <c r="B1869" s="7" t="s">
        <v>12169</v>
      </c>
      <c r="C1869" s="7" t="s">
        <v>12170</v>
      </c>
      <c r="D1869" s="7" t="s">
        <v>12171</v>
      </c>
      <c r="E1869" s="7" t="s">
        <v>2469</v>
      </c>
      <c r="F1869" s="7" t="s">
        <v>101</v>
      </c>
      <c r="G1869" s="7"/>
      <c r="H1869" s="7"/>
      <c r="I1869" s="7" t="s">
        <v>300</v>
      </c>
      <c r="J1869" s="7" t="s">
        <v>104</v>
      </c>
      <c r="K1869" s="7" t="s">
        <v>105</v>
      </c>
      <c r="L1869" s="7" t="s">
        <v>2470</v>
      </c>
      <c r="M1869" s="7"/>
      <c r="N1869" s="7" t="s">
        <v>12172</v>
      </c>
      <c r="O1869" s="7"/>
      <c r="P1869" s="7" t="s">
        <v>109</v>
      </c>
      <c r="Q1869" s="7"/>
      <c r="R1869" s="7" t="s">
        <v>135</v>
      </c>
      <c r="S1869" s="7" t="s">
        <v>136</v>
      </c>
      <c r="T1869" s="7" t="n">
        <v>0.381</v>
      </c>
      <c r="U1869" s="7" t="n">
        <v>1</v>
      </c>
      <c r="V1869" s="7" t="s">
        <v>1156</v>
      </c>
      <c r="W1869" s="7"/>
      <c r="X1869" s="7" t="s">
        <v>11614</v>
      </c>
      <c r="Y1869" s="7" t="s">
        <v>12172</v>
      </c>
      <c r="Z1869" s="7"/>
      <c r="AA1869" s="7"/>
      <c r="AB1869" s="7"/>
      <c r="AC1869" s="7" t="n">
        <v>6</v>
      </c>
      <c r="AD1869" s="7" t="s">
        <v>1235</v>
      </c>
      <c r="AE1869" s="7" t="s">
        <v>744</v>
      </c>
      <c r="AF1869" s="7" t="s">
        <v>12170</v>
      </c>
      <c r="AG1869" s="7" t="s">
        <v>744</v>
      </c>
      <c r="AH1869" s="7" t="s">
        <v>12173</v>
      </c>
      <c r="AI1869" s="7"/>
      <c r="AJ1869" s="7"/>
      <c r="AK1869" s="7"/>
      <c r="AL1869" s="7"/>
      <c r="AM1869" s="7" t="s">
        <v>744</v>
      </c>
      <c r="AN1869" s="7" t="s">
        <v>12174</v>
      </c>
      <c r="AO1869" s="7" t="s">
        <v>744</v>
      </c>
      <c r="AP1869" s="7" t="s">
        <v>12171</v>
      </c>
      <c r="AQ1869" s="7" t="s">
        <v>744</v>
      </c>
      <c r="AR1869" s="7" t="s">
        <v>2469</v>
      </c>
      <c r="AS1869" s="7"/>
      <c r="AT1869" s="7"/>
      <c r="AU1869" s="7"/>
      <c r="AV1869" s="7"/>
      <c r="AW1869" s="7" t="s">
        <v>744</v>
      </c>
      <c r="AX1869" s="7" t="s">
        <v>12172</v>
      </c>
      <c r="AY1869" s="7"/>
      <c r="AZ1869" s="7"/>
      <c r="BA1869" s="7"/>
      <c r="BB1869" s="7"/>
      <c r="BC1869" s="7"/>
      <c r="BD1869" s="7"/>
      <c r="BE1869" s="7" t="s">
        <v>127</v>
      </c>
      <c r="BF1869" s="8"/>
      <c r="BG1869" s="8"/>
      <c r="BH1869" s="8"/>
      <c r="BI1869" s="8"/>
      <c r="BJ1869" s="8"/>
      <c r="BK1869" s="8"/>
      <c r="BL1869" s="8"/>
      <c r="BM1869" s="8"/>
      <c r="BN1869" s="8"/>
      <c r="BO1869" s="8"/>
      <c r="BP1869" s="8"/>
      <c r="BQ1869" s="8"/>
      <c r="BR1869" s="8"/>
      <c r="BS1869" s="8"/>
    </row>
    <row r="1870" customFormat="false" ht="15" hidden="false" customHeight="false" outlineLevel="0" collapsed="false">
      <c r="A1870" s="7" t="s">
        <v>12175</v>
      </c>
      <c r="B1870" s="7" t="s">
        <v>12176</v>
      </c>
      <c r="C1870" s="7" t="s">
        <v>12177</v>
      </c>
      <c r="D1870" s="7" t="s">
        <v>12178</v>
      </c>
      <c r="E1870" s="7" t="s">
        <v>101</v>
      </c>
      <c r="F1870" s="7" t="s">
        <v>101</v>
      </c>
      <c r="G1870" s="7"/>
      <c r="H1870" s="7"/>
      <c r="I1870" s="7" t="s">
        <v>300</v>
      </c>
      <c r="J1870" s="7" t="s">
        <v>104</v>
      </c>
      <c r="K1870" s="7" t="s">
        <v>105</v>
      </c>
      <c r="L1870" s="7" t="s">
        <v>106</v>
      </c>
      <c r="M1870" s="7"/>
      <c r="N1870" s="7" t="s">
        <v>12179</v>
      </c>
      <c r="O1870" s="7"/>
      <c r="P1870" s="7" t="s">
        <v>109</v>
      </c>
      <c r="Q1870" s="7"/>
      <c r="R1870" s="7" t="s">
        <v>135</v>
      </c>
      <c r="S1870" s="7" t="s">
        <v>136</v>
      </c>
      <c r="T1870" s="7" t="n">
        <v>0.391</v>
      </c>
      <c r="U1870" s="7" t="n">
        <v>1</v>
      </c>
      <c r="V1870" s="7" t="s">
        <v>1156</v>
      </c>
      <c r="W1870" s="7"/>
      <c r="X1870" s="7" t="s">
        <v>11632</v>
      </c>
      <c r="Y1870" s="7" t="s">
        <v>12179</v>
      </c>
      <c r="Z1870" s="7"/>
      <c r="AA1870" s="7"/>
      <c r="AB1870" s="7"/>
      <c r="AC1870" s="7" t="n">
        <v>6</v>
      </c>
      <c r="AD1870" s="7" t="s">
        <v>1235</v>
      </c>
      <c r="AE1870" s="7" t="s">
        <v>744</v>
      </c>
      <c r="AF1870" s="7" t="s">
        <v>12177</v>
      </c>
      <c r="AG1870" s="7" t="s">
        <v>744</v>
      </c>
      <c r="AH1870" s="7" t="s">
        <v>12180</v>
      </c>
      <c r="AI1870" s="7"/>
      <c r="AJ1870" s="7"/>
      <c r="AK1870" s="7"/>
      <c r="AL1870" s="7"/>
      <c r="AM1870" s="7" t="s">
        <v>744</v>
      </c>
      <c r="AN1870" s="7" t="s">
        <v>12181</v>
      </c>
      <c r="AO1870" s="7" t="s">
        <v>744</v>
      </c>
      <c r="AP1870" s="7" t="s">
        <v>12178</v>
      </c>
      <c r="AQ1870" s="7" t="s">
        <v>744</v>
      </c>
      <c r="AR1870" s="7" t="s">
        <v>101</v>
      </c>
      <c r="AS1870" s="7"/>
      <c r="AT1870" s="7"/>
      <c r="AU1870" s="7"/>
      <c r="AV1870" s="7"/>
      <c r="AW1870" s="7" t="s">
        <v>744</v>
      </c>
      <c r="AX1870" s="7" t="s">
        <v>12179</v>
      </c>
      <c r="AY1870" s="7"/>
      <c r="AZ1870" s="7"/>
      <c r="BA1870" s="7"/>
      <c r="BB1870" s="7"/>
      <c r="BC1870" s="7"/>
      <c r="BD1870" s="7"/>
      <c r="BE1870" s="7" t="s">
        <v>127</v>
      </c>
      <c r="BF1870" s="8"/>
      <c r="BG1870" s="8"/>
      <c r="BH1870" s="8"/>
      <c r="BI1870" s="8"/>
      <c r="BJ1870" s="8"/>
      <c r="BK1870" s="8"/>
      <c r="BL1870" s="8"/>
      <c r="BM1870" s="8"/>
      <c r="BN1870" s="8"/>
      <c r="BO1870" s="8"/>
      <c r="BP1870" s="8"/>
      <c r="BQ1870" s="8"/>
      <c r="BR1870" s="8"/>
      <c r="BS1870" s="8"/>
    </row>
    <row r="1871" customFormat="false" ht="15" hidden="false" customHeight="false" outlineLevel="0" collapsed="false">
      <c r="A1871" s="7" t="s">
        <v>12182</v>
      </c>
      <c r="B1871" s="7" t="s">
        <v>12183</v>
      </c>
      <c r="C1871" s="7" t="s">
        <v>12184</v>
      </c>
      <c r="D1871" s="7" t="s">
        <v>12185</v>
      </c>
      <c r="E1871" s="7" t="s">
        <v>12186</v>
      </c>
      <c r="F1871" s="7" t="s">
        <v>156</v>
      </c>
      <c r="G1871" s="7"/>
      <c r="H1871" s="7" t="s">
        <v>157</v>
      </c>
      <c r="I1871" s="7" t="s">
        <v>300</v>
      </c>
      <c r="J1871" s="7" t="s">
        <v>159</v>
      </c>
      <c r="K1871" s="7" t="s">
        <v>105</v>
      </c>
      <c r="L1871" s="7" t="s">
        <v>353</v>
      </c>
      <c r="M1871" s="7"/>
      <c r="N1871" s="7" t="s">
        <v>12187</v>
      </c>
      <c r="O1871" s="7"/>
      <c r="P1871" s="7" t="s">
        <v>109</v>
      </c>
      <c r="Q1871" s="7"/>
      <c r="R1871" s="7" t="s">
        <v>135</v>
      </c>
      <c r="S1871" s="7" t="s">
        <v>136</v>
      </c>
      <c r="T1871" s="7" t="n">
        <v>0.508</v>
      </c>
      <c r="U1871" s="7" t="n">
        <v>1</v>
      </c>
      <c r="V1871" s="7" t="s">
        <v>1156</v>
      </c>
      <c r="W1871" s="7"/>
      <c r="X1871" s="7" t="s">
        <v>12188</v>
      </c>
      <c r="Y1871" s="7" t="s">
        <v>12187</v>
      </c>
      <c r="Z1871" s="7"/>
      <c r="AA1871" s="7"/>
      <c r="AB1871" s="7"/>
      <c r="AC1871" s="7" t="n">
        <v>6</v>
      </c>
      <c r="AD1871" s="7" t="s">
        <v>1235</v>
      </c>
      <c r="AE1871" s="7" t="s">
        <v>744</v>
      </c>
      <c r="AF1871" s="7" t="s">
        <v>12184</v>
      </c>
      <c r="AG1871" s="7" t="s">
        <v>744</v>
      </c>
      <c r="AH1871" s="7" t="s">
        <v>12189</v>
      </c>
      <c r="AI1871" s="7"/>
      <c r="AJ1871" s="7"/>
      <c r="AK1871" s="7"/>
      <c r="AL1871" s="7"/>
      <c r="AM1871" s="7" t="s">
        <v>744</v>
      </c>
      <c r="AN1871" s="7" t="s">
        <v>12190</v>
      </c>
      <c r="AO1871" s="7" t="s">
        <v>744</v>
      </c>
      <c r="AP1871" s="7" t="s">
        <v>12185</v>
      </c>
      <c r="AQ1871" s="7" t="s">
        <v>744</v>
      </c>
      <c r="AR1871" s="7" t="s">
        <v>12186</v>
      </c>
      <c r="AS1871" s="7"/>
      <c r="AT1871" s="7"/>
      <c r="AU1871" s="7"/>
      <c r="AV1871" s="7"/>
      <c r="AW1871" s="7" t="s">
        <v>744</v>
      </c>
      <c r="AX1871" s="7" t="s">
        <v>12187</v>
      </c>
      <c r="AY1871" s="7"/>
      <c r="AZ1871" s="7"/>
      <c r="BA1871" s="7"/>
      <c r="BB1871" s="7"/>
      <c r="BC1871" s="7"/>
      <c r="BD1871" s="7"/>
      <c r="BE1871" s="7" t="s">
        <v>127</v>
      </c>
      <c r="BF1871" s="8"/>
      <c r="BG1871" s="8"/>
      <c r="BH1871" s="8"/>
      <c r="BI1871" s="8"/>
      <c r="BJ1871" s="8"/>
      <c r="BK1871" s="8"/>
      <c r="BL1871" s="8"/>
      <c r="BM1871" s="8"/>
      <c r="BN1871" s="8"/>
      <c r="BO1871" s="8"/>
      <c r="BP1871" s="8"/>
      <c r="BQ1871" s="8"/>
      <c r="BR1871" s="8"/>
      <c r="BS1871" s="8"/>
    </row>
    <row r="1872" customFormat="false" ht="15" hidden="false" customHeight="false" outlineLevel="0" collapsed="false">
      <c r="A1872" s="7" t="s">
        <v>12191</v>
      </c>
      <c r="B1872" s="7" t="s">
        <v>12192</v>
      </c>
      <c r="C1872" s="7" t="s">
        <v>12193</v>
      </c>
      <c r="D1872" s="7" t="s">
        <v>12194</v>
      </c>
      <c r="E1872" s="7" t="s">
        <v>2469</v>
      </c>
      <c r="F1872" s="7" t="s">
        <v>101</v>
      </c>
      <c r="G1872" s="7"/>
      <c r="H1872" s="7"/>
      <c r="I1872" s="7" t="s">
        <v>300</v>
      </c>
      <c r="J1872" s="7" t="s">
        <v>104</v>
      </c>
      <c r="K1872" s="7" t="s">
        <v>105</v>
      </c>
      <c r="L1872" s="7" t="s">
        <v>106</v>
      </c>
      <c r="M1872" s="7"/>
      <c r="N1872" s="7" t="s">
        <v>12195</v>
      </c>
      <c r="O1872" s="7"/>
      <c r="P1872" s="7" t="s">
        <v>109</v>
      </c>
      <c r="Q1872" s="7"/>
      <c r="R1872" s="7" t="s">
        <v>135</v>
      </c>
      <c r="S1872" s="7" t="s">
        <v>136</v>
      </c>
      <c r="T1872" s="7" t="n">
        <v>0.488</v>
      </c>
      <c r="U1872" s="7" t="n">
        <v>1</v>
      </c>
      <c r="V1872" s="7" t="s">
        <v>1156</v>
      </c>
      <c r="W1872" s="7"/>
      <c r="X1872" s="7" t="s">
        <v>12196</v>
      </c>
      <c r="Y1872" s="7" t="s">
        <v>12195</v>
      </c>
      <c r="Z1872" s="7"/>
      <c r="AA1872" s="7"/>
      <c r="AB1872" s="7"/>
      <c r="AC1872" s="7" t="n">
        <v>6</v>
      </c>
      <c r="AD1872" s="7" t="s">
        <v>1235</v>
      </c>
      <c r="AE1872" s="7" t="s">
        <v>744</v>
      </c>
      <c r="AF1872" s="7" t="s">
        <v>12193</v>
      </c>
      <c r="AG1872" s="7" t="s">
        <v>744</v>
      </c>
      <c r="AH1872" s="7" t="s">
        <v>12197</v>
      </c>
      <c r="AI1872" s="7"/>
      <c r="AJ1872" s="7"/>
      <c r="AK1872" s="7"/>
      <c r="AL1872" s="7"/>
      <c r="AM1872" s="7" t="s">
        <v>744</v>
      </c>
      <c r="AN1872" s="7" t="s">
        <v>12198</v>
      </c>
      <c r="AO1872" s="7" t="s">
        <v>744</v>
      </c>
      <c r="AP1872" s="7" t="s">
        <v>12194</v>
      </c>
      <c r="AQ1872" s="7" t="s">
        <v>744</v>
      </c>
      <c r="AR1872" s="7" t="s">
        <v>2469</v>
      </c>
      <c r="AS1872" s="7"/>
      <c r="AT1872" s="7"/>
      <c r="AU1872" s="7"/>
      <c r="AV1872" s="7"/>
      <c r="AW1872" s="7" t="s">
        <v>744</v>
      </c>
      <c r="AX1872" s="7" t="s">
        <v>12195</v>
      </c>
      <c r="AY1872" s="7"/>
      <c r="AZ1872" s="7"/>
      <c r="BA1872" s="7"/>
      <c r="BB1872" s="7"/>
      <c r="BC1872" s="7"/>
      <c r="BD1872" s="7"/>
      <c r="BE1872" s="7" t="s">
        <v>127</v>
      </c>
      <c r="BF1872" s="8"/>
      <c r="BG1872" s="8"/>
      <c r="BH1872" s="8"/>
      <c r="BI1872" s="8"/>
      <c r="BJ1872" s="8"/>
      <c r="BK1872" s="8"/>
      <c r="BL1872" s="8"/>
      <c r="BM1872" s="8"/>
      <c r="BN1872" s="8"/>
      <c r="BO1872" s="8"/>
      <c r="BP1872" s="8"/>
      <c r="BQ1872" s="8"/>
      <c r="BR1872" s="8"/>
      <c r="BS1872" s="8"/>
    </row>
    <row r="1873" customFormat="false" ht="15" hidden="false" customHeight="false" outlineLevel="0" collapsed="false">
      <c r="A1873" s="7" t="s">
        <v>12199</v>
      </c>
      <c r="B1873" s="7" t="s">
        <v>12200</v>
      </c>
      <c r="C1873" s="7" t="s">
        <v>12201</v>
      </c>
      <c r="D1873" s="7" t="s">
        <v>12202</v>
      </c>
      <c r="E1873" s="7" t="s">
        <v>101</v>
      </c>
      <c r="F1873" s="7" t="s">
        <v>101</v>
      </c>
      <c r="G1873" s="7"/>
      <c r="H1873" s="7"/>
      <c r="I1873" s="7" t="s">
        <v>234</v>
      </c>
      <c r="J1873" s="7" t="s">
        <v>104</v>
      </c>
      <c r="K1873" s="7" t="s">
        <v>105</v>
      </c>
      <c r="L1873" s="7" t="s">
        <v>235</v>
      </c>
      <c r="M1873" s="7"/>
      <c r="N1873" s="7" t="s">
        <v>12203</v>
      </c>
      <c r="O1873" s="7"/>
      <c r="P1873" s="7" t="s">
        <v>109</v>
      </c>
      <c r="Q1873" s="7"/>
      <c r="R1873" s="7" t="s">
        <v>135</v>
      </c>
      <c r="S1873" s="7" t="s">
        <v>136</v>
      </c>
      <c r="T1873" s="7" t="n">
        <v>0.479</v>
      </c>
      <c r="U1873" s="7" t="n">
        <v>1</v>
      </c>
      <c r="V1873" s="7" t="s">
        <v>1156</v>
      </c>
      <c r="W1873" s="7"/>
      <c r="X1873" s="7" t="s">
        <v>12204</v>
      </c>
      <c r="Y1873" s="7" t="s">
        <v>12203</v>
      </c>
      <c r="Z1873" s="7"/>
      <c r="AA1873" s="7"/>
      <c r="AB1873" s="7"/>
      <c r="AC1873" s="7" t="n">
        <v>6</v>
      </c>
      <c r="AD1873" s="7" t="s">
        <v>1235</v>
      </c>
      <c r="AE1873" s="7" t="s">
        <v>744</v>
      </c>
      <c r="AF1873" s="7" t="s">
        <v>12201</v>
      </c>
      <c r="AG1873" s="7" t="s">
        <v>744</v>
      </c>
      <c r="AH1873" s="7" t="s">
        <v>12205</v>
      </c>
      <c r="AI1873" s="7"/>
      <c r="AJ1873" s="7"/>
      <c r="AK1873" s="7"/>
      <c r="AL1873" s="7"/>
      <c r="AM1873" s="7" t="s">
        <v>744</v>
      </c>
      <c r="AN1873" s="7" t="s">
        <v>12206</v>
      </c>
      <c r="AO1873" s="7" t="s">
        <v>744</v>
      </c>
      <c r="AP1873" s="7" t="s">
        <v>12202</v>
      </c>
      <c r="AQ1873" s="7" t="s">
        <v>744</v>
      </c>
      <c r="AR1873" s="7" t="s">
        <v>101</v>
      </c>
      <c r="AS1873" s="7"/>
      <c r="AT1873" s="7"/>
      <c r="AU1873" s="7"/>
      <c r="AV1873" s="7"/>
      <c r="AW1873" s="7" t="s">
        <v>744</v>
      </c>
      <c r="AX1873" s="7" t="s">
        <v>12203</v>
      </c>
      <c r="AY1873" s="7"/>
      <c r="AZ1873" s="7"/>
      <c r="BA1873" s="7"/>
      <c r="BB1873" s="7"/>
      <c r="BC1873" s="7"/>
      <c r="BD1873" s="7"/>
      <c r="BE1873" s="7" t="s">
        <v>127</v>
      </c>
      <c r="BF1873" s="8"/>
      <c r="BG1873" s="8"/>
      <c r="BH1873" s="8"/>
      <c r="BI1873" s="8"/>
      <c r="BJ1873" s="8"/>
      <c r="BK1873" s="8"/>
      <c r="BL1873" s="8"/>
      <c r="BM1873" s="8"/>
      <c r="BN1873" s="8"/>
      <c r="BO1873" s="8"/>
      <c r="BP1873" s="8"/>
      <c r="BQ1873" s="8"/>
      <c r="BR1873" s="8"/>
      <c r="BS1873" s="8"/>
    </row>
    <row r="1874" customFormat="false" ht="15" hidden="false" customHeight="false" outlineLevel="0" collapsed="false">
      <c r="A1874" s="7" t="s">
        <v>12207</v>
      </c>
      <c r="B1874" s="7" t="s">
        <v>12208</v>
      </c>
      <c r="C1874" s="7" t="s">
        <v>12209</v>
      </c>
      <c r="D1874" s="7" t="s">
        <v>2468</v>
      </c>
      <c r="E1874" s="7" t="s">
        <v>12210</v>
      </c>
      <c r="F1874" s="7" t="s">
        <v>101</v>
      </c>
      <c r="G1874" s="7"/>
      <c r="H1874" s="7"/>
      <c r="I1874" s="7" t="s">
        <v>158</v>
      </c>
      <c r="J1874" s="7" t="s">
        <v>104</v>
      </c>
      <c r="K1874" s="7" t="s">
        <v>105</v>
      </c>
      <c r="L1874" s="7" t="s">
        <v>106</v>
      </c>
      <c r="M1874" s="7"/>
      <c r="N1874" s="7" t="s">
        <v>12211</v>
      </c>
      <c r="O1874" s="7"/>
      <c r="P1874" s="7" t="s">
        <v>109</v>
      </c>
      <c r="Q1874" s="7"/>
      <c r="R1874" s="7" t="s">
        <v>135</v>
      </c>
      <c r="S1874" s="7" t="s">
        <v>136</v>
      </c>
      <c r="T1874" s="7" t="n">
        <v>0.39</v>
      </c>
      <c r="U1874" s="7" t="n">
        <v>1</v>
      </c>
      <c r="V1874" s="7" t="s">
        <v>1156</v>
      </c>
      <c r="W1874" s="7"/>
      <c r="X1874" s="7" t="s">
        <v>12212</v>
      </c>
      <c r="Y1874" s="7" t="s">
        <v>12211</v>
      </c>
      <c r="Z1874" s="7"/>
      <c r="AA1874" s="7"/>
      <c r="AB1874" s="7"/>
      <c r="AC1874" s="7" t="n">
        <v>6</v>
      </c>
      <c r="AD1874" s="7" t="s">
        <v>1235</v>
      </c>
      <c r="AE1874" s="7" t="s">
        <v>744</v>
      </c>
      <c r="AF1874" s="7" t="s">
        <v>12209</v>
      </c>
      <c r="AG1874" s="7" t="s">
        <v>744</v>
      </c>
      <c r="AH1874" s="7" t="s">
        <v>12213</v>
      </c>
      <c r="AI1874" s="7"/>
      <c r="AJ1874" s="7"/>
      <c r="AK1874" s="7"/>
      <c r="AL1874" s="7"/>
      <c r="AM1874" s="7" t="s">
        <v>744</v>
      </c>
      <c r="AN1874" s="7" t="s">
        <v>12214</v>
      </c>
      <c r="AO1874" s="7" t="s">
        <v>744</v>
      </c>
      <c r="AP1874" s="7" t="s">
        <v>2468</v>
      </c>
      <c r="AQ1874" s="7" t="s">
        <v>744</v>
      </c>
      <c r="AR1874" s="7" t="s">
        <v>12210</v>
      </c>
      <c r="AS1874" s="7"/>
      <c r="AT1874" s="7"/>
      <c r="AU1874" s="7"/>
      <c r="AV1874" s="7"/>
      <c r="AW1874" s="7" t="s">
        <v>744</v>
      </c>
      <c r="AX1874" s="7" t="s">
        <v>12211</v>
      </c>
      <c r="AY1874" s="7"/>
      <c r="AZ1874" s="7"/>
      <c r="BA1874" s="7"/>
      <c r="BB1874" s="7"/>
      <c r="BC1874" s="7"/>
      <c r="BD1874" s="7"/>
      <c r="BE1874" s="7" t="s">
        <v>127</v>
      </c>
      <c r="BF1874" s="8"/>
      <c r="BG1874" s="8"/>
      <c r="BH1874" s="8"/>
      <c r="BI1874" s="8"/>
      <c r="BJ1874" s="8"/>
      <c r="BK1874" s="8"/>
      <c r="BL1874" s="8"/>
      <c r="BM1874" s="8"/>
      <c r="BN1874" s="8"/>
      <c r="BO1874" s="8"/>
      <c r="BP1874" s="8"/>
      <c r="BQ1874" s="8"/>
      <c r="BR1874" s="8"/>
      <c r="BS1874" s="8"/>
    </row>
    <row r="1875" customFormat="false" ht="15" hidden="false" customHeight="false" outlineLevel="0" collapsed="false">
      <c r="A1875" s="7" t="s">
        <v>12215</v>
      </c>
      <c r="B1875" s="7" t="s">
        <v>12216</v>
      </c>
      <c r="C1875" s="7" t="s">
        <v>12217</v>
      </c>
      <c r="D1875" s="7" t="s">
        <v>12218</v>
      </c>
      <c r="E1875" s="7" t="s">
        <v>12219</v>
      </c>
      <c r="F1875" s="7" t="s">
        <v>101</v>
      </c>
      <c r="G1875" s="7"/>
      <c r="H1875" s="7"/>
      <c r="I1875" s="7" t="s">
        <v>300</v>
      </c>
      <c r="J1875" s="7" t="s">
        <v>104</v>
      </c>
      <c r="K1875" s="7" t="s">
        <v>105</v>
      </c>
      <c r="L1875" s="7" t="s">
        <v>106</v>
      </c>
      <c r="M1875" s="7"/>
      <c r="N1875" s="7" t="s">
        <v>12220</v>
      </c>
      <c r="O1875" s="7"/>
      <c r="P1875" s="7" t="s">
        <v>109</v>
      </c>
      <c r="Q1875" s="7"/>
      <c r="R1875" s="7" t="s">
        <v>135</v>
      </c>
      <c r="S1875" s="7" t="s">
        <v>136</v>
      </c>
      <c r="T1875" s="7" t="n">
        <v>0.205</v>
      </c>
      <c r="U1875" s="7" t="n">
        <v>1</v>
      </c>
      <c r="V1875" s="7" t="s">
        <v>1156</v>
      </c>
      <c r="W1875" s="7"/>
      <c r="X1875" s="7" t="s">
        <v>12221</v>
      </c>
      <c r="Y1875" s="7" t="s">
        <v>12220</v>
      </c>
      <c r="Z1875" s="7"/>
      <c r="AA1875" s="7"/>
      <c r="AB1875" s="7"/>
      <c r="AC1875" s="7" t="n">
        <v>6</v>
      </c>
      <c r="AD1875" s="7" t="s">
        <v>1235</v>
      </c>
      <c r="AE1875" s="7" t="s">
        <v>744</v>
      </c>
      <c r="AF1875" s="7" t="s">
        <v>12217</v>
      </c>
      <c r="AG1875" s="7" t="s">
        <v>744</v>
      </c>
      <c r="AH1875" s="7" t="s">
        <v>12222</v>
      </c>
      <c r="AI1875" s="7"/>
      <c r="AJ1875" s="7"/>
      <c r="AK1875" s="7"/>
      <c r="AL1875" s="7"/>
      <c r="AM1875" s="7" t="s">
        <v>744</v>
      </c>
      <c r="AN1875" s="7" t="s">
        <v>12223</v>
      </c>
      <c r="AO1875" s="7" t="s">
        <v>744</v>
      </c>
      <c r="AP1875" s="7" t="s">
        <v>12218</v>
      </c>
      <c r="AQ1875" s="7" t="s">
        <v>744</v>
      </c>
      <c r="AR1875" s="7" t="s">
        <v>12219</v>
      </c>
      <c r="AS1875" s="7"/>
      <c r="AT1875" s="7"/>
      <c r="AU1875" s="7"/>
      <c r="AV1875" s="7"/>
      <c r="AW1875" s="7" t="s">
        <v>744</v>
      </c>
      <c r="AX1875" s="7" t="s">
        <v>12220</v>
      </c>
      <c r="AY1875" s="7"/>
      <c r="AZ1875" s="7"/>
      <c r="BA1875" s="7"/>
      <c r="BB1875" s="7"/>
      <c r="BC1875" s="7"/>
      <c r="BD1875" s="7"/>
      <c r="BE1875" s="7" t="s">
        <v>127</v>
      </c>
      <c r="BF1875" s="8"/>
      <c r="BG1875" s="8"/>
      <c r="BH1875" s="8"/>
      <c r="BI1875" s="8"/>
      <c r="BJ1875" s="8"/>
      <c r="BK1875" s="8"/>
      <c r="BL1875" s="8"/>
      <c r="BM1875" s="8"/>
      <c r="BN1875" s="8"/>
      <c r="BO1875" s="8"/>
      <c r="BP1875" s="8"/>
      <c r="BQ1875" s="8"/>
      <c r="BR1875" s="8"/>
      <c r="BS1875" s="8"/>
    </row>
    <row r="1876" customFormat="false" ht="15" hidden="false" customHeight="false" outlineLevel="0" collapsed="false">
      <c r="A1876" s="7" t="s">
        <v>12224</v>
      </c>
      <c r="B1876" s="7" t="s">
        <v>12225</v>
      </c>
      <c r="C1876" s="7" t="s">
        <v>12226</v>
      </c>
      <c r="D1876" s="7" t="s">
        <v>12227</v>
      </c>
      <c r="E1876" s="7" t="s">
        <v>101</v>
      </c>
      <c r="F1876" s="7" t="s">
        <v>101</v>
      </c>
      <c r="G1876" s="7"/>
      <c r="H1876" s="7"/>
      <c r="I1876" s="7" t="s">
        <v>300</v>
      </c>
      <c r="J1876" s="7" t="s">
        <v>104</v>
      </c>
      <c r="K1876" s="7" t="s">
        <v>105</v>
      </c>
      <c r="L1876" s="7" t="s">
        <v>2470</v>
      </c>
      <c r="M1876" s="7"/>
      <c r="N1876" s="7" t="s">
        <v>12228</v>
      </c>
      <c r="O1876" s="7"/>
      <c r="P1876" s="7" t="s">
        <v>109</v>
      </c>
      <c r="Q1876" s="7"/>
      <c r="R1876" s="7" t="s">
        <v>135</v>
      </c>
      <c r="S1876" s="7" t="s">
        <v>136</v>
      </c>
      <c r="T1876" s="7" t="n">
        <v>0.333</v>
      </c>
      <c r="U1876" s="7" t="n">
        <v>1</v>
      </c>
      <c r="V1876" s="7" t="s">
        <v>86</v>
      </c>
      <c r="W1876" s="7"/>
      <c r="X1876" s="7" t="s">
        <v>12229</v>
      </c>
      <c r="Y1876" s="7" t="s">
        <v>12228</v>
      </c>
      <c r="Z1876" s="7"/>
      <c r="AA1876" s="7"/>
      <c r="AB1876" s="7"/>
      <c r="AC1876" s="7" t="n">
        <v>6</v>
      </c>
      <c r="AD1876" s="7" t="s">
        <v>1235</v>
      </c>
      <c r="AE1876" s="7" t="s">
        <v>744</v>
      </c>
      <c r="AF1876" s="7" t="s">
        <v>12226</v>
      </c>
      <c r="AG1876" s="7" t="s">
        <v>744</v>
      </c>
      <c r="AH1876" s="7" t="s">
        <v>12230</v>
      </c>
      <c r="AI1876" s="7"/>
      <c r="AJ1876" s="7"/>
      <c r="AK1876" s="7"/>
      <c r="AL1876" s="7"/>
      <c r="AM1876" s="7" t="s">
        <v>744</v>
      </c>
      <c r="AN1876" s="7" t="s">
        <v>12214</v>
      </c>
      <c r="AO1876" s="7" t="s">
        <v>744</v>
      </c>
      <c r="AP1876" s="7" t="s">
        <v>12227</v>
      </c>
      <c r="AQ1876" s="7" t="s">
        <v>744</v>
      </c>
      <c r="AR1876" s="7" t="s">
        <v>101</v>
      </c>
      <c r="AS1876" s="7"/>
      <c r="AT1876" s="7"/>
      <c r="AU1876" s="7"/>
      <c r="AV1876" s="7"/>
      <c r="AW1876" s="7" t="s">
        <v>744</v>
      </c>
      <c r="AX1876" s="7" t="s">
        <v>12228</v>
      </c>
      <c r="AY1876" s="7"/>
      <c r="AZ1876" s="7"/>
      <c r="BA1876" s="7"/>
      <c r="BB1876" s="7"/>
      <c r="BC1876" s="7"/>
      <c r="BD1876" s="7"/>
      <c r="BE1876" s="7" t="s">
        <v>127</v>
      </c>
      <c r="BF1876" s="8"/>
      <c r="BG1876" s="8"/>
      <c r="BH1876" s="8"/>
      <c r="BI1876" s="8"/>
      <c r="BJ1876" s="8"/>
      <c r="BK1876" s="8"/>
      <c r="BL1876" s="8"/>
      <c r="BM1876" s="8"/>
      <c r="BN1876" s="8"/>
      <c r="BO1876" s="8"/>
      <c r="BP1876" s="8"/>
      <c r="BQ1876" s="8"/>
      <c r="BR1876" s="8"/>
      <c r="BS1876" s="8"/>
    </row>
    <row r="1877" customFormat="false" ht="15" hidden="false" customHeight="false" outlineLevel="0" collapsed="false">
      <c r="A1877" s="7" t="s">
        <v>12231</v>
      </c>
      <c r="B1877" s="7" t="s">
        <v>12232</v>
      </c>
      <c r="C1877" s="7" t="s">
        <v>12233</v>
      </c>
      <c r="D1877" s="7" t="s">
        <v>12227</v>
      </c>
      <c r="E1877" s="7" t="s">
        <v>101</v>
      </c>
      <c r="F1877" s="7" t="s">
        <v>101</v>
      </c>
      <c r="G1877" s="7"/>
      <c r="H1877" s="7"/>
      <c r="I1877" s="7" t="s">
        <v>300</v>
      </c>
      <c r="J1877" s="7" t="s">
        <v>104</v>
      </c>
      <c r="K1877" s="7" t="s">
        <v>105</v>
      </c>
      <c r="L1877" s="7" t="s">
        <v>2470</v>
      </c>
      <c r="M1877" s="7"/>
      <c r="N1877" s="7" t="s">
        <v>12234</v>
      </c>
      <c r="O1877" s="7"/>
      <c r="P1877" s="7" t="s">
        <v>109</v>
      </c>
      <c r="Q1877" s="7"/>
      <c r="R1877" s="7" t="s">
        <v>135</v>
      </c>
      <c r="S1877" s="7" t="s">
        <v>136</v>
      </c>
      <c r="T1877" s="7" t="n">
        <v>0.359</v>
      </c>
      <c r="U1877" s="7" t="n">
        <v>1</v>
      </c>
      <c r="V1877" s="7" t="s">
        <v>86</v>
      </c>
      <c r="W1877" s="7"/>
      <c r="X1877" s="7" t="s">
        <v>12235</v>
      </c>
      <c r="Y1877" s="7" t="s">
        <v>12234</v>
      </c>
      <c r="Z1877" s="7"/>
      <c r="AA1877" s="7"/>
      <c r="AB1877" s="7"/>
      <c r="AC1877" s="7" t="n">
        <v>6</v>
      </c>
      <c r="AD1877" s="7" t="s">
        <v>1235</v>
      </c>
      <c r="AE1877" s="7" t="s">
        <v>744</v>
      </c>
      <c r="AF1877" s="7" t="s">
        <v>12233</v>
      </c>
      <c r="AG1877" s="7" t="s">
        <v>744</v>
      </c>
      <c r="AH1877" s="7" t="s">
        <v>12236</v>
      </c>
      <c r="AI1877" s="7"/>
      <c r="AJ1877" s="7"/>
      <c r="AK1877" s="7"/>
      <c r="AL1877" s="7"/>
      <c r="AM1877" s="7" t="s">
        <v>744</v>
      </c>
      <c r="AN1877" s="7" t="s">
        <v>12190</v>
      </c>
      <c r="AO1877" s="7" t="s">
        <v>744</v>
      </c>
      <c r="AP1877" s="7" t="s">
        <v>12227</v>
      </c>
      <c r="AQ1877" s="7" t="s">
        <v>744</v>
      </c>
      <c r="AR1877" s="7" t="s">
        <v>101</v>
      </c>
      <c r="AS1877" s="7"/>
      <c r="AT1877" s="7"/>
      <c r="AU1877" s="7"/>
      <c r="AV1877" s="7"/>
      <c r="AW1877" s="7" t="s">
        <v>744</v>
      </c>
      <c r="AX1877" s="7" t="s">
        <v>12234</v>
      </c>
      <c r="AY1877" s="7"/>
      <c r="AZ1877" s="7"/>
      <c r="BA1877" s="7"/>
      <c r="BB1877" s="7"/>
      <c r="BC1877" s="7"/>
      <c r="BD1877" s="7"/>
      <c r="BE1877" s="7" t="s">
        <v>127</v>
      </c>
      <c r="BF1877" s="8"/>
      <c r="BG1877" s="8"/>
      <c r="BH1877" s="8"/>
      <c r="BI1877" s="8"/>
      <c r="BJ1877" s="8"/>
      <c r="BK1877" s="8"/>
      <c r="BL1877" s="8"/>
      <c r="BM1877" s="8"/>
      <c r="BN1877" s="8"/>
      <c r="BO1877" s="8"/>
      <c r="BP1877" s="8"/>
      <c r="BQ1877" s="8"/>
      <c r="BR1877" s="8"/>
      <c r="BS1877" s="8"/>
    </row>
    <row r="1878" customFormat="false" ht="15" hidden="false" customHeight="false" outlineLevel="0" collapsed="false">
      <c r="A1878" s="7" t="s">
        <v>12237</v>
      </c>
      <c r="B1878" s="7" t="s">
        <v>12238</v>
      </c>
      <c r="C1878" s="7" t="s">
        <v>12239</v>
      </c>
      <c r="D1878" s="7" t="s">
        <v>12240</v>
      </c>
      <c r="E1878" s="7"/>
      <c r="F1878" s="7" t="s">
        <v>101</v>
      </c>
      <c r="G1878" s="7"/>
      <c r="H1878" s="7"/>
      <c r="I1878" s="7" t="s">
        <v>158</v>
      </c>
      <c r="J1878" s="7" t="s">
        <v>104</v>
      </c>
      <c r="K1878" s="7" t="s">
        <v>105</v>
      </c>
      <c r="L1878" s="7" t="s">
        <v>106</v>
      </c>
      <c r="M1878" s="7"/>
      <c r="N1878" s="7" t="s">
        <v>12241</v>
      </c>
      <c r="O1878" s="7"/>
      <c r="P1878" s="7" t="s">
        <v>109</v>
      </c>
      <c r="Q1878" s="7"/>
      <c r="R1878" s="7" t="s">
        <v>135</v>
      </c>
      <c r="S1878" s="7" t="s">
        <v>136</v>
      </c>
      <c r="T1878" s="7" t="n">
        <v>0.553</v>
      </c>
      <c r="U1878" s="7" t="n">
        <v>1</v>
      </c>
      <c r="V1878" s="7" t="s">
        <v>86</v>
      </c>
      <c r="W1878" s="7"/>
      <c r="X1878" s="7" t="s">
        <v>12242</v>
      </c>
      <c r="Y1878" s="7" t="s">
        <v>12241</v>
      </c>
      <c r="Z1878" s="7"/>
      <c r="AA1878" s="7"/>
      <c r="AB1878" s="7"/>
      <c r="AC1878" s="7" t="n">
        <v>5</v>
      </c>
      <c r="AD1878" s="7" t="s">
        <v>1897</v>
      </c>
      <c r="AE1878" s="7" t="s">
        <v>744</v>
      </c>
      <c r="AF1878" s="7" t="s">
        <v>12239</v>
      </c>
      <c r="AG1878" s="7" t="s">
        <v>744</v>
      </c>
      <c r="AH1878" s="7" t="s">
        <v>12243</v>
      </c>
      <c r="AI1878" s="7"/>
      <c r="AJ1878" s="7"/>
      <c r="AK1878" s="7"/>
      <c r="AL1878" s="7"/>
      <c r="AM1878" s="7" t="s">
        <v>744</v>
      </c>
      <c r="AN1878" s="7" t="s">
        <v>2488</v>
      </c>
      <c r="AO1878" s="7" t="s">
        <v>744</v>
      </c>
      <c r="AP1878" s="7" t="s">
        <v>12240</v>
      </c>
      <c r="AQ1878" s="7"/>
      <c r="AR1878" s="7"/>
      <c r="AS1878" s="7"/>
      <c r="AT1878" s="7"/>
      <c r="AU1878" s="7"/>
      <c r="AV1878" s="7"/>
      <c r="AW1878" s="7" t="s">
        <v>744</v>
      </c>
      <c r="AX1878" s="7" t="s">
        <v>12241</v>
      </c>
      <c r="AY1878" s="7"/>
      <c r="AZ1878" s="7"/>
      <c r="BA1878" s="7"/>
      <c r="BB1878" s="7"/>
      <c r="BC1878" s="7"/>
      <c r="BD1878" s="7"/>
      <c r="BE1878" s="7" t="s">
        <v>127</v>
      </c>
      <c r="BF1878" s="8"/>
      <c r="BG1878" s="8"/>
      <c r="BH1878" s="8"/>
      <c r="BI1878" s="8"/>
      <c r="BJ1878" s="8"/>
      <c r="BK1878" s="8"/>
      <c r="BL1878" s="8"/>
      <c r="BM1878" s="8"/>
      <c r="BN1878" s="8"/>
      <c r="BO1878" s="8"/>
      <c r="BP1878" s="8"/>
      <c r="BQ1878" s="8"/>
      <c r="BR1878" s="8"/>
      <c r="BS1878" s="8"/>
    </row>
    <row r="1879" customFormat="false" ht="15" hidden="false" customHeight="false" outlineLevel="0" collapsed="false">
      <c r="A1879" s="7" t="s">
        <v>12244</v>
      </c>
      <c r="B1879" s="7" t="s">
        <v>12245</v>
      </c>
      <c r="C1879" s="7" t="s">
        <v>12246</v>
      </c>
      <c r="D1879" s="7" t="s">
        <v>12247</v>
      </c>
      <c r="E1879" s="7" t="s">
        <v>9728</v>
      </c>
      <c r="F1879" s="7" t="s">
        <v>156</v>
      </c>
      <c r="G1879" s="7"/>
      <c r="H1879" s="7" t="s">
        <v>157</v>
      </c>
      <c r="I1879" s="7" t="s">
        <v>300</v>
      </c>
      <c r="J1879" s="7" t="s">
        <v>159</v>
      </c>
      <c r="K1879" s="7" t="s">
        <v>105</v>
      </c>
      <c r="L1879" s="7" t="s">
        <v>106</v>
      </c>
      <c r="M1879" s="7"/>
      <c r="N1879" s="7" t="s">
        <v>12248</v>
      </c>
      <c r="O1879" s="7"/>
      <c r="P1879" s="7" t="s">
        <v>109</v>
      </c>
      <c r="Q1879" s="7"/>
      <c r="R1879" s="7" t="s">
        <v>135</v>
      </c>
      <c r="S1879" s="7" t="s">
        <v>136</v>
      </c>
      <c r="T1879" s="7" t="n">
        <v>0.278</v>
      </c>
      <c r="U1879" s="7" t="n">
        <v>1</v>
      </c>
      <c r="V1879" s="7" t="s">
        <v>86</v>
      </c>
      <c r="W1879" s="7"/>
      <c r="X1879" s="7" t="s">
        <v>12249</v>
      </c>
      <c r="Y1879" s="7" t="s">
        <v>12248</v>
      </c>
      <c r="Z1879" s="7"/>
      <c r="AA1879" s="7"/>
      <c r="AB1879" s="7"/>
      <c r="AC1879" s="7" t="n">
        <v>6</v>
      </c>
      <c r="AD1879" s="7" t="s">
        <v>1235</v>
      </c>
      <c r="AE1879" s="7" t="s">
        <v>744</v>
      </c>
      <c r="AF1879" s="7" t="s">
        <v>12246</v>
      </c>
      <c r="AG1879" s="7" t="s">
        <v>744</v>
      </c>
      <c r="AH1879" s="7" t="s">
        <v>12250</v>
      </c>
      <c r="AI1879" s="7"/>
      <c r="AJ1879" s="7"/>
      <c r="AK1879" s="7"/>
      <c r="AL1879" s="7"/>
      <c r="AM1879" s="7" t="s">
        <v>744</v>
      </c>
      <c r="AN1879" s="7" t="s">
        <v>12251</v>
      </c>
      <c r="AO1879" s="7" t="s">
        <v>744</v>
      </c>
      <c r="AP1879" s="7" t="s">
        <v>12247</v>
      </c>
      <c r="AQ1879" s="7" t="s">
        <v>744</v>
      </c>
      <c r="AR1879" s="7" t="s">
        <v>9728</v>
      </c>
      <c r="AS1879" s="7"/>
      <c r="AT1879" s="7"/>
      <c r="AU1879" s="7"/>
      <c r="AV1879" s="7"/>
      <c r="AW1879" s="7" t="s">
        <v>744</v>
      </c>
      <c r="AX1879" s="7" t="s">
        <v>12248</v>
      </c>
      <c r="AY1879" s="7"/>
      <c r="AZ1879" s="7"/>
      <c r="BA1879" s="7"/>
      <c r="BB1879" s="7"/>
      <c r="BC1879" s="7"/>
      <c r="BD1879" s="7"/>
      <c r="BE1879" s="7" t="s">
        <v>127</v>
      </c>
      <c r="BF1879" s="8"/>
      <c r="BG1879" s="8"/>
      <c r="BH1879" s="8"/>
      <c r="BI1879" s="8"/>
      <c r="BJ1879" s="8"/>
      <c r="BK1879" s="8"/>
      <c r="BL1879" s="8"/>
      <c r="BM1879" s="8"/>
      <c r="BN1879" s="8"/>
      <c r="BO1879" s="8"/>
      <c r="BP1879" s="8"/>
      <c r="BQ1879" s="8"/>
      <c r="BR1879" s="8"/>
      <c r="BS1879" s="8"/>
    </row>
    <row r="1880" customFormat="false" ht="15" hidden="false" customHeight="false" outlineLevel="0" collapsed="false">
      <c r="A1880" s="7" t="s">
        <v>12252</v>
      </c>
      <c r="B1880" s="7" t="s">
        <v>12253</v>
      </c>
      <c r="C1880" s="7" t="s">
        <v>12254</v>
      </c>
      <c r="D1880" s="7" t="s">
        <v>12255</v>
      </c>
      <c r="E1880" s="7" t="s">
        <v>101</v>
      </c>
      <c r="F1880" s="7" t="s">
        <v>101</v>
      </c>
      <c r="G1880" s="7"/>
      <c r="H1880" s="7"/>
      <c r="I1880" s="7" t="s">
        <v>300</v>
      </c>
      <c r="J1880" s="7" t="s">
        <v>104</v>
      </c>
      <c r="K1880" s="7" t="s">
        <v>105</v>
      </c>
      <c r="L1880" s="7" t="s">
        <v>106</v>
      </c>
      <c r="M1880" s="7"/>
      <c r="N1880" s="7" t="s">
        <v>12256</v>
      </c>
      <c r="O1880" s="7"/>
      <c r="P1880" s="7" t="s">
        <v>135</v>
      </c>
      <c r="Q1880" s="7"/>
      <c r="R1880" s="7" t="s">
        <v>135</v>
      </c>
      <c r="S1880" s="7" t="s">
        <v>136</v>
      </c>
      <c r="T1880" s="7" t="n">
        <v>0.364</v>
      </c>
      <c r="U1880" s="7" t="n">
        <v>1</v>
      </c>
      <c r="V1880" s="7" t="s">
        <v>90</v>
      </c>
      <c r="W1880" s="7"/>
      <c r="X1880" s="7" t="s">
        <v>3365</v>
      </c>
      <c r="Y1880" s="7" t="s">
        <v>12256</v>
      </c>
      <c r="Z1880" s="7"/>
      <c r="AA1880" s="7"/>
      <c r="AB1880" s="7"/>
      <c r="AC1880" s="7" t="n">
        <v>6</v>
      </c>
      <c r="AD1880" s="7" t="s">
        <v>1235</v>
      </c>
      <c r="AE1880" s="7" t="s">
        <v>744</v>
      </c>
      <c r="AF1880" s="7" t="s">
        <v>12254</v>
      </c>
      <c r="AG1880" s="7" t="s">
        <v>744</v>
      </c>
      <c r="AH1880" s="7" t="s">
        <v>12257</v>
      </c>
      <c r="AI1880" s="7"/>
      <c r="AJ1880" s="7"/>
      <c r="AK1880" s="7"/>
      <c r="AL1880" s="7"/>
      <c r="AM1880" s="7" t="s">
        <v>744</v>
      </c>
      <c r="AN1880" s="7" t="s">
        <v>12258</v>
      </c>
      <c r="AO1880" s="7" t="s">
        <v>744</v>
      </c>
      <c r="AP1880" s="7" t="s">
        <v>12255</v>
      </c>
      <c r="AQ1880" s="7" t="s">
        <v>744</v>
      </c>
      <c r="AR1880" s="7" t="s">
        <v>101</v>
      </c>
      <c r="AS1880" s="7"/>
      <c r="AT1880" s="7"/>
      <c r="AU1880" s="7"/>
      <c r="AV1880" s="7"/>
      <c r="AW1880" s="7" t="s">
        <v>744</v>
      </c>
      <c r="AX1880" s="7" t="s">
        <v>12256</v>
      </c>
      <c r="AY1880" s="7"/>
      <c r="AZ1880" s="7"/>
      <c r="BA1880" s="7"/>
      <c r="BB1880" s="7"/>
      <c r="BC1880" s="7"/>
      <c r="BD1880" s="7" t="s">
        <v>12259</v>
      </c>
      <c r="BE1880" s="7" t="s">
        <v>127</v>
      </c>
      <c r="BF1880" s="8"/>
      <c r="BG1880" s="8"/>
      <c r="BH1880" s="8"/>
      <c r="BI1880" s="8"/>
      <c r="BJ1880" s="8"/>
      <c r="BK1880" s="8"/>
      <c r="BL1880" s="8"/>
      <c r="BM1880" s="8"/>
      <c r="BN1880" s="8"/>
      <c r="BO1880" s="8"/>
      <c r="BP1880" s="8"/>
      <c r="BQ1880" s="8"/>
      <c r="BR1880" s="8"/>
      <c r="BS1880" s="8"/>
    </row>
    <row r="1881" customFormat="false" ht="15" hidden="false" customHeight="false" outlineLevel="0" collapsed="false">
      <c r="A1881" s="7" t="s">
        <v>12260</v>
      </c>
      <c r="B1881" s="7" t="s">
        <v>12261</v>
      </c>
      <c r="C1881" s="7" t="s">
        <v>12262</v>
      </c>
      <c r="D1881" s="7" t="s">
        <v>12263</v>
      </c>
      <c r="E1881" s="7" t="s">
        <v>2469</v>
      </c>
      <c r="F1881" s="7" t="s">
        <v>101</v>
      </c>
      <c r="G1881" s="7"/>
      <c r="H1881" s="7"/>
      <c r="I1881" s="7" t="s">
        <v>300</v>
      </c>
      <c r="J1881" s="7" t="s">
        <v>104</v>
      </c>
      <c r="K1881" s="7" t="s">
        <v>105</v>
      </c>
      <c r="L1881" s="7" t="s">
        <v>106</v>
      </c>
      <c r="M1881" s="7"/>
      <c r="N1881" s="7" t="s">
        <v>12264</v>
      </c>
      <c r="O1881" s="7"/>
      <c r="P1881" s="7" t="s">
        <v>135</v>
      </c>
      <c r="Q1881" s="7"/>
      <c r="R1881" s="7" t="s">
        <v>135</v>
      </c>
      <c r="S1881" s="7" t="s">
        <v>136</v>
      </c>
      <c r="T1881" s="7" t="n">
        <v>0.55</v>
      </c>
      <c r="U1881" s="7" t="n">
        <v>1</v>
      </c>
      <c r="V1881" s="7" t="s">
        <v>90</v>
      </c>
      <c r="W1881" s="7"/>
      <c r="X1881" s="7" t="s">
        <v>12265</v>
      </c>
      <c r="Y1881" s="7" t="s">
        <v>12264</v>
      </c>
      <c r="Z1881" s="7"/>
      <c r="AA1881" s="7"/>
      <c r="AB1881" s="7"/>
      <c r="AC1881" s="7" t="n">
        <v>6</v>
      </c>
      <c r="AD1881" s="7" t="s">
        <v>1235</v>
      </c>
      <c r="AE1881" s="7" t="s">
        <v>744</v>
      </c>
      <c r="AF1881" s="7" t="s">
        <v>12262</v>
      </c>
      <c r="AG1881" s="7" t="s">
        <v>744</v>
      </c>
      <c r="AH1881" s="7" t="s">
        <v>12266</v>
      </c>
      <c r="AI1881" s="7"/>
      <c r="AJ1881" s="7"/>
      <c r="AK1881" s="7"/>
      <c r="AL1881" s="7"/>
      <c r="AM1881" s="7" t="s">
        <v>744</v>
      </c>
      <c r="AN1881" s="7" t="s">
        <v>12267</v>
      </c>
      <c r="AO1881" s="7" t="s">
        <v>744</v>
      </c>
      <c r="AP1881" s="7" t="s">
        <v>12263</v>
      </c>
      <c r="AQ1881" s="7" t="s">
        <v>744</v>
      </c>
      <c r="AR1881" s="7" t="s">
        <v>2469</v>
      </c>
      <c r="AS1881" s="7"/>
      <c r="AT1881" s="7"/>
      <c r="AU1881" s="7"/>
      <c r="AV1881" s="7"/>
      <c r="AW1881" s="7" t="s">
        <v>744</v>
      </c>
      <c r="AX1881" s="7" t="s">
        <v>12264</v>
      </c>
      <c r="AY1881" s="7"/>
      <c r="AZ1881" s="7"/>
      <c r="BA1881" s="7"/>
      <c r="BB1881" s="7"/>
      <c r="BC1881" s="7"/>
      <c r="BD1881" s="7" t="s">
        <v>12268</v>
      </c>
      <c r="BE1881" s="7" t="s">
        <v>127</v>
      </c>
      <c r="BF1881" s="8"/>
      <c r="BG1881" s="8"/>
      <c r="BH1881" s="8"/>
      <c r="BI1881" s="8"/>
      <c r="BJ1881" s="8"/>
      <c r="BK1881" s="8"/>
      <c r="BL1881" s="8"/>
      <c r="BM1881" s="8"/>
      <c r="BN1881" s="8"/>
      <c r="BO1881" s="8"/>
      <c r="BP1881" s="8"/>
      <c r="BQ1881" s="8"/>
      <c r="BR1881" s="8"/>
      <c r="BS1881" s="8"/>
    </row>
    <row r="1882" customFormat="false" ht="15" hidden="false" customHeight="false" outlineLevel="0" collapsed="false">
      <c r="A1882" s="7" t="s">
        <v>12269</v>
      </c>
      <c r="B1882" s="7" t="s">
        <v>12270</v>
      </c>
      <c r="C1882" s="7" t="s">
        <v>12271</v>
      </c>
      <c r="D1882" s="7" t="s">
        <v>12272</v>
      </c>
      <c r="E1882" s="7" t="s">
        <v>101</v>
      </c>
      <c r="F1882" s="7" t="s">
        <v>101</v>
      </c>
      <c r="G1882" s="7"/>
      <c r="H1882" s="7"/>
      <c r="I1882" s="7" t="s">
        <v>300</v>
      </c>
      <c r="J1882" s="7" t="s">
        <v>104</v>
      </c>
      <c r="K1882" s="7" t="s">
        <v>105</v>
      </c>
      <c r="L1882" s="7" t="s">
        <v>1447</v>
      </c>
      <c r="M1882" s="7"/>
      <c r="N1882" s="7" t="s">
        <v>12273</v>
      </c>
      <c r="O1882" s="7"/>
      <c r="P1882" s="7" t="s">
        <v>135</v>
      </c>
      <c r="Q1882" s="7"/>
      <c r="R1882" s="7" t="s">
        <v>135</v>
      </c>
      <c r="S1882" s="7" t="s">
        <v>136</v>
      </c>
      <c r="T1882" s="7" t="n">
        <v>0.643</v>
      </c>
      <c r="U1882" s="7" t="n">
        <v>1</v>
      </c>
      <c r="V1882" s="7" t="s">
        <v>90</v>
      </c>
      <c r="W1882" s="7"/>
      <c r="X1882" s="7" t="s">
        <v>12274</v>
      </c>
      <c r="Y1882" s="7" t="s">
        <v>12273</v>
      </c>
      <c r="Z1882" s="7"/>
      <c r="AA1882" s="7"/>
      <c r="AB1882" s="7"/>
      <c r="AC1882" s="7" t="n">
        <v>6</v>
      </c>
      <c r="AD1882" s="7" t="s">
        <v>1235</v>
      </c>
      <c r="AE1882" s="7" t="s">
        <v>744</v>
      </c>
      <c r="AF1882" s="7" t="s">
        <v>12271</v>
      </c>
      <c r="AG1882" s="7" t="s">
        <v>744</v>
      </c>
      <c r="AH1882" s="7" t="s">
        <v>12275</v>
      </c>
      <c r="AI1882" s="7"/>
      <c r="AJ1882" s="7"/>
      <c r="AK1882" s="7"/>
      <c r="AL1882" s="7"/>
      <c r="AM1882" s="7" t="s">
        <v>744</v>
      </c>
      <c r="AN1882" s="7" t="s">
        <v>12276</v>
      </c>
      <c r="AO1882" s="7" t="s">
        <v>744</v>
      </c>
      <c r="AP1882" s="7" t="s">
        <v>12272</v>
      </c>
      <c r="AQ1882" s="7" t="s">
        <v>744</v>
      </c>
      <c r="AR1882" s="7" t="s">
        <v>101</v>
      </c>
      <c r="AS1882" s="7"/>
      <c r="AT1882" s="7"/>
      <c r="AU1882" s="7"/>
      <c r="AV1882" s="7"/>
      <c r="AW1882" s="7" t="s">
        <v>744</v>
      </c>
      <c r="AX1882" s="7" t="s">
        <v>12273</v>
      </c>
      <c r="AY1882" s="7"/>
      <c r="AZ1882" s="7"/>
      <c r="BA1882" s="7"/>
      <c r="BB1882" s="7"/>
      <c r="BC1882" s="7"/>
      <c r="BD1882" s="7" t="s">
        <v>8060</v>
      </c>
      <c r="BE1882" s="7" t="s">
        <v>127</v>
      </c>
      <c r="BF1882" s="8"/>
      <c r="BG1882" s="8"/>
      <c r="BH1882" s="8"/>
      <c r="BI1882" s="8"/>
      <c r="BJ1882" s="8"/>
      <c r="BK1882" s="8"/>
      <c r="BL1882" s="8"/>
      <c r="BM1882" s="8"/>
      <c r="BN1882" s="8"/>
      <c r="BO1882" s="8"/>
      <c r="BP1882" s="8"/>
      <c r="BQ1882" s="8"/>
      <c r="BR1882" s="8"/>
      <c r="BS1882" s="8"/>
    </row>
    <row r="1883" customFormat="false" ht="15" hidden="false" customHeight="false" outlineLevel="0" collapsed="false">
      <c r="A1883" s="7" t="s">
        <v>12277</v>
      </c>
      <c r="B1883" s="7" t="s">
        <v>12278</v>
      </c>
      <c r="C1883" s="7" t="s">
        <v>12279</v>
      </c>
      <c r="D1883" s="7" t="s">
        <v>12280</v>
      </c>
      <c r="E1883" s="7"/>
      <c r="F1883" s="7" t="s">
        <v>101</v>
      </c>
      <c r="G1883" s="7"/>
      <c r="H1883" s="7"/>
      <c r="I1883" s="7" t="s">
        <v>158</v>
      </c>
      <c r="J1883" s="7" t="s">
        <v>104</v>
      </c>
      <c r="K1883" s="7" t="s">
        <v>105</v>
      </c>
      <c r="L1883" s="7" t="s">
        <v>106</v>
      </c>
      <c r="M1883" s="7"/>
      <c r="N1883" s="7" t="s">
        <v>12281</v>
      </c>
      <c r="O1883" s="7"/>
      <c r="P1883" s="7" t="s">
        <v>135</v>
      </c>
      <c r="Q1883" s="7"/>
      <c r="R1883" s="7" t="s">
        <v>135</v>
      </c>
      <c r="S1883" s="7" t="s">
        <v>136</v>
      </c>
      <c r="T1883" s="7" t="n">
        <v>0.369</v>
      </c>
      <c r="U1883" s="7" t="n">
        <v>1</v>
      </c>
      <c r="V1883" s="7"/>
      <c r="W1883" s="7"/>
      <c r="X1883" s="7"/>
      <c r="Y1883" s="7" t="s">
        <v>12281</v>
      </c>
      <c r="Z1883" s="7"/>
      <c r="AA1883" s="7"/>
      <c r="AB1883" s="7"/>
      <c r="AC1883" s="7" t="n">
        <v>4</v>
      </c>
      <c r="AD1883" s="7" t="s">
        <v>862</v>
      </c>
      <c r="AE1883" s="7" t="s">
        <v>744</v>
      </c>
      <c r="AF1883" s="7" t="s">
        <v>12279</v>
      </c>
      <c r="AG1883" s="7"/>
      <c r="AH1883" s="7"/>
      <c r="AI1883" s="7"/>
      <c r="AJ1883" s="7"/>
      <c r="AK1883" s="7"/>
      <c r="AL1883" s="7"/>
      <c r="AM1883" s="7" t="s">
        <v>744</v>
      </c>
      <c r="AN1883" s="7" t="s">
        <v>12282</v>
      </c>
      <c r="AO1883" s="7" t="s">
        <v>744</v>
      </c>
      <c r="AP1883" s="7" t="s">
        <v>12280</v>
      </c>
      <c r="AQ1883" s="7"/>
      <c r="AR1883" s="7"/>
      <c r="AS1883" s="7"/>
      <c r="AT1883" s="7"/>
      <c r="AU1883" s="7"/>
      <c r="AV1883" s="7"/>
      <c r="AW1883" s="7" t="s">
        <v>744</v>
      </c>
      <c r="AX1883" s="7" t="s">
        <v>12281</v>
      </c>
      <c r="AY1883" s="7"/>
      <c r="AZ1883" s="7"/>
      <c r="BA1883" s="7"/>
      <c r="BB1883" s="7"/>
      <c r="BC1883" s="7"/>
      <c r="BD1883" s="7" t="s">
        <v>12283</v>
      </c>
      <c r="BE1883" s="7" t="s">
        <v>127</v>
      </c>
      <c r="BF1883" s="8"/>
      <c r="BG1883" s="8"/>
      <c r="BH1883" s="8"/>
      <c r="BI1883" s="8"/>
      <c r="BJ1883" s="8"/>
      <c r="BK1883" s="8"/>
      <c r="BL1883" s="8"/>
      <c r="BM1883" s="8"/>
      <c r="BN1883" s="8"/>
      <c r="BO1883" s="8"/>
      <c r="BP1883" s="8"/>
      <c r="BQ1883" s="8"/>
      <c r="BR1883" s="8"/>
      <c r="BS1883" s="8"/>
    </row>
    <row r="1884" customFormat="false" ht="15" hidden="false" customHeight="false" outlineLevel="0" collapsed="false">
      <c r="A1884" s="7" t="s">
        <v>12284</v>
      </c>
      <c r="B1884" s="7" t="s">
        <v>12285</v>
      </c>
      <c r="C1884" s="7" t="s">
        <v>12286</v>
      </c>
      <c r="D1884" s="7" t="s">
        <v>12280</v>
      </c>
      <c r="E1884" s="7"/>
      <c r="F1884" s="7" t="s">
        <v>101</v>
      </c>
      <c r="G1884" s="7"/>
      <c r="H1884" s="7"/>
      <c r="I1884" s="7" t="s">
        <v>1639</v>
      </c>
      <c r="J1884" s="7" t="s">
        <v>104</v>
      </c>
      <c r="K1884" s="7" t="s">
        <v>105</v>
      </c>
      <c r="L1884" s="7" t="s">
        <v>106</v>
      </c>
      <c r="M1884" s="7"/>
      <c r="N1884" s="7" t="s">
        <v>12287</v>
      </c>
      <c r="O1884" s="7"/>
      <c r="P1884" s="7" t="s">
        <v>135</v>
      </c>
      <c r="Q1884" s="7"/>
      <c r="R1884" s="7" t="s">
        <v>135</v>
      </c>
      <c r="S1884" s="7" t="s">
        <v>136</v>
      </c>
      <c r="T1884" s="7" t="n">
        <v>0.395</v>
      </c>
      <c r="U1884" s="7" t="n">
        <v>1</v>
      </c>
      <c r="V1884" s="7"/>
      <c r="W1884" s="7"/>
      <c r="X1884" s="7"/>
      <c r="Y1884" s="7" t="s">
        <v>12287</v>
      </c>
      <c r="Z1884" s="7"/>
      <c r="AA1884" s="7"/>
      <c r="AB1884" s="7"/>
      <c r="AC1884" s="7" t="n">
        <v>3</v>
      </c>
      <c r="AD1884" s="7" t="s">
        <v>1492</v>
      </c>
      <c r="AE1884" s="7" t="s">
        <v>744</v>
      </c>
      <c r="AF1884" s="7" t="s">
        <v>12286</v>
      </c>
      <c r="AG1884" s="7"/>
      <c r="AH1884" s="7"/>
      <c r="AI1884" s="7"/>
      <c r="AJ1884" s="7"/>
      <c r="AK1884" s="7"/>
      <c r="AL1884" s="7"/>
      <c r="AM1884" s="7"/>
      <c r="AN1884" s="7"/>
      <c r="AO1884" s="7" t="s">
        <v>744</v>
      </c>
      <c r="AP1884" s="7" t="s">
        <v>12280</v>
      </c>
      <c r="AQ1884" s="7"/>
      <c r="AR1884" s="7"/>
      <c r="AS1884" s="7"/>
      <c r="AT1884" s="7"/>
      <c r="AU1884" s="7"/>
      <c r="AV1884" s="7"/>
      <c r="AW1884" s="7" t="s">
        <v>744</v>
      </c>
      <c r="AX1884" s="7" t="s">
        <v>12287</v>
      </c>
      <c r="AY1884" s="7"/>
      <c r="AZ1884" s="7"/>
      <c r="BA1884" s="7"/>
      <c r="BB1884" s="7"/>
      <c r="BC1884" s="7"/>
      <c r="BD1884" s="7" t="s">
        <v>12288</v>
      </c>
      <c r="BE1884" s="7" t="s">
        <v>127</v>
      </c>
      <c r="BF1884" s="8"/>
      <c r="BG1884" s="8"/>
      <c r="BH1884" s="8"/>
      <c r="BI1884" s="8"/>
      <c r="BJ1884" s="8"/>
      <c r="BK1884" s="8"/>
      <c r="BL1884" s="8"/>
      <c r="BM1884" s="8"/>
      <c r="BN1884" s="8"/>
      <c r="BO1884" s="8"/>
      <c r="BP1884" s="8"/>
      <c r="BQ1884" s="8"/>
      <c r="BR1884" s="8"/>
      <c r="BS1884" s="8"/>
    </row>
    <row r="1885" customFormat="false" ht="15" hidden="false" customHeight="false" outlineLevel="0" collapsed="false">
      <c r="A1885" s="7" t="s">
        <v>12289</v>
      </c>
      <c r="B1885" s="7" t="s">
        <v>12290</v>
      </c>
      <c r="C1885" s="7" t="s">
        <v>12291</v>
      </c>
      <c r="D1885" s="7" t="s">
        <v>12280</v>
      </c>
      <c r="E1885" s="7"/>
      <c r="F1885" s="7" t="s">
        <v>101</v>
      </c>
      <c r="G1885" s="7"/>
      <c r="H1885" s="7"/>
      <c r="I1885" s="7" t="s">
        <v>1726</v>
      </c>
      <c r="J1885" s="7" t="s">
        <v>104</v>
      </c>
      <c r="K1885" s="7" t="s">
        <v>105</v>
      </c>
      <c r="L1885" s="7" t="s">
        <v>106</v>
      </c>
      <c r="M1885" s="7"/>
      <c r="N1885" s="7" t="s">
        <v>12292</v>
      </c>
      <c r="O1885" s="7"/>
      <c r="P1885" s="7" t="s">
        <v>135</v>
      </c>
      <c r="Q1885" s="7"/>
      <c r="R1885" s="7" t="s">
        <v>135</v>
      </c>
      <c r="S1885" s="7" t="s">
        <v>136</v>
      </c>
      <c r="T1885" s="7" t="n">
        <v>0.394</v>
      </c>
      <c r="U1885" s="7" t="n">
        <v>1</v>
      </c>
      <c r="V1885" s="7" t="s">
        <v>1717</v>
      </c>
      <c r="W1885" s="7"/>
      <c r="X1885" s="7" t="s">
        <v>12293</v>
      </c>
      <c r="Y1885" s="7" t="s">
        <v>12292</v>
      </c>
      <c r="Z1885" s="7"/>
      <c r="AA1885" s="7"/>
      <c r="AB1885" s="7"/>
      <c r="AC1885" s="7" t="n">
        <v>5</v>
      </c>
      <c r="AD1885" s="7" t="s">
        <v>1897</v>
      </c>
      <c r="AE1885" s="7" t="s">
        <v>744</v>
      </c>
      <c r="AF1885" s="7" t="s">
        <v>12291</v>
      </c>
      <c r="AG1885" s="7" t="s">
        <v>744</v>
      </c>
      <c r="AH1885" s="7" t="s">
        <v>12294</v>
      </c>
      <c r="AI1885" s="7"/>
      <c r="AJ1885" s="7"/>
      <c r="AK1885" s="7"/>
      <c r="AL1885" s="7"/>
      <c r="AM1885" s="7" t="s">
        <v>744</v>
      </c>
      <c r="AN1885" s="7" t="s">
        <v>12295</v>
      </c>
      <c r="AO1885" s="7" t="s">
        <v>744</v>
      </c>
      <c r="AP1885" s="7" t="s">
        <v>12280</v>
      </c>
      <c r="AQ1885" s="7"/>
      <c r="AR1885" s="7"/>
      <c r="AS1885" s="7"/>
      <c r="AT1885" s="7"/>
      <c r="AU1885" s="7"/>
      <c r="AV1885" s="7"/>
      <c r="AW1885" s="7" t="s">
        <v>744</v>
      </c>
      <c r="AX1885" s="7" t="s">
        <v>12292</v>
      </c>
      <c r="AY1885" s="7"/>
      <c r="AZ1885" s="7"/>
      <c r="BA1885" s="7"/>
      <c r="BB1885" s="7"/>
      <c r="BC1885" s="7"/>
      <c r="BD1885" s="7" t="s">
        <v>12288</v>
      </c>
      <c r="BE1885" s="7" t="s">
        <v>127</v>
      </c>
      <c r="BF1885" s="8"/>
      <c r="BG1885" s="8"/>
      <c r="BH1885" s="8"/>
      <c r="BI1885" s="8"/>
      <c r="BJ1885" s="8"/>
      <c r="BK1885" s="8"/>
      <c r="BL1885" s="8"/>
      <c r="BM1885" s="8"/>
      <c r="BN1885" s="8"/>
      <c r="BO1885" s="8"/>
      <c r="BP1885" s="8"/>
      <c r="BQ1885" s="8"/>
      <c r="BR1885" s="8"/>
      <c r="BS1885" s="8"/>
    </row>
    <row r="1886" customFormat="false" ht="15" hidden="false" customHeight="false" outlineLevel="0" collapsed="false">
      <c r="A1886" s="7" t="s">
        <v>12296</v>
      </c>
      <c r="B1886" s="7" t="s">
        <v>12297</v>
      </c>
      <c r="C1886" s="7" t="s">
        <v>12298</v>
      </c>
      <c r="D1886" s="7" t="s">
        <v>12280</v>
      </c>
      <c r="E1886" s="7"/>
      <c r="F1886" s="7" t="s">
        <v>101</v>
      </c>
      <c r="G1886" s="7"/>
      <c r="H1886" s="7"/>
      <c r="I1886" s="7" t="s">
        <v>374</v>
      </c>
      <c r="J1886" s="7" t="s">
        <v>104</v>
      </c>
      <c r="K1886" s="7" t="s">
        <v>105</v>
      </c>
      <c r="L1886" s="7" t="s">
        <v>106</v>
      </c>
      <c r="M1886" s="7"/>
      <c r="N1886" s="7" t="s">
        <v>12299</v>
      </c>
      <c r="O1886" s="7"/>
      <c r="P1886" s="7" t="s">
        <v>135</v>
      </c>
      <c r="Q1886" s="7"/>
      <c r="R1886" s="7" t="s">
        <v>135</v>
      </c>
      <c r="S1886" s="7" t="s">
        <v>136</v>
      </c>
      <c r="T1886" s="7" t="n">
        <v>0.453</v>
      </c>
      <c r="U1886" s="7" t="n">
        <v>1</v>
      </c>
      <c r="V1886" s="7" t="s">
        <v>1717</v>
      </c>
      <c r="W1886" s="7"/>
      <c r="X1886" s="7" t="s">
        <v>12300</v>
      </c>
      <c r="Y1886" s="7" t="s">
        <v>12299</v>
      </c>
      <c r="Z1886" s="7"/>
      <c r="AA1886" s="7"/>
      <c r="AB1886" s="7"/>
      <c r="AC1886" s="7" t="n">
        <v>5</v>
      </c>
      <c r="AD1886" s="7" t="s">
        <v>1897</v>
      </c>
      <c r="AE1886" s="7" t="s">
        <v>744</v>
      </c>
      <c r="AF1886" s="7" t="s">
        <v>12298</v>
      </c>
      <c r="AG1886" s="7" t="s">
        <v>744</v>
      </c>
      <c r="AH1886" s="7" t="s">
        <v>12301</v>
      </c>
      <c r="AI1886" s="7"/>
      <c r="AJ1886" s="7"/>
      <c r="AK1886" s="7"/>
      <c r="AL1886" s="7"/>
      <c r="AM1886" s="7" t="s">
        <v>744</v>
      </c>
      <c r="AN1886" s="7" t="s">
        <v>12295</v>
      </c>
      <c r="AO1886" s="7" t="s">
        <v>744</v>
      </c>
      <c r="AP1886" s="7" t="s">
        <v>12280</v>
      </c>
      <c r="AQ1886" s="7"/>
      <c r="AR1886" s="7"/>
      <c r="AS1886" s="7"/>
      <c r="AT1886" s="7"/>
      <c r="AU1886" s="7"/>
      <c r="AV1886" s="7"/>
      <c r="AW1886" s="7" t="s">
        <v>744</v>
      </c>
      <c r="AX1886" s="7" t="s">
        <v>12299</v>
      </c>
      <c r="AY1886" s="7"/>
      <c r="AZ1886" s="7"/>
      <c r="BA1886" s="7"/>
      <c r="BB1886" s="7"/>
      <c r="BC1886" s="7"/>
      <c r="BD1886" s="7" t="s">
        <v>12302</v>
      </c>
      <c r="BE1886" s="7" t="s">
        <v>127</v>
      </c>
      <c r="BF1886" s="8"/>
      <c r="BG1886" s="8"/>
      <c r="BH1886" s="8"/>
      <c r="BI1886" s="8"/>
      <c r="BJ1886" s="8"/>
      <c r="BK1886" s="8"/>
      <c r="BL1886" s="8"/>
      <c r="BM1886" s="8"/>
      <c r="BN1886" s="8"/>
      <c r="BO1886" s="8"/>
      <c r="BP1886" s="8"/>
      <c r="BQ1886" s="8"/>
      <c r="BR1886" s="8"/>
      <c r="BS1886" s="8"/>
    </row>
    <row r="1887" customFormat="false" ht="15" hidden="false" customHeight="false" outlineLevel="0" collapsed="false">
      <c r="A1887" s="7" t="s">
        <v>12303</v>
      </c>
      <c r="B1887" s="7" t="s">
        <v>12304</v>
      </c>
      <c r="C1887" s="7" t="s">
        <v>12305</v>
      </c>
      <c r="D1887" s="7" t="s">
        <v>12280</v>
      </c>
      <c r="E1887" s="7"/>
      <c r="F1887" s="7" t="s">
        <v>101</v>
      </c>
      <c r="G1887" s="7"/>
      <c r="H1887" s="7"/>
      <c r="I1887" s="7" t="s">
        <v>158</v>
      </c>
      <c r="J1887" s="7" t="s">
        <v>104</v>
      </c>
      <c r="K1887" s="7" t="s">
        <v>105</v>
      </c>
      <c r="L1887" s="7" t="s">
        <v>106</v>
      </c>
      <c r="M1887" s="7"/>
      <c r="N1887" s="7" t="s">
        <v>12306</v>
      </c>
      <c r="O1887" s="7"/>
      <c r="P1887" s="7" t="s">
        <v>135</v>
      </c>
      <c r="Q1887" s="7"/>
      <c r="R1887" s="7" t="s">
        <v>135</v>
      </c>
      <c r="S1887" s="7" t="s">
        <v>136</v>
      </c>
      <c r="T1887" s="7" t="n">
        <v>0.389</v>
      </c>
      <c r="U1887" s="7" t="n">
        <v>1</v>
      </c>
      <c r="V1887" s="7" t="s">
        <v>1717</v>
      </c>
      <c r="W1887" s="7"/>
      <c r="X1887" s="7" t="s">
        <v>12300</v>
      </c>
      <c r="Y1887" s="7" t="s">
        <v>12306</v>
      </c>
      <c r="Z1887" s="7"/>
      <c r="AA1887" s="7"/>
      <c r="AB1887" s="7"/>
      <c r="AC1887" s="7" t="n">
        <v>5</v>
      </c>
      <c r="AD1887" s="7" t="s">
        <v>1897</v>
      </c>
      <c r="AE1887" s="7" t="s">
        <v>744</v>
      </c>
      <c r="AF1887" s="7" t="s">
        <v>12305</v>
      </c>
      <c r="AG1887" s="7" t="s">
        <v>744</v>
      </c>
      <c r="AH1887" s="7" t="s">
        <v>12301</v>
      </c>
      <c r="AI1887" s="7"/>
      <c r="AJ1887" s="7"/>
      <c r="AK1887" s="7"/>
      <c r="AL1887" s="7"/>
      <c r="AM1887" s="7" t="s">
        <v>744</v>
      </c>
      <c r="AN1887" s="7" t="s">
        <v>12307</v>
      </c>
      <c r="AO1887" s="7" t="s">
        <v>744</v>
      </c>
      <c r="AP1887" s="7" t="s">
        <v>12280</v>
      </c>
      <c r="AQ1887" s="7"/>
      <c r="AR1887" s="7"/>
      <c r="AS1887" s="7"/>
      <c r="AT1887" s="7"/>
      <c r="AU1887" s="7"/>
      <c r="AV1887" s="7"/>
      <c r="AW1887" s="7" t="s">
        <v>744</v>
      </c>
      <c r="AX1887" s="7" t="s">
        <v>12306</v>
      </c>
      <c r="AY1887" s="7"/>
      <c r="AZ1887" s="7"/>
      <c r="BA1887" s="7"/>
      <c r="BB1887" s="7"/>
      <c r="BC1887" s="7"/>
      <c r="BD1887" s="7" t="s">
        <v>12302</v>
      </c>
      <c r="BE1887" s="7" t="s">
        <v>127</v>
      </c>
      <c r="BF1887" s="8"/>
      <c r="BG1887" s="8"/>
      <c r="BH1887" s="8"/>
      <c r="BI1887" s="8"/>
      <c r="BJ1887" s="8"/>
      <c r="BK1887" s="8"/>
      <c r="BL1887" s="8"/>
      <c r="BM1887" s="8"/>
      <c r="BN1887" s="8"/>
      <c r="BO1887" s="8"/>
      <c r="BP1887" s="8"/>
      <c r="BQ1887" s="8"/>
      <c r="BR1887" s="8"/>
      <c r="BS1887" s="8"/>
    </row>
    <row r="1888" customFormat="false" ht="15" hidden="false" customHeight="false" outlineLevel="0" collapsed="false">
      <c r="A1888" s="7" t="s">
        <v>12308</v>
      </c>
      <c r="B1888" s="7" t="s">
        <v>12309</v>
      </c>
      <c r="C1888" s="7" t="s">
        <v>12310</v>
      </c>
      <c r="D1888" s="7" t="s">
        <v>1877</v>
      </c>
      <c r="E1888" s="7" t="s">
        <v>82</v>
      </c>
      <c r="F1888" s="7" t="s">
        <v>82</v>
      </c>
      <c r="G1888" s="7" t="s">
        <v>1878</v>
      </c>
      <c r="H1888" s="7"/>
      <c r="I1888" s="7" t="s">
        <v>234</v>
      </c>
      <c r="J1888" s="7" t="s">
        <v>104</v>
      </c>
      <c r="K1888" s="7" t="s">
        <v>105</v>
      </c>
      <c r="L1888" s="7" t="s">
        <v>235</v>
      </c>
      <c r="M1888" s="7"/>
      <c r="N1888" s="7" t="s">
        <v>12311</v>
      </c>
      <c r="O1888" s="7" t="s">
        <v>12311</v>
      </c>
      <c r="P1888" s="7" t="s">
        <v>135</v>
      </c>
      <c r="Q1888" s="7"/>
      <c r="R1888" s="7" t="s">
        <v>109</v>
      </c>
      <c r="S1888" s="7" t="s">
        <v>110</v>
      </c>
      <c r="T1888" s="7" t="n">
        <v>0.623</v>
      </c>
      <c r="U1888" s="7" t="n">
        <v>1</v>
      </c>
      <c r="V1888" s="7"/>
      <c r="W1888" s="7"/>
      <c r="X1888" s="7"/>
      <c r="Y1888" s="7" t="s">
        <v>12311</v>
      </c>
      <c r="Z1888" s="7"/>
      <c r="AA1888" s="7"/>
      <c r="AB1888" s="7"/>
      <c r="AC1888" s="7" t="n">
        <v>4</v>
      </c>
      <c r="AD1888" s="7" t="s">
        <v>1376</v>
      </c>
      <c r="AE1888" s="7" t="s">
        <v>1809</v>
      </c>
      <c r="AF1888" s="7" t="s">
        <v>12310</v>
      </c>
      <c r="AG1888" s="7"/>
      <c r="AH1888" s="7"/>
      <c r="AI1888" s="7"/>
      <c r="AJ1888" s="7"/>
      <c r="AK1888" s="7"/>
      <c r="AL1888" s="7"/>
      <c r="AM1888" s="7"/>
      <c r="AN1888" s="7"/>
      <c r="AO1888" s="7" t="s">
        <v>1809</v>
      </c>
      <c r="AP1888" s="7" t="s">
        <v>1877</v>
      </c>
      <c r="AQ1888" s="7" t="s">
        <v>1809</v>
      </c>
      <c r="AR1888" s="7" t="s">
        <v>82</v>
      </c>
      <c r="AS1888" s="7"/>
      <c r="AT1888" s="7"/>
      <c r="AU1888" s="7"/>
      <c r="AV1888" s="7"/>
      <c r="AW1888" s="7" t="s">
        <v>1809</v>
      </c>
      <c r="AX1888" s="7" t="s">
        <v>12311</v>
      </c>
      <c r="AY1888" s="7"/>
      <c r="AZ1888" s="7"/>
      <c r="BA1888" s="7"/>
      <c r="BB1888" s="7"/>
      <c r="BC1888" s="7"/>
      <c r="BD1888" s="7" t="s">
        <v>12312</v>
      </c>
      <c r="BE1888" s="7" t="s">
        <v>127</v>
      </c>
      <c r="BF1888" s="8"/>
      <c r="BG1888" s="8"/>
      <c r="BH1888" s="8"/>
      <c r="BI1888" s="8"/>
      <c r="BJ1888" s="8"/>
      <c r="BK1888" s="8"/>
      <c r="BL1888" s="8"/>
      <c r="BM1888" s="8"/>
      <c r="BN1888" s="8"/>
      <c r="BO1888" s="8"/>
      <c r="BP1888" s="8"/>
      <c r="BQ1888" s="8"/>
      <c r="BR1888" s="8"/>
      <c r="BS1888" s="8"/>
    </row>
    <row r="1889" customFormat="false" ht="15" hidden="false" customHeight="false" outlineLevel="0" collapsed="false">
      <c r="A1889" s="7" t="s">
        <v>12313</v>
      </c>
      <c r="B1889" s="7" t="s">
        <v>12314</v>
      </c>
      <c r="C1889" s="7" t="s">
        <v>12315</v>
      </c>
      <c r="D1889" s="7" t="s">
        <v>1877</v>
      </c>
      <c r="E1889" s="7" t="s">
        <v>82</v>
      </c>
      <c r="F1889" s="7" t="s">
        <v>82</v>
      </c>
      <c r="G1889" s="7" t="s">
        <v>1878</v>
      </c>
      <c r="H1889" s="7"/>
      <c r="I1889" s="7" t="s">
        <v>234</v>
      </c>
      <c r="J1889" s="7" t="s">
        <v>104</v>
      </c>
      <c r="K1889" s="7" t="s">
        <v>105</v>
      </c>
      <c r="L1889" s="7" t="s">
        <v>235</v>
      </c>
      <c r="M1889" s="7"/>
      <c r="N1889" s="7" t="s">
        <v>12316</v>
      </c>
      <c r="O1889" s="7" t="s">
        <v>12316</v>
      </c>
      <c r="P1889" s="7" t="s">
        <v>109</v>
      </c>
      <c r="Q1889" s="7"/>
      <c r="R1889" s="7" t="s">
        <v>109</v>
      </c>
      <c r="S1889" s="7" t="s">
        <v>110</v>
      </c>
      <c r="T1889" s="7" t="n">
        <v>0.761</v>
      </c>
      <c r="U1889" s="7" t="n">
        <v>1</v>
      </c>
      <c r="V1889" s="7"/>
      <c r="W1889" s="7"/>
      <c r="X1889" s="7"/>
      <c r="Y1889" s="7" t="s">
        <v>12316</v>
      </c>
      <c r="Z1889" s="7"/>
      <c r="AA1889" s="7"/>
      <c r="AB1889" s="7"/>
      <c r="AC1889" s="7" t="n">
        <v>4</v>
      </c>
      <c r="AD1889" s="7" t="s">
        <v>1376</v>
      </c>
      <c r="AE1889" s="7" t="s">
        <v>1809</v>
      </c>
      <c r="AF1889" s="7" t="s">
        <v>12315</v>
      </c>
      <c r="AG1889" s="7"/>
      <c r="AH1889" s="7"/>
      <c r="AI1889" s="7"/>
      <c r="AJ1889" s="7"/>
      <c r="AK1889" s="7"/>
      <c r="AL1889" s="7"/>
      <c r="AM1889" s="7"/>
      <c r="AN1889" s="7"/>
      <c r="AO1889" s="7" t="s">
        <v>1809</v>
      </c>
      <c r="AP1889" s="7" t="s">
        <v>1877</v>
      </c>
      <c r="AQ1889" s="7" t="s">
        <v>1809</v>
      </c>
      <c r="AR1889" s="7" t="s">
        <v>82</v>
      </c>
      <c r="AS1889" s="7"/>
      <c r="AT1889" s="7"/>
      <c r="AU1889" s="7"/>
      <c r="AV1889" s="7"/>
      <c r="AW1889" s="7" t="s">
        <v>1809</v>
      </c>
      <c r="AX1889" s="7" t="s">
        <v>12316</v>
      </c>
      <c r="AY1889" s="7"/>
      <c r="AZ1889" s="7"/>
      <c r="BA1889" s="7"/>
      <c r="BB1889" s="7"/>
      <c r="BC1889" s="7"/>
      <c r="BD1889" s="7" t="s">
        <v>220</v>
      </c>
      <c r="BE1889" s="7" t="s">
        <v>127</v>
      </c>
      <c r="BF1889" s="8"/>
      <c r="BG1889" s="8"/>
      <c r="BH1889" s="8"/>
      <c r="BI1889" s="8"/>
      <c r="BJ1889" s="8"/>
      <c r="BK1889" s="8"/>
      <c r="BL1889" s="8"/>
      <c r="BM1889" s="8"/>
      <c r="BN1889" s="8"/>
      <c r="BO1889" s="8"/>
      <c r="BP1889" s="8"/>
      <c r="BQ1889" s="8"/>
      <c r="BR1889" s="8"/>
      <c r="BS1889" s="8"/>
    </row>
    <row r="1890" customFormat="false" ht="15" hidden="false" customHeight="false" outlineLevel="0" collapsed="false">
      <c r="A1890" s="7" t="s">
        <v>12317</v>
      </c>
      <c r="B1890" s="7" t="s">
        <v>12318</v>
      </c>
      <c r="C1890" s="7" t="s">
        <v>12319</v>
      </c>
      <c r="D1890" s="7" t="s">
        <v>1877</v>
      </c>
      <c r="E1890" s="7" t="s">
        <v>82</v>
      </c>
      <c r="F1890" s="7" t="s">
        <v>82</v>
      </c>
      <c r="G1890" s="7" t="s">
        <v>1878</v>
      </c>
      <c r="H1890" s="7"/>
      <c r="I1890" s="7" t="s">
        <v>132</v>
      </c>
      <c r="J1890" s="7" t="s">
        <v>104</v>
      </c>
      <c r="K1890" s="7" t="s">
        <v>105</v>
      </c>
      <c r="L1890" s="7" t="s">
        <v>106</v>
      </c>
      <c r="M1890" s="7"/>
      <c r="N1890" s="7" t="s">
        <v>12320</v>
      </c>
      <c r="O1890" s="7" t="s">
        <v>12320</v>
      </c>
      <c r="P1890" s="7" t="s">
        <v>109</v>
      </c>
      <c r="Q1890" s="7"/>
      <c r="R1890" s="7" t="s">
        <v>109</v>
      </c>
      <c r="S1890" s="7" t="s">
        <v>110</v>
      </c>
      <c r="T1890" s="7" t="n">
        <v>0.288</v>
      </c>
      <c r="U1890" s="7" t="n">
        <v>1</v>
      </c>
      <c r="V1890" s="7"/>
      <c r="W1890" s="7"/>
      <c r="X1890" s="7"/>
      <c r="Y1890" s="7" t="s">
        <v>12320</v>
      </c>
      <c r="Z1890" s="7"/>
      <c r="AA1890" s="7"/>
      <c r="AB1890" s="7"/>
      <c r="AC1890" s="7" t="n">
        <v>4</v>
      </c>
      <c r="AD1890" s="7" t="s">
        <v>1376</v>
      </c>
      <c r="AE1890" s="7" t="s">
        <v>1809</v>
      </c>
      <c r="AF1890" s="7" t="s">
        <v>12319</v>
      </c>
      <c r="AG1890" s="7"/>
      <c r="AH1890" s="7"/>
      <c r="AI1890" s="7"/>
      <c r="AJ1890" s="7"/>
      <c r="AK1890" s="7"/>
      <c r="AL1890" s="7"/>
      <c r="AM1890" s="7"/>
      <c r="AN1890" s="7"/>
      <c r="AO1890" s="7" t="s">
        <v>1809</v>
      </c>
      <c r="AP1890" s="7" t="s">
        <v>1877</v>
      </c>
      <c r="AQ1890" s="7" t="s">
        <v>1809</v>
      </c>
      <c r="AR1890" s="7" t="s">
        <v>82</v>
      </c>
      <c r="AS1890" s="7"/>
      <c r="AT1890" s="7"/>
      <c r="AU1890" s="7"/>
      <c r="AV1890" s="7"/>
      <c r="AW1890" s="7" t="s">
        <v>1809</v>
      </c>
      <c r="AX1890" s="7" t="s">
        <v>12320</v>
      </c>
      <c r="AY1890" s="7"/>
      <c r="AZ1890" s="7"/>
      <c r="BA1890" s="7"/>
      <c r="BB1890" s="7"/>
      <c r="BC1890" s="7"/>
      <c r="BD1890" s="7" t="s">
        <v>220</v>
      </c>
      <c r="BE1890" s="7" t="s">
        <v>127</v>
      </c>
      <c r="BF1890" s="8"/>
      <c r="BG1890" s="8"/>
      <c r="BH1890" s="8"/>
      <c r="BI1890" s="8"/>
      <c r="BJ1890" s="8"/>
      <c r="BK1890" s="8"/>
      <c r="BL1890" s="8"/>
      <c r="BM1890" s="8"/>
      <c r="BN1890" s="8"/>
      <c r="BO1890" s="8"/>
      <c r="BP1890" s="8"/>
      <c r="BQ1890" s="8"/>
      <c r="BR1890" s="8"/>
      <c r="BS1890" s="8"/>
    </row>
    <row r="1891" customFormat="false" ht="15" hidden="false" customHeight="false" outlineLevel="0" collapsed="false">
      <c r="A1891" s="7" t="s">
        <v>12321</v>
      </c>
      <c r="B1891" s="7" t="s">
        <v>12322</v>
      </c>
      <c r="C1891" s="7" t="s">
        <v>12323</v>
      </c>
      <c r="D1891" s="7" t="s">
        <v>1877</v>
      </c>
      <c r="E1891" s="7" t="s">
        <v>82</v>
      </c>
      <c r="F1891" s="7" t="s">
        <v>82</v>
      </c>
      <c r="G1891" s="7" t="s">
        <v>1878</v>
      </c>
      <c r="H1891" s="7"/>
      <c r="I1891" s="7" t="s">
        <v>132</v>
      </c>
      <c r="J1891" s="7" t="s">
        <v>104</v>
      </c>
      <c r="K1891" s="7" t="s">
        <v>105</v>
      </c>
      <c r="L1891" s="7" t="s">
        <v>106</v>
      </c>
      <c r="M1891" s="7"/>
      <c r="N1891" s="7" t="s">
        <v>12324</v>
      </c>
      <c r="O1891" s="7" t="s">
        <v>12324</v>
      </c>
      <c r="P1891" s="7" t="s">
        <v>135</v>
      </c>
      <c r="Q1891" s="7"/>
      <c r="R1891" s="7" t="s">
        <v>109</v>
      </c>
      <c r="S1891" s="7" t="s">
        <v>110</v>
      </c>
      <c r="T1891" s="7" t="n">
        <v>0.423</v>
      </c>
      <c r="U1891" s="7" t="n">
        <v>1</v>
      </c>
      <c r="V1891" s="7"/>
      <c r="W1891" s="7"/>
      <c r="X1891" s="7"/>
      <c r="Y1891" s="7" t="s">
        <v>12324</v>
      </c>
      <c r="Z1891" s="7"/>
      <c r="AA1891" s="7"/>
      <c r="AB1891" s="7"/>
      <c r="AC1891" s="7" t="n">
        <v>4</v>
      </c>
      <c r="AD1891" s="7" t="s">
        <v>1376</v>
      </c>
      <c r="AE1891" s="7" t="s">
        <v>1809</v>
      </c>
      <c r="AF1891" s="7" t="s">
        <v>12323</v>
      </c>
      <c r="AG1891" s="7"/>
      <c r="AH1891" s="7"/>
      <c r="AI1891" s="7"/>
      <c r="AJ1891" s="7"/>
      <c r="AK1891" s="7"/>
      <c r="AL1891" s="7"/>
      <c r="AM1891" s="7"/>
      <c r="AN1891" s="7"/>
      <c r="AO1891" s="7" t="s">
        <v>1809</v>
      </c>
      <c r="AP1891" s="7" t="s">
        <v>1877</v>
      </c>
      <c r="AQ1891" s="7" t="s">
        <v>1809</v>
      </c>
      <c r="AR1891" s="7" t="s">
        <v>82</v>
      </c>
      <c r="AS1891" s="7"/>
      <c r="AT1891" s="7"/>
      <c r="AU1891" s="7"/>
      <c r="AV1891" s="7"/>
      <c r="AW1891" s="7" t="s">
        <v>1809</v>
      </c>
      <c r="AX1891" s="7" t="s">
        <v>12324</v>
      </c>
      <c r="AY1891" s="7"/>
      <c r="AZ1891" s="7"/>
      <c r="BA1891" s="7"/>
      <c r="BB1891" s="7"/>
      <c r="BC1891" s="7"/>
      <c r="BD1891" s="7" t="s">
        <v>220</v>
      </c>
      <c r="BE1891" s="7" t="s">
        <v>127</v>
      </c>
      <c r="BF1891" s="8"/>
      <c r="BG1891" s="8"/>
      <c r="BH1891" s="8"/>
      <c r="BI1891" s="8"/>
      <c r="BJ1891" s="8"/>
      <c r="BK1891" s="8"/>
      <c r="BL1891" s="8"/>
      <c r="BM1891" s="8"/>
      <c r="BN1891" s="8"/>
      <c r="BO1891" s="8"/>
      <c r="BP1891" s="8"/>
      <c r="BQ1891" s="8"/>
      <c r="BR1891" s="8"/>
      <c r="BS1891" s="8"/>
    </row>
    <row r="1892" customFormat="false" ht="15" hidden="false" customHeight="false" outlineLevel="0" collapsed="false">
      <c r="A1892" s="7" t="s">
        <v>12325</v>
      </c>
      <c r="B1892" s="7" t="s">
        <v>12326</v>
      </c>
      <c r="C1892" s="7" t="s">
        <v>12327</v>
      </c>
      <c r="D1892" s="7" t="s">
        <v>1877</v>
      </c>
      <c r="E1892" s="7" t="s">
        <v>82</v>
      </c>
      <c r="F1892" s="7" t="s">
        <v>82</v>
      </c>
      <c r="G1892" s="7" t="s">
        <v>1878</v>
      </c>
      <c r="H1892" s="7"/>
      <c r="I1892" s="7" t="s">
        <v>300</v>
      </c>
      <c r="J1892" s="7" t="s">
        <v>104</v>
      </c>
      <c r="K1892" s="7" t="s">
        <v>105</v>
      </c>
      <c r="L1892" s="7" t="s">
        <v>106</v>
      </c>
      <c r="M1892" s="7"/>
      <c r="N1892" s="7" t="s">
        <v>12328</v>
      </c>
      <c r="O1892" s="7" t="s">
        <v>12328</v>
      </c>
      <c r="P1892" s="7" t="s">
        <v>135</v>
      </c>
      <c r="Q1892" s="7"/>
      <c r="R1892" s="7" t="s">
        <v>109</v>
      </c>
      <c r="S1892" s="7" t="s">
        <v>110</v>
      </c>
      <c r="T1892" s="7" t="n">
        <v>0.44</v>
      </c>
      <c r="U1892" s="7" t="n">
        <v>1</v>
      </c>
      <c r="V1892" s="7"/>
      <c r="W1892" s="7"/>
      <c r="X1892" s="7"/>
      <c r="Y1892" s="7" t="s">
        <v>12328</v>
      </c>
      <c r="Z1892" s="7"/>
      <c r="AA1892" s="7"/>
      <c r="AB1892" s="7"/>
      <c r="AC1892" s="7" t="n">
        <v>4</v>
      </c>
      <c r="AD1892" s="7" t="s">
        <v>1376</v>
      </c>
      <c r="AE1892" s="7" t="s">
        <v>1809</v>
      </c>
      <c r="AF1892" s="7" t="s">
        <v>12327</v>
      </c>
      <c r="AG1892" s="7"/>
      <c r="AH1892" s="7"/>
      <c r="AI1892" s="7"/>
      <c r="AJ1892" s="7"/>
      <c r="AK1892" s="7"/>
      <c r="AL1892" s="7"/>
      <c r="AM1892" s="7"/>
      <c r="AN1892" s="7"/>
      <c r="AO1892" s="7" t="s">
        <v>1809</v>
      </c>
      <c r="AP1892" s="7" t="s">
        <v>1877</v>
      </c>
      <c r="AQ1892" s="7" t="s">
        <v>1809</v>
      </c>
      <c r="AR1892" s="7" t="s">
        <v>82</v>
      </c>
      <c r="AS1892" s="7"/>
      <c r="AT1892" s="7"/>
      <c r="AU1892" s="7"/>
      <c r="AV1892" s="7"/>
      <c r="AW1892" s="7" t="s">
        <v>1809</v>
      </c>
      <c r="AX1892" s="7" t="s">
        <v>12328</v>
      </c>
      <c r="AY1892" s="7"/>
      <c r="AZ1892" s="7"/>
      <c r="BA1892" s="7"/>
      <c r="BB1892" s="7"/>
      <c r="BC1892" s="7"/>
      <c r="BD1892" s="7" t="s">
        <v>220</v>
      </c>
      <c r="BE1892" s="7" t="s">
        <v>127</v>
      </c>
      <c r="BF1892" s="8"/>
      <c r="BG1892" s="8"/>
      <c r="BH1892" s="8"/>
      <c r="BI1892" s="8"/>
      <c r="BJ1892" s="8"/>
      <c r="BK1892" s="8"/>
      <c r="BL1892" s="8"/>
      <c r="BM1892" s="8"/>
      <c r="BN1892" s="8"/>
      <c r="BO1892" s="8"/>
      <c r="BP1892" s="8"/>
      <c r="BQ1892" s="8"/>
      <c r="BR1892" s="8"/>
      <c r="BS1892" s="8"/>
    </row>
    <row r="1893" customFormat="false" ht="15" hidden="false" customHeight="false" outlineLevel="0" collapsed="false">
      <c r="A1893" s="7" t="s">
        <v>12329</v>
      </c>
      <c r="B1893" s="7" t="s">
        <v>12330</v>
      </c>
      <c r="C1893" s="7" t="s">
        <v>12331</v>
      </c>
      <c r="D1893" s="7" t="s">
        <v>3337</v>
      </c>
      <c r="E1893" s="7" t="s">
        <v>82</v>
      </c>
      <c r="F1893" s="7" t="s">
        <v>82</v>
      </c>
      <c r="G1893" s="7" t="s">
        <v>2200</v>
      </c>
      <c r="H1893" s="7"/>
      <c r="I1893" s="7" t="s">
        <v>158</v>
      </c>
      <c r="J1893" s="7" t="s">
        <v>104</v>
      </c>
      <c r="K1893" s="7" t="s">
        <v>105</v>
      </c>
      <c r="L1893" s="7" t="s">
        <v>106</v>
      </c>
      <c r="M1893" s="7"/>
      <c r="N1893" s="7" t="s">
        <v>12332</v>
      </c>
      <c r="O1893" s="7" t="s">
        <v>12332</v>
      </c>
      <c r="P1893" s="7" t="s">
        <v>109</v>
      </c>
      <c r="Q1893" s="7"/>
      <c r="R1893" s="7" t="s">
        <v>109</v>
      </c>
      <c r="S1893" s="7" t="s">
        <v>110</v>
      </c>
      <c r="T1893" s="7" t="n">
        <v>0.37</v>
      </c>
      <c r="U1893" s="7" t="n">
        <v>1</v>
      </c>
      <c r="V1893" s="7" t="s">
        <v>1156</v>
      </c>
      <c r="W1893" s="7"/>
      <c r="X1893" s="7" t="s">
        <v>12333</v>
      </c>
      <c r="Y1893" s="7" t="s">
        <v>12332</v>
      </c>
      <c r="Z1893" s="7"/>
      <c r="AA1893" s="7"/>
      <c r="AB1893" s="7"/>
      <c r="AC1893" s="7" t="n">
        <v>5</v>
      </c>
      <c r="AD1893" s="7" t="s">
        <v>743</v>
      </c>
      <c r="AE1893" s="7" t="s">
        <v>1809</v>
      </c>
      <c r="AF1893" s="7" t="s">
        <v>12331</v>
      </c>
      <c r="AG1893" s="7" t="s">
        <v>1809</v>
      </c>
      <c r="AH1893" s="7" t="s">
        <v>12333</v>
      </c>
      <c r="AI1893" s="7"/>
      <c r="AJ1893" s="7"/>
      <c r="AK1893" s="7"/>
      <c r="AL1893" s="7"/>
      <c r="AM1893" s="7"/>
      <c r="AN1893" s="7"/>
      <c r="AO1893" s="7" t="s">
        <v>1809</v>
      </c>
      <c r="AP1893" s="7" t="s">
        <v>3337</v>
      </c>
      <c r="AQ1893" s="7" t="s">
        <v>1809</v>
      </c>
      <c r="AR1893" s="7" t="s">
        <v>82</v>
      </c>
      <c r="AS1893" s="7"/>
      <c r="AT1893" s="7"/>
      <c r="AU1893" s="7"/>
      <c r="AV1893" s="7"/>
      <c r="AW1893" s="7" t="s">
        <v>1809</v>
      </c>
      <c r="AX1893" s="7" t="s">
        <v>12332</v>
      </c>
      <c r="AY1893" s="7"/>
      <c r="AZ1893" s="7"/>
      <c r="BA1893" s="7"/>
      <c r="BB1893" s="7"/>
      <c r="BC1893" s="7"/>
      <c r="BD1893" s="7" t="s">
        <v>220</v>
      </c>
      <c r="BE1893" s="7" t="s">
        <v>127</v>
      </c>
      <c r="BF1893" s="8"/>
      <c r="BG1893" s="8"/>
      <c r="BH1893" s="8"/>
      <c r="BI1893" s="8"/>
      <c r="BJ1893" s="8"/>
      <c r="BK1893" s="8"/>
      <c r="BL1893" s="8"/>
      <c r="BM1893" s="8"/>
      <c r="BN1893" s="8"/>
      <c r="BO1893" s="8"/>
      <c r="BP1893" s="8"/>
      <c r="BQ1893" s="8"/>
      <c r="BR1893" s="8"/>
      <c r="BS1893" s="8"/>
    </row>
    <row r="1894" customFormat="false" ht="15" hidden="false" customHeight="false" outlineLevel="0" collapsed="false">
      <c r="A1894" s="7" t="s">
        <v>12334</v>
      </c>
      <c r="B1894" s="7" t="s">
        <v>12335</v>
      </c>
      <c r="C1894" s="7" t="s">
        <v>12336</v>
      </c>
      <c r="D1894" s="7" t="s">
        <v>3337</v>
      </c>
      <c r="E1894" s="7" t="s">
        <v>82</v>
      </c>
      <c r="F1894" s="7" t="s">
        <v>82</v>
      </c>
      <c r="G1894" s="7" t="s">
        <v>2200</v>
      </c>
      <c r="H1894" s="7"/>
      <c r="I1894" s="7" t="s">
        <v>158</v>
      </c>
      <c r="J1894" s="7" t="s">
        <v>104</v>
      </c>
      <c r="K1894" s="7" t="s">
        <v>105</v>
      </c>
      <c r="L1894" s="7" t="s">
        <v>106</v>
      </c>
      <c r="M1894" s="7"/>
      <c r="N1894" s="7" t="s">
        <v>12337</v>
      </c>
      <c r="O1894" s="7"/>
      <c r="P1894" s="7" t="s">
        <v>135</v>
      </c>
      <c r="Q1894" s="7"/>
      <c r="R1894" s="7"/>
      <c r="S1894" s="7"/>
      <c r="T1894" s="7" t="n">
        <v>0.439</v>
      </c>
      <c r="U1894" s="7" t="n">
        <v>1</v>
      </c>
      <c r="V1894" s="7"/>
      <c r="W1894" s="7"/>
      <c r="X1894" s="7"/>
      <c r="Y1894" s="7" t="s">
        <v>12337</v>
      </c>
      <c r="Z1894" s="7"/>
      <c r="AA1894" s="7"/>
      <c r="AB1894" s="7"/>
      <c r="AC1894" s="7"/>
      <c r="AD1894" s="7"/>
      <c r="AE1894" s="7" t="s">
        <v>1809</v>
      </c>
      <c r="AF1894" s="7" t="s">
        <v>12336</v>
      </c>
      <c r="AG1894" s="7"/>
      <c r="AH1894" s="7"/>
      <c r="AI1894" s="7"/>
      <c r="AJ1894" s="7"/>
      <c r="AK1894" s="7"/>
      <c r="AL1894" s="7"/>
      <c r="AM1894" s="7"/>
      <c r="AN1894" s="7"/>
      <c r="AO1894" s="7" t="s">
        <v>1809</v>
      </c>
      <c r="AP1894" s="7" t="s">
        <v>3337</v>
      </c>
      <c r="AQ1894" s="7" t="s">
        <v>1809</v>
      </c>
      <c r="AR1894" s="7" t="s">
        <v>82</v>
      </c>
      <c r="AS1894" s="7"/>
      <c r="AT1894" s="7"/>
      <c r="AU1894" s="7"/>
      <c r="AV1894" s="7"/>
      <c r="AW1894" s="7" t="s">
        <v>1809</v>
      </c>
      <c r="AX1894" s="7" t="s">
        <v>12337</v>
      </c>
      <c r="AY1894" s="7"/>
      <c r="AZ1894" s="7"/>
      <c r="BA1894" s="7"/>
      <c r="BB1894" s="7"/>
      <c r="BC1894" s="7"/>
      <c r="BD1894" s="7" t="s">
        <v>220</v>
      </c>
      <c r="BE1894" s="7" t="s">
        <v>127</v>
      </c>
      <c r="BF1894" s="8"/>
      <c r="BG1894" s="8"/>
      <c r="BH1894" s="8"/>
      <c r="BI1894" s="8"/>
      <c r="BJ1894" s="8"/>
      <c r="BK1894" s="8"/>
      <c r="BL1894" s="8"/>
      <c r="BM1894" s="8"/>
      <c r="BN1894" s="8"/>
      <c r="BO1894" s="8"/>
      <c r="BP1894" s="8"/>
      <c r="BQ1894" s="8"/>
      <c r="BR1894" s="8"/>
      <c r="BS1894" s="8"/>
    </row>
    <row r="1895" customFormat="false" ht="15" hidden="false" customHeight="false" outlineLevel="0" collapsed="false">
      <c r="A1895" s="7" t="s">
        <v>12338</v>
      </c>
      <c r="B1895" s="7" t="s">
        <v>12339</v>
      </c>
      <c r="C1895" s="7" t="s">
        <v>12340</v>
      </c>
      <c r="D1895" s="7" t="s">
        <v>3337</v>
      </c>
      <c r="E1895" s="7" t="s">
        <v>82</v>
      </c>
      <c r="F1895" s="7" t="s">
        <v>82</v>
      </c>
      <c r="G1895" s="7" t="s">
        <v>2200</v>
      </c>
      <c r="H1895" s="7"/>
      <c r="I1895" s="7" t="s">
        <v>374</v>
      </c>
      <c r="J1895" s="7" t="s">
        <v>104</v>
      </c>
      <c r="K1895" s="7" t="s">
        <v>105</v>
      </c>
      <c r="L1895" s="7" t="s">
        <v>2656</v>
      </c>
      <c r="M1895" s="7"/>
      <c r="N1895" s="7" t="s">
        <v>12341</v>
      </c>
      <c r="O1895" s="7" t="s">
        <v>12341</v>
      </c>
      <c r="P1895" s="7" t="s">
        <v>109</v>
      </c>
      <c r="Q1895" s="7"/>
      <c r="R1895" s="7" t="s">
        <v>109</v>
      </c>
      <c r="S1895" s="7" t="s">
        <v>110</v>
      </c>
      <c r="T1895" s="7" t="n">
        <v>0.383</v>
      </c>
      <c r="U1895" s="7" t="n">
        <v>1</v>
      </c>
      <c r="V1895" s="7"/>
      <c r="W1895" s="7"/>
      <c r="X1895" s="7"/>
      <c r="Y1895" s="7" t="s">
        <v>12341</v>
      </c>
      <c r="Z1895" s="7"/>
      <c r="AA1895" s="7"/>
      <c r="AB1895" s="7"/>
      <c r="AC1895" s="7" t="n">
        <v>4</v>
      </c>
      <c r="AD1895" s="7" t="s">
        <v>1376</v>
      </c>
      <c r="AE1895" s="7" t="s">
        <v>1809</v>
      </c>
      <c r="AF1895" s="7" t="s">
        <v>12340</v>
      </c>
      <c r="AG1895" s="7"/>
      <c r="AH1895" s="7"/>
      <c r="AI1895" s="7"/>
      <c r="AJ1895" s="7"/>
      <c r="AK1895" s="7"/>
      <c r="AL1895" s="7"/>
      <c r="AM1895" s="7"/>
      <c r="AN1895" s="7"/>
      <c r="AO1895" s="7" t="s">
        <v>1809</v>
      </c>
      <c r="AP1895" s="7" t="s">
        <v>3337</v>
      </c>
      <c r="AQ1895" s="7" t="s">
        <v>1809</v>
      </c>
      <c r="AR1895" s="7" t="s">
        <v>82</v>
      </c>
      <c r="AS1895" s="7"/>
      <c r="AT1895" s="7"/>
      <c r="AU1895" s="7"/>
      <c r="AV1895" s="7"/>
      <c r="AW1895" s="7" t="s">
        <v>1809</v>
      </c>
      <c r="AX1895" s="7" t="s">
        <v>12341</v>
      </c>
      <c r="AY1895" s="7"/>
      <c r="AZ1895" s="7"/>
      <c r="BA1895" s="7"/>
      <c r="BB1895" s="7"/>
      <c r="BC1895" s="7"/>
      <c r="BD1895" s="7" t="s">
        <v>1606</v>
      </c>
      <c r="BE1895" s="7" t="s">
        <v>127</v>
      </c>
      <c r="BF1895" s="8"/>
      <c r="BG1895" s="8"/>
      <c r="BH1895" s="8"/>
      <c r="BI1895" s="8"/>
      <c r="BJ1895" s="8"/>
      <c r="BK1895" s="8"/>
      <c r="BL1895" s="8"/>
      <c r="BM1895" s="8"/>
      <c r="BN1895" s="8"/>
      <c r="BO1895" s="8"/>
      <c r="BP1895" s="8"/>
      <c r="BQ1895" s="8"/>
      <c r="BR1895" s="8"/>
      <c r="BS1895" s="8"/>
    </row>
    <row r="1896" customFormat="false" ht="15" hidden="false" customHeight="false" outlineLevel="0" collapsed="false">
      <c r="A1896" s="7" t="s">
        <v>12342</v>
      </c>
      <c r="B1896" s="7" t="s">
        <v>12343</v>
      </c>
      <c r="C1896" s="7" t="s">
        <v>12344</v>
      </c>
      <c r="D1896" s="7" t="s">
        <v>3405</v>
      </c>
      <c r="E1896" s="7" t="s">
        <v>82</v>
      </c>
      <c r="F1896" s="7" t="s">
        <v>82</v>
      </c>
      <c r="G1896" s="7" t="s">
        <v>3406</v>
      </c>
      <c r="H1896" s="7"/>
      <c r="I1896" s="7" t="s">
        <v>158</v>
      </c>
      <c r="J1896" s="7" t="s">
        <v>104</v>
      </c>
      <c r="K1896" s="7" t="s">
        <v>105</v>
      </c>
      <c r="L1896" s="7" t="s">
        <v>106</v>
      </c>
      <c r="M1896" s="7"/>
      <c r="N1896" s="7" t="s">
        <v>12345</v>
      </c>
      <c r="O1896" s="7" t="s">
        <v>12345</v>
      </c>
      <c r="P1896" s="7" t="s">
        <v>135</v>
      </c>
      <c r="Q1896" s="7"/>
      <c r="R1896" s="7" t="s">
        <v>109</v>
      </c>
      <c r="S1896" s="7" t="s">
        <v>110</v>
      </c>
      <c r="T1896" s="7" t="n">
        <v>0.348</v>
      </c>
      <c r="U1896" s="7" t="n">
        <v>1</v>
      </c>
      <c r="V1896" s="7"/>
      <c r="W1896" s="7"/>
      <c r="X1896" s="7"/>
      <c r="Y1896" s="7" t="s">
        <v>12345</v>
      </c>
      <c r="Z1896" s="7"/>
      <c r="AA1896" s="7"/>
      <c r="AB1896" s="7"/>
      <c r="AC1896" s="7" t="n">
        <v>4</v>
      </c>
      <c r="AD1896" s="7" t="s">
        <v>1376</v>
      </c>
      <c r="AE1896" s="7" t="s">
        <v>1809</v>
      </c>
      <c r="AF1896" s="7" t="s">
        <v>12344</v>
      </c>
      <c r="AG1896" s="7"/>
      <c r="AH1896" s="7"/>
      <c r="AI1896" s="7"/>
      <c r="AJ1896" s="7"/>
      <c r="AK1896" s="7"/>
      <c r="AL1896" s="7"/>
      <c r="AM1896" s="7"/>
      <c r="AN1896" s="7"/>
      <c r="AO1896" s="7" t="s">
        <v>1809</v>
      </c>
      <c r="AP1896" s="7" t="s">
        <v>3405</v>
      </c>
      <c r="AQ1896" s="7" t="s">
        <v>1809</v>
      </c>
      <c r="AR1896" s="7" t="s">
        <v>82</v>
      </c>
      <c r="AS1896" s="7"/>
      <c r="AT1896" s="7"/>
      <c r="AU1896" s="7"/>
      <c r="AV1896" s="7"/>
      <c r="AW1896" s="7" t="s">
        <v>1809</v>
      </c>
      <c r="AX1896" s="7" t="s">
        <v>12345</v>
      </c>
      <c r="AY1896" s="7"/>
      <c r="AZ1896" s="7"/>
      <c r="BA1896" s="7"/>
      <c r="BB1896" s="7"/>
      <c r="BC1896" s="7"/>
      <c r="BD1896" s="7" t="s">
        <v>220</v>
      </c>
      <c r="BE1896" s="7" t="s">
        <v>127</v>
      </c>
      <c r="BF1896" s="8"/>
      <c r="BG1896" s="8"/>
      <c r="BH1896" s="8"/>
      <c r="BI1896" s="8"/>
      <c r="BJ1896" s="8"/>
      <c r="BK1896" s="8"/>
      <c r="BL1896" s="8"/>
      <c r="BM1896" s="8"/>
      <c r="BN1896" s="8"/>
      <c r="BO1896" s="8"/>
      <c r="BP1896" s="8"/>
      <c r="BQ1896" s="8"/>
      <c r="BR1896" s="8"/>
      <c r="BS1896" s="8"/>
    </row>
    <row r="1897" customFormat="false" ht="15" hidden="false" customHeight="false" outlineLevel="0" collapsed="false">
      <c r="A1897" s="7" t="s">
        <v>12346</v>
      </c>
      <c r="B1897" s="7" t="s">
        <v>12347</v>
      </c>
      <c r="C1897" s="7" t="s">
        <v>12348</v>
      </c>
      <c r="D1897" s="7" t="s">
        <v>12349</v>
      </c>
      <c r="E1897" s="7" t="s">
        <v>82</v>
      </c>
      <c r="F1897" s="7" t="s">
        <v>82</v>
      </c>
      <c r="G1897" s="7" t="s">
        <v>3173</v>
      </c>
      <c r="H1897" s="7"/>
      <c r="I1897" s="7" t="s">
        <v>132</v>
      </c>
      <c r="J1897" s="7" t="s">
        <v>104</v>
      </c>
      <c r="K1897" s="7" t="s">
        <v>105</v>
      </c>
      <c r="L1897" s="7" t="s">
        <v>106</v>
      </c>
      <c r="M1897" s="7"/>
      <c r="N1897" s="7" t="s">
        <v>12350</v>
      </c>
      <c r="O1897" s="7" t="s">
        <v>12350</v>
      </c>
      <c r="P1897" s="7" t="s">
        <v>109</v>
      </c>
      <c r="Q1897" s="7"/>
      <c r="R1897" s="7" t="s">
        <v>109</v>
      </c>
      <c r="S1897" s="7" t="s">
        <v>110</v>
      </c>
      <c r="T1897" s="7" t="n">
        <v>0.387</v>
      </c>
      <c r="U1897" s="7" t="n">
        <v>1</v>
      </c>
      <c r="V1897" s="7"/>
      <c r="W1897" s="7"/>
      <c r="X1897" s="7"/>
      <c r="Y1897" s="7" t="s">
        <v>12350</v>
      </c>
      <c r="Z1897" s="7"/>
      <c r="AA1897" s="7"/>
      <c r="AB1897" s="7"/>
      <c r="AC1897" s="7" t="n">
        <v>4</v>
      </c>
      <c r="AD1897" s="7" t="s">
        <v>1376</v>
      </c>
      <c r="AE1897" s="7" t="s">
        <v>1809</v>
      </c>
      <c r="AF1897" s="7" t="s">
        <v>12348</v>
      </c>
      <c r="AG1897" s="7"/>
      <c r="AH1897" s="7"/>
      <c r="AI1897" s="7"/>
      <c r="AJ1897" s="7"/>
      <c r="AK1897" s="7"/>
      <c r="AL1897" s="7"/>
      <c r="AM1897" s="7"/>
      <c r="AN1897" s="7"/>
      <c r="AO1897" s="7" t="s">
        <v>1809</v>
      </c>
      <c r="AP1897" s="7" t="s">
        <v>12349</v>
      </c>
      <c r="AQ1897" s="7" t="s">
        <v>1809</v>
      </c>
      <c r="AR1897" s="7" t="s">
        <v>82</v>
      </c>
      <c r="AS1897" s="7"/>
      <c r="AT1897" s="7"/>
      <c r="AU1897" s="7"/>
      <c r="AV1897" s="7"/>
      <c r="AW1897" s="7" t="s">
        <v>1809</v>
      </c>
      <c r="AX1897" s="7" t="s">
        <v>12350</v>
      </c>
      <c r="AY1897" s="7"/>
      <c r="AZ1897" s="7"/>
      <c r="BA1897" s="7"/>
      <c r="BB1897" s="7"/>
      <c r="BC1897" s="7"/>
      <c r="BD1897" s="7" t="s">
        <v>220</v>
      </c>
      <c r="BE1897" s="7" t="s">
        <v>127</v>
      </c>
      <c r="BF1897" s="8"/>
      <c r="BG1897" s="8"/>
      <c r="BH1897" s="8"/>
      <c r="BI1897" s="8"/>
      <c r="BJ1897" s="8"/>
      <c r="BK1897" s="8"/>
      <c r="BL1897" s="8"/>
      <c r="BM1897" s="8"/>
      <c r="BN1897" s="8"/>
      <c r="BO1897" s="8"/>
      <c r="BP1897" s="8"/>
      <c r="BQ1897" s="8"/>
      <c r="BR1897" s="8"/>
      <c r="BS1897" s="8"/>
    </row>
    <row r="1898" customFormat="false" ht="15" hidden="false" customHeight="false" outlineLevel="0" collapsed="false">
      <c r="A1898" s="7" t="s">
        <v>12351</v>
      </c>
      <c r="B1898" s="7" t="s">
        <v>12352</v>
      </c>
      <c r="C1898" s="7" t="s">
        <v>12353</v>
      </c>
      <c r="D1898" s="7" t="s">
        <v>12354</v>
      </c>
      <c r="E1898" s="7" t="s">
        <v>741</v>
      </c>
      <c r="F1898" s="7" t="s">
        <v>741</v>
      </c>
      <c r="G1898" s="7"/>
      <c r="H1898" s="7" t="s">
        <v>207</v>
      </c>
      <c r="I1898" s="7" t="s">
        <v>132</v>
      </c>
      <c r="J1898" s="7" t="s">
        <v>104</v>
      </c>
      <c r="K1898" s="7" t="s">
        <v>105</v>
      </c>
      <c r="L1898" s="7" t="s">
        <v>106</v>
      </c>
      <c r="M1898" s="7"/>
      <c r="N1898" s="7" t="s">
        <v>12355</v>
      </c>
      <c r="O1898" s="7"/>
      <c r="P1898" s="7" t="s">
        <v>135</v>
      </c>
      <c r="Q1898" s="7"/>
      <c r="R1898" s="7"/>
      <c r="S1898" s="7"/>
      <c r="T1898" s="7" t="n">
        <v>0.309</v>
      </c>
      <c r="U1898" s="7" t="n">
        <v>1</v>
      </c>
      <c r="V1898" s="7" t="s">
        <v>90</v>
      </c>
      <c r="W1898" s="7"/>
      <c r="X1898" s="7"/>
      <c r="Y1898" s="7" t="s">
        <v>12355</v>
      </c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 t="s">
        <v>440</v>
      </c>
      <c r="BE1898" s="7" t="s">
        <v>127</v>
      </c>
      <c r="BF1898" s="8"/>
      <c r="BG1898" s="8"/>
      <c r="BH1898" s="8"/>
      <c r="BI1898" s="8"/>
      <c r="BJ1898" s="8"/>
      <c r="BK1898" s="8"/>
      <c r="BL1898" s="8"/>
      <c r="BM1898" s="8"/>
      <c r="BN1898" s="8"/>
      <c r="BO1898" s="8"/>
      <c r="BP1898" s="8"/>
      <c r="BQ1898" s="8"/>
      <c r="BR1898" s="8"/>
      <c r="BS1898" s="8"/>
    </row>
    <row r="1899" customFormat="false" ht="15" hidden="false" customHeight="false" outlineLevel="0" collapsed="false">
      <c r="A1899" s="7" t="s">
        <v>12356</v>
      </c>
      <c r="B1899" s="7" t="s">
        <v>12357</v>
      </c>
      <c r="C1899" s="7" t="s">
        <v>12358</v>
      </c>
      <c r="D1899" s="7" t="s">
        <v>686</v>
      </c>
      <c r="E1899" s="7" t="s">
        <v>444</v>
      </c>
      <c r="F1899" s="7" t="s">
        <v>444</v>
      </c>
      <c r="G1899" s="7"/>
      <c r="H1899" s="7" t="s">
        <v>207</v>
      </c>
      <c r="I1899" s="7" t="s">
        <v>132</v>
      </c>
      <c r="J1899" s="7" t="s">
        <v>104</v>
      </c>
      <c r="K1899" s="7" t="s">
        <v>105</v>
      </c>
      <c r="L1899" s="7" t="s">
        <v>106</v>
      </c>
      <c r="M1899" s="7"/>
      <c r="N1899" s="7" t="s">
        <v>12359</v>
      </c>
      <c r="O1899" s="7"/>
      <c r="P1899" s="7" t="s">
        <v>135</v>
      </c>
      <c r="Q1899" s="7"/>
      <c r="R1899" s="7" t="s">
        <v>135</v>
      </c>
      <c r="S1899" s="7" t="s">
        <v>136</v>
      </c>
      <c r="T1899" s="7" t="n">
        <v>0.328</v>
      </c>
      <c r="U1899" s="7" t="n">
        <v>1</v>
      </c>
      <c r="V1899" s="7" t="s">
        <v>90</v>
      </c>
      <c r="W1899" s="7"/>
      <c r="X1899" s="7" t="s">
        <v>2901</v>
      </c>
      <c r="Y1899" s="7" t="s">
        <v>12359</v>
      </c>
      <c r="Z1899" s="7"/>
      <c r="AA1899" s="7"/>
      <c r="AB1899" s="7"/>
      <c r="AC1899" s="7" t="n">
        <v>0</v>
      </c>
      <c r="AD1899" s="7" t="s">
        <v>388</v>
      </c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 t="s">
        <v>127</v>
      </c>
      <c r="BF1899" s="8"/>
      <c r="BG1899" s="8"/>
      <c r="BH1899" s="8"/>
      <c r="BI1899" s="8"/>
      <c r="BJ1899" s="8"/>
      <c r="BK1899" s="8"/>
      <c r="BL1899" s="8"/>
      <c r="BM1899" s="8"/>
      <c r="BN1899" s="8"/>
      <c r="BO1899" s="8"/>
      <c r="BP1899" s="8"/>
      <c r="BQ1899" s="8"/>
      <c r="BR1899" s="8"/>
      <c r="BS1899" s="8"/>
    </row>
    <row r="1900" customFormat="false" ht="15" hidden="false" customHeight="false" outlineLevel="0" collapsed="false">
      <c r="A1900" s="7" t="s">
        <v>12360</v>
      </c>
      <c r="B1900" s="7" t="s">
        <v>12361</v>
      </c>
      <c r="C1900" s="7" t="s">
        <v>12362</v>
      </c>
      <c r="D1900" s="7" t="s">
        <v>1983</v>
      </c>
      <c r="E1900" s="7" t="s">
        <v>819</v>
      </c>
      <c r="F1900" s="7" t="s">
        <v>819</v>
      </c>
      <c r="G1900" s="7"/>
      <c r="H1900" s="7" t="s">
        <v>207</v>
      </c>
      <c r="I1900" s="7" t="s">
        <v>208</v>
      </c>
      <c r="J1900" s="7" t="s">
        <v>104</v>
      </c>
      <c r="K1900" s="7" t="s">
        <v>105</v>
      </c>
      <c r="L1900" s="7" t="s">
        <v>106</v>
      </c>
      <c r="M1900" s="7"/>
      <c r="N1900" s="7" t="s">
        <v>7915</v>
      </c>
      <c r="O1900" s="7" t="s">
        <v>7915</v>
      </c>
      <c r="P1900" s="7" t="s">
        <v>109</v>
      </c>
      <c r="Q1900" s="7"/>
      <c r="R1900" s="7" t="s">
        <v>109</v>
      </c>
      <c r="S1900" s="7" t="s">
        <v>110</v>
      </c>
      <c r="T1900" s="7" t="n">
        <v>0.681</v>
      </c>
      <c r="U1900" s="7" t="n">
        <v>1</v>
      </c>
      <c r="V1900" s="7" t="s">
        <v>1156</v>
      </c>
      <c r="W1900" s="7"/>
      <c r="X1900" s="7"/>
      <c r="Y1900" s="7" t="s">
        <v>7915</v>
      </c>
      <c r="Z1900" s="7"/>
      <c r="AA1900" s="7"/>
      <c r="AB1900" s="7"/>
      <c r="AC1900" s="7" t="n">
        <v>0</v>
      </c>
      <c r="AD1900" s="7" t="s">
        <v>388</v>
      </c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 t="s">
        <v>127</v>
      </c>
      <c r="BF1900" s="8"/>
      <c r="BG1900" s="8"/>
      <c r="BH1900" s="8"/>
      <c r="BI1900" s="8"/>
      <c r="BJ1900" s="8"/>
      <c r="BK1900" s="8"/>
      <c r="BL1900" s="8"/>
      <c r="BM1900" s="8"/>
      <c r="BN1900" s="8"/>
      <c r="BO1900" s="8"/>
      <c r="BP1900" s="8"/>
      <c r="BQ1900" s="8"/>
      <c r="BR1900" s="8"/>
      <c r="BS1900" s="8"/>
    </row>
    <row r="1901" customFormat="false" ht="15" hidden="false" customHeight="false" outlineLevel="0" collapsed="false">
      <c r="A1901" s="7" t="s">
        <v>12363</v>
      </c>
      <c r="B1901" s="7" t="s">
        <v>12364</v>
      </c>
      <c r="C1901" s="7" t="s">
        <v>12365</v>
      </c>
      <c r="D1901" s="7" t="s">
        <v>7984</v>
      </c>
      <c r="E1901" s="7" t="s">
        <v>737</v>
      </c>
      <c r="F1901" s="7" t="s">
        <v>737</v>
      </c>
      <c r="G1901" s="7"/>
      <c r="H1901" s="7" t="s">
        <v>207</v>
      </c>
      <c r="I1901" s="7" t="s">
        <v>1104</v>
      </c>
      <c r="J1901" s="7" t="s">
        <v>104</v>
      </c>
      <c r="K1901" s="7" t="s">
        <v>105</v>
      </c>
      <c r="L1901" s="7" t="s">
        <v>2951</v>
      </c>
      <c r="M1901" s="7"/>
      <c r="N1901" s="7" t="s">
        <v>7985</v>
      </c>
      <c r="O1901" s="7" t="s">
        <v>7985</v>
      </c>
      <c r="P1901" s="7" t="s">
        <v>109</v>
      </c>
      <c r="Q1901" s="7"/>
      <c r="R1901" s="7" t="s">
        <v>109</v>
      </c>
      <c r="S1901" s="7" t="s">
        <v>110</v>
      </c>
      <c r="T1901" s="7" t="n">
        <v>0.968</v>
      </c>
      <c r="U1901" s="7" t="n">
        <v>1</v>
      </c>
      <c r="V1901" s="7" t="s">
        <v>1156</v>
      </c>
      <c r="W1901" s="7"/>
      <c r="X1901" s="7"/>
      <c r="Y1901" s="7" t="s">
        <v>7985</v>
      </c>
      <c r="Z1901" s="7"/>
      <c r="AA1901" s="7"/>
      <c r="AB1901" s="7"/>
      <c r="AC1901" s="7" t="n">
        <v>0</v>
      </c>
      <c r="AD1901" s="7" t="s">
        <v>388</v>
      </c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 t="s">
        <v>127</v>
      </c>
      <c r="BF1901" s="8"/>
      <c r="BG1901" s="8"/>
      <c r="BH1901" s="8"/>
      <c r="BI1901" s="8"/>
      <c r="BJ1901" s="8"/>
      <c r="BK1901" s="8"/>
      <c r="BL1901" s="8"/>
      <c r="BM1901" s="8"/>
      <c r="BN1901" s="8"/>
      <c r="BO1901" s="8"/>
      <c r="BP1901" s="8"/>
      <c r="BQ1901" s="8"/>
      <c r="BR1901" s="8"/>
      <c r="BS1901" s="8"/>
    </row>
    <row r="1902" customFormat="false" ht="15" hidden="false" customHeight="false" outlineLevel="0" collapsed="false">
      <c r="A1902" s="7" t="s">
        <v>12366</v>
      </c>
      <c r="B1902" s="7" t="s">
        <v>12367</v>
      </c>
      <c r="C1902" s="7" t="s">
        <v>12368</v>
      </c>
      <c r="D1902" s="7" t="s">
        <v>12349</v>
      </c>
      <c r="E1902" s="7" t="s">
        <v>82</v>
      </c>
      <c r="F1902" s="7" t="s">
        <v>82</v>
      </c>
      <c r="G1902" s="7" t="s">
        <v>3173</v>
      </c>
      <c r="H1902" s="7"/>
      <c r="I1902" s="7" t="s">
        <v>132</v>
      </c>
      <c r="J1902" s="7" t="s">
        <v>104</v>
      </c>
      <c r="K1902" s="7" t="s">
        <v>105</v>
      </c>
      <c r="L1902" s="7" t="s">
        <v>106</v>
      </c>
      <c r="M1902" s="7"/>
      <c r="N1902" s="7" t="s">
        <v>12369</v>
      </c>
      <c r="O1902" s="7"/>
      <c r="P1902" s="7" t="s">
        <v>135</v>
      </c>
      <c r="Q1902" s="7"/>
      <c r="R1902" s="7" t="s">
        <v>135</v>
      </c>
      <c r="S1902" s="7" t="s">
        <v>136</v>
      </c>
      <c r="T1902" s="7" t="n">
        <v>0.582</v>
      </c>
      <c r="U1902" s="7" t="n">
        <v>1</v>
      </c>
      <c r="V1902" s="7"/>
      <c r="W1902" s="7"/>
      <c r="X1902" s="7"/>
      <c r="Y1902" s="7" t="s">
        <v>12369</v>
      </c>
      <c r="Z1902" s="7"/>
      <c r="AA1902" s="7"/>
      <c r="AB1902" s="7"/>
      <c r="AC1902" s="7" t="n">
        <v>4</v>
      </c>
      <c r="AD1902" s="7" t="s">
        <v>1376</v>
      </c>
      <c r="AE1902" s="7" t="s">
        <v>1809</v>
      </c>
      <c r="AF1902" s="7" t="s">
        <v>12368</v>
      </c>
      <c r="AG1902" s="7"/>
      <c r="AH1902" s="7"/>
      <c r="AI1902" s="7"/>
      <c r="AJ1902" s="7"/>
      <c r="AK1902" s="7"/>
      <c r="AL1902" s="7"/>
      <c r="AM1902" s="7"/>
      <c r="AN1902" s="7"/>
      <c r="AO1902" s="7" t="s">
        <v>1809</v>
      </c>
      <c r="AP1902" s="7" t="s">
        <v>12349</v>
      </c>
      <c r="AQ1902" s="7" t="s">
        <v>1809</v>
      </c>
      <c r="AR1902" s="7" t="s">
        <v>82</v>
      </c>
      <c r="AS1902" s="7"/>
      <c r="AT1902" s="7"/>
      <c r="AU1902" s="7"/>
      <c r="AV1902" s="7"/>
      <c r="AW1902" s="7" t="s">
        <v>1809</v>
      </c>
      <c r="AX1902" s="7" t="s">
        <v>12369</v>
      </c>
      <c r="AY1902" s="7"/>
      <c r="AZ1902" s="7"/>
      <c r="BA1902" s="7"/>
      <c r="BB1902" s="7"/>
      <c r="BC1902" s="7"/>
      <c r="BD1902" s="7" t="s">
        <v>220</v>
      </c>
      <c r="BE1902" s="7" t="s">
        <v>127</v>
      </c>
      <c r="BF1902" s="8"/>
      <c r="BG1902" s="8"/>
      <c r="BH1902" s="8"/>
      <c r="BI1902" s="8"/>
      <c r="BJ1902" s="8"/>
      <c r="BK1902" s="8"/>
      <c r="BL1902" s="8"/>
      <c r="BM1902" s="8"/>
      <c r="BN1902" s="8"/>
      <c r="BO1902" s="8"/>
      <c r="BP1902" s="8"/>
      <c r="BQ1902" s="8"/>
      <c r="BR1902" s="8"/>
      <c r="BS1902" s="8"/>
    </row>
    <row r="1903" customFormat="false" ht="15" hidden="false" customHeight="false" outlineLevel="0" collapsed="false">
      <c r="A1903" s="7" t="s">
        <v>12370</v>
      </c>
      <c r="B1903" s="7" t="s">
        <v>12371</v>
      </c>
      <c r="C1903" s="7" t="s">
        <v>12372</v>
      </c>
      <c r="D1903" s="7" t="s">
        <v>2193</v>
      </c>
      <c r="E1903" s="7" t="s">
        <v>82</v>
      </c>
      <c r="F1903" s="7" t="s">
        <v>82</v>
      </c>
      <c r="G1903" s="7"/>
      <c r="H1903" s="7"/>
      <c r="I1903" s="7" t="s">
        <v>158</v>
      </c>
      <c r="J1903" s="7" t="s">
        <v>104</v>
      </c>
      <c r="K1903" s="7" t="s">
        <v>105</v>
      </c>
      <c r="L1903" s="7" t="s">
        <v>106</v>
      </c>
      <c r="M1903" s="7"/>
      <c r="N1903" s="7" t="s">
        <v>12373</v>
      </c>
      <c r="O1903" s="7" t="s">
        <v>12373</v>
      </c>
      <c r="P1903" s="7" t="s">
        <v>109</v>
      </c>
      <c r="Q1903" s="7"/>
      <c r="R1903" s="7" t="s">
        <v>109</v>
      </c>
      <c r="S1903" s="7" t="s">
        <v>110</v>
      </c>
      <c r="T1903" s="7" t="n">
        <v>0.429</v>
      </c>
      <c r="U1903" s="7" t="n">
        <v>1</v>
      </c>
      <c r="V1903" s="7"/>
      <c r="W1903" s="7"/>
      <c r="X1903" s="7"/>
      <c r="Y1903" s="7" t="s">
        <v>12373</v>
      </c>
      <c r="Z1903" s="7"/>
      <c r="AA1903" s="7"/>
      <c r="AB1903" s="7"/>
      <c r="AC1903" s="7" t="n">
        <v>4</v>
      </c>
      <c r="AD1903" s="7" t="s">
        <v>1376</v>
      </c>
      <c r="AE1903" s="7" t="s">
        <v>1809</v>
      </c>
      <c r="AF1903" s="7" t="s">
        <v>12372</v>
      </c>
      <c r="AG1903" s="7"/>
      <c r="AH1903" s="7"/>
      <c r="AI1903" s="7"/>
      <c r="AJ1903" s="7"/>
      <c r="AK1903" s="7"/>
      <c r="AL1903" s="7"/>
      <c r="AM1903" s="7"/>
      <c r="AN1903" s="7"/>
      <c r="AO1903" s="7" t="s">
        <v>1809</v>
      </c>
      <c r="AP1903" s="7" t="s">
        <v>2193</v>
      </c>
      <c r="AQ1903" s="7" t="s">
        <v>1809</v>
      </c>
      <c r="AR1903" s="7" t="s">
        <v>82</v>
      </c>
      <c r="AS1903" s="7"/>
      <c r="AT1903" s="7"/>
      <c r="AU1903" s="7"/>
      <c r="AV1903" s="7"/>
      <c r="AW1903" s="7" t="s">
        <v>1809</v>
      </c>
      <c r="AX1903" s="7" t="s">
        <v>12373</v>
      </c>
      <c r="AY1903" s="7"/>
      <c r="AZ1903" s="7"/>
      <c r="BA1903" s="7"/>
      <c r="BB1903" s="7"/>
      <c r="BC1903" s="7"/>
      <c r="BD1903" s="7" t="s">
        <v>220</v>
      </c>
      <c r="BE1903" s="7" t="s">
        <v>127</v>
      </c>
      <c r="BF1903" s="8"/>
      <c r="BG1903" s="8"/>
      <c r="BH1903" s="8"/>
      <c r="BI1903" s="8"/>
      <c r="BJ1903" s="8"/>
      <c r="BK1903" s="8"/>
      <c r="BL1903" s="8"/>
      <c r="BM1903" s="8"/>
      <c r="BN1903" s="8"/>
      <c r="BO1903" s="8"/>
      <c r="BP1903" s="8"/>
      <c r="BQ1903" s="8"/>
      <c r="BR1903" s="8"/>
      <c r="BS1903" s="8"/>
    </row>
    <row r="1904" customFormat="false" ht="15" hidden="false" customHeight="false" outlineLevel="0" collapsed="false">
      <c r="A1904" s="7" t="s">
        <v>12374</v>
      </c>
      <c r="B1904" s="7" t="s">
        <v>12375</v>
      </c>
      <c r="C1904" s="7" t="s">
        <v>12376</v>
      </c>
      <c r="D1904" s="7" t="s">
        <v>12377</v>
      </c>
      <c r="E1904" s="7"/>
      <c r="F1904" s="7" t="s">
        <v>101</v>
      </c>
      <c r="G1904" s="7"/>
      <c r="H1904" s="7"/>
      <c r="I1904" s="7" t="s">
        <v>132</v>
      </c>
      <c r="J1904" s="7" t="s">
        <v>104</v>
      </c>
      <c r="K1904" s="7" t="s">
        <v>105</v>
      </c>
      <c r="L1904" s="7" t="s">
        <v>106</v>
      </c>
      <c r="M1904" s="7"/>
      <c r="N1904" s="7" t="s">
        <v>12378</v>
      </c>
      <c r="O1904" s="7" t="s">
        <v>12378</v>
      </c>
      <c r="P1904" s="7" t="s">
        <v>135</v>
      </c>
      <c r="Q1904" s="7"/>
      <c r="R1904" s="7" t="s">
        <v>109</v>
      </c>
      <c r="S1904" s="7" t="s">
        <v>110</v>
      </c>
      <c r="T1904" s="7" t="n">
        <v>0.75</v>
      </c>
      <c r="U1904" s="7" t="n">
        <v>1</v>
      </c>
      <c r="V1904" s="7"/>
      <c r="W1904" s="7"/>
      <c r="X1904" s="7"/>
      <c r="Y1904" s="7" t="s">
        <v>12378</v>
      </c>
      <c r="Z1904" s="7"/>
      <c r="AA1904" s="7"/>
      <c r="AB1904" s="7"/>
      <c r="AC1904" s="7" t="n">
        <v>3</v>
      </c>
      <c r="AD1904" s="7" t="s">
        <v>1492</v>
      </c>
      <c r="AE1904" s="7" t="s">
        <v>10246</v>
      </c>
      <c r="AF1904" s="7" t="s">
        <v>12379</v>
      </c>
      <c r="AG1904" s="7"/>
      <c r="AH1904" s="7"/>
      <c r="AI1904" s="7"/>
      <c r="AJ1904" s="7"/>
      <c r="AK1904" s="7"/>
      <c r="AL1904" s="7"/>
      <c r="AM1904" s="7"/>
      <c r="AN1904" s="7"/>
      <c r="AO1904" s="7" t="s">
        <v>10246</v>
      </c>
      <c r="AP1904" s="7" t="s">
        <v>12377</v>
      </c>
      <c r="AQ1904" s="7"/>
      <c r="AR1904" s="7"/>
      <c r="AS1904" s="7"/>
      <c r="AT1904" s="7"/>
      <c r="AU1904" s="7"/>
      <c r="AV1904" s="7"/>
      <c r="AW1904" s="7" t="s">
        <v>10246</v>
      </c>
      <c r="AX1904" s="7" t="s">
        <v>12378</v>
      </c>
      <c r="AY1904" s="7"/>
      <c r="AZ1904" s="7"/>
      <c r="BA1904" s="7"/>
      <c r="BB1904" s="7"/>
      <c r="BC1904" s="7"/>
      <c r="BD1904" s="7"/>
      <c r="BE1904" s="7" t="s">
        <v>127</v>
      </c>
      <c r="BF1904" s="8"/>
      <c r="BG1904" s="8"/>
      <c r="BH1904" s="8"/>
      <c r="BI1904" s="8"/>
      <c r="BJ1904" s="8"/>
      <c r="BK1904" s="8"/>
      <c r="BL1904" s="8"/>
      <c r="BM1904" s="8"/>
      <c r="BN1904" s="8"/>
      <c r="BO1904" s="8"/>
      <c r="BP1904" s="8"/>
      <c r="BQ1904" s="8"/>
      <c r="BR1904" s="8"/>
      <c r="BS1904" s="8"/>
    </row>
    <row r="1905" customFormat="false" ht="15" hidden="false" customHeight="false" outlineLevel="0" collapsed="false">
      <c r="A1905" s="7" t="s">
        <v>12380</v>
      </c>
      <c r="B1905" s="7" t="s">
        <v>12381</v>
      </c>
      <c r="C1905" s="7" t="s">
        <v>12382</v>
      </c>
      <c r="D1905" s="7" t="s">
        <v>12377</v>
      </c>
      <c r="E1905" s="7"/>
      <c r="F1905" s="7" t="s">
        <v>101</v>
      </c>
      <c r="G1905" s="7"/>
      <c r="H1905" s="7"/>
      <c r="I1905" s="7" t="s">
        <v>132</v>
      </c>
      <c r="J1905" s="7" t="s">
        <v>104</v>
      </c>
      <c r="K1905" s="7" t="s">
        <v>105</v>
      </c>
      <c r="L1905" s="7" t="s">
        <v>106</v>
      </c>
      <c r="M1905" s="7"/>
      <c r="N1905" s="7" t="s">
        <v>12383</v>
      </c>
      <c r="O1905" s="7" t="s">
        <v>12383</v>
      </c>
      <c r="P1905" s="7" t="s">
        <v>135</v>
      </c>
      <c r="Q1905" s="7"/>
      <c r="R1905" s="7" t="s">
        <v>109</v>
      </c>
      <c r="S1905" s="7" t="s">
        <v>110</v>
      </c>
      <c r="T1905" s="7" t="n">
        <v>0.737</v>
      </c>
      <c r="U1905" s="7" t="n">
        <v>1</v>
      </c>
      <c r="V1905" s="7"/>
      <c r="W1905" s="7"/>
      <c r="X1905" s="7"/>
      <c r="Y1905" s="7" t="s">
        <v>12383</v>
      </c>
      <c r="Z1905" s="7"/>
      <c r="AA1905" s="7"/>
      <c r="AB1905" s="7"/>
      <c r="AC1905" s="7" t="n">
        <v>3</v>
      </c>
      <c r="AD1905" s="7" t="s">
        <v>1492</v>
      </c>
      <c r="AE1905" s="7" t="s">
        <v>12384</v>
      </c>
      <c r="AF1905" s="7" t="s">
        <v>12379</v>
      </c>
      <c r="AG1905" s="7"/>
      <c r="AH1905" s="7"/>
      <c r="AI1905" s="7"/>
      <c r="AJ1905" s="7"/>
      <c r="AK1905" s="7"/>
      <c r="AL1905" s="7"/>
      <c r="AM1905" s="7"/>
      <c r="AN1905" s="7"/>
      <c r="AO1905" s="7" t="s">
        <v>12384</v>
      </c>
      <c r="AP1905" s="7" t="s">
        <v>12377</v>
      </c>
      <c r="AQ1905" s="7"/>
      <c r="AR1905" s="7"/>
      <c r="AS1905" s="7"/>
      <c r="AT1905" s="7"/>
      <c r="AU1905" s="7"/>
      <c r="AV1905" s="7"/>
      <c r="AW1905" s="7" t="s">
        <v>12384</v>
      </c>
      <c r="AX1905" s="7" t="s">
        <v>12383</v>
      </c>
      <c r="AY1905" s="7"/>
      <c r="AZ1905" s="7"/>
      <c r="BA1905" s="7"/>
      <c r="BB1905" s="7"/>
      <c r="BC1905" s="7"/>
      <c r="BD1905" s="7"/>
      <c r="BE1905" s="7" t="s">
        <v>127</v>
      </c>
      <c r="BF1905" s="8"/>
      <c r="BG1905" s="8"/>
      <c r="BH1905" s="8"/>
      <c r="BI1905" s="8"/>
      <c r="BJ1905" s="8"/>
      <c r="BK1905" s="8"/>
      <c r="BL1905" s="8"/>
      <c r="BM1905" s="8"/>
      <c r="BN1905" s="8"/>
      <c r="BO1905" s="8"/>
      <c r="BP1905" s="8"/>
      <c r="BQ1905" s="8"/>
      <c r="BR1905" s="8"/>
      <c r="BS1905" s="8"/>
    </row>
    <row r="1906" customFormat="false" ht="15" hidden="false" customHeight="false" outlineLevel="0" collapsed="false">
      <c r="A1906" s="7" t="s">
        <v>12385</v>
      </c>
      <c r="B1906" s="7" t="s">
        <v>12386</v>
      </c>
      <c r="C1906" s="7" t="s">
        <v>12387</v>
      </c>
      <c r="D1906" s="7" t="s">
        <v>12388</v>
      </c>
      <c r="E1906" s="7" t="s">
        <v>4473</v>
      </c>
      <c r="F1906" s="7" t="s">
        <v>4473</v>
      </c>
      <c r="G1906" s="7"/>
      <c r="H1906" s="7" t="s">
        <v>207</v>
      </c>
      <c r="I1906" s="7" t="s">
        <v>132</v>
      </c>
      <c r="J1906" s="7" t="s">
        <v>104</v>
      </c>
      <c r="K1906" s="7" t="s">
        <v>105</v>
      </c>
      <c r="L1906" s="7" t="s">
        <v>106</v>
      </c>
      <c r="M1906" s="7"/>
      <c r="N1906" s="7" t="s">
        <v>12389</v>
      </c>
      <c r="O1906" s="7" t="s">
        <v>12389</v>
      </c>
      <c r="P1906" s="7" t="s">
        <v>135</v>
      </c>
      <c r="Q1906" s="7"/>
      <c r="R1906" s="7" t="s">
        <v>109</v>
      </c>
      <c r="S1906" s="7" t="s">
        <v>110</v>
      </c>
      <c r="T1906" s="7" t="n">
        <v>0.279</v>
      </c>
      <c r="U1906" s="7" t="n">
        <v>1</v>
      </c>
      <c r="V1906" s="7" t="s">
        <v>90</v>
      </c>
      <c r="W1906" s="7"/>
      <c r="X1906" s="7"/>
      <c r="Y1906" s="7" t="s">
        <v>12389</v>
      </c>
      <c r="Z1906" s="7"/>
      <c r="AA1906" s="7"/>
      <c r="AB1906" s="7"/>
      <c r="AC1906" s="7" t="n">
        <v>0</v>
      </c>
      <c r="AD1906" s="7" t="s">
        <v>388</v>
      </c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 t="s">
        <v>440</v>
      </c>
      <c r="BE1906" s="7" t="s">
        <v>127</v>
      </c>
      <c r="BF1906" s="8"/>
      <c r="BG1906" s="8"/>
      <c r="BH1906" s="8"/>
      <c r="BI1906" s="8"/>
      <c r="BJ1906" s="8"/>
      <c r="BK1906" s="8"/>
      <c r="BL1906" s="8"/>
      <c r="BM1906" s="8"/>
      <c r="BN1906" s="8"/>
      <c r="BO1906" s="8"/>
      <c r="BP1906" s="8"/>
      <c r="BQ1906" s="8"/>
      <c r="BR1906" s="8"/>
      <c r="BS1906" s="8"/>
    </row>
    <row r="1907" customFormat="false" ht="15" hidden="false" customHeight="false" outlineLevel="0" collapsed="false">
      <c r="A1907" s="7" t="s">
        <v>12390</v>
      </c>
      <c r="B1907" s="7" t="s">
        <v>12391</v>
      </c>
      <c r="C1907" s="7" t="s">
        <v>12392</v>
      </c>
      <c r="D1907" s="7" t="s">
        <v>12393</v>
      </c>
      <c r="E1907" s="7" t="s">
        <v>819</v>
      </c>
      <c r="F1907" s="7" t="s">
        <v>819</v>
      </c>
      <c r="G1907" s="7"/>
      <c r="H1907" s="7" t="s">
        <v>207</v>
      </c>
      <c r="I1907" s="7" t="s">
        <v>158</v>
      </c>
      <c r="J1907" s="7" t="s">
        <v>104</v>
      </c>
      <c r="K1907" s="7" t="s">
        <v>105</v>
      </c>
      <c r="L1907" s="7" t="s">
        <v>353</v>
      </c>
      <c r="M1907" s="7"/>
      <c r="N1907" s="7" t="s">
        <v>12394</v>
      </c>
      <c r="O1907" s="7" t="s">
        <v>12394</v>
      </c>
      <c r="P1907" s="7" t="s">
        <v>109</v>
      </c>
      <c r="Q1907" s="7"/>
      <c r="R1907" s="7" t="s">
        <v>109</v>
      </c>
      <c r="S1907" s="7" t="s">
        <v>110</v>
      </c>
      <c r="T1907" s="7" t="n">
        <v>0.378</v>
      </c>
      <c r="U1907" s="7" t="n">
        <v>1</v>
      </c>
      <c r="V1907" s="7" t="s">
        <v>1717</v>
      </c>
      <c r="W1907" s="7"/>
      <c r="X1907" s="7"/>
      <c r="Y1907" s="7" t="s">
        <v>12394</v>
      </c>
      <c r="Z1907" s="7"/>
      <c r="AA1907" s="7"/>
      <c r="AB1907" s="7"/>
      <c r="AC1907" s="7" t="n">
        <v>0</v>
      </c>
      <c r="AD1907" s="7" t="s">
        <v>388</v>
      </c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 t="s">
        <v>127</v>
      </c>
      <c r="BF1907" s="8"/>
      <c r="BG1907" s="8"/>
      <c r="BH1907" s="8"/>
      <c r="BI1907" s="8"/>
      <c r="BJ1907" s="8"/>
      <c r="BK1907" s="8"/>
      <c r="BL1907" s="8"/>
      <c r="BM1907" s="8"/>
      <c r="BN1907" s="8"/>
      <c r="BO1907" s="8"/>
      <c r="BP1907" s="8"/>
      <c r="BQ1907" s="8"/>
      <c r="BR1907" s="8"/>
      <c r="BS1907" s="8"/>
    </row>
    <row r="1908" customFormat="false" ht="15" hidden="false" customHeight="false" outlineLevel="0" collapsed="false">
      <c r="A1908" s="7" t="s">
        <v>12395</v>
      </c>
      <c r="B1908" s="7" t="s">
        <v>12396</v>
      </c>
      <c r="C1908" s="7" t="s">
        <v>12397</v>
      </c>
      <c r="D1908" s="7" t="s">
        <v>12398</v>
      </c>
      <c r="E1908" s="7" t="s">
        <v>737</v>
      </c>
      <c r="F1908" s="7" t="s">
        <v>737</v>
      </c>
      <c r="G1908" s="7"/>
      <c r="H1908" s="7" t="s">
        <v>207</v>
      </c>
      <c r="I1908" s="7" t="s">
        <v>103</v>
      </c>
      <c r="J1908" s="7" t="s">
        <v>104</v>
      </c>
      <c r="K1908" s="7" t="s">
        <v>105</v>
      </c>
      <c r="L1908" s="7" t="s">
        <v>106</v>
      </c>
      <c r="M1908" s="7"/>
      <c r="N1908" s="7" t="s">
        <v>12399</v>
      </c>
      <c r="O1908" s="7" t="s">
        <v>12399</v>
      </c>
      <c r="P1908" s="7" t="s">
        <v>135</v>
      </c>
      <c r="Q1908" s="7"/>
      <c r="R1908" s="7" t="s">
        <v>109</v>
      </c>
      <c r="S1908" s="7" t="s">
        <v>110</v>
      </c>
      <c r="T1908" s="7" t="n">
        <v>0.708</v>
      </c>
      <c r="U1908" s="7" t="n">
        <v>1</v>
      </c>
      <c r="V1908" s="7" t="s">
        <v>90</v>
      </c>
      <c r="W1908" s="7"/>
      <c r="X1908" s="7"/>
      <c r="Y1908" s="7" t="s">
        <v>12399</v>
      </c>
      <c r="Z1908" s="7"/>
      <c r="AA1908" s="7"/>
      <c r="AB1908" s="7"/>
      <c r="AC1908" s="7" t="n">
        <v>0</v>
      </c>
      <c r="AD1908" s="7" t="s">
        <v>388</v>
      </c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 t="s">
        <v>12400</v>
      </c>
      <c r="BE1908" s="7" t="s">
        <v>127</v>
      </c>
      <c r="BF1908" s="8"/>
      <c r="BG1908" s="8"/>
      <c r="BH1908" s="8"/>
      <c r="BI1908" s="8"/>
      <c r="BJ1908" s="8"/>
      <c r="BK1908" s="8"/>
      <c r="BL1908" s="8"/>
      <c r="BM1908" s="8"/>
      <c r="BN1908" s="8"/>
      <c r="BO1908" s="8"/>
      <c r="BP1908" s="8"/>
      <c r="BQ1908" s="8"/>
      <c r="BR1908" s="8"/>
      <c r="BS1908" s="8"/>
    </row>
    <row r="1909" customFormat="false" ht="15" hidden="false" customHeight="false" outlineLevel="0" collapsed="false">
      <c r="A1909" s="7" t="s">
        <v>12401</v>
      </c>
      <c r="B1909" s="7" t="s">
        <v>12402</v>
      </c>
      <c r="C1909" s="7" t="s">
        <v>12403</v>
      </c>
      <c r="D1909" s="7" t="s">
        <v>12404</v>
      </c>
      <c r="E1909" s="7" t="s">
        <v>737</v>
      </c>
      <c r="F1909" s="7" t="s">
        <v>737</v>
      </c>
      <c r="G1909" s="7"/>
      <c r="H1909" s="7" t="s">
        <v>207</v>
      </c>
      <c r="I1909" s="7" t="s">
        <v>1639</v>
      </c>
      <c r="J1909" s="7" t="s">
        <v>104</v>
      </c>
      <c r="K1909" s="7" t="s">
        <v>105</v>
      </c>
      <c r="L1909" s="7" t="s">
        <v>106</v>
      </c>
      <c r="M1909" s="7"/>
      <c r="N1909" s="7" t="s">
        <v>12405</v>
      </c>
      <c r="O1909" s="7" t="s">
        <v>12405</v>
      </c>
      <c r="P1909" s="7" t="s">
        <v>135</v>
      </c>
      <c r="Q1909" s="7"/>
      <c r="R1909" s="7" t="s">
        <v>109</v>
      </c>
      <c r="S1909" s="7" t="s">
        <v>110</v>
      </c>
      <c r="T1909" s="7" t="n">
        <v>0.215</v>
      </c>
      <c r="U1909" s="7" t="n">
        <v>1</v>
      </c>
      <c r="V1909" s="7" t="s">
        <v>90</v>
      </c>
      <c r="W1909" s="7"/>
      <c r="X1909" s="7"/>
      <c r="Y1909" s="7" t="s">
        <v>12405</v>
      </c>
      <c r="Z1909" s="7"/>
      <c r="AA1909" s="7"/>
      <c r="AB1909" s="7"/>
      <c r="AC1909" s="7" t="n">
        <v>0</v>
      </c>
      <c r="AD1909" s="7" t="s">
        <v>388</v>
      </c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 t="s">
        <v>440</v>
      </c>
      <c r="BE1909" s="7" t="s">
        <v>127</v>
      </c>
      <c r="BF1909" s="8"/>
      <c r="BG1909" s="8"/>
      <c r="BH1909" s="8"/>
      <c r="BI1909" s="8"/>
      <c r="BJ1909" s="8"/>
      <c r="BK1909" s="8"/>
      <c r="BL1909" s="8"/>
      <c r="BM1909" s="8"/>
      <c r="BN1909" s="8"/>
      <c r="BO1909" s="8"/>
      <c r="BP1909" s="8"/>
      <c r="BQ1909" s="8"/>
      <c r="BR1909" s="8"/>
      <c r="BS1909" s="8"/>
    </row>
    <row r="1910" customFormat="false" ht="15" hidden="false" customHeight="false" outlineLevel="0" collapsed="false">
      <c r="A1910" s="7" t="s">
        <v>12406</v>
      </c>
      <c r="B1910" s="7" t="s">
        <v>12407</v>
      </c>
      <c r="C1910" s="7" t="s">
        <v>12408</v>
      </c>
      <c r="D1910" s="7" t="s">
        <v>12409</v>
      </c>
      <c r="E1910" s="7" t="s">
        <v>737</v>
      </c>
      <c r="F1910" s="7" t="s">
        <v>737</v>
      </c>
      <c r="G1910" s="7"/>
      <c r="H1910" s="7" t="s">
        <v>207</v>
      </c>
      <c r="I1910" s="7" t="s">
        <v>158</v>
      </c>
      <c r="J1910" s="7" t="s">
        <v>104</v>
      </c>
      <c r="K1910" s="7" t="s">
        <v>105</v>
      </c>
      <c r="L1910" s="7" t="s">
        <v>106</v>
      </c>
      <c r="M1910" s="7"/>
      <c r="N1910" s="7" t="s">
        <v>12410</v>
      </c>
      <c r="O1910" s="7" t="s">
        <v>12410</v>
      </c>
      <c r="P1910" s="7" t="s">
        <v>135</v>
      </c>
      <c r="Q1910" s="7"/>
      <c r="R1910" s="7" t="s">
        <v>109</v>
      </c>
      <c r="S1910" s="7" t="s">
        <v>110</v>
      </c>
      <c r="T1910" s="7" t="n">
        <v>0.529</v>
      </c>
      <c r="U1910" s="7" t="n">
        <v>1</v>
      </c>
      <c r="V1910" s="7" t="s">
        <v>90</v>
      </c>
      <c r="W1910" s="7"/>
      <c r="X1910" s="7"/>
      <c r="Y1910" s="7" t="s">
        <v>12410</v>
      </c>
      <c r="Z1910" s="7"/>
      <c r="AA1910" s="7"/>
      <c r="AB1910" s="7"/>
      <c r="AC1910" s="7" t="n">
        <v>0</v>
      </c>
      <c r="AD1910" s="7" t="s">
        <v>388</v>
      </c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 t="s">
        <v>2797</v>
      </c>
      <c r="BE1910" s="7" t="s">
        <v>127</v>
      </c>
      <c r="BF1910" s="8"/>
      <c r="BG1910" s="8"/>
      <c r="BH1910" s="8"/>
      <c r="BI1910" s="8"/>
      <c r="BJ1910" s="8"/>
      <c r="BK1910" s="8"/>
      <c r="BL1910" s="8"/>
      <c r="BM1910" s="8"/>
      <c r="BN1910" s="8"/>
      <c r="BO1910" s="8"/>
      <c r="BP1910" s="8"/>
      <c r="BQ1910" s="8"/>
      <c r="BR1910" s="8"/>
      <c r="BS1910" s="8"/>
    </row>
    <row r="1911" customFormat="false" ht="15" hidden="false" customHeight="false" outlineLevel="0" collapsed="false">
      <c r="A1911" s="7" t="s">
        <v>12411</v>
      </c>
      <c r="B1911" s="7" t="s">
        <v>12412</v>
      </c>
      <c r="C1911" s="7" t="s">
        <v>12413</v>
      </c>
      <c r="D1911" s="7" t="s">
        <v>12414</v>
      </c>
      <c r="E1911" s="7" t="s">
        <v>1966</v>
      </c>
      <c r="F1911" s="7" t="s">
        <v>1966</v>
      </c>
      <c r="G1911" s="7"/>
      <c r="H1911" s="7" t="s">
        <v>207</v>
      </c>
      <c r="I1911" s="7" t="s">
        <v>158</v>
      </c>
      <c r="J1911" s="7" t="s">
        <v>104</v>
      </c>
      <c r="K1911" s="7" t="s">
        <v>105</v>
      </c>
      <c r="L1911" s="7" t="s">
        <v>106</v>
      </c>
      <c r="M1911" s="7"/>
      <c r="N1911" s="7" t="s">
        <v>12415</v>
      </c>
      <c r="O1911" s="7" t="s">
        <v>12415</v>
      </c>
      <c r="P1911" s="7" t="s">
        <v>109</v>
      </c>
      <c r="Q1911" s="7"/>
      <c r="R1911" s="7" t="s">
        <v>109</v>
      </c>
      <c r="S1911" s="7" t="s">
        <v>110</v>
      </c>
      <c r="T1911" s="7" t="n">
        <v>0.433</v>
      </c>
      <c r="U1911" s="7" t="n">
        <v>1</v>
      </c>
      <c r="V1911" s="7" t="s">
        <v>1156</v>
      </c>
      <c r="W1911" s="7"/>
      <c r="X1911" s="7"/>
      <c r="Y1911" s="7" t="s">
        <v>12415</v>
      </c>
      <c r="Z1911" s="7"/>
      <c r="AA1911" s="7"/>
      <c r="AB1911" s="7"/>
      <c r="AC1911" s="7" t="n">
        <v>0</v>
      </c>
      <c r="AD1911" s="7" t="s">
        <v>388</v>
      </c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 t="s">
        <v>127</v>
      </c>
      <c r="BF1911" s="8"/>
      <c r="BG1911" s="8"/>
      <c r="BH1911" s="8"/>
      <c r="BI1911" s="8"/>
      <c r="BJ1911" s="8"/>
      <c r="BK1911" s="8"/>
      <c r="BL1911" s="8"/>
      <c r="BM1911" s="8"/>
      <c r="BN1911" s="8"/>
      <c r="BO1911" s="8"/>
      <c r="BP1911" s="8"/>
      <c r="BQ1911" s="8"/>
      <c r="BR1911" s="8"/>
      <c r="BS1911" s="8"/>
    </row>
    <row r="1912" customFormat="false" ht="15" hidden="false" customHeight="false" outlineLevel="0" collapsed="false">
      <c r="A1912" s="7" t="s">
        <v>12416</v>
      </c>
      <c r="B1912" s="7" t="s">
        <v>12417</v>
      </c>
      <c r="C1912" s="7" t="s">
        <v>12418</v>
      </c>
      <c r="D1912" s="7" t="s">
        <v>12419</v>
      </c>
      <c r="E1912" s="7" t="s">
        <v>741</v>
      </c>
      <c r="F1912" s="7" t="s">
        <v>741</v>
      </c>
      <c r="G1912" s="7"/>
      <c r="H1912" s="7" t="s">
        <v>207</v>
      </c>
      <c r="I1912" s="7" t="s">
        <v>132</v>
      </c>
      <c r="J1912" s="7" t="s">
        <v>104</v>
      </c>
      <c r="K1912" s="7" t="s">
        <v>105</v>
      </c>
      <c r="L1912" s="7" t="s">
        <v>106</v>
      </c>
      <c r="M1912" s="7"/>
      <c r="N1912" s="7" t="s">
        <v>12420</v>
      </c>
      <c r="O1912" s="7" t="s">
        <v>12420</v>
      </c>
      <c r="P1912" s="7" t="s">
        <v>109</v>
      </c>
      <c r="Q1912" s="7"/>
      <c r="R1912" s="7" t="s">
        <v>109</v>
      </c>
      <c r="S1912" s="7" t="s">
        <v>110</v>
      </c>
      <c r="T1912" s="7" t="n">
        <v>0.776</v>
      </c>
      <c r="U1912" s="7" t="n">
        <v>1</v>
      </c>
      <c r="V1912" s="7" t="s">
        <v>86</v>
      </c>
      <c r="W1912" s="7"/>
      <c r="X1912" s="7"/>
      <c r="Y1912" s="7" t="s">
        <v>12420</v>
      </c>
      <c r="Z1912" s="7"/>
      <c r="AA1912" s="7"/>
      <c r="AB1912" s="7"/>
      <c r="AC1912" s="7" t="n">
        <v>0</v>
      </c>
      <c r="AD1912" s="7" t="s">
        <v>388</v>
      </c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 t="s">
        <v>127</v>
      </c>
      <c r="BF1912" s="8"/>
      <c r="BG1912" s="8"/>
      <c r="BH1912" s="8"/>
      <c r="BI1912" s="8"/>
      <c r="BJ1912" s="8"/>
      <c r="BK1912" s="8"/>
      <c r="BL1912" s="8"/>
      <c r="BM1912" s="8"/>
      <c r="BN1912" s="8"/>
      <c r="BO1912" s="8"/>
      <c r="BP1912" s="8"/>
      <c r="BQ1912" s="8"/>
      <c r="BR1912" s="8"/>
      <c r="BS1912" s="8"/>
    </row>
    <row r="1913" customFormat="false" ht="15" hidden="false" customHeight="false" outlineLevel="0" collapsed="false">
      <c r="A1913" s="7" t="s">
        <v>12421</v>
      </c>
      <c r="B1913" s="7" t="s">
        <v>12422</v>
      </c>
      <c r="C1913" s="7" t="s">
        <v>12423</v>
      </c>
      <c r="D1913" s="7" t="s">
        <v>12424</v>
      </c>
      <c r="E1913" s="7" t="s">
        <v>737</v>
      </c>
      <c r="F1913" s="7" t="s">
        <v>737</v>
      </c>
      <c r="G1913" s="7"/>
      <c r="H1913" s="7" t="s">
        <v>207</v>
      </c>
      <c r="I1913" s="7" t="s">
        <v>208</v>
      </c>
      <c r="J1913" s="7" t="s">
        <v>104</v>
      </c>
      <c r="K1913" s="7" t="s">
        <v>105</v>
      </c>
      <c r="L1913" s="7" t="s">
        <v>106</v>
      </c>
      <c r="M1913" s="7"/>
      <c r="N1913" s="7" t="s">
        <v>12425</v>
      </c>
      <c r="O1913" s="7" t="s">
        <v>12425</v>
      </c>
      <c r="P1913" s="7" t="s">
        <v>135</v>
      </c>
      <c r="Q1913" s="7"/>
      <c r="R1913" s="7" t="s">
        <v>109</v>
      </c>
      <c r="S1913" s="7" t="s">
        <v>110</v>
      </c>
      <c r="T1913" s="7" t="n">
        <v>0.419</v>
      </c>
      <c r="U1913" s="7" t="n">
        <v>1</v>
      </c>
      <c r="V1913" s="7" t="s">
        <v>90</v>
      </c>
      <c r="W1913" s="7"/>
      <c r="X1913" s="7"/>
      <c r="Y1913" s="7" t="s">
        <v>12425</v>
      </c>
      <c r="Z1913" s="7"/>
      <c r="AA1913" s="7"/>
      <c r="AB1913" s="7"/>
      <c r="AC1913" s="7" t="n">
        <v>0</v>
      </c>
      <c r="AD1913" s="7" t="s">
        <v>388</v>
      </c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 t="s">
        <v>440</v>
      </c>
      <c r="BE1913" s="7" t="s">
        <v>127</v>
      </c>
      <c r="BF1913" s="8"/>
      <c r="BG1913" s="8"/>
      <c r="BH1913" s="8"/>
      <c r="BI1913" s="8"/>
      <c r="BJ1913" s="8"/>
      <c r="BK1913" s="8"/>
      <c r="BL1913" s="8"/>
      <c r="BM1913" s="8"/>
      <c r="BN1913" s="8"/>
      <c r="BO1913" s="8"/>
      <c r="BP1913" s="8"/>
      <c r="BQ1913" s="8"/>
      <c r="BR1913" s="8"/>
      <c r="BS1913" s="8"/>
    </row>
    <row r="1914" customFormat="false" ht="15" hidden="false" customHeight="false" outlineLevel="0" collapsed="false">
      <c r="A1914" s="7" t="s">
        <v>12426</v>
      </c>
      <c r="B1914" s="7" t="s">
        <v>12427</v>
      </c>
      <c r="C1914" s="7" t="s">
        <v>12428</v>
      </c>
      <c r="D1914" s="7" t="s">
        <v>12429</v>
      </c>
      <c r="E1914" s="7" t="s">
        <v>737</v>
      </c>
      <c r="F1914" s="7" t="s">
        <v>737</v>
      </c>
      <c r="G1914" s="7"/>
      <c r="H1914" s="7" t="s">
        <v>207</v>
      </c>
      <c r="I1914" s="7" t="s">
        <v>158</v>
      </c>
      <c r="J1914" s="7" t="s">
        <v>104</v>
      </c>
      <c r="K1914" s="7" t="s">
        <v>105</v>
      </c>
      <c r="L1914" s="7" t="s">
        <v>106</v>
      </c>
      <c r="M1914" s="7"/>
      <c r="N1914" s="7" t="s">
        <v>12430</v>
      </c>
      <c r="O1914" s="7" t="s">
        <v>12430</v>
      </c>
      <c r="P1914" s="7" t="s">
        <v>109</v>
      </c>
      <c r="Q1914" s="7"/>
      <c r="R1914" s="7" t="s">
        <v>109</v>
      </c>
      <c r="S1914" s="7" t="s">
        <v>110</v>
      </c>
      <c r="T1914" s="7" t="n">
        <v>0.73</v>
      </c>
      <c r="U1914" s="7" t="n">
        <v>1</v>
      </c>
      <c r="V1914" s="7" t="s">
        <v>86</v>
      </c>
      <c r="W1914" s="7"/>
      <c r="X1914" s="7"/>
      <c r="Y1914" s="7" t="s">
        <v>12430</v>
      </c>
      <c r="Z1914" s="7"/>
      <c r="AA1914" s="7"/>
      <c r="AB1914" s="7"/>
      <c r="AC1914" s="7" t="n">
        <v>0</v>
      </c>
      <c r="AD1914" s="7" t="s">
        <v>388</v>
      </c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 t="s">
        <v>127</v>
      </c>
      <c r="BF1914" s="8"/>
      <c r="BG1914" s="8"/>
      <c r="BH1914" s="8"/>
      <c r="BI1914" s="8"/>
      <c r="BJ1914" s="8"/>
      <c r="BK1914" s="8"/>
      <c r="BL1914" s="8"/>
      <c r="BM1914" s="8"/>
      <c r="BN1914" s="8"/>
      <c r="BO1914" s="8"/>
      <c r="BP1914" s="8"/>
      <c r="BQ1914" s="8"/>
      <c r="BR1914" s="8"/>
      <c r="BS1914" s="8"/>
    </row>
    <row r="1915" customFormat="false" ht="15" hidden="false" customHeight="false" outlineLevel="0" collapsed="false">
      <c r="A1915" s="7" t="s">
        <v>12431</v>
      </c>
      <c r="B1915" s="7" t="s">
        <v>12432</v>
      </c>
      <c r="C1915" s="7" t="s">
        <v>12433</v>
      </c>
      <c r="D1915" s="7" t="s">
        <v>12434</v>
      </c>
      <c r="E1915" s="7" t="s">
        <v>398</v>
      </c>
      <c r="F1915" s="7" t="s">
        <v>398</v>
      </c>
      <c r="G1915" s="7"/>
      <c r="H1915" s="7" t="s">
        <v>207</v>
      </c>
      <c r="I1915" s="7" t="s">
        <v>158</v>
      </c>
      <c r="J1915" s="7" t="s">
        <v>104</v>
      </c>
      <c r="K1915" s="7" t="s">
        <v>105</v>
      </c>
      <c r="L1915" s="7" t="s">
        <v>106</v>
      </c>
      <c r="M1915" s="7"/>
      <c r="N1915" s="7" t="s">
        <v>12435</v>
      </c>
      <c r="O1915" s="7" t="s">
        <v>12435</v>
      </c>
      <c r="P1915" s="7" t="s">
        <v>135</v>
      </c>
      <c r="Q1915" s="7"/>
      <c r="R1915" s="7" t="s">
        <v>109</v>
      </c>
      <c r="S1915" s="7" t="s">
        <v>110</v>
      </c>
      <c r="T1915" s="7" t="n">
        <v>0.808</v>
      </c>
      <c r="U1915" s="7" t="n">
        <v>1</v>
      </c>
      <c r="V1915" s="7" t="s">
        <v>90</v>
      </c>
      <c r="W1915" s="7"/>
      <c r="X1915" s="7"/>
      <c r="Y1915" s="7" t="s">
        <v>12435</v>
      </c>
      <c r="Z1915" s="7"/>
      <c r="AA1915" s="7"/>
      <c r="AB1915" s="7"/>
      <c r="AC1915" s="7" t="n">
        <v>0</v>
      </c>
      <c r="AD1915" s="7" t="s">
        <v>388</v>
      </c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 t="s">
        <v>440</v>
      </c>
      <c r="BE1915" s="7" t="s">
        <v>127</v>
      </c>
      <c r="BF1915" s="8"/>
      <c r="BG1915" s="8"/>
      <c r="BH1915" s="8"/>
      <c r="BI1915" s="8"/>
      <c r="BJ1915" s="8"/>
      <c r="BK1915" s="8"/>
      <c r="BL1915" s="8"/>
      <c r="BM1915" s="8"/>
      <c r="BN1915" s="8"/>
      <c r="BO1915" s="8"/>
      <c r="BP1915" s="8"/>
      <c r="BQ1915" s="8"/>
      <c r="BR1915" s="8"/>
      <c r="BS1915" s="8"/>
    </row>
    <row r="1916" customFormat="false" ht="15" hidden="false" customHeight="false" outlineLevel="0" collapsed="false">
      <c r="A1916" s="7" t="s">
        <v>12436</v>
      </c>
      <c r="B1916" s="7" t="s">
        <v>12437</v>
      </c>
      <c r="C1916" s="7" t="s">
        <v>12438</v>
      </c>
      <c r="D1916" s="7" t="s">
        <v>7891</v>
      </c>
      <c r="E1916" s="7" t="s">
        <v>431</v>
      </c>
      <c r="F1916" s="7" t="s">
        <v>431</v>
      </c>
      <c r="G1916" s="7"/>
      <c r="H1916" s="7" t="s">
        <v>207</v>
      </c>
      <c r="I1916" s="7" t="s">
        <v>132</v>
      </c>
      <c r="J1916" s="7" t="s">
        <v>104</v>
      </c>
      <c r="K1916" s="7" t="s">
        <v>105</v>
      </c>
      <c r="L1916" s="7" t="s">
        <v>106</v>
      </c>
      <c r="M1916" s="7"/>
      <c r="N1916" s="7" t="s">
        <v>12439</v>
      </c>
      <c r="O1916" s="7" t="s">
        <v>12439</v>
      </c>
      <c r="P1916" s="7" t="s">
        <v>135</v>
      </c>
      <c r="Q1916" s="7"/>
      <c r="R1916" s="7" t="s">
        <v>109</v>
      </c>
      <c r="S1916" s="7" t="s">
        <v>110</v>
      </c>
      <c r="T1916" s="7" t="n">
        <v>0.384</v>
      </c>
      <c r="U1916" s="7" t="n">
        <v>1</v>
      </c>
      <c r="V1916" s="7" t="s">
        <v>1717</v>
      </c>
      <c r="W1916" s="7"/>
      <c r="X1916" s="7" t="s">
        <v>12440</v>
      </c>
      <c r="Y1916" s="7" t="s">
        <v>12439</v>
      </c>
      <c r="Z1916" s="7"/>
      <c r="AA1916" s="7"/>
      <c r="AB1916" s="7"/>
      <c r="AC1916" s="7" t="n">
        <v>0</v>
      </c>
      <c r="AD1916" s="7" t="s">
        <v>388</v>
      </c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 t="s">
        <v>2797</v>
      </c>
      <c r="BE1916" s="7" t="s">
        <v>127</v>
      </c>
      <c r="BF1916" s="8"/>
      <c r="BG1916" s="8"/>
      <c r="BH1916" s="8"/>
      <c r="BI1916" s="8"/>
      <c r="BJ1916" s="8"/>
      <c r="BK1916" s="8"/>
      <c r="BL1916" s="8"/>
      <c r="BM1916" s="8"/>
      <c r="BN1916" s="8"/>
      <c r="BO1916" s="8"/>
      <c r="BP1916" s="8"/>
      <c r="BQ1916" s="8"/>
      <c r="BR1916" s="8"/>
      <c r="BS1916" s="8"/>
    </row>
    <row r="1917" customFormat="false" ht="15" hidden="false" customHeight="false" outlineLevel="0" collapsed="false">
      <c r="A1917" s="7" t="s">
        <v>12441</v>
      </c>
      <c r="B1917" s="7" t="s">
        <v>12442</v>
      </c>
      <c r="C1917" s="7" t="s">
        <v>12443</v>
      </c>
      <c r="D1917" s="7" t="s">
        <v>12444</v>
      </c>
      <c r="E1917" s="7" t="s">
        <v>444</v>
      </c>
      <c r="F1917" s="7" t="s">
        <v>444</v>
      </c>
      <c r="G1917" s="7"/>
      <c r="H1917" s="7" t="s">
        <v>207</v>
      </c>
      <c r="I1917" s="7" t="s">
        <v>132</v>
      </c>
      <c r="J1917" s="7" t="s">
        <v>104</v>
      </c>
      <c r="K1917" s="7" t="s">
        <v>105</v>
      </c>
      <c r="L1917" s="7" t="s">
        <v>106</v>
      </c>
      <c r="M1917" s="7"/>
      <c r="N1917" s="7" t="s">
        <v>12445</v>
      </c>
      <c r="O1917" s="7" t="s">
        <v>12445</v>
      </c>
      <c r="P1917" s="7" t="s">
        <v>109</v>
      </c>
      <c r="Q1917" s="7"/>
      <c r="R1917" s="7" t="s">
        <v>109</v>
      </c>
      <c r="S1917" s="7" t="s">
        <v>110</v>
      </c>
      <c r="T1917" s="7" t="n">
        <v>0.965</v>
      </c>
      <c r="U1917" s="7" t="n">
        <v>1</v>
      </c>
      <c r="V1917" s="7" t="s">
        <v>86</v>
      </c>
      <c r="W1917" s="7"/>
      <c r="X1917" s="7"/>
      <c r="Y1917" s="7" t="s">
        <v>12445</v>
      </c>
      <c r="Z1917" s="7"/>
      <c r="AA1917" s="7"/>
      <c r="AB1917" s="7"/>
      <c r="AC1917" s="7" t="n">
        <v>0</v>
      </c>
      <c r="AD1917" s="7" t="s">
        <v>388</v>
      </c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 t="s">
        <v>127</v>
      </c>
      <c r="BF1917" s="8"/>
      <c r="BG1917" s="8"/>
      <c r="BH1917" s="8"/>
      <c r="BI1917" s="8"/>
      <c r="BJ1917" s="8"/>
      <c r="BK1917" s="8"/>
      <c r="BL1917" s="8"/>
      <c r="BM1917" s="8"/>
      <c r="BN1917" s="8"/>
      <c r="BO1917" s="8"/>
      <c r="BP1917" s="8"/>
      <c r="BQ1917" s="8"/>
      <c r="BR1917" s="8"/>
      <c r="BS1917" s="8"/>
    </row>
    <row r="1918" customFormat="false" ht="15" hidden="false" customHeight="false" outlineLevel="0" collapsed="false">
      <c r="A1918" s="7" t="s">
        <v>12446</v>
      </c>
      <c r="B1918" s="7" t="s">
        <v>12447</v>
      </c>
      <c r="C1918" s="7" t="s">
        <v>12448</v>
      </c>
      <c r="D1918" s="7" t="s">
        <v>8792</v>
      </c>
      <c r="E1918" s="7" t="s">
        <v>819</v>
      </c>
      <c r="F1918" s="7" t="s">
        <v>819</v>
      </c>
      <c r="G1918" s="7"/>
      <c r="H1918" s="7" t="s">
        <v>207</v>
      </c>
      <c r="I1918" s="7" t="s">
        <v>158</v>
      </c>
      <c r="J1918" s="7" t="s">
        <v>104</v>
      </c>
      <c r="K1918" s="7" t="s">
        <v>105</v>
      </c>
      <c r="L1918" s="7" t="s">
        <v>106</v>
      </c>
      <c r="M1918" s="7"/>
      <c r="N1918" s="7" t="s">
        <v>12449</v>
      </c>
      <c r="O1918" s="7" t="s">
        <v>12449</v>
      </c>
      <c r="P1918" s="7" t="s">
        <v>109</v>
      </c>
      <c r="Q1918" s="7"/>
      <c r="R1918" s="7" t="s">
        <v>109</v>
      </c>
      <c r="S1918" s="7" t="s">
        <v>110</v>
      </c>
      <c r="T1918" s="7" t="n">
        <v>0.359</v>
      </c>
      <c r="U1918" s="7" t="n">
        <v>1</v>
      </c>
      <c r="V1918" s="7" t="s">
        <v>86</v>
      </c>
      <c r="W1918" s="7"/>
      <c r="X1918" s="7"/>
      <c r="Y1918" s="7" t="s">
        <v>12449</v>
      </c>
      <c r="Z1918" s="7"/>
      <c r="AA1918" s="7"/>
      <c r="AB1918" s="7"/>
      <c r="AC1918" s="7" t="n">
        <v>0</v>
      </c>
      <c r="AD1918" s="7" t="s">
        <v>388</v>
      </c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 t="s">
        <v>127</v>
      </c>
      <c r="BF1918" s="8"/>
      <c r="BG1918" s="8"/>
      <c r="BH1918" s="8"/>
      <c r="BI1918" s="8"/>
      <c r="BJ1918" s="8"/>
      <c r="BK1918" s="8"/>
      <c r="BL1918" s="8"/>
      <c r="BM1918" s="8"/>
      <c r="BN1918" s="8"/>
      <c r="BO1918" s="8"/>
      <c r="BP1918" s="8"/>
      <c r="BQ1918" s="8"/>
      <c r="BR1918" s="8"/>
      <c r="BS1918" s="8"/>
    </row>
    <row r="1919" customFormat="false" ht="15" hidden="false" customHeight="false" outlineLevel="0" collapsed="false">
      <c r="A1919" s="7" t="s">
        <v>12450</v>
      </c>
      <c r="B1919" s="7" t="s">
        <v>12451</v>
      </c>
      <c r="C1919" s="7" t="s">
        <v>12452</v>
      </c>
      <c r="D1919" s="7" t="s">
        <v>8559</v>
      </c>
      <c r="E1919" s="7" t="s">
        <v>1966</v>
      </c>
      <c r="F1919" s="7" t="s">
        <v>1966</v>
      </c>
      <c r="G1919" s="7"/>
      <c r="H1919" s="7" t="s">
        <v>207</v>
      </c>
      <c r="I1919" s="7" t="s">
        <v>1104</v>
      </c>
      <c r="J1919" s="7" t="s">
        <v>104</v>
      </c>
      <c r="K1919" s="7" t="s">
        <v>105</v>
      </c>
      <c r="L1919" s="7" t="s">
        <v>12453</v>
      </c>
      <c r="M1919" s="7"/>
      <c r="N1919" s="7" t="s">
        <v>12454</v>
      </c>
      <c r="O1919" s="7" t="s">
        <v>12454</v>
      </c>
      <c r="P1919" s="7" t="s">
        <v>109</v>
      </c>
      <c r="Q1919" s="7"/>
      <c r="R1919" s="7" t="s">
        <v>109</v>
      </c>
      <c r="S1919" s="7" t="s">
        <v>110</v>
      </c>
      <c r="T1919" s="7" t="n">
        <v>0.694</v>
      </c>
      <c r="U1919" s="7" t="n">
        <v>1</v>
      </c>
      <c r="V1919" s="7" t="s">
        <v>86</v>
      </c>
      <c r="W1919" s="7"/>
      <c r="X1919" s="7"/>
      <c r="Y1919" s="7" t="s">
        <v>12454</v>
      </c>
      <c r="Z1919" s="7"/>
      <c r="AA1919" s="7"/>
      <c r="AB1919" s="7"/>
      <c r="AC1919" s="7" t="n">
        <v>0</v>
      </c>
      <c r="AD1919" s="7" t="s">
        <v>388</v>
      </c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 t="s">
        <v>127</v>
      </c>
      <c r="BF1919" s="8"/>
      <c r="BG1919" s="8"/>
      <c r="BH1919" s="8"/>
      <c r="BI1919" s="8"/>
      <c r="BJ1919" s="8"/>
      <c r="BK1919" s="8"/>
      <c r="BL1919" s="8"/>
      <c r="BM1919" s="8"/>
      <c r="BN1919" s="8"/>
      <c r="BO1919" s="8"/>
      <c r="BP1919" s="8"/>
      <c r="BQ1919" s="8"/>
      <c r="BR1919" s="8"/>
      <c r="BS1919" s="8"/>
    </row>
    <row r="1920" customFormat="false" ht="15" hidden="false" customHeight="false" outlineLevel="0" collapsed="false">
      <c r="A1920" s="7" t="s">
        <v>12455</v>
      </c>
      <c r="B1920" s="7" t="s">
        <v>12456</v>
      </c>
      <c r="C1920" s="7" t="s">
        <v>12457</v>
      </c>
      <c r="D1920" s="7" t="s">
        <v>12458</v>
      </c>
      <c r="E1920" s="7" t="s">
        <v>741</v>
      </c>
      <c r="F1920" s="7" t="s">
        <v>741</v>
      </c>
      <c r="G1920" s="7"/>
      <c r="H1920" s="7" t="s">
        <v>207</v>
      </c>
      <c r="I1920" s="7" t="s">
        <v>208</v>
      </c>
      <c r="J1920" s="7" t="s">
        <v>104</v>
      </c>
      <c r="K1920" s="7" t="s">
        <v>105</v>
      </c>
      <c r="L1920" s="7" t="s">
        <v>106</v>
      </c>
      <c r="M1920" s="7"/>
      <c r="N1920" s="7" t="s">
        <v>12459</v>
      </c>
      <c r="O1920" s="7" t="s">
        <v>12459</v>
      </c>
      <c r="P1920" s="7" t="s">
        <v>84</v>
      </c>
      <c r="Q1920" s="7"/>
      <c r="R1920" s="7" t="s">
        <v>109</v>
      </c>
      <c r="S1920" s="7" t="s">
        <v>110</v>
      </c>
      <c r="T1920" s="7" t="n">
        <v>0.863</v>
      </c>
      <c r="U1920" s="7" t="n">
        <v>2</v>
      </c>
      <c r="V1920" s="7" t="s">
        <v>111</v>
      </c>
      <c r="W1920" s="7"/>
      <c r="X1920" s="7"/>
      <c r="Y1920" s="7" t="s">
        <v>12459</v>
      </c>
      <c r="Z1920" s="7"/>
      <c r="AA1920" s="7"/>
      <c r="AB1920" s="7"/>
      <c r="AC1920" s="7" t="n">
        <v>0</v>
      </c>
      <c r="AD1920" s="7" t="s">
        <v>388</v>
      </c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 t="s">
        <v>1861</v>
      </c>
      <c r="BE1920" s="7" t="s">
        <v>127</v>
      </c>
      <c r="BF1920" s="8"/>
      <c r="BG1920" s="8"/>
      <c r="BH1920" s="8"/>
      <c r="BI1920" s="8"/>
      <c r="BJ1920" s="8"/>
      <c r="BK1920" s="8"/>
      <c r="BL1920" s="8"/>
      <c r="BM1920" s="8"/>
      <c r="BN1920" s="8"/>
      <c r="BO1920" s="8"/>
      <c r="BP1920" s="8"/>
      <c r="BQ1920" s="8"/>
      <c r="BR1920" s="8"/>
      <c r="BS1920" s="8"/>
    </row>
    <row r="1921" customFormat="false" ht="15" hidden="false" customHeight="false" outlineLevel="0" collapsed="false">
      <c r="A1921" s="7" t="s">
        <v>12460</v>
      </c>
      <c r="B1921" s="7" t="s">
        <v>12461</v>
      </c>
      <c r="C1921" s="7" t="s">
        <v>12462</v>
      </c>
      <c r="D1921" s="7" t="s">
        <v>12463</v>
      </c>
      <c r="E1921" s="7" t="s">
        <v>819</v>
      </c>
      <c r="F1921" s="7" t="s">
        <v>819</v>
      </c>
      <c r="G1921" s="7"/>
      <c r="H1921" s="7" t="s">
        <v>207</v>
      </c>
      <c r="I1921" s="7" t="s">
        <v>132</v>
      </c>
      <c r="J1921" s="7" t="s">
        <v>104</v>
      </c>
      <c r="K1921" s="7" t="s">
        <v>105</v>
      </c>
      <c r="L1921" s="7" t="s">
        <v>106</v>
      </c>
      <c r="M1921" s="7"/>
      <c r="N1921" s="7" t="s">
        <v>12464</v>
      </c>
      <c r="O1921" s="7" t="s">
        <v>12464</v>
      </c>
      <c r="P1921" s="7" t="s">
        <v>109</v>
      </c>
      <c r="Q1921" s="7"/>
      <c r="R1921" s="7" t="s">
        <v>109</v>
      </c>
      <c r="S1921" s="7" t="s">
        <v>110</v>
      </c>
      <c r="T1921" s="7" t="n">
        <v>0.84</v>
      </c>
      <c r="U1921" s="7" t="n">
        <v>1</v>
      </c>
      <c r="V1921" s="7" t="s">
        <v>1156</v>
      </c>
      <c r="W1921" s="7"/>
      <c r="X1921" s="7"/>
      <c r="Y1921" s="7" t="s">
        <v>12464</v>
      </c>
      <c r="Z1921" s="7"/>
      <c r="AA1921" s="7"/>
      <c r="AB1921" s="7"/>
      <c r="AC1921" s="7" t="n">
        <v>0</v>
      </c>
      <c r="AD1921" s="7" t="s">
        <v>388</v>
      </c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 t="s">
        <v>127</v>
      </c>
      <c r="BF1921" s="8"/>
      <c r="BG1921" s="8"/>
      <c r="BH1921" s="8"/>
      <c r="BI1921" s="8"/>
      <c r="BJ1921" s="8"/>
      <c r="BK1921" s="8"/>
      <c r="BL1921" s="8"/>
      <c r="BM1921" s="8"/>
      <c r="BN1921" s="8"/>
      <c r="BO1921" s="8"/>
      <c r="BP1921" s="8"/>
      <c r="BQ1921" s="8"/>
      <c r="BR1921" s="8"/>
      <c r="BS1921" s="8"/>
    </row>
    <row r="1922" customFormat="false" ht="15" hidden="false" customHeight="false" outlineLevel="0" collapsed="false">
      <c r="A1922" s="7" t="s">
        <v>12465</v>
      </c>
      <c r="B1922" s="7" t="s">
        <v>12466</v>
      </c>
      <c r="C1922" s="9" t="s">
        <v>12467</v>
      </c>
      <c r="D1922" s="7" t="s">
        <v>12468</v>
      </c>
      <c r="E1922" s="7" t="s">
        <v>819</v>
      </c>
      <c r="F1922" s="7" t="s">
        <v>819</v>
      </c>
      <c r="G1922" s="7"/>
      <c r="H1922" s="7" t="s">
        <v>207</v>
      </c>
      <c r="I1922" s="7" t="s">
        <v>132</v>
      </c>
      <c r="J1922" s="7" t="s">
        <v>104</v>
      </c>
      <c r="K1922" s="7" t="s">
        <v>105</v>
      </c>
      <c r="L1922" s="7" t="s">
        <v>106</v>
      </c>
      <c r="M1922" s="7"/>
      <c r="N1922" s="7" t="s">
        <v>12469</v>
      </c>
      <c r="O1922" s="7" t="s">
        <v>12469</v>
      </c>
      <c r="P1922" s="7" t="s">
        <v>109</v>
      </c>
      <c r="Q1922" s="7"/>
      <c r="R1922" s="7" t="s">
        <v>109</v>
      </c>
      <c r="S1922" s="7" t="s">
        <v>110</v>
      </c>
      <c r="T1922" s="7" t="n">
        <v>0.778</v>
      </c>
      <c r="U1922" s="7" t="n">
        <v>1</v>
      </c>
      <c r="V1922" s="7" t="s">
        <v>86</v>
      </c>
      <c r="W1922" s="7"/>
      <c r="X1922" s="7"/>
      <c r="Y1922" s="7" t="s">
        <v>12469</v>
      </c>
      <c r="Z1922" s="7"/>
      <c r="AA1922" s="7"/>
      <c r="AB1922" s="7"/>
      <c r="AC1922" s="7" t="n">
        <v>0</v>
      </c>
      <c r="AD1922" s="7" t="s">
        <v>388</v>
      </c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 t="s">
        <v>127</v>
      </c>
      <c r="BF1922" s="8"/>
      <c r="BG1922" s="8"/>
      <c r="BH1922" s="8"/>
      <c r="BI1922" s="8"/>
      <c r="BJ1922" s="8"/>
      <c r="BK1922" s="8"/>
      <c r="BL1922" s="8"/>
      <c r="BM1922" s="8"/>
      <c r="BN1922" s="8"/>
      <c r="BO1922" s="8"/>
      <c r="BP1922" s="8"/>
      <c r="BQ1922" s="8"/>
      <c r="BR1922" s="8"/>
      <c r="BS1922" s="8"/>
    </row>
    <row r="1923" customFormat="false" ht="15" hidden="false" customHeight="false" outlineLevel="0" collapsed="false">
      <c r="A1923" s="7" t="s">
        <v>12470</v>
      </c>
      <c r="B1923" s="7" t="s">
        <v>12471</v>
      </c>
      <c r="C1923" s="7" t="s">
        <v>12472</v>
      </c>
      <c r="D1923" s="7" t="s">
        <v>12473</v>
      </c>
      <c r="E1923" s="7" t="s">
        <v>819</v>
      </c>
      <c r="F1923" s="7" t="s">
        <v>819</v>
      </c>
      <c r="G1923" s="7"/>
      <c r="H1923" s="7" t="s">
        <v>207</v>
      </c>
      <c r="I1923" s="7" t="s">
        <v>103</v>
      </c>
      <c r="J1923" s="7" t="s">
        <v>104</v>
      </c>
      <c r="K1923" s="7" t="s">
        <v>105</v>
      </c>
      <c r="L1923" s="7" t="s">
        <v>106</v>
      </c>
      <c r="M1923" s="7"/>
      <c r="N1923" s="7" t="s">
        <v>12474</v>
      </c>
      <c r="O1923" s="7" t="s">
        <v>12474</v>
      </c>
      <c r="P1923" s="7" t="s">
        <v>109</v>
      </c>
      <c r="Q1923" s="7"/>
      <c r="R1923" s="7" t="s">
        <v>109</v>
      </c>
      <c r="S1923" s="7" t="s">
        <v>110</v>
      </c>
      <c r="T1923" s="7" t="n">
        <v>0.68</v>
      </c>
      <c r="U1923" s="7" t="n">
        <v>1</v>
      </c>
      <c r="V1923" s="7" t="s">
        <v>86</v>
      </c>
      <c r="W1923" s="7"/>
      <c r="X1923" s="7"/>
      <c r="Y1923" s="7" t="s">
        <v>12474</v>
      </c>
      <c r="Z1923" s="7"/>
      <c r="AA1923" s="7"/>
      <c r="AB1923" s="7"/>
      <c r="AC1923" s="7" t="n">
        <v>0</v>
      </c>
      <c r="AD1923" s="7" t="s">
        <v>388</v>
      </c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 t="s">
        <v>127</v>
      </c>
      <c r="BF1923" s="8"/>
      <c r="BG1923" s="8"/>
      <c r="BH1923" s="8"/>
      <c r="BI1923" s="8"/>
      <c r="BJ1923" s="8"/>
      <c r="BK1923" s="8"/>
      <c r="BL1923" s="8"/>
      <c r="BM1923" s="8"/>
      <c r="BN1923" s="8"/>
      <c r="BO1923" s="8"/>
      <c r="BP1923" s="8"/>
      <c r="BQ1923" s="8"/>
      <c r="BR1923" s="8"/>
      <c r="BS1923" s="8"/>
    </row>
    <row r="1924" customFormat="false" ht="15" hidden="false" customHeight="false" outlineLevel="0" collapsed="false">
      <c r="A1924" s="7" t="s">
        <v>12475</v>
      </c>
      <c r="B1924" s="7" t="s">
        <v>12476</v>
      </c>
      <c r="C1924" s="7" t="s">
        <v>12477</v>
      </c>
      <c r="D1924" s="7" t="s">
        <v>12478</v>
      </c>
      <c r="E1924" s="7" t="s">
        <v>3046</v>
      </c>
      <c r="F1924" s="7" t="s">
        <v>3046</v>
      </c>
      <c r="G1924" s="7"/>
      <c r="H1924" s="7" t="s">
        <v>207</v>
      </c>
      <c r="I1924" s="7" t="s">
        <v>158</v>
      </c>
      <c r="J1924" s="7" t="s">
        <v>104</v>
      </c>
      <c r="K1924" s="7" t="s">
        <v>105</v>
      </c>
      <c r="L1924" s="7" t="s">
        <v>106</v>
      </c>
      <c r="M1924" s="7"/>
      <c r="N1924" s="7" t="s">
        <v>12479</v>
      </c>
      <c r="O1924" s="7" t="s">
        <v>12479</v>
      </c>
      <c r="P1924" s="7" t="s">
        <v>109</v>
      </c>
      <c r="Q1924" s="7"/>
      <c r="R1924" s="7" t="s">
        <v>109</v>
      </c>
      <c r="S1924" s="7" t="s">
        <v>110</v>
      </c>
      <c r="T1924" s="7" t="n">
        <v>0.751</v>
      </c>
      <c r="U1924" s="7" t="n">
        <v>1</v>
      </c>
      <c r="V1924" s="7" t="s">
        <v>1156</v>
      </c>
      <c r="W1924" s="7"/>
      <c r="X1924" s="7"/>
      <c r="Y1924" s="7" t="s">
        <v>12479</v>
      </c>
      <c r="Z1924" s="7"/>
      <c r="AA1924" s="7"/>
      <c r="AB1924" s="7"/>
      <c r="AC1924" s="7" t="n">
        <v>0</v>
      </c>
      <c r="AD1924" s="7" t="s">
        <v>388</v>
      </c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 t="s">
        <v>127</v>
      </c>
      <c r="BF1924" s="8"/>
      <c r="BG1924" s="8"/>
      <c r="BH1924" s="8"/>
      <c r="BI1924" s="8"/>
      <c r="BJ1924" s="8"/>
      <c r="BK1924" s="8"/>
      <c r="BL1924" s="8"/>
      <c r="BM1924" s="8"/>
      <c r="BN1924" s="8"/>
      <c r="BO1924" s="8"/>
      <c r="BP1924" s="8"/>
      <c r="BQ1924" s="8"/>
      <c r="BR1924" s="8"/>
      <c r="BS1924" s="8"/>
    </row>
    <row r="1925" customFormat="false" ht="15" hidden="false" customHeight="false" outlineLevel="0" collapsed="false">
      <c r="A1925" s="7" t="s">
        <v>12480</v>
      </c>
      <c r="B1925" s="7" t="s">
        <v>12481</v>
      </c>
      <c r="C1925" s="7" t="s">
        <v>12482</v>
      </c>
      <c r="D1925" s="7" t="s">
        <v>12483</v>
      </c>
      <c r="E1925" s="7" t="s">
        <v>431</v>
      </c>
      <c r="F1925" s="7" t="s">
        <v>431</v>
      </c>
      <c r="G1925" s="7"/>
      <c r="H1925" s="7" t="s">
        <v>207</v>
      </c>
      <c r="I1925" s="7" t="s">
        <v>158</v>
      </c>
      <c r="J1925" s="7" t="s">
        <v>104</v>
      </c>
      <c r="K1925" s="7" t="s">
        <v>105</v>
      </c>
      <c r="L1925" s="7" t="s">
        <v>106</v>
      </c>
      <c r="M1925" s="7"/>
      <c r="N1925" s="7" t="s">
        <v>12484</v>
      </c>
      <c r="O1925" s="7" t="s">
        <v>12484</v>
      </c>
      <c r="P1925" s="7" t="s">
        <v>135</v>
      </c>
      <c r="Q1925" s="7"/>
      <c r="R1925" s="7" t="s">
        <v>109</v>
      </c>
      <c r="S1925" s="7" t="s">
        <v>110</v>
      </c>
      <c r="T1925" s="7" t="n">
        <v>0.593</v>
      </c>
      <c r="U1925" s="7" t="n">
        <v>1</v>
      </c>
      <c r="V1925" s="7" t="s">
        <v>90</v>
      </c>
      <c r="W1925" s="7"/>
      <c r="X1925" s="7"/>
      <c r="Y1925" s="7" t="s">
        <v>12484</v>
      </c>
      <c r="Z1925" s="7"/>
      <c r="AA1925" s="7"/>
      <c r="AB1925" s="7"/>
      <c r="AC1925" s="7" t="n">
        <v>0</v>
      </c>
      <c r="AD1925" s="7" t="s">
        <v>388</v>
      </c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 t="s">
        <v>2797</v>
      </c>
      <c r="BE1925" s="7" t="s">
        <v>127</v>
      </c>
      <c r="BF1925" s="8"/>
      <c r="BG1925" s="8"/>
      <c r="BH1925" s="8"/>
      <c r="BI1925" s="8"/>
      <c r="BJ1925" s="8"/>
      <c r="BK1925" s="8"/>
      <c r="BL1925" s="8"/>
      <c r="BM1925" s="8"/>
      <c r="BN1925" s="8"/>
      <c r="BO1925" s="8"/>
      <c r="BP1925" s="8"/>
      <c r="BQ1925" s="8"/>
      <c r="BR1925" s="8"/>
      <c r="BS1925" s="8"/>
    </row>
    <row r="1926" customFormat="false" ht="15" hidden="false" customHeight="false" outlineLevel="0" collapsed="false">
      <c r="A1926" s="7" t="s">
        <v>12485</v>
      </c>
      <c r="B1926" s="7" t="s">
        <v>12486</v>
      </c>
      <c r="C1926" s="7" t="s">
        <v>12487</v>
      </c>
      <c r="D1926" s="7" t="s">
        <v>8429</v>
      </c>
      <c r="E1926" s="7" t="s">
        <v>410</v>
      </c>
      <c r="F1926" s="7" t="s">
        <v>410</v>
      </c>
      <c r="G1926" s="7"/>
      <c r="H1926" s="7" t="s">
        <v>207</v>
      </c>
      <c r="I1926" s="7" t="s">
        <v>132</v>
      </c>
      <c r="J1926" s="7" t="s">
        <v>104</v>
      </c>
      <c r="K1926" s="7" t="s">
        <v>105</v>
      </c>
      <c r="L1926" s="7" t="s">
        <v>106</v>
      </c>
      <c r="M1926" s="7"/>
      <c r="N1926" s="7" t="s">
        <v>12488</v>
      </c>
      <c r="O1926" s="7" t="s">
        <v>12488</v>
      </c>
      <c r="P1926" s="7" t="s">
        <v>135</v>
      </c>
      <c r="Q1926" s="7"/>
      <c r="R1926" s="7" t="s">
        <v>109</v>
      </c>
      <c r="S1926" s="7" t="s">
        <v>110</v>
      </c>
      <c r="T1926" s="7" t="n">
        <v>0.387</v>
      </c>
      <c r="U1926" s="7" t="n">
        <v>1</v>
      </c>
      <c r="V1926" s="7" t="s">
        <v>90</v>
      </c>
      <c r="W1926" s="7"/>
      <c r="X1926" s="7"/>
      <c r="Y1926" s="7" t="s">
        <v>12488</v>
      </c>
      <c r="Z1926" s="7"/>
      <c r="AA1926" s="7"/>
      <c r="AB1926" s="7"/>
      <c r="AC1926" s="7" t="n">
        <v>0</v>
      </c>
      <c r="AD1926" s="7" t="s">
        <v>388</v>
      </c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 t="s">
        <v>440</v>
      </c>
      <c r="BE1926" s="7" t="s">
        <v>127</v>
      </c>
      <c r="BF1926" s="8"/>
      <c r="BG1926" s="8"/>
      <c r="BH1926" s="8"/>
      <c r="BI1926" s="8"/>
      <c r="BJ1926" s="8"/>
      <c r="BK1926" s="8"/>
      <c r="BL1926" s="8"/>
      <c r="BM1926" s="8"/>
      <c r="BN1926" s="8"/>
      <c r="BO1926" s="8"/>
      <c r="BP1926" s="8"/>
      <c r="BQ1926" s="8"/>
      <c r="BR1926" s="8"/>
      <c r="BS1926" s="8"/>
    </row>
    <row r="1927" customFormat="false" ht="15" hidden="false" customHeight="false" outlineLevel="0" collapsed="false">
      <c r="A1927" s="7" t="s">
        <v>12489</v>
      </c>
      <c r="B1927" s="7" t="s">
        <v>12490</v>
      </c>
      <c r="C1927" s="7" t="s">
        <v>12491</v>
      </c>
      <c r="D1927" s="7" t="s">
        <v>12492</v>
      </c>
      <c r="E1927" s="7" t="s">
        <v>741</v>
      </c>
      <c r="F1927" s="7" t="s">
        <v>741</v>
      </c>
      <c r="G1927" s="7"/>
      <c r="H1927" s="7" t="s">
        <v>207</v>
      </c>
      <c r="I1927" s="7" t="s">
        <v>208</v>
      </c>
      <c r="J1927" s="7" t="s">
        <v>104</v>
      </c>
      <c r="K1927" s="7" t="s">
        <v>105</v>
      </c>
      <c r="L1927" s="7" t="s">
        <v>106</v>
      </c>
      <c r="M1927" s="7"/>
      <c r="N1927" s="7" t="s">
        <v>12493</v>
      </c>
      <c r="O1927" s="7" t="s">
        <v>12493</v>
      </c>
      <c r="P1927" s="7" t="s">
        <v>109</v>
      </c>
      <c r="Q1927" s="7"/>
      <c r="R1927" s="7" t="s">
        <v>109</v>
      </c>
      <c r="S1927" s="7" t="s">
        <v>110</v>
      </c>
      <c r="T1927" s="7" t="n">
        <v>0.691</v>
      </c>
      <c r="U1927" s="7" t="n">
        <v>1</v>
      </c>
      <c r="V1927" s="7" t="s">
        <v>86</v>
      </c>
      <c r="W1927" s="7"/>
      <c r="X1927" s="7"/>
      <c r="Y1927" s="7" t="s">
        <v>12493</v>
      </c>
      <c r="Z1927" s="7"/>
      <c r="AA1927" s="7"/>
      <c r="AB1927" s="7"/>
      <c r="AC1927" s="7" t="n">
        <v>0</v>
      </c>
      <c r="AD1927" s="7" t="s">
        <v>388</v>
      </c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 t="s">
        <v>127</v>
      </c>
      <c r="BF1927" s="8"/>
      <c r="BG1927" s="8"/>
      <c r="BH1927" s="8"/>
      <c r="BI1927" s="8"/>
      <c r="BJ1927" s="8"/>
      <c r="BK1927" s="8"/>
      <c r="BL1927" s="8"/>
      <c r="BM1927" s="8"/>
      <c r="BN1927" s="8"/>
      <c r="BO1927" s="8"/>
      <c r="BP1927" s="8"/>
      <c r="BQ1927" s="8"/>
      <c r="BR1927" s="8"/>
      <c r="BS1927" s="8"/>
    </row>
    <row r="1928" customFormat="false" ht="15" hidden="false" customHeight="false" outlineLevel="0" collapsed="false">
      <c r="A1928" s="7" t="s">
        <v>12494</v>
      </c>
      <c r="B1928" s="7" t="s">
        <v>12495</v>
      </c>
      <c r="C1928" s="7" t="s">
        <v>12496</v>
      </c>
      <c r="D1928" s="7" t="s">
        <v>12497</v>
      </c>
      <c r="E1928" s="7" t="s">
        <v>819</v>
      </c>
      <c r="F1928" s="7" t="s">
        <v>819</v>
      </c>
      <c r="G1928" s="7"/>
      <c r="H1928" s="7" t="s">
        <v>207</v>
      </c>
      <c r="I1928" s="7" t="s">
        <v>1140</v>
      </c>
      <c r="J1928" s="7" t="s">
        <v>104</v>
      </c>
      <c r="K1928" s="7" t="s">
        <v>105</v>
      </c>
      <c r="L1928" s="7" t="s">
        <v>106</v>
      </c>
      <c r="M1928" s="7"/>
      <c r="N1928" s="7" t="s">
        <v>12498</v>
      </c>
      <c r="O1928" s="7" t="s">
        <v>12498</v>
      </c>
      <c r="P1928" s="7" t="s">
        <v>135</v>
      </c>
      <c r="Q1928" s="7"/>
      <c r="R1928" s="7" t="s">
        <v>109</v>
      </c>
      <c r="S1928" s="7" t="s">
        <v>110</v>
      </c>
      <c r="T1928" s="7" t="n">
        <v>0.451</v>
      </c>
      <c r="U1928" s="7" t="n">
        <v>1</v>
      </c>
      <c r="V1928" s="7" t="s">
        <v>90</v>
      </c>
      <c r="W1928" s="7"/>
      <c r="X1928" s="7"/>
      <c r="Y1928" s="7" t="s">
        <v>12498</v>
      </c>
      <c r="Z1928" s="7"/>
      <c r="AA1928" s="7"/>
      <c r="AB1928" s="7"/>
      <c r="AC1928" s="7" t="n">
        <v>0</v>
      </c>
      <c r="AD1928" s="7" t="s">
        <v>388</v>
      </c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 t="s">
        <v>440</v>
      </c>
      <c r="BE1928" s="7" t="s">
        <v>127</v>
      </c>
      <c r="BF1928" s="8"/>
      <c r="BG1928" s="8"/>
      <c r="BH1928" s="8"/>
      <c r="BI1928" s="8"/>
      <c r="BJ1928" s="8"/>
      <c r="BK1928" s="8"/>
      <c r="BL1928" s="8"/>
      <c r="BM1928" s="8"/>
      <c r="BN1928" s="8"/>
      <c r="BO1928" s="8"/>
      <c r="BP1928" s="8"/>
      <c r="BQ1928" s="8"/>
      <c r="BR1928" s="8"/>
      <c r="BS1928" s="8"/>
    </row>
    <row r="1929" customFormat="false" ht="15" hidden="false" customHeight="false" outlineLevel="0" collapsed="false">
      <c r="A1929" s="7" t="s">
        <v>12499</v>
      </c>
      <c r="B1929" s="7" t="s">
        <v>12500</v>
      </c>
      <c r="C1929" s="7" t="s">
        <v>12501</v>
      </c>
      <c r="D1929" s="7" t="s">
        <v>8898</v>
      </c>
      <c r="E1929" s="7" t="s">
        <v>410</v>
      </c>
      <c r="F1929" s="7" t="s">
        <v>410</v>
      </c>
      <c r="G1929" s="7"/>
      <c r="H1929" s="7" t="s">
        <v>207</v>
      </c>
      <c r="I1929" s="7" t="s">
        <v>158</v>
      </c>
      <c r="J1929" s="7" t="s">
        <v>104</v>
      </c>
      <c r="K1929" s="7" t="s">
        <v>105</v>
      </c>
      <c r="L1929" s="7" t="s">
        <v>353</v>
      </c>
      <c r="M1929" s="7"/>
      <c r="N1929" s="7" t="s">
        <v>12502</v>
      </c>
      <c r="O1929" s="7"/>
      <c r="P1929" s="7" t="s">
        <v>109</v>
      </c>
      <c r="Q1929" s="7"/>
      <c r="R1929" s="7"/>
      <c r="S1929" s="7"/>
      <c r="T1929" s="7" t="n">
        <v>0.599</v>
      </c>
      <c r="U1929" s="7" t="n">
        <v>1</v>
      </c>
      <c r="V1929" s="7" t="s">
        <v>1156</v>
      </c>
      <c r="W1929" s="7"/>
      <c r="X1929" s="7"/>
      <c r="Y1929" s="7" t="s">
        <v>12502</v>
      </c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 t="s">
        <v>127</v>
      </c>
      <c r="BF1929" s="8"/>
      <c r="BG1929" s="8"/>
      <c r="BH1929" s="8"/>
      <c r="BI1929" s="8"/>
      <c r="BJ1929" s="8"/>
      <c r="BK1929" s="8"/>
      <c r="BL1929" s="8"/>
      <c r="BM1929" s="8"/>
      <c r="BN1929" s="8"/>
      <c r="BO1929" s="8"/>
      <c r="BP1929" s="8"/>
      <c r="BQ1929" s="8"/>
      <c r="BR1929" s="8"/>
      <c r="BS1929" s="8"/>
    </row>
    <row r="1930" customFormat="false" ht="15" hidden="false" customHeight="false" outlineLevel="0" collapsed="false">
      <c r="A1930" s="7" t="s">
        <v>12503</v>
      </c>
      <c r="B1930" s="7" t="s">
        <v>12504</v>
      </c>
      <c r="C1930" s="7" t="s">
        <v>12505</v>
      </c>
      <c r="D1930" s="7" t="s">
        <v>8375</v>
      </c>
      <c r="E1930" s="7" t="s">
        <v>431</v>
      </c>
      <c r="F1930" s="7" t="s">
        <v>431</v>
      </c>
      <c r="G1930" s="7"/>
      <c r="H1930" s="7" t="s">
        <v>207</v>
      </c>
      <c r="I1930" s="7" t="s">
        <v>1140</v>
      </c>
      <c r="J1930" s="7" t="s">
        <v>104</v>
      </c>
      <c r="K1930" s="7" t="s">
        <v>105</v>
      </c>
      <c r="L1930" s="7" t="s">
        <v>106</v>
      </c>
      <c r="M1930" s="7"/>
      <c r="N1930" s="7" t="s">
        <v>12506</v>
      </c>
      <c r="O1930" s="7" t="s">
        <v>12506</v>
      </c>
      <c r="P1930" s="7" t="s">
        <v>109</v>
      </c>
      <c r="Q1930" s="7"/>
      <c r="R1930" s="7" t="s">
        <v>109</v>
      </c>
      <c r="S1930" s="7" t="s">
        <v>110</v>
      </c>
      <c r="T1930" s="7" t="n">
        <v>0.394</v>
      </c>
      <c r="U1930" s="7" t="n">
        <v>1</v>
      </c>
      <c r="V1930" s="7" t="s">
        <v>1156</v>
      </c>
      <c r="W1930" s="7"/>
      <c r="X1930" s="7"/>
      <c r="Y1930" s="7" t="s">
        <v>12506</v>
      </c>
      <c r="Z1930" s="7"/>
      <c r="AA1930" s="7"/>
      <c r="AB1930" s="7"/>
      <c r="AC1930" s="7" t="n">
        <v>0</v>
      </c>
      <c r="AD1930" s="7" t="s">
        <v>388</v>
      </c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 t="s">
        <v>127</v>
      </c>
      <c r="BF1930" s="8"/>
      <c r="BG1930" s="8"/>
      <c r="BH1930" s="8"/>
      <c r="BI1930" s="8"/>
      <c r="BJ1930" s="8"/>
      <c r="BK1930" s="8"/>
      <c r="BL1930" s="8"/>
      <c r="BM1930" s="8"/>
      <c r="BN1930" s="8"/>
      <c r="BO1930" s="8"/>
      <c r="BP1930" s="8"/>
      <c r="BQ1930" s="8"/>
      <c r="BR1930" s="8"/>
      <c r="BS1930" s="8"/>
    </row>
    <row r="1931" customFormat="false" ht="15" hidden="false" customHeight="false" outlineLevel="0" collapsed="false">
      <c r="A1931" s="7" t="s">
        <v>12507</v>
      </c>
      <c r="B1931" s="7" t="s">
        <v>12508</v>
      </c>
      <c r="C1931" s="7" t="s">
        <v>12509</v>
      </c>
      <c r="D1931" s="7" t="s">
        <v>12510</v>
      </c>
      <c r="E1931" s="7" t="s">
        <v>410</v>
      </c>
      <c r="F1931" s="7" t="s">
        <v>410</v>
      </c>
      <c r="G1931" s="7"/>
      <c r="H1931" s="7" t="s">
        <v>207</v>
      </c>
      <c r="I1931" s="7" t="s">
        <v>132</v>
      </c>
      <c r="J1931" s="7" t="s">
        <v>104</v>
      </c>
      <c r="K1931" s="7" t="s">
        <v>105</v>
      </c>
      <c r="L1931" s="7" t="s">
        <v>106</v>
      </c>
      <c r="M1931" s="7"/>
      <c r="N1931" s="7" t="s">
        <v>12511</v>
      </c>
      <c r="O1931" s="7" t="s">
        <v>12511</v>
      </c>
      <c r="P1931" s="7" t="s">
        <v>109</v>
      </c>
      <c r="Q1931" s="7"/>
      <c r="R1931" s="7" t="s">
        <v>109</v>
      </c>
      <c r="S1931" s="7" t="s">
        <v>110</v>
      </c>
      <c r="T1931" s="7" t="n">
        <v>0.231</v>
      </c>
      <c r="U1931" s="7" t="n">
        <v>1</v>
      </c>
      <c r="V1931" s="7" t="s">
        <v>1156</v>
      </c>
      <c r="W1931" s="7"/>
      <c r="X1931" s="7"/>
      <c r="Y1931" s="7" t="s">
        <v>12511</v>
      </c>
      <c r="Z1931" s="7"/>
      <c r="AA1931" s="7"/>
      <c r="AB1931" s="7"/>
      <c r="AC1931" s="7" t="n">
        <v>0</v>
      </c>
      <c r="AD1931" s="7" t="s">
        <v>388</v>
      </c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 t="s">
        <v>127</v>
      </c>
      <c r="BF1931" s="8"/>
      <c r="BG1931" s="8"/>
      <c r="BH1931" s="8"/>
      <c r="BI1931" s="8"/>
      <c r="BJ1931" s="8"/>
      <c r="BK1931" s="8"/>
      <c r="BL1931" s="8"/>
      <c r="BM1931" s="8"/>
      <c r="BN1931" s="8"/>
      <c r="BO1931" s="8"/>
      <c r="BP1931" s="8"/>
      <c r="BQ1931" s="8"/>
      <c r="BR1931" s="8"/>
      <c r="BS1931" s="8"/>
    </row>
    <row r="1932" customFormat="false" ht="15" hidden="false" customHeight="false" outlineLevel="0" collapsed="false">
      <c r="A1932" s="7" t="s">
        <v>12512</v>
      </c>
      <c r="B1932" s="7" t="s">
        <v>12513</v>
      </c>
      <c r="C1932" s="7" t="s">
        <v>12514</v>
      </c>
      <c r="D1932" s="7" t="s">
        <v>8598</v>
      </c>
      <c r="E1932" s="7" t="s">
        <v>4473</v>
      </c>
      <c r="F1932" s="7" t="s">
        <v>4473</v>
      </c>
      <c r="G1932" s="7"/>
      <c r="H1932" s="7" t="s">
        <v>207</v>
      </c>
      <c r="I1932" s="7" t="s">
        <v>132</v>
      </c>
      <c r="J1932" s="7" t="s">
        <v>104</v>
      </c>
      <c r="K1932" s="7" t="s">
        <v>105</v>
      </c>
      <c r="L1932" s="7" t="s">
        <v>106</v>
      </c>
      <c r="M1932" s="7"/>
      <c r="N1932" s="7" t="s">
        <v>12515</v>
      </c>
      <c r="O1932" s="7"/>
      <c r="P1932" s="7" t="s">
        <v>135</v>
      </c>
      <c r="Q1932" s="7"/>
      <c r="R1932" s="7"/>
      <c r="S1932" s="7"/>
      <c r="T1932" s="7" t="n">
        <v>0.267</v>
      </c>
      <c r="U1932" s="7" t="n">
        <v>1</v>
      </c>
      <c r="V1932" s="7" t="s">
        <v>90</v>
      </c>
      <c r="W1932" s="7"/>
      <c r="X1932" s="7"/>
      <c r="Y1932" s="7" t="s">
        <v>12515</v>
      </c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 t="s">
        <v>440</v>
      </c>
      <c r="BE1932" s="7" t="s">
        <v>127</v>
      </c>
      <c r="BF1932" s="8"/>
      <c r="BG1932" s="8"/>
      <c r="BH1932" s="8"/>
      <c r="BI1932" s="8"/>
      <c r="BJ1932" s="8"/>
      <c r="BK1932" s="8"/>
      <c r="BL1932" s="8"/>
      <c r="BM1932" s="8"/>
      <c r="BN1932" s="8"/>
      <c r="BO1932" s="8"/>
      <c r="BP1932" s="8"/>
      <c r="BQ1932" s="8"/>
      <c r="BR1932" s="8"/>
      <c r="BS1932" s="8"/>
    </row>
    <row r="1933" customFormat="false" ht="15" hidden="false" customHeight="false" outlineLevel="0" collapsed="false">
      <c r="A1933" s="7" t="s">
        <v>12516</v>
      </c>
      <c r="B1933" s="7" t="s">
        <v>12517</v>
      </c>
      <c r="C1933" s="9" t="s">
        <v>12518</v>
      </c>
      <c r="D1933" s="7" t="s">
        <v>8598</v>
      </c>
      <c r="E1933" s="7" t="s">
        <v>4473</v>
      </c>
      <c r="F1933" s="7" t="s">
        <v>4473</v>
      </c>
      <c r="G1933" s="7"/>
      <c r="H1933" s="7" t="s">
        <v>207</v>
      </c>
      <c r="I1933" s="7" t="s">
        <v>234</v>
      </c>
      <c r="J1933" s="7" t="s">
        <v>104</v>
      </c>
      <c r="K1933" s="7" t="s">
        <v>105</v>
      </c>
      <c r="L1933" s="7" t="s">
        <v>235</v>
      </c>
      <c r="M1933" s="7"/>
      <c r="N1933" s="7" t="s">
        <v>12519</v>
      </c>
      <c r="O1933" s="7" t="s">
        <v>12519</v>
      </c>
      <c r="P1933" s="7" t="s">
        <v>109</v>
      </c>
      <c r="Q1933" s="7"/>
      <c r="R1933" s="7" t="s">
        <v>109</v>
      </c>
      <c r="S1933" s="7" t="s">
        <v>110</v>
      </c>
      <c r="T1933" s="7" t="n">
        <v>0.627</v>
      </c>
      <c r="U1933" s="7" t="n">
        <v>1</v>
      </c>
      <c r="V1933" s="7" t="s">
        <v>86</v>
      </c>
      <c r="W1933" s="7"/>
      <c r="X1933" s="7"/>
      <c r="Y1933" s="7" t="s">
        <v>12519</v>
      </c>
      <c r="Z1933" s="7"/>
      <c r="AA1933" s="7"/>
      <c r="AB1933" s="7"/>
      <c r="AC1933" s="7" t="n">
        <v>0</v>
      </c>
      <c r="AD1933" s="7" t="s">
        <v>388</v>
      </c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 t="s">
        <v>127</v>
      </c>
      <c r="BF1933" s="8"/>
      <c r="BG1933" s="8"/>
      <c r="BH1933" s="8"/>
      <c r="BI1933" s="8"/>
      <c r="BJ1933" s="8"/>
      <c r="BK1933" s="8"/>
      <c r="BL1933" s="8"/>
      <c r="BM1933" s="8"/>
      <c r="BN1933" s="8"/>
      <c r="BO1933" s="8"/>
      <c r="BP1933" s="8"/>
      <c r="BQ1933" s="8"/>
      <c r="BR1933" s="8"/>
      <c r="BS1933" s="8"/>
    </row>
    <row r="1934" customFormat="false" ht="15" hidden="false" customHeight="false" outlineLevel="0" collapsed="false">
      <c r="A1934" s="7" t="s">
        <v>12520</v>
      </c>
      <c r="B1934" s="7" t="s">
        <v>12521</v>
      </c>
      <c r="C1934" s="7" t="s">
        <v>12522</v>
      </c>
      <c r="D1934" s="7" t="s">
        <v>12523</v>
      </c>
      <c r="E1934" s="7" t="s">
        <v>8409</v>
      </c>
      <c r="F1934" s="7" t="s">
        <v>8409</v>
      </c>
      <c r="G1934" s="7"/>
      <c r="H1934" s="7" t="s">
        <v>207</v>
      </c>
      <c r="I1934" s="7" t="s">
        <v>208</v>
      </c>
      <c r="J1934" s="7" t="s">
        <v>104</v>
      </c>
      <c r="K1934" s="7" t="s">
        <v>105</v>
      </c>
      <c r="L1934" s="7" t="s">
        <v>106</v>
      </c>
      <c r="M1934" s="7"/>
      <c r="N1934" s="7" t="s">
        <v>12524</v>
      </c>
      <c r="O1934" s="7" t="s">
        <v>12524</v>
      </c>
      <c r="P1934" s="7" t="s">
        <v>135</v>
      </c>
      <c r="Q1934" s="7"/>
      <c r="R1934" s="7" t="s">
        <v>109</v>
      </c>
      <c r="S1934" s="7" t="s">
        <v>110</v>
      </c>
      <c r="T1934" s="7" t="n">
        <v>0.61</v>
      </c>
      <c r="U1934" s="7" t="n">
        <v>1</v>
      </c>
      <c r="V1934" s="7" t="s">
        <v>90</v>
      </c>
      <c r="W1934" s="7"/>
      <c r="X1934" s="7"/>
      <c r="Y1934" s="7" t="s">
        <v>12524</v>
      </c>
      <c r="Z1934" s="7"/>
      <c r="AA1934" s="7"/>
      <c r="AB1934" s="7"/>
      <c r="AC1934" s="7" t="n">
        <v>0</v>
      </c>
      <c r="AD1934" s="7" t="s">
        <v>388</v>
      </c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 t="s">
        <v>440</v>
      </c>
      <c r="BE1934" s="7" t="s">
        <v>127</v>
      </c>
      <c r="BF1934" s="8"/>
      <c r="BG1934" s="8"/>
      <c r="BH1934" s="8"/>
      <c r="BI1934" s="8"/>
      <c r="BJ1934" s="8"/>
      <c r="BK1934" s="8"/>
      <c r="BL1934" s="8"/>
      <c r="BM1934" s="8"/>
      <c r="BN1934" s="8"/>
      <c r="BO1934" s="8"/>
      <c r="BP1934" s="8"/>
      <c r="BQ1934" s="8"/>
      <c r="BR1934" s="8"/>
      <c r="BS1934" s="8"/>
    </row>
    <row r="1935" customFormat="false" ht="15" hidden="false" customHeight="false" outlineLevel="0" collapsed="false">
      <c r="A1935" s="7" t="s">
        <v>12525</v>
      </c>
      <c r="B1935" s="7" t="s">
        <v>12526</v>
      </c>
      <c r="C1935" s="7" t="s">
        <v>12527</v>
      </c>
      <c r="D1935" s="7" t="s">
        <v>12528</v>
      </c>
      <c r="E1935" s="7" t="s">
        <v>10998</v>
      </c>
      <c r="F1935" s="7" t="s">
        <v>10998</v>
      </c>
      <c r="G1935" s="7"/>
      <c r="H1935" s="7" t="s">
        <v>207</v>
      </c>
      <c r="I1935" s="7" t="s">
        <v>158</v>
      </c>
      <c r="J1935" s="7" t="s">
        <v>104</v>
      </c>
      <c r="K1935" s="7" t="s">
        <v>105</v>
      </c>
      <c r="L1935" s="7" t="s">
        <v>106</v>
      </c>
      <c r="M1935" s="7"/>
      <c r="N1935" s="7" t="s">
        <v>12529</v>
      </c>
      <c r="O1935" s="7" t="s">
        <v>12529</v>
      </c>
      <c r="P1935" s="7" t="s">
        <v>135</v>
      </c>
      <c r="Q1935" s="7"/>
      <c r="R1935" s="7" t="s">
        <v>109</v>
      </c>
      <c r="S1935" s="7" t="s">
        <v>110</v>
      </c>
      <c r="T1935" s="7" t="n">
        <v>0.884</v>
      </c>
      <c r="U1935" s="7" t="n">
        <v>1</v>
      </c>
      <c r="V1935" s="7" t="s">
        <v>90</v>
      </c>
      <c r="W1935" s="7"/>
      <c r="X1935" s="7"/>
      <c r="Y1935" s="7" t="s">
        <v>12529</v>
      </c>
      <c r="Z1935" s="7"/>
      <c r="AA1935" s="7"/>
      <c r="AB1935" s="7"/>
      <c r="AC1935" s="7" t="n">
        <v>0</v>
      </c>
      <c r="AD1935" s="7" t="s">
        <v>388</v>
      </c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 t="s">
        <v>440</v>
      </c>
      <c r="BE1935" s="7" t="s">
        <v>127</v>
      </c>
      <c r="BF1935" s="8"/>
      <c r="BG1935" s="8"/>
      <c r="BH1935" s="8"/>
      <c r="BI1935" s="8"/>
      <c r="BJ1935" s="8"/>
      <c r="BK1935" s="8"/>
      <c r="BL1935" s="8"/>
      <c r="BM1935" s="8"/>
      <c r="BN1935" s="8"/>
      <c r="BO1935" s="8"/>
      <c r="BP1935" s="8"/>
      <c r="BQ1935" s="8"/>
      <c r="BR1935" s="8"/>
      <c r="BS1935" s="8"/>
    </row>
    <row r="1936" customFormat="false" ht="15" hidden="false" customHeight="false" outlineLevel="0" collapsed="false">
      <c r="A1936" s="7" t="s">
        <v>12530</v>
      </c>
      <c r="B1936" s="7" t="s">
        <v>12531</v>
      </c>
      <c r="C1936" s="7" t="s">
        <v>12532</v>
      </c>
      <c r="D1936" s="7" t="s">
        <v>12533</v>
      </c>
      <c r="E1936" s="7" t="s">
        <v>819</v>
      </c>
      <c r="F1936" s="7" t="s">
        <v>819</v>
      </c>
      <c r="G1936" s="7"/>
      <c r="H1936" s="7" t="s">
        <v>207</v>
      </c>
      <c r="I1936" s="7" t="s">
        <v>158</v>
      </c>
      <c r="J1936" s="7" t="s">
        <v>104</v>
      </c>
      <c r="K1936" s="7" t="s">
        <v>105</v>
      </c>
      <c r="L1936" s="7" t="s">
        <v>106</v>
      </c>
      <c r="M1936" s="7"/>
      <c r="N1936" s="7" t="s">
        <v>12534</v>
      </c>
      <c r="O1936" s="7"/>
      <c r="P1936" s="7" t="s">
        <v>109</v>
      </c>
      <c r="Q1936" s="7"/>
      <c r="R1936" s="7"/>
      <c r="S1936" s="7"/>
      <c r="T1936" s="7" t="n">
        <v>0.558</v>
      </c>
      <c r="U1936" s="7" t="n">
        <v>1</v>
      </c>
      <c r="V1936" s="7" t="s">
        <v>1156</v>
      </c>
      <c r="W1936" s="7"/>
      <c r="X1936" s="7"/>
      <c r="Y1936" s="7" t="s">
        <v>12534</v>
      </c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 t="s">
        <v>127</v>
      </c>
      <c r="BF1936" s="8"/>
      <c r="BG1936" s="8"/>
      <c r="BH1936" s="8"/>
      <c r="BI1936" s="8"/>
      <c r="BJ1936" s="8"/>
      <c r="BK1936" s="8"/>
      <c r="BL1936" s="8"/>
      <c r="BM1936" s="8"/>
      <c r="BN1936" s="8"/>
      <c r="BO1936" s="8"/>
      <c r="BP1936" s="8"/>
      <c r="BQ1936" s="8"/>
      <c r="BR1936" s="8"/>
      <c r="BS1936" s="8"/>
    </row>
    <row r="1937" customFormat="false" ht="15" hidden="false" customHeight="false" outlineLevel="0" collapsed="false">
      <c r="A1937" s="7" t="s">
        <v>12535</v>
      </c>
      <c r="B1937" s="7" t="s">
        <v>12536</v>
      </c>
      <c r="C1937" s="7" t="s">
        <v>12537</v>
      </c>
      <c r="D1937" s="7" t="s">
        <v>12538</v>
      </c>
      <c r="E1937" s="7" t="s">
        <v>444</v>
      </c>
      <c r="F1937" s="7" t="s">
        <v>444</v>
      </c>
      <c r="G1937" s="7"/>
      <c r="H1937" s="7" t="s">
        <v>207</v>
      </c>
      <c r="I1937" s="7" t="s">
        <v>103</v>
      </c>
      <c r="J1937" s="7" t="s">
        <v>104</v>
      </c>
      <c r="K1937" s="7" t="s">
        <v>105</v>
      </c>
      <c r="L1937" s="7" t="s">
        <v>106</v>
      </c>
      <c r="M1937" s="7"/>
      <c r="N1937" s="7" t="s">
        <v>12539</v>
      </c>
      <c r="O1937" s="7" t="s">
        <v>12539</v>
      </c>
      <c r="P1937" s="7" t="s">
        <v>109</v>
      </c>
      <c r="Q1937" s="7"/>
      <c r="R1937" s="7" t="s">
        <v>109</v>
      </c>
      <c r="S1937" s="7" t="s">
        <v>110</v>
      </c>
      <c r="T1937" s="7" t="n">
        <v>0.736</v>
      </c>
      <c r="U1937" s="7" t="n">
        <v>1</v>
      </c>
      <c r="V1937" s="7" t="s">
        <v>1156</v>
      </c>
      <c r="W1937" s="7"/>
      <c r="X1937" s="7"/>
      <c r="Y1937" s="7" t="s">
        <v>12539</v>
      </c>
      <c r="Z1937" s="7"/>
      <c r="AA1937" s="7"/>
      <c r="AB1937" s="7"/>
      <c r="AC1937" s="7" t="n">
        <v>0</v>
      </c>
      <c r="AD1937" s="7" t="s">
        <v>388</v>
      </c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 t="s">
        <v>127</v>
      </c>
      <c r="BF1937" s="8"/>
      <c r="BG1937" s="8"/>
      <c r="BH1937" s="8"/>
      <c r="BI1937" s="8"/>
      <c r="BJ1937" s="8"/>
      <c r="BK1937" s="8"/>
      <c r="BL1937" s="8"/>
      <c r="BM1937" s="8"/>
      <c r="BN1937" s="8"/>
      <c r="BO1937" s="8"/>
      <c r="BP1937" s="8"/>
      <c r="BQ1937" s="8"/>
      <c r="BR1937" s="8"/>
      <c r="BS1937" s="8"/>
    </row>
    <row r="1938" customFormat="false" ht="15" hidden="false" customHeight="false" outlineLevel="0" collapsed="false">
      <c r="A1938" s="7" t="s">
        <v>12540</v>
      </c>
      <c r="B1938" s="7" t="s">
        <v>12541</v>
      </c>
      <c r="C1938" s="9" t="s">
        <v>12542</v>
      </c>
      <c r="D1938" s="7" t="s">
        <v>12543</v>
      </c>
      <c r="E1938" s="7" t="s">
        <v>1966</v>
      </c>
      <c r="F1938" s="7" t="s">
        <v>1966</v>
      </c>
      <c r="G1938" s="7"/>
      <c r="H1938" s="7" t="s">
        <v>207</v>
      </c>
      <c r="I1938" s="7" t="s">
        <v>103</v>
      </c>
      <c r="J1938" s="7" t="s">
        <v>104</v>
      </c>
      <c r="K1938" s="7" t="s">
        <v>105</v>
      </c>
      <c r="L1938" s="7" t="s">
        <v>106</v>
      </c>
      <c r="M1938" s="7"/>
      <c r="N1938" s="7" t="s">
        <v>12544</v>
      </c>
      <c r="O1938" s="7" t="s">
        <v>12544</v>
      </c>
      <c r="P1938" s="7" t="s">
        <v>109</v>
      </c>
      <c r="Q1938" s="7"/>
      <c r="R1938" s="7" t="s">
        <v>109</v>
      </c>
      <c r="S1938" s="7" t="s">
        <v>110</v>
      </c>
      <c r="T1938" s="7" t="n">
        <v>0.45</v>
      </c>
      <c r="U1938" s="7" t="n">
        <v>1</v>
      </c>
      <c r="V1938" s="7" t="s">
        <v>86</v>
      </c>
      <c r="W1938" s="7"/>
      <c r="X1938" s="7"/>
      <c r="Y1938" s="7" t="s">
        <v>12544</v>
      </c>
      <c r="Z1938" s="7"/>
      <c r="AA1938" s="7"/>
      <c r="AB1938" s="7"/>
      <c r="AC1938" s="7" t="n">
        <v>0</v>
      </c>
      <c r="AD1938" s="7" t="s">
        <v>388</v>
      </c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 t="s">
        <v>127</v>
      </c>
      <c r="BF1938" s="8"/>
      <c r="BG1938" s="8"/>
      <c r="BH1938" s="8"/>
      <c r="BI1938" s="8"/>
      <c r="BJ1938" s="8"/>
      <c r="BK1938" s="8"/>
      <c r="BL1938" s="8"/>
      <c r="BM1938" s="8"/>
      <c r="BN1938" s="8"/>
      <c r="BO1938" s="8"/>
      <c r="BP1938" s="8"/>
      <c r="BQ1938" s="8"/>
      <c r="BR1938" s="8"/>
      <c r="BS1938" s="8"/>
    </row>
    <row r="1939" customFormat="false" ht="15" hidden="false" customHeight="false" outlineLevel="0" collapsed="false">
      <c r="A1939" s="7" t="s">
        <v>12545</v>
      </c>
      <c r="B1939" s="7" t="s">
        <v>12546</v>
      </c>
      <c r="C1939" s="7" t="s">
        <v>12547</v>
      </c>
      <c r="D1939" s="7" t="s">
        <v>8336</v>
      </c>
      <c r="E1939" s="7" t="s">
        <v>431</v>
      </c>
      <c r="F1939" s="7" t="s">
        <v>431</v>
      </c>
      <c r="G1939" s="7"/>
      <c r="H1939" s="7" t="s">
        <v>207</v>
      </c>
      <c r="I1939" s="7" t="s">
        <v>158</v>
      </c>
      <c r="J1939" s="7" t="s">
        <v>104</v>
      </c>
      <c r="K1939" s="7" t="s">
        <v>105</v>
      </c>
      <c r="L1939" s="7" t="s">
        <v>353</v>
      </c>
      <c r="M1939" s="7"/>
      <c r="N1939" s="7" t="s">
        <v>12548</v>
      </c>
      <c r="O1939" s="7" t="s">
        <v>12548</v>
      </c>
      <c r="P1939" s="7" t="s">
        <v>109</v>
      </c>
      <c r="Q1939" s="7"/>
      <c r="R1939" s="7" t="s">
        <v>109</v>
      </c>
      <c r="S1939" s="7" t="s">
        <v>110</v>
      </c>
      <c r="T1939" s="7" t="n">
        <v>0.705</v>
      </c>
      <c r="U1939" s="7" t="n">
        <v>1</v>
      </c>
      <c r="V1939" s="7" t="s">
        <v>1156</v>
      </c>
      <c r="W1939" s="7"/>
      <c r="X1939" s="7"/>
      <c r="Y1939" s="7" t="s">
        <v>12548</v>
      </c>
      <c r="Z1939" s="7"/>
      <c r="AA1939" s="7"/>
      <c r="AB1939" s="7"/>
      <c r="AC1939" s="7" t="n">
        <v>0</v>
      </c>
      <c r="AD1939" s="7" t="s">
        <v>388</v>
      </c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 t="s">
        <v>127</v>
      </c>
      <c r="BF1939" s="8"/>
      <c r="BG1939" s="8"/>
      <c r="BH1939" s="8"/>
      <c r="BI1939" s="8"/>
      <c r="BJ1939" s="8"/>
      <c r="BK1939" s="8"/>
      <c r="BL1939" s="8"/>
      <c r="BM1939" s="8"/>
      <c r="BN1939" s="8"/>
      <c r="BO1939" s="8"/>
      <c r="BP1939" s="8"/>
      <c r="BQ1939" s="8"/>
      <c r="BR1939" s="8"/>
      <c r="BS1939" s="8"/>
    </row>
    <row r="1940" customFormat="false" ht="15" hidden="false" customHeight="false" outlineLevel="0" collapsed="false">
      <c r="A1940" s="7" t="s">
        <v>12549</v>
      </c>
      <c r="B1940" s="7" t="s">
        <v>12550</v>
      </c>
      <c r="C1940" s="7" t="s">
        <v>12551</v>
      </c>
      <c r="D1940" s="7" t="s">
        <v>9739</v>
      </c>
      <c r="E1940" s="7" t="s">
        <v>431</v>
      </c>
      <c r="F1940" s="7" t="s">
        <v>431</v>
      </c>
      <c r="G1940" s="7"/>
      <c r="H1940" s="7" t="s">
        <v>207</v>
      </c>
      <c r="I1940" s="7" t="s">
        <v>158</v>
      </c>
      <c r="J1940" s="7" t="s">
        <v>104</v>
      </c>
      <c r="K1940" s="7" t="s">
        <v>105</v>
      </c>
      <c r="L1940" s="7" t="s">
        <v>353</v>
      </c>
      <c r="M1940" s="7"/>
      <c r="N1940" s="7" t="s">
        <v>12552</v>
      </c>
      <c r="O1940" s="7" t="s">
        <v>12552</v>
      </c>
      <c r="P1940" s="7" t="s">
        <v>135</v>
      </c>
      <c r="Q1940" s="7"/>
      <c r="R1940" s="7" t="s">
        <v>109</v>
      </c>
      <c r="S1940" s="7" t="s">
        <v>110</v>
      </c>
      <c r="T1940" s="7" t="n">
        <v>0.217</v>
      </c>
      <c r="U1940" s="7" t="n">
        <v>1</v>
      </c>
      <c r="V1940" s="7" t="s">
        <v>90</v>
      </c>
      <c r="W1940" s="7"/>
      <c r="X1940" s="7"/>
      <c r="Y1940" s="7" t="s">
        <v>12552</v>
      </c>
      <c r="Z1940" s="7"/>
      <c r="AA1940" s="7"/>
      <c r="AB1940" s="7"/>
      <c r="AC1940" s="7" t="n">
        <v>0</v>
      </c>
      <c r="AD1940" s="7" t="s">
        <v>388</v>
      </c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 t="s">
        <v>440</v>
      </c>
      <c r="BE1940" s="7" t="s">
        <v>127</v>
      </c>
      <c r="BF1940" s="8"/>
      <c r="BG1940" s="8"/>
      <c r="BH1940" s="8"/>
      <c r="BI1940" s="8"/>
      <c r="BJ1940" s="8"/>
      <c r="BK1940" s="8"/>
      <c r="BL1940" s="8"/>
      <c r="BM1940" s="8"/>
      <c r="BN1940" s="8"/>
      <c r="BO1940" s="8"/>
      <c r="BP1940" s="8"/>
      <c r="BQ1940" s="8"/>
      <c r="BR1940" s="8"/>
      <c r="BS1940" s="8"/>
    </row>
    <row r="1941" customFormat="false" ht="15" hidden="false" customHeight="false" outlineLevel="0" collapsed="false">
      <c r="A1941" s="7" t="s">
        <v>12553</v>
      </c>
      <c r="B1941" s="7" t="s">
        <v>12554</v>
      </c>
      <c r="C1941" s="7" t="s">
        <v>12555</v>
      </c>
      <c r="D1941" s="7" t="s">
        <v>9739</v>
      </c>
      <c r="E1941" s="7" t="s">
        <v>431</v>
      </c>
      <c r="F1941" s="7" t="s">
        <v>431</v>
      </c>
      <c r="G1941" s="7"/>
      <c r="H1941" s="7" t="s">
        <v>207</v>
      </c>
      <c r="I1941" s="7" t="s">
        <v>374</v>
      </c>
      <c r="J1941" s="7" t="s">
        <v>104</v>
      </c>
      <c r="K1941" s="7" t="s">
        <v>105</v>
      </c>
      <c r="L1941" s="7" t="s">
        <v>106</v>
      </c>
      <c r="M1941" s="7"/>
      <c r="N1941" s="7" t="s">
        <v>12556</v>
      </c>
      <c r="O1941" s="7" t="s">
        <v>12556</v>
      </c>
      <c r="P1941" s="7" t="s">
        <v>135</v>
      </c>
      <c r="Q1941" s="7"/>
      <c r="R1941" s="7" t="s">
        <v>109</v>
      </c>
      <c r="S1941" s="7" t="s">
        <v>110</v>
      </c>
      <c r="T1941" s="7" t="n">
        <v>0.782</v>
      </c>
      <c r="U1941" s="7" t="n">
        <v>1</v>
      </c>
      <c r="V1941" s="7" t="s">
        <v>90</v>
      </c>
      <c r="W1941" s="7"/>
      <c r="X1941" s="7"/>
      <c r="Y1941" s="7" t="s">
        <v>12556</v>
      </c>
      <c r="Z1941" s="7"/>
      <c r="AA1941" s="7"/>
      <c r="AB1941" s="7"/>
      <c r="AC1941" s="7" t="n">
        <v>0</v>
      </c>
      <c r="AD1941" s="7" t="s">
        <v>388</v>
      </c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 t="s">
        <v>440</v>
      </c>
      <c r="BE1941" s="7" t="s">
        <v>127</v>
      </c>
      <c r="BF1941" s="8"/>
      <c r="BG1941" s="8"/>
      <c r="BH1941" s="8"/>
      <c r="BI1941" s="8"/>
      <c r="BJ1941" s="8"/>
      <c r="BK1941" s="8"/>
      <c r="BL1941" s="8"/>
      <c r="BM1941" s="8"/>
      <c r="BN1941" s="8"/>
      <c r="BO1941" s="8"/>
      <c r="BP1941" s="8"/>
      <c r="BQ1941" s="8"/>
      <c r="BR1941" s="8"/>
      <c r="BS1941" s="8"/>
    </row>
    <row r="1942" customFormat="false" ht="15" hidden="false" customHeight="false" outlineLevel="0" collapsed="false">
      <c r="A1942" s="7" t="s">
        <v>12557</v>
      </c>
      <c r="B1942" s="7" t="s">
        <v>12558</v>
      </c>
      <c r="C1942" s="7" t="s">
        <v>12559</v>
      </c>
      <c r="D1942" s="7" t="s">
        <v>7919</v>
      </c>
      <c r="E1942" s="7" t="s">
        <v>819</v>
      </c>
      <c r="F1942" s="7" t="s">
        <v>819</v>
      </c>
      <c r="G1942" s="7"/>
      <c r="H1942" s="7" t="s">
        <v>207</v>
      </c>
      <c r="I1942" s="7" t="s">
        <v>132</v>
      </c>
      <c r="J1942" s="7" t="s">
        <v>104</v>
      </c>
      <c r="K1942" s="7" t="s">
        <v>105</v>
      </c>
      <c r="L1942" s="7" t="s">
        <v>106</v>
      </c>
      <c r="M1942" s="7"/>
      <c r="N1942" s="7" t="s">
        <v>12560</v>
      </c>
      <c r="O1942" s="7" t="s">
        <v>12560</v>
      </c>
      <c r="P1942" s="7" t="s">
        <v>109</v>
      </c>
      <c r="Q1942" s="7"/>
      <c r="R1942" s="7" t="s">
        <v>109</v>
      </c>
      <c r="S1942" s="7" t="s">
        <v>110</v>
      </c>
      <c r="T1942" s="7" t="n">
        <v>0.391</v>
      </c>
      <c r="U1942" s="7" t="n">
        <v>1</v>
      </c>
      <c r="V1942" s="7" t="s">
        <v>1156</v>
      </c>
      <c r="W1942" s="7"/>
      <c r="X1942" s="7"/>
      <c r="Y1942" s="7" t="s">
        <v>12560</v>
      </c>
      <c r="Z1942" s="7"/>
      <c r="AA1942" s="7"/>
      <c r="AB1942" s="7"/>
      <c r="AC1942" s="7" t="n">
        <v>0</v>
      </c>
      <c r="AD1942" s="7" t="s">
        <v>388</v>
      </c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 t="s">
        <v>127</v>
      </c>
      <c r="BF1942" s="8"/>
      <c r="BG1942" s="8"/>
      <c r="BH1942" s="8"/>
      <c r="BI1942" s="8"/>
      <c r="BJ1942" s="8"/>
      <c r="BK1942" s="8"/>
      <c r="BL1942" s="8"/>
      <c r="BM1942" s="8"/>
      <c r="BN1942" s="8"/>
      <c r="BO1942" s="8"/>
      <c r="BP1942" s="8"/>
      <c r="BQ1942" s="8"/>
      <c r="BR1942" s="8"/>
      <c r="BS1942" s="8"/>
    </row>
    <row r="1943" customFormat="false" ht="15" hidden="false" customHeight="false" outlineLevel="0" collapsed="false">
      <c r="A1943" s="7" t="s">
        <v>12561</v>
      </c>
      <c r="B1943" s="7" t="s">
        <v>12562</v>
      </c>
      <c r="C1943" s="7" t="s">
        <v>12563</v>
      </c>
      <c r="D1943" s="7" t="s">
        <v>12564</v>
      </c>
      <c r="E1943" s="7" t="s">
        <v>398</v>
      </c>
      <c r="F1943" s="7" t="s">
        <v>398</v>
      </c>
      <c r="G1943" s="7"/>
      <c r="H1943" s="7" t="s">
        <v>207</v>
      </c>
      <c r="I1943" s="7" t="s">
        <v>158</v>
      </c>
      <c r="J1943" s="7" t="s">
        <v>104</v>
      </c>
      <c r="K1943" s="7" t="s">
        <v>105</v>
      </c>
      <c r="L1943" s="7" t="s">
        <v>106</v>
      </c>
      <c r="M1943" s="7"/>
      <c r="N1943" s="7" t="s">
        <v>12565</v>
      </c>
      <c r="O1943" s="7" t="s">
        <v>12565</v>
      </c>
      <c r="P1943" s="7" t="s">
        <v>109</v>
      </c>
      <c r="Q1943" s="7"/>
      <c r="R1943" s="7" t="s">
        <v>109</v>
      </c>
      <c r="S1943" s="7" t="s">
        <v>110</v>
      </c>
      <c r="T1943" s="7" t="n">
        <v>0.625</v>
      </c>
      <c r="U1943" s="7" t="n">
        <v>1</v>
      </c>
      <c r="V1943" s="7" t="s">
        <v>1156</v>
      </c>
      <c r="W1943" s="7"/>
      <c r="X1943" s="7"/>
      <c r="Y1943" s="7" t="s">
        <v>12565</v>
      </c>
      <c r="Z1943" s="7"/>
      <c r="AA1943" s="7"/>
      <c r="AB1943" s="7"/>
      <c r="AC1943" s="7" t="n">
        <v>0</v>
      </c>
      <c r="AD1943" s="7" t="s">
        <v>388</v>
      </c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 t="s">
        <v>127</v>
      </c>
      <c r="BF1943" s="8"/>
      <c r="BG1943" s="8"/>
      <c r="BH1943" s="8"/>
      <c r="BI1943" s="8"/>
      <c r="BJ1943" s="8"/>
      <c r="BK1943" s="8"/>
      <c r="BL1943" s="8"/>
      <c r="BM1943" s="8"/>
      <c r="BN1943" s="8"/>
      <c r="BO1943" s="8"/>
      <c r="BP1943" s="8"/>
      <c r="BQ1943" s="8"/>
      <c r="BR1943" s="8"/>
      <c r="BS1943" s="8"/>
    </row>
    <row r="1944" customFormat="false" ht="15" hidden="false" customHeight="false" outlineLevel="0" collapsed="false">
      <c r="A1944" s="7" t="s">
        <v>12566</v>
      </c>
      <c r="B1944" s="7" t="s">
        <v>12567</v>
      </c>
      <c r="C1944" s="7" t="s">
        <v>12568</v>
      </c>
      <c r="D1944" s="7" t="s">
        <v>8375</v>
      </c>
      <c r="E1944" s="7" t="s">
        <v>431</v>
      </c>
      <c r="F1944" s="7" t="s">
        <v>431</v>
      </c>
      <c r="G1944" s="7"/>
      <c r="H1944" s="7" t="s">
        <v>207</v>
      </c>
      <c r="I1944" s="7" t="s">
        <v>132</v>
      </c>
      <c r="J1944" s="7" t="s">
        <v>104</v>
      </c>
      <c r="K1944" s="7" t="s">
        <v>105</v>
      </c>
      <c r="L1944" s="7" t="s">
        <v>106</v>
      </c>
      <c r="M1944" s="7"/>
      <c r="N1944" s="7" t="s">
        <v>12569</v>
      </c>
      <c r="O1944" s="7" t="s">
        <v>12569</v>
      </c>
      <c r="P1944" s="7" t="s">
        <v>135</v>
      </c>
      <c r="Q1944" s="7"/>
      <c r="R1944" s="7" t="s">
        <v>109</v>
      </c>
      <c r="S1944" s="7" t="s">
        <v>110</v>
      </c>
      <c r="T1944" s="7" t="n">
        <v>0.885</v>
      </c>
      <c r="U1944" s="7" t="n">
        <v>1</v>
      </c>
      <c r="V1944" s="7" t="s">
        <v>90</v>
      </c>
      <c r="W1944" s="7"/>
      <c r="X1944" s="7"/>
      <c r="Y1944" s="7" t="s">
        <v>12569</v>
      </c>
      <c r="Z1944" s="7"/>
      <c r="AA1944" s="7"/>
      <c r="AB1944" s="7"/>
      <c r="AC1944" s="7" t="n">
        <v>5</v>
      </c>
      <c r="AD1944" s="7" t="s">
        <v>743</v>
      </c>
      <c r="AE1944" s="7" t="s">
        <v>189</v>
      </c>
      <c r="AF1944" s="7" t="s">
        <v>12570</v>
      </c>
      <c r="AG1944" s="7" t="s">
        <v>189</v>
      </c>
      <c r="AH1944" s="7" t="s">
        <v>163</v>
      </c>
      <c r="AI1944" s="7"/>
      <c r="AJ1944" s="7"/>
      <c r="AK1944" s="7"/>
      <c r="AL1944" s="7"/>
      <c r="AM1944" s="7"/>
      <c r="AN1944" s="7"/>
      <c r="AO1944" s="7" t="s">
        <v>189</v>
      </c>
      <c r="AP1944" s="7" t="s">
        <v>10524</v>
      </c>
      <c r="AQ1944" s="7" t="s">
        <v>189</v>
      </c>
      <c r="AR1944" s="7" t="s">
        <v>431</v>
      </c>
      <c r="AS1944" s="7"/>
      <c r="AT1944" s="7"/>
      <c r="AU1944" s="7"/>
      <c r="AV1944" s="7"/>
      <c r="AW1944" s="7" t="s">
        <v>189</v>
      </c>
      <c r="AX1944" s="7" t="s">
        <v>12569</v>
      </c>
      <c r="AY1944" s="7"/>
      <c r="AZ1944" s="7"/>
      <c r="BA1944" s="7"/>
      <c r="BB1944" s="7"/>
      <c r="BC1944" s="7"/>
      <c r="BD1944" s="7" t="s">
        <v>440</v>
      </c>
      <c r="BE1944" s="7" t="s">
        <v>127</v>
      </c>
      <c r="BF1944" s="8"/>
      <c r="BG1944" s="8"/>
      <c r="BH1944" s="8"/>
      <c r="BI1944" s="8"/>
      <c r="BJ1944" s="8"/>
      <c r="BK1944" s="8"/>
      <c r="BL1944" s="8"/>
      <c r="BM1944" s="8"/>
      <c r="BN1944" s="8"/>
      <c r="BO1944" s="8"/>
      <c r="BP1944" s="8"/>
      <c r="BQ1944" s="8"/>
      <c r="BR1944" s="8"/>
      <c r="BS1944" s="8"/>
    </row>
    <row r="1945" customFormat="false" ht="15" hidden="false" customHeight="false" outlineLevel="0" collapsed="false">
      <c r="A1945" s="7" t="s">
        <v>12571</v>
      </c>
      <c r="B1945" s="7" t="s">
        <v>12572</v>
      </c>
      <c r="C1945" s="7" t="s">
        <v>12573</v>
      </c>
      <c r="D1945" s="7" t="s">
        <v>8559</v>
      </c>
      <c r="E1945" s="7" t="s">
        <v>1966</v>
      </c>
      <c r="F1945" s="7" t="s">
        <v>1966</v>
      </c>
      <c r="G1945" s="7" t="s">
        <v>12574</v>
      </c>
      <c r="H1945" s="7" t="s">
        <v>207</v>
      </c>
      <c r="I1945" s="7" t="s">
        <v>132</v>
      </c>
      <c r="J1945" s="7" t="s">
        <v>104</v>
      </c>
      <c r="K1945" s="7" t="s">
        <v>105</v>
      </c>
      <c r="L1945" s="7" t="s">
        <v>106</v>
      </c>
      <c r="M1945" s="7"/>
      <c r="N1945" s="7" t="s">
        <v>12575</v>
      </c>
      <c r="O1945" s="7" t="s">
        <v>12575</v>
      </c>
      <c r="P1945" s="7" t="s">
        <v>135</v>
      </c>
      <c r="Q1945" s="7"/>
      <c r="R1945" s="7" t="s">
        <v>109</v>
      </c>
      <c r="S1945" s="7" t="s">
        <v>110</v>
      </c>
      <c r="T1945" s="7" t="n">
        <v>0.781</v>
      </c>
      <c r="U1945" s="7" t="n">
        <v>1</v>
      </c>
      <c r="V1945" s="7" t="s">
        <v>90</v>
      </c>
      <c r="W1945" s="7"/>
      <c r="X1945" s="7"/>
      <c r="Y1945" s="7" t="s">
        <v>12575</v>
      </c>
      <c r="Z1945" s="7"/>
      <c r="AA1945" s="7"/>
      <c r="AB1945" s="7"/>
      <c r="AC1945" s="7" t="n">
        <v>0</v>
      </c>
      <c r="AD1945" s="7" t="s">
        <v>388</v>
      </c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 t="s">
        <v>440</v>
      </c>
      <c r="BE1945" s="7" t="s">
        <v>127</v>
      </c>
      <c r="BF1945" s="8"/>
      <c r="BG1945" s="8"/>
      <c r="BH1945" s="8"/>
      <c r="BI1945" s="8"/>
      <c r="BJ1945" s="8"/>
      <c r="BK1945" s="8"/>
      <c r="BL1945" s="8"/>
      <c r="BM1945" s="8"/>
      <c r="BN1945" s="8"/>
      <c r="BO1945" s="8"/>
      <c r="BP1945" s="8"/>
      <c r="BQ1945" s="8"/>
      <c r="BR1945" s="8"/>
      <c r="BS1945" s="8"/>
    </row>
    <row r="1946" customFormat="false" ht="15" hidden="false" customHeight="false" outlineLevel="0" collapsed="false">
      <c r="A1946" s="7" t="s">
        <v>12576</v>
      </c>
      <c r="B1946" s="7" t="s">
        <v>12577</v>
      </c>
      <c r="C1946" s="7" t="s">
        <v>12578</v>
      </c>
      <c r="D1946" s="7" t="s">
        <v>12579</v>
      </c>
      <c r="E1946" s="7" t="s">
        <v>819</v>
      </c>
      <c r="F1946" s="7" t="s">
        <v>819</v>
      </c>
      <c r="G1946" s="7"/>
      <c r="H1946" s="7" t="s">
        <v>207</v>
      </c>
      <c r="I1946" s="7" t="s">
        <v>208</v>
      </c>
      <c r="J1946" s="7" t="s">
        <v>104</v>
      </c>
      <c r="K1946" s="7" t="s">
        <v>105</v>
      </c>
      <c r="L1946" s="7" t="s">
        <v>106</v>
      </c>
      <c r="M1946" s="7"/>
      <c r="N1946" s="7" t="s">
        <v>12580</v>
      </c>
      <c r="O1946" s="7" t="s">
        <v>12580</v>
      </c>
      <c r="P1946" s="7" t="s">
        <v>135</v>
      </c>
      <c r="Q1946" s="7"/>
      <c r="R1946" s="7" t="s">
        <v>109</v>
      </c>
      <c r="S1946" s="7" t="s">
        <v>110</v>
      </c>
      <c r="T1946" s="7" t="n">
        <v>0.766</v>
      </c>
      <c r="U1946" s="7" t="n">
        <v>1</v>
      </c>
      <c r="V1946" s="7" t="s">
        <v>90</v>
      </c>
      <c r="W1946" s="7"/>
      <c r="X1946" s="7"/>
      <c r="Y1946" s="7" t="s">
        <v>12580</v>
      </c>
      <c r="Z1946" s="7"/>
      <c r="AA1946" s="7"/>
      <c r="AB1946" s="7"/>
      <c r="AC1946" s="7" t="n">
        <v>0</v>
      </c>
      <c r="AD1946" s="7" t="s">
        <v>388</v>
      </c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 t="s">
        <v>440</v>
      </c>
      <c r="BE1946" s="7" t="s">
        <v>127</v>
      </c>
      <c r="BF1946" s="8"/>
      <c r="BG1946" s="8"/>
      <c r="BH1946" s="8"/>
      <c r="BI1946" s="8"/>
      <c r="BJ1946" s="8"/>
      <c r="BK1946" s="8"/>
      <c r="BL1946" s="8"/>
      <c r="BM1946" s="8"/>
      <c r="BN1946" s="8"/>
      <c r="BO1946" s="8"/>
      <c r="BP1946" s="8"/>
      <c r="BQ1946" s="8"/>
      <c r="BR1946" s="8"/>
      <c r="BS1946" s="8"/>
    </row>
    <row r="1947" customFormat="false" ht="15" hidden="false" customHeight="false" outlineLevel="0" collapsed="false">
      <c r="A1947" s="7" t="s">
        <v>12581</v>
      </c>
      <c r="B1947" s="7" t="s">
        <v>12582</v>
      </c>
      <c r="C1947" s="7" t="s">
        <v>12583</v>
      </c>
      <c r="D1947" s="7" t="s">
        <v>8559</v>
      </c>
      <c r="E1947" s="7" t="s">
        <v>1966</v>
      </c>
      <c r="F1947" s="7" t="s">
        <v>1966</v>
      </c>
      <c r="G1947" s="7"/>
      <c r="H1947" s="7" t="s">
        <v>207</v>
      </c>
      <c r="I1947" s="7" t="s">
        <v>158</v>
      </c>
      <c r="J1947" s="7" t="s">
        <v>104</v>
      </c>
      <c r="K1947" s="7" t="s">
        <v>105</v>
      </c>
      <c r="L1947" s="7" t="s">
        <v>106</v>
      </c>
      <c r="M1947" s="7"/>
      <c r="N1947" s="7" t="s">
        <v>12584</v>
      </c>
      <c r="O1947" s="7" t="s">
        <v>12584</v>
      </c>
      <c r="P1947" s="7" t="s">
        <v>109</v>
      </c>
      <c r="Q1947" s="7"/>
      <c r="R1947" s="7" t="s">
        <v>109</v>
      </c>
      <c r="S1947" s="7" t="s">
        <v>110</v>
      </c>
      <c r="T1947" s="7" t="n">
        <v>0.556</v>
      </c>
      <c r="U1947" s="7" t="n">
        <v>1</v>
      </c>
      <c r="V1947" s="7" t="s">
        <v>86</v>
      </c>
      <c r="W1947" s="7"/>
      <c r="X1947" s="7"/>
      <c r="Y1947" s="7" t="s">
        <v>12584</v>
      </c>
      <c r="Z1947" s="7"/>
      <c r="AA1947" s="7"/>
      <c r="AB1947" s="7"/>
      <c r="AC1947" s="7" t="n">
        <v>0</v>
      </c>
      <c r="AD1947" s="7" t="s">
        <v>388</v>
      </c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 t="s">
        <v>127</v>
      </c>
      <c r="BF1947" s="8"/>
      <c r="BG1947" s="8"/>
      <c r="BH1947" s="8"/>
      <c r="BI1947" s="8"/>
      <c r="BJ1947" s="8"/>
      <c r="BK1947" s="8"/>
      <c r="BL1947" s="8"/>
      <c r="BM1947" s="8"/>
      <c r="BN1947" s="8"/>
      <c r="BO1947" s="8"/>
      <c r="BP1947" s="8"/>
      <c r="BQ1947" s="8"/>
      <c r="BR1947" s="8"/>
      <c r="BS1947" s="8"/>
    </row>
    <row r="1948" customFormat="false" ht="15" hidden="false" customHeight="false" outlineLevel="0" collapsed="false">
      <c r="A1948" s="7" t="s">
        <v>12585</v>
      </c>
      <c r="B1948" s="7" t="s">
        <v>12586</v>
      </c>
      <c r="C1948" s="7" t="s">
        <v>12587</v>
      </c>
      <c r="D1948" s="7" t="s">
        <v>12588</v>
      </c>
      <c r="E1948" s="7" t="s">
        <v>741</v>
      </c>
      <c r="F1948" s="7" t="s">
        <v>741</v>
      </c>
      <c r="G1948" s="7"/>
      <c r="H1948" s="7" t="s">
        <v>207</v>
      </c>
      <c r="I1948" s="7" t="s">
        <v>132</v>
      </c>
      <c r="J1948" s="7" t="s">
        <v>104</v>
      </c>
      <c r="K1948" s="7" t="s">
        <v>105</v>
      </c>
      <c r="L1948" s="7" t="s">
        <v>106</v>
      </c>
      <c r="M1948" s="7"/>
      <c r="N1948" s="7" t="s">
        <v>12589</v>
      </c>
      <c r="O1948" s="7" t="s">
        <v>12589</v>
      </c>
      <c r="P1948" s="7" t="s">
        <v>109</v>
      </c>
      <c r="Q1948" s="7"/>
      <c r="R1948" s="7" t="s">
        <v>109</v>
      </c>
      <c r="S1948" s="7" t="s">
        <v>110</v>
      </c>
      <c r="T1948" s="7" t="n">
        <v>0.122</v>
      </c>
      <c r="U1948" s="7" t="n">
        <v>1</v>
      </c>
      <c r="V1948" s="7" t="s">
        <v>86</v>
      </c>
      <c r="W1948" s="7"/>
      <c r="X1948" s="7"/>
      <c r="Y1948" s="7" t="s">
        <v>12589</v>
      </c>
      <c r="Z1948" s="7"/>
      <c r="AA1948" s="7"/>
      <c r="AB1948" s="7"/>
      <c r="AC1948" s="7" t="n">
        <v>0</v>
      </c>
      <c r="AD1948" s="7" t="s">
        <v>388</v>
      </c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 t="s">
        <v>127</v>
      </c>
      <c r="BF1948" s="8"/>
      <c r="BG1948" s="8"/>
      <c r="BH1948" s="8"/>
      <c r="BI1948" s="8"/>
      <c r="BJ1948" s="8"/>
      <c r="BK1948" s="8"/>
      <c r="BL1948" s="8"/>
      <c r="BM1948" s="8"/>
      <c r="BN1948" s="8"/>
      <c r="BO1948" s="8"/>
      <c r="BP1948" s="8"/>
      <c r="BQ1948" s="8"/>
      <c r="BR1948" s="8"/>
      <c r="BS1948" s="8"/>
    </row>
    <row r="1949" customFormat="false" ht="15" hidden="false" customHeight="false" outlineLevel="0" collapsed="false">
      <c r="A1949" s="7" t="s">
        <v>12590</v>
      </c>
      <c r="B1949" s="7" t="s">
        <v>12591</v>
      </c>
      <c r="C1949" s="7" t="s">
        <v>12592</v>
      </c>
      <c r="D1949" s="7" t="s">
        <v>12409</v>
      </c>
      <c r="E1949" s="7" t="s">
        <v>737</v>
      </c>
      <c r="F1949" s="7" t="s">
        <v>737</v>
      </c>
      <c r="G1949" s="7"/>
      <c r="H1949" s="7" t="s">
        <v>207</v>
      </c>
      <c r="I1949" s="7" t="s">
        <v>132</v>
      </c>
      <c r="J1949" s="7" t="s">
        <v>104</v>
      </c>
      <c r="K1949" s="7" t="s">
        <v>105</v>
      </c>
      <c r="L1949" s="7" t="s">
        <v>106</v>
      </c>
      <c r="M1949" s="7"/>
      <c r="N1949" s="7" t="s">
        <v>12593</v>
      </c>
      <c r="O1949" s="7" t="s">
        <v>12593</v>
      </c>
      <c r="P1949" s="7" t="s">
        <v>135</v>
      </c>
      <c r="Q1949" s="7"/>
      <c r="R1949" s="7" t="s">
        <v>109</v>
      </c>
      <c r="S1949" s="7" t="s">
        <v>110</v>
      </c>
      <c r="T1949" s="7" t="n">
        <v>0.806</v>
      </c>
      <c r="U1949" s="7" t="n">
        <v>1</v>
      </c>
      <c r="V1949" s="7" t="s">
        <v>90</v>
      </c>
      <c r="W1949" s="7"/>
      <c r="X1949" s="7"/>
      <c r="Y1949" s="7" t="s">
        <v>12593</v>
      </c>
      <c r="Z1949" s="7"/>
      <c r="AA1949" s="7"/>
      <c r="AB1949" s="7"/>
      <c r="AC1949" s="7" t="n">
        <v>0</v>
      </c>
      <c r="AD1949" s="7" t="s">
        <v>388</v>
      </c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 t="s">
        <v>440</v>
      </c>
      <c r="BE1949" s="7" t="s">
        <v>127</v>
      </c>
      <c r="BF1949" s="8"/>
      <c r="BG1949" s="8"/>
      <c r="BH1949" s="8"/>
      <c r="BI1949" s="8"/>
      <c r="BJ1949" s="8"/>
      <c r="BK1949" s="8"/>
      <c r="BL1949" s="8"/>
      <c r="BM1949" s="8"/>
      <c r="BN1949" s="8"/>
      <c r="BO1949" s="8"/>
      <c r="BP1949" s="8"/>
      <c r="BQ1949" s="8"/>
      <c r="BR1949" s="8"/>
      <c r="BS1949" s="8"/>
    </row>
    <row r="1950" customFormat="false" ht="15" hidden="false" customHeight="false" outlineLevel="0" collapsed="false">
      <c r="A1950" s="7" t="s">
        <v>12594</v>
      </c>
      <c r="B1950" s="7" t="s">
        <v>12595</v>
      </c>
      <c r="C1950" s="7" t="s">
        <v>12596</v>
      </c>
      <c r="D1950" s="7" t="s">
        <v>12597</v>
      </c>
      <c r="E1950" s="7" t="s">
        <v>741</v>
      </c>
      <c r="F1950" s="7" t="s">
        <v>741</v>
      </c>
      <c r="G1950" s="7"/>
      <c r="H1950" s="7" t="s">
        <v>207</v>
      </c>
      <c r="I1950" s="7" t="s">
        <v>132</v>
      </c>
      <c r="J1950" s="7" t="s">
        <v>104</v>
      </c>
      <c r="K1950" s="7" t="s">
        <v>105</v>
      </c>
      <c r="L1950" s="7" t="s">
        <v>106</v>
      </c>
      <c r="M1950" s="7"/>
      <c r="N1950" s="7" t="s">
        <v>12598</v>
      </c>
      <c r="O1950" s="7" t="s">
        <v>12598</v>
      </c>
      <c r="P1950" s="7" t="s">
        <v>135</v>
      </c>
      <c r="Q1950" s="7"/>
      <c r="R1950" s="7" t="s">
        <v>109</v>
      </c>
      <c r="S1950" s="7" t="s">
        <v>110</v>
      </c>
      <c r="T1950" s="7" t="n">
        <v>0.375</v>
      </c>
      <c r="U1950" s="7" t="n">
        <v>1</v>
      </c>
      <c r="V1950" s="7" t="s">
        <v>90</v>
      </c>
      <c r="W1950" s="7"/>
      <c r="X1950" s="7"/>
      <c r="Y1950" s="7" t="s">
        <v>12598</v>
      </c>
      <c r="Z1950" s="7"/>
      <c r="AA1950" s="7"/>
      <c r="AB1950" s="7"/>
      <c r="AC1950" s="7" t="n">
        <v>0</v>
      </c>
      <c r="AD1950" s="7" t="s">
        <v>388</v>
      </c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 t="s">
        <v>440</v>
      </c>
      <c r="BE1950" s="7" t="s">
        <v>127</v>
      </c>
      <c r="BF1950" s="8"/>
      <c r="BG1950" s="8"/>
      <c r="BH1950" s="8"/>
      <c r="BI1950" s="8"/>
      <c r="BJ1950" s="8"/>
      <c r="BK1950" s="8"/>
      <c r="BL1950" s="8"/>
      <c r="BM1950" s="8"/>
      <c r="BN1950" s="8"/>
      <c r="BO1950" s="8"/>
      <c r="BP1950" s="8"/>
      <c r="BQ1950" s="8"/>
      <c r="BR1950" s="8"/>
      <c r="BS1950" s="8"/>
    </row>
    <row r="1951" customFormat="false" ht="15" hidden="false" customHeight="false" outlineLevel="0" collapsed="false">
      <c r="A1951" s="7" t="s">
        <v>12599</v>
      </c>
      <c r="B1951" s="7" t="s">
        <v>12600</v>
      </c>
      <c r="C1951" s="7" t="s">
        <v>12601</v>
      </c>
      <c r="D1951" s="7" t="s">
        <v>12602</v>
      </c>
      <c r="E1951" s="7" t="s">
        <v>1966</v>
      </c>
      <c r="F1951" s="7" t="s">
        <v>1966</v>
      </c>
      <c r="G1951" s="7"/>
      <c r="H1951" s="7" t="s">
        <v>207</v>
      </c>
      <c r="I1951" s="7" t="s">
        <v>103</v>
      </c>
      <c r="J1951" s="7" t="s">
        <v>104</v>
      </c>
      <c r="K1951" s="7" t="s">
        <v>105</v>
      </c>
      <c r="L1951" s="7" t="s">
        <v>106</v>
      </c>
      <c r="M1951" s="7"/>
      <c r="N1951" s="7" t="s">
        <v>12603</v>
      </c>
      <c r="O1951" s="7" t="s">
        <v>12603</v>
      </c>
      <c r="P1951" s="7" t="s">
        <v>109</v>
      </c>
      <c r="Q1951" s="7"/>
      <c r="R1951" s="7" t="s">
        <v>109</v>
      </c>
      <c r="S1951" s="7" t="s">
        <v>110</v>
      </c>
      <c r="T1951" s="7" t="n">
        <v>0.488</v>
      </c>
      <c r="U1951" s="7" t="n">
        <v>1</v>
      </c>
      <c r="V1951" s="7" t="s">
        <v>86</v>
      </c>
      <c r="W1951" s="7"/>
      <c r="X1951" s="7"/>
      <c r="Y1951" s="7" t="s">
        <v>12603</v>
      </c>
      <c r="Z1951" s="7"/>
      <c r="AA1951" s="7"/>
      <c r="AB1951" s="7"/>
      <c r="AC1951" s="7" t="n">
        <v>0</v>
      </c>
      <c r="AD1951" s="7" t="s">
        <v>388</v>
      </c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 t="s">
        <v>127</v>
      </c>
      <c r="BF1951" s="8"/>
      <c r="BG1951" s="8"/>
      <c r="BH1951" s="8"/>
      <c r="BI1951" s="8"/>
      <c r="BJ1951" s="8"/>
      <c r="BK1951" s="8"/>
      <c r="BL1951" s="8"/>
      <c r="BM1951" s="8"/>
      <c r="BN1951" s="8"/>
      <c r="BO1951" s="8"/>
      <c r="BP1951" s="8"/>
      <c r="BQ1951" s="8"/>
      <c r="BR1951" s="8"/>
      <c r="BS1951" s="8"/>
    </row>
    <row r="1952" customFormat="false" ht="15" hidden="false" customHeight="false" outlineLevel="0" collapsed="false">
      <c r="A1952" s="7" t="s">
        <v>12604</v>
      </c>
      <c r="B1952" s="7" t="s">
        <v>12605</v>
      </c>
      <c r="C1952" s="7" t="s">
        <v>12606</v>
      </c>
      <c r="D1952" s="7" t="s">
        <v>12607</v>
      </c>
      <c r="E1952" s="7" t="s">
        <v>737</v>
      </c>
      <c r="F1952" s="7" t="s">
        <v>737</v>
      </c>
      <c r="G1952" s="7"/>
      <c r="H1952" s="7" t="s">
        <v>207</v>
      </c>
      <c r="I1952" s="7" t="s">
        <v>300</v>
      </c>
      <c r="J1952" s="7" t="s">
        <v>104</v>
      </c>
      <c r="K1952" s="7" t="s">
        <v>105</v>
      </c>
      <c r="L1952" s="7" t="s">
        <v>106</v>
      </c>
      <c r="M1952" s="7"/>
      <c r="N1952" s="7" t="s">
        <v>12608</v>
      </c>
      <c r="O1952" s="7" t="s">
        <v>12608</v>
      </c>
      <c r="P1952" s="7" t="s">
        <v>135</v>
      </c>
      <c r="Q1952" s="7"/>
      <c r="R1952" s="7" t="s">
        <v>109</v>
      </c>
      <c r="S1952" s="7" t="s">
        <v>110</v>
      </c>
      <c r="T1952" s="7" t="n">
        <v>0.827</v>
      </c>
      <c r="U1952" s="7" t="n">
        <v>1</v>
      </c>
      <c r="V1952" s="7" t="s">
        <v>90</v>
      </c>
      <c r="W1952" s="7"/>
      <c r="X1952" s="7"/>
      <c r="Y1952" s="7" t="s">
        <v>12608</v>
      </c>
      <c r="Z1952" s="7"/>
      <c r="AA1952" s="7"/>
      <c r="AB1952" s="7"/>
      <c r="AC1952" s="7" t="n">
        <v>0</v>
      </c>
      <c r="AD1952" s="7" t="s">
        <v>388</v>
      </c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 t="s">
        <v>440</v>
      </c>
      <c r="BE1952" s="7" t="s">
        <v>127</v>
      </c>
      <c r="BF1952" s="8"/>
      <c r="BG1952" s="8"/>
      <c r="BH1952" s="8"/>
      <c r="BI1952" s="8"/>
      <c r="BJ1952" s="8"/>
      <c r="BK1952" s="8"/>
      <c r="BL1952" s="8"/>
      <c r="BM1952" s="8"/>
      <c r="BN1952" s="8"/>
      <c r="BO1952" s="8"/>
      <c r="BP1952" s="8"/>
      <c r="BQ1952" s="8"/>
      <c r="BR1952" s="8"/>
      <c r="BS1952" s="8"/>
    </row>
    <row r="1953" customFormat="false" ht="15" hidden="false" customHeight="false" outlineLevel="0" collapsed="false">
      <c r="A1953" s="7" t="s">
        <v>12609</v>
      </c>
      <c r="B1953" s="7" t="s">
        <v>12610</v>
      </c>
      <c r="C1953" s="7" t="s">
        <v>12611</v>
      </c>
      <c r="D1953" s="7" t="s">
        <v>12612</v>
      </c>
      <c r="E1953" s="7" t="s">
        <v>819</v>
      </c>
      <c r="F1953" s="7" t="s">
        <v>819</v>
      </c>
      <c r="G1953" s="7" t="s">
        <v>12613</v>
      </c>
      <c r="H1953" s="7" t="s">
        <v>207</v>
      </c>
      <c r="I1953" s="7" t="s">
        <v>234</v>
      </c>
      <c r="J1953" s="7" t="s">
        <v>104</v>
      </c>
      <c r="K1953" s="7" t="s">
        <v>105</v>
      </c>
      <c r="L1953" s="7" t="s">
        <v>235</v>
      </c>
      <c r="M1953" s="7"/>
      <c r="N1953" s="7" t="s">
        <v>12614</v>
      </c>
      <c r="O1953" s="7" t="s">
        <v>12614</v>
      </c>
      <c r="P1953" s="7" t="s">
        <v>135</v>
      </c>
      <c r="Q1953" s="7"/>
      <c r="R1953" s="7" t="s">
        <v>109</v>
      </c>
      <c r="S1953" s="7" t="s">
        <v>110</v>
      </c>
      <c r="T1953" s="7" t="n">
        <v>0.554</v>
      </c>
      <c r="U1953" s="7" t="n">
        <v>1</v>
      </c>
      <c r="V1953" s="7" t="s">
        <v>90</v>
      </c>
      <c r="W1953" s="7"/>
      <c r="X1953" s="7"/>
      <c r="Y1953" s="7" t="s">
        <v>12614</v>
      </c>
      <c r="Z1953" s="7"/>
      <c r="AA1953" s="7"/>
      <c r="AB1953" s="7"/>
      <c r="AC1953" s="7" t="n">
        <v>0</v>
      </c>
      <c r="AD1953" s="7" t="s">
        <v>388</v>
      </c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 t="s">
        <v>440</v>
      </c>
      <c r="BE1953" s="7" t="s">
        <v>127</v>
      </c>
      <c r="BF1953" s="8"/>
      <c r="BG1953" s="8"/>
      <c r="BH1953" s="8"/>
      <c r="BI1953" s="8"/>
      <c r="BJ1953" s="8"/>
      <c r="BK1953" s="8"/>
      <c r="BL1953" s="8"/>
      <c r="BM1953" s="8"/>
      <c r="BN1953" s="8"/>
      <c r="BO1953" s="8"/>
      <c r="BP1953" s="8"/>
      <c r="BQ1953" s="8"/>
      <c r="BR1953" s="8"/>
      <c r="BS1953" s="8"/>
    </row>
    <row r="1954" customFormat="false" ht="15" hidden="false" customHeight="false" outlineLevel="0" collapsed="false">
      <c r="A1954" s="7" t="s">
        <v>12615</v>
      </c>
      <c r="B1954" s="7" t="s">
        <v>12616</v>
      </c>
      <c r="C1954" s="7" t="s">
        <v>12617</v>
      </c>
      <c r="D1954" s="7" t="s">
        <v>12618</v>
      </c>
      <c r="E1954" s="7" t="s">
        <v>516</v>
      </c>
      <c r="F1954" s="7" t="s">
        <v>516</v>
      </c>
      <c r="G1954" s="7"/>
      <c r="H1954" s="7" t="s">
        <v>207</v>
      </c>
      <c r="I1954" s="7" t="s">
        <v>208</v>
      </c>
      <c r="J1954" s="7" t="s">
        <v>104</v>
      </c>
      <c r="K1954" s="7" t="s">
        <v>105</v>
      </c>
      <c r="L1954" s="7" t="s">
        <v>106</v>
      </c>
      <c r="M1954" s="7"/>
      <c r="N1954" s="7" t="s">
        <v>12619</v>
      </c>
      <c r="O1954" s="7" t="s">
        <v>12619</v>
      </c>
      <c r="P1954" s="7" t="s">
        <v>135</v>
      </c>
      <c r="Q1954" s="7"/>
      <c r="R1954" s="7" t="s">
        <v>109</v>
      </c>
      <c r="S1954" s="7" t="s">
        <v>110</v>
      </c>
      <c r="T1954" s="7" t="n">
        <v>0.558</v>
      </c>
      <c r="U1954" s="7" t="n">
        <v>1</v>
      </c>
      <c r="V1954" s="7" t="s">
        <v>90</v>
      </c>
      <c r="W1954" s="7"/>
      <c r="X1954" s="7"/>
      <c r="Y1954" s="7" t="s">
        <v>12619</v>
      </c>
      <c r="Z1954" s="7"/>
      <c r="AA1954" s="7"/>
      <c r="AB1954" s="7"/>
      <c r="AC1954" s="7" t="n">
        <v>0</v>
      </c>
      <c r="AD1954" s="7" t="s">
        <v>388</v>
      </c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 t="s">
        <v>440</v>
      </c>
      <c r="BE1954" s="7" t="s">
        <v>127</v>
      </c>
      <c r="BF1954" s="8"/>
      <c r="BG1954" s="8"/>
      <c r="BH1954" s="8"/>
      <c r="BI1954" s="8"/>
      <c r="BJ1954" s="8"/>
      <c r="BK1954" s="8"/>
      <c r="BL1954" s="8"/>
      <c r="BM1954" s="8"/>
      <c r="BN1954" s="8"/>
      <c r="BO1954" s="8"/>
      <c r="BP1954" s="8"/>
      <c r="BQ1954" s="8"/>
      <c r="BR1954" s="8"/>
      <c r="BS1954" s="8"/>
    </row>
    <row r="1955" customFormat="false" ht="15" hidden="false" customHeight="false" outlineLevel="0" collapsed="false">
      <c r="A1955" s="7" t="s">
        <v>12620</v>
      </c>
      <c r="B1955" s="7" t="s">
        <v>12621</v>
      </c>
      <c r="C1955" s="7" t="s">
        <v>12622</v>
      </c>
      <c r="D1955" s="7" t="s">
        <v>7929</v>
      </c>
      <c r="E1955" s="7" t="s">
        <v>431</v>
      </c>
      <c r="F1955" s="7" t="s">
        <v>431</v>
      </c>
      <c r="G1955" s="7"/>
      <c r="H1955" s="7" t="s">
        <v>207</v>
      </c>
      <c r="I1955" s="7" t="s">
        <v>132</v>
      </c>
      <c r="J1955" s="7" t="s">
        <v>104</v>
      </c>
      <c r="K1955" s="7" t="s">
        <v>105</v>
      </c>
      <c r="L1955" s="7" t="s">
        <v>106</v>
      </c>
      <c r="M1955" s="7"/>
      <c r="N1955" s="7" t="s">
        <v>12623</v>
      </c>
      <c r="O1955" s="7" t="s">
        <v>12623</v>
      </c>
      <c r="P1955" s="7" t="s">
        <v>135</v>
      </c>
      <c r="Q1955" s="7"/>
      <c r="R1955" s="7" t="s">
        <v>109</v>
      </c>
      <c r="S1955" s="7" t="s">
        <v>110</v>
      </c>
      <c r="T1955" s="7" t="n">
        <v>0.705</v>
      </c>
      <c r="U1955" s="7" t="n">
        <v>1</v>
      </c>
      <c r="V1955" s="7" t="s">
        <v>90</v>
      </c>
      <c r="W1955" s="7"/>
      <c r="X1955" s="7"/>
      <c r="Y1955" s="7" t="s">
        <v>12623</v>
      </c>
      <c r="Z1955" s="7"/>
      <c r="AA1955" s="7"/>
      <c r="AB1955" s="7"/>
      <c r="AC1955" s="7" t="n">
        <v>0</v>
      </c>
      <c r="AD1955" s="7" t="s">
        <v>388</v>
      </c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 t="s">
        <v>440</v>
      </c>
      <c r="BE1955" s="7" t="s">
        <v>127</v>
      </c>
      <c r="BF1955" s="8"/>
      <c r="BG1955" s="8"/>
      <c r="BH1955" s="8"/>
      <c r="BI1955" s="8"/>
      <c r="BJ1955" s="8"/>
      <c r="BK1955" s="8"/>
      <c r="BL1955" s="8"/>
      <c r="BM1955" s="8"/>
      <c r="BN1955" s="8"/>
      <c r="BO1955" s="8"/>
      <c r="BP1955" s="8"/>
      <c r="BQ1955" s="8"/>
      <c r="BR1955" s="8"/>
      <c r="BS1955" s="8"/>
    </row>
    <row r="1956" customFormat="false" ht="15" hidden="false" customHeight="false" outlineLevel="0" collapsed="false">
      <c r="A1956" s="7" t="s">
        <v>12624</v>
      </c>
      <c r="B1956" s="7" t="s">
        <v>12625</v>
      </c>
      <c r="C1956" s="7" t="s">
        <v>12626</v>
      </c>
      <c r="D1956" s="7" t="s">
        <v>12627</v>
      </c>
      <c r="E1956" s="7" t="s">
        <v>737</v>
      </c>
      <c r="F1956" s="7" t="s">
        <v>737</v>
      </c>
      <c r="G1956" s="7"/>
      <c r="H1956" s="7" t="s">
        <v>207</v>
      </c>
      <c r="I1956" s="7" t="s">
        <v>208</v>
      </c>
      <c r="J1956" s="7" t="s">
        <v>104</v>
      </c>
      <c r="K1956" s="7" t="s">
        <v>105</v>
      </c>
      <c r="L1956" s="7" t="s">
        <v>106</v>
      </c>
      <c r="M1956" s="7"/>
      <c r="N1956" s="7" t="s">
        <v>12628</v>
      </c>
      <c r="O1956" s="7" t="s">
        <v>12628</v>
      </c>
      <c r="P1956" s="7" t="s">
        <v>135</v>
      </c>
      <c r="Q1956" s="7"/>
      <c r="R1956" s="7" t="s">
        <v>109</v>
      </c>
      <c r="S1956" s="7" t="s">
        <v>110</v>
      </c>
      <c r="T1956" s="7" t="n">
        <v>0.361</v>
      </c>
      <c r="U1956" s="7" t="n">
        <v>1</v>
      </c>
      <c r="V1956" s="7" t="s">
        <v>90</v>
      </c>
      <c r="W1956" s="7"/>
      <c r="X1956" s="7"/>
      <c r="Y1956" s="7" t="s">
        <v>12628</v>
      </c>
      <c r="Z1956" s="7"/>
      <c r="AA1956" s="7"/>
      <c r="AB1956" s="7"/>
      <c r="AC1956" s="7" t="n">
        <v>0</v>
      </c>
      <c r="AD1956" s="7" t="s">
        <v>388</v>
      </c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 t="s">
        <v>440</v>
      </c>
      <c r="BE1956" s="7" t="s">
        <v>127</v>
      </c>
      <c r="BF1956" s="8"/>
      <c r="BG1956" s="8"/>
      <c r="BH1956" s="8"/>
      <c r="BI1956" s="8"/>
      <c r="BJ1956" s="8"/>
      <c r="BK1956" s="8"/>
      <c r="BL1956" s="8"/>
      <c r="BM1956" s="8"/>
      <c r="BN1956" s="8"/>
      <c r="BO1956" s="8"/>
      <c r="BP1956" s="8"/>
      <c r="BQ1956" s="8"/>
      <c r="BR1956" s="8"/>
      <c r="BS1956" s="8"/>
    </row>
    <row r="1957" customFormat="false" ht="15" hidden="false" customHeight="false" outlineLevel="0" collapsed="false">
      <c r="A1957" s="7" t="s">
        <v>12629</v>
      </c>
      <c r="B1957" s="7" t="s">
        <v>12630</v>
      </c>
      <c r="C1957" s="7" t="s">
        <v>12631</v>
      </c>
      <c r="D1957" s="7" t="s">
        <v>12632</v>
      </c>
      <c r="E1957" s="7" t="s">
        <v>819</v>
      </c>
      <c r="F1957" s="7" t="s">
        <v>819</v>
      </c>
      <c r="G1957" s="7"/>
      <c r="H1957" s="7" t="s">
        <v>207</v>
      </c>
      <c r="I1957" s="7" t="s">
        <v>132</v>
      </c>
      <c r="J1957" s="7" t="s">
        <v>104</v>
      </c>
      <c r="K1957" s="7" t="s">
        <v>105</v>
      </c>
      <c r="L1957" s="7" t="s">
        <v>106</v>
      </c>
      <c r="M1957" s="7"/>
      <c r="N1957" s="7" t="s">
        <v>12633</v>
      </c>
      <c r="O1957" s="7" t="s">
        <v>12633</v>
      </c>
      <c r="P1957" s="7" t="s">
        <v>109</v>
      </c>
      <c r="Q1957" s="7"/>
      <c r="R1957" s="7" t="s">
        <v>109</v>
      </c>
      <c r="S1957" s="7" t="s">
        <v>110</v>
      </c>
      <c r="T1957" s="7" t="n">
        <v>0.863</v>
      </c>
      <c r="U1957" s="7" t="n">
        <v>1</v>
      </c>
      <c r="V1957" s="7" t="s">
        <v>1156</v>
      </c>
      <c r="W1957" s="7"/>
      <c r="X1957" s="7"/>
      <c r="Y1957" s="7" t="s">
        <v>12633</v>
      </c>
      <c r="Z1957" s="7"/>
      <c r="AA1957" s="7"/>
      <c r="AB1957" s="7"/>
      <c r="AC1957" s="7" t="n">
        <v>0</v>
      </c>
      <c r="AD1957" s="7" t="s">
        <v>388</v>
      </c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 t="s">
        <v>127</v>
      </c>
      <c r="BF1957" s="8"/>
      <c r="BG1957" s="8"/>
      <c r="BH1957" s="8"/>
      <c r="BI1957" s="8"/>
      <c r="BJ1957" s="8"/>
      <c r="BK1957" s="8"/>
      <c r="BL1957" s="8"/>
      <c r="BM1957" s="8"/>
      <c r="BN1957" s="8"/>
      <c r="BO1957" s="8"/>
      <c r="BP1957" s="8"/>
      <c r="BQ1957" s="8"/>
      <c r="BR1957" s="8"/>
      <c r="BS1957" s="8"/>
    </row>
    <row r="1958" customFormat="false" ht="15" hidden="false" customHeight="false" outlineLevel="0" collapsed="false">
      <c r="A1958" s="7" t="s">
        <v>12634</v>
      </c>
      <c r="B1958" s="7" t="s">
        <v>12635</v>
      </c>
      <c r="C1958" s="7" t="s">
        <v>12636</v>
      </c>
      <c r="D1958" s="7" t="s">
        <v>12637</v>
      </c>
      <c r="E1958" s="7" t="s">
        <v>1966</v>
      </c>
      <c r="F1958" s="7" t="s">
        <v>1966</v>
      </c>
      <c r="G1958" s="7"/>
      <c r="H1958" s="7" t="s">
        <v>207</v>
      </c>
      <c r="I1958" s="7" t="s">
        <v>208</v>
      </c>
      <c r="J1958" s="7" t="s">
        <v>104</v>
      </c>
      <c r="K1958" s="7" t="s">
        <v>105</v>
      </c>
      <c r="L1958" s="7" t="s">
        <v>12638</v>
      </c>
      <c r="M1958" s="7"/>
      <c r="N1958" s="7" t="s">
        <v>12639</v>
      </c>
      <c r="O1958" s="7" t="s">
        <v>12639</v>
      </c>
      <c r="P1958" s="7" t="s">
        <v>109</v>
      </c>
      <c r="Q1958" s="7"/>
      <c r="R1958" s="7" t="s">
        <v>109</v>
      </c>
      <c r="S1958" s="7" t="s">
        <v>110</v>
      </c>
      <c r="T1958" s="7" t="n">
        <v>0.684</v>
      </c>
      <c r="U1958" s="7" t="n">
        <v>1</v>
      </c>
      <c r="V1958" s="7" t="s">
        <v>1156</v>
      </c>
      <c r="W1958" s="7"/>
      <c r="X1958" s="7"/>
      <c r="Y1958" s="7" t="s">
        <v>12639</v>
      </c>
      <c r="Z1958" s="7"/>
      <c r="AA1958" s="7"/>
      <c r="AB1958" s="7"/>
      <c r="AC1958" s="7" t="n">
        <v>0</v>
      </c>
      <c r="AD1958" s="7" t="s">
        <v>388</v>
      </c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 t="s">
        <v>127</v>
      </c>
      <c r="BF1958" s="8"/>
      <c r="BG1958" s="8"/>
      <c r="BH1958" s="8"/>
      <c r="BI1958" s="8"/>
      <c r="BJ1958" s="8"/>
      <c r="BK1958" s="8"/>
      <c r="BL1958" s="8"/>
      <c r="BM1958" s="8"/>
      <c r="BN1958" s="8"/>
      <c r="BO1958" s="8"/>
      <c r="BP1958" s="8"/>
      <c r="BQ1958" s="8"/>
      <c r="BR1958" s="8"/>
      <c r="BS1958" s="8"/>
    </row>
    <row r="1959" customFormat="false" ht="15" hidden="false" customHeight="false" outlineLevel="0" collapsed="false">
      <c r="A1959" s="7" t="s">
        <v>12640</v>
      </c>
      <c r="B1959" s="7" t="s">
        <v>12641</v>
      </c>
      <c r="C1959" s="7" t="s">
        <v>12642</v>
      </c>
      <c r="D1959" s="7" t="s">
        <v>12643</v>
      </c>
      <c r="E1959" s="7" t="s">
        <v>2296</v>
      </c>
      <c r="F1959" s="7" t="s">
        <v>2296</v>
      </c>
      <c r="G1959" s="7"/>
      <c r="H1959" s="7" t="s">
        <v>207</v>
      </c>
      <c r="I1959" s="7" t="s">
        <v>208</v>
      </c>
      <c r="J1959" s="7" t="s">
        <v>104</v>
      </c>
      <c r="K1959" s="7" t="s">
        <v>105</v>
      </c>
      <c r="L1959" s="7" t="s">
        <v>106</v>
      </c>
      <c r="M1959" s="7"/>
      <c r="N1959" s="7" t="s">
        <v>12644</v>
      </c>
      <c r="O1959" s="7" t="s">
        <v>12644</v>
      </c>
      <c r="P1959" s="7" t="s">
        <v>109</v>
      </c>
      <c r="Q1959" s="7"/>
      <c r="R1959" s="7" t="s">
        <v>109</v>
      </c>
      <c r="S1959" s="7" t="s">
        <v>110</v>
      </c>
      <c r="T1959" s="7" t="n">
        <v>0.664</v>
      </c>
      <c r="U1959" s="7" t="n">
        <v>1</v>
      </c>
      <c r="V1959" s="7" t="s">
        <v>1156</v>
      </c>
      <c r="W1959" s="7"/>
      <c r="X1959" s="7"/>
      <c r="Y1959" s="7" t="s">
        <v>12644</v>
      </c>
      <c r="Z1959" s="7"/>
      <c r="AA1959" s="7"/>
      <c r="AB1959" s="7"/>
      <c r="AC1959" s="7" t="n">
        <v>0</v>
      </c>
      <c r="AD1959" s="7" t="s">
        <v>388</v>
      </c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 t="s">
        <v>127</v>
      </c>
      <c r="BF1959" s="8"/>
      <c r="BG1959" s="8"/>
      <c r="BH1959" s="8"/>
      <c r="BI1959" s="8"/>
      <c r="BJ1959" s="8"/>
      <c r="BK1959" s="8"/>
      <c r="BL1959" s="8"/>
      <c r="BM1959" s="8"/>
      <c r="BN1959" s="8"/>
      <c r="BO1959" s="8"/>
      <c r="BP1959" s="8"/>
      <c r="BQ1959" s="8"/>
      <c r="BR1959" s="8"/>
      <c r="BS1959" s="8"/>
    </row>
    <row r="1960" customFormat="false" ht="15" hidden="false" customHeight="false" outlineLevel="0" collapsed="false">
      <c r="A1960" s="7" t="s">
        <v>12645</v>
      </c>
      <c r="B1960" s="7" t="s">
        <v>12646</v>
      </c>
      <c r="C1960" s="7" t="s">
        <v>12647</v>
      </c>
      <c r="D1960" s="7" t="s">
        <v>12648</v>
      </c>
      <c r="E1960" s="7" t="s">
        <v>1966</v>
      </c>
      <c r="F1960" s="7" t="s">
        <v>1966</v>
      </c>
      <c r="G1960" s="7"/>
      <c r="H1960" s="7" t="s">
        <v>207</v>
      </c>
      <c r="I1960" s="7" t="s">
        <v>208</v>
      </c>
      <c r="J1960" s="7" t="s">
        <v>104</v>
      </c>
      <c r="K1960" s="7" t="s">
        <v>105</v>
      </c>
      <c r="L1960" s="7" t="s">
        <v>106</v>
      </c>
      <c r="M1960" s="7"/>
      <c r="N1960" s="7" t="s">
        <v>12649</v>
      </c>
      <c r="O1960" s="7" t="s">
        <v>12649</v>
      </c>
      <c r="P1960" s="7" t="s">
        <v>109</v>
      </c>
      <c r="Q1960" s="7"/>
      <c r="R1960" s="7" t="s">
        <v>109</v>
      </c>
      <c r="S1960" s="7" t="s">
        <v>110</v>
      </c>
      <c r="T1960" s="7" t="n">
        <v>0.677</v>
      </c>
      <c r="U1960" s="7" t="n">
        <v>1</v>
      </c>
      <c r="V1960" s="7" t="s">
        <v>1156</v>
      </c>
      <c r="W1960" s="7"/>
      <c r="X1960" s="7"/>
      <c r="Y1960" s="7" t="s">
        <v>12649</v>
      </c>
      <c r="Z1960" s="7"/>
      <c r="AA1960" s="7"/>
      <c r="AB1960" s="7"/>
      <c r="AC1960" s="7" t="n">
        <v>0</v>
      </c>
      <c r="AD1960" s="7" t="s">
        <v>388</v>
      </c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 t="s">
        <v>127</v>
      </c>
      <c r="BF1960" s="8"/>
      <c r="BG1960" s="8"/>
      <c r="BH1960" s="8"/>
      <c r="BI1960" s="8"/>
      <c r="BJ1960" s="8"/>
      <c r="BK1960" s="8"/>
      <c r="BL1960" s="8"/>
      <c r="BM1960" s="8"/>
      <c r="BN1960" s="8"/>
      <c r="BO1960" s="8"/>
      <c r="BP1960" s="8"/>
      <c r="BQ1960" s="8"/>
      <c r="BR1960" s="8"/>
      <c r="BS1960" s="8"/>
    </row>
    <row r="1961" customFormat="false" ht="15" hidden="false" customHeight="false" outlineLevel="0" collapsed="false">
      <c r="A1961" s="7" t="s">
        <v>12650</v>
      </c>
      <c r="B1961" s="7" t="s">
        <v>12651</v>
      </c>
      <c r="C1961" s="7" t="s">
        <v>12652</v>
      </c>
      <c r="D1961" s="7" t="s">
        <v>12653</v>
      </c>
      <c r="E1961" s="7" t="s">
        <v>1966</v>
      </c>
      <c r="F1961" s="7" t="s">
        <v>1966</v>
      </c>
      <c r="G1961" s="7"/>
      <c r="H1961" s="7" t="s">
        <v>207</v>
      </c>
      <c r="I1961" s="7" t="s">
        <v>208</v>
      </c>
      <c r="J1961" s="7" t="s">
        <v>104</v>
      </c>
      <c r="K1961" s="7" t="s">
        <v>105</v>
      </c>
      <c r="L1961" s="7" t="s">
        <v>106</v>
      </c>
      <c r="M1961" s="7"/>
      <c r="N1961" s="7" t="s">
        <v>12654</v>
      </c>
      <c r="O1961" s="7" t="s">
        <v>12654</v>
      </c>
      <c r="P1961" s="7" t="s">
        <v>109</v>
      </c>
      <c r="Q1961" s="7"/>
      <c r="R1961" s="7" t="s">
        <v>109</v>
      </c>
      <c r="S1961" s="7" t="s">
        <v>110</v>
      </c>
      <c r="T1961" s="7" t="n">
        <v>0.322</v>
      </c>
      <c r="U1961" s="7" t="n">
        <v>1</v>
      </c>
      <c r="V1961" s="7" t="s">
        <v>1156</v>
      </c>
      <c r="W1961" s="7"/>
      <c r="X1961" s="7"/>
      <c r="Y1961" s="7" t="s">
        <v>12654</v>
      </c>
      <c r="Z1961" s="7"/>
      <c r="AA1961" s="7"/>
      <c r="AB1961" s="7"/>
      <c r="AC1961" s="7" t="n">
        <v>0</v>
      </c>
      <c r="AD1961" s="7" t="s">
        <v>388</v>
      </c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 t="s">
        <v>127</v>
      </c>
      <c r="BF1961" s="8"/>
      <c r="BG1961" s="8"/>
      <c r="BH1961" s="8"/>
      <c r="BI1961" s="8"/>
      <c r="BJ1961" s="8"/>
      <c r="BK1961" s="8"/>
      <c r="BL1961" s="8"/>
      <c r="BM1961" s="8"/>
      <c r="BN1961" s="8"/>
      <c r="BO1961" s="8"/>
      <c r="BP1961" s="8"/>
      <c r="BQ1961" s="8"/>
      <c r="BR1961" s="8"/>
      <c r="BS1961" s="8"/>
    </row>
    <row r="1962" customFormat="false" ht="15" hidden="false" customHeight="false" outlineLevel="0" collapsed="false">
      <c r="A1962" s="7" t="s">
        <v>12655</v>
      </c>
      <c r="B1962" s="7" t="s">
        <v>12656</v>
      </c>
      <c r="C1962" s="7" t="s">
        <v>12657</v>
      </c>
      <c r="D1962" s="7" t="s">
        <v>12658</v>
      </c>
      <c r="E1962" s="7" t="s">
        <v>1966</v>
      </c>
      <c r="F1962" s="7" t="s">
        <v>1966</v>
      </c>
      <c r="G1962" s="7"/>
      <c r="H1962" s="7" t="s">
        <v>207</v>
      </c>
      <c r="I1962" s="7" t="s">
        <v>1104</v>
      </c>
      <c r="J1962" s="7" t="s">
        <v>104</v>
      </c>
      <c r="K1962" s="7" t="s">
        <v>105</v>
      </c>
      <c r="L1962" s="7" t="s">
        <v>2951</v>
      </c>
      <c r="M1962" s="7"/>
      <c r="N1962" s="7" t="s">
        <v>12659</v>
      </c>
      <c r="O1962" s="7" t="s">
        <v>12659</v>
      </c>
      <c r="P1962" s="7" t="s">
        <v>109</v>
      </c>
      <c r="Q1962" s="7"/>
      <c r="R1962" s="7" t="s">
        <v>109</v>
      </c>
      <c r="S1962" s="7" t="s">
        <v>110</v>
      </c>
      <c r="T1962" s="7" t="n">
        <v>0.704</v>
      </c>
      <c r="U1962" s="7" t="n">
        <v>1</v>
      </c>
      <c r="V1962" s="7" t="s">
        <v>1156</v>
      </c>
      <c r="W1962" s="7"/>
      <c r="X1962" s="7"/>
      <c r="Y1962" s="7" t="s">
        <v>12659</v>
      </c>
      <c r="Z1962" s="7"/>
      <c r="AA1962" s="7"/>
      <c r="AB1962" s="7"/>
      <c r="AC1962" s="7" t="n">
        <v>0</v>
      </c>
      <c r="AD1962" s="7" t="s">
        <v>388</v>
      </c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 t="s">
        <v>127</v>
      </c>
      <c r="BF1962" s="8"/>
      <c r="BG1962" s="8"/>
      <c r="BH1962" s="8"/>
      <c r="BI1962" s="8"/>
      <c r="BJ1962" s="8"/>
      <c r="BK1962" s="8"/>
      <c r="BL1962" s="8"/>
      <c r="BM1962" s="8"/>
      <c r="BN1962" s="8"/>
      <c r="BO1962" s="8"/>
      <c r="BP1962" s="8"/>
      <c r="BQ1962" s="8"/>
      <c r="BR1962" s="8"/>
      <c r="BS1962" s="8"/>
    </row>
    <row r="1963" customFormat="false" ht="15" hidden="false" customHeight="false" outlineLevel="0" collapsed="false">
      <c r="A1963" s="7" t="s">
        <v>12660</v>
      </c>
      <c r="B1963" s="7" t="s">
        <v>12661</v>
      </c>
      <c r="C1963" s="7" t="s">
        <v>12662</v>
      </c>
      <c r="D1963" s="7" t="s">
        <v>9739</v>
      </c>
      <c r="E1963" s="7" t="s">
        <v>431</v>
      </c>
      <c r="F1963" s="7" t="s">
        <v>431</v>
      </c>
      <c r="G1963" s="7"/>
      <c r="H1963" s="7" t="s">
        <v>207</v>
      </c>
      <c r="I1963" s="7" t="s">
        <v>132</v>
      </c>
      <c r="J1963" s="7" t="s">
        <v>104</v>
      </c>
      <c r="K1963" s="7" t="s">
        <v>105</v>
      </c>
      <c r="L1963" s="7" t="s">
        <v>106</v>
      </c>
      <c r="M1963" s="7"/>
      <c r="N1963" s="7" t="s">
        <v>12663</v>
      </c>
      <c r="O1963" s="7" t="s">
        <v>12663</v>
      </c>
      <c r="P1963" s="7" t="s">
        <v>109</v>
      </c>
      <c r="Q1963" s="7"/>
      <c r="R1963" s="7" t="s">
        <v>109</v>
      </c>
      <c r="S1963" s="7" t="s">
        <v>110</v>
      </c>
      <c r="T1963" s="7" t="n">
        <v>0.799</v>
      </c>
      <c r="U1963" s="7" t="n">
        <v>1</v>
      </c>
      <c r="V1963" s="7" t="s">
        <v>1156</v>
      </c>
      <c r="W1963" s="7"/>
      <c r="X1963" s="7"/>
      <c r="Y1963" s="7" t="s">
        <v>12663</v>
      </c>
      <c r="Z1963" s="7"/>
      <c r="AA1963" s="7"/>
      <c r="AB1963" s="7"/>
      <c r="AC1963" s="7" t="n">
        <v>0</v>
      </c>
      <c r="AD1963" s="7" t="s">
        <v>388</v>
      </c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 t="s">
        <v>127</v>
      </c>
      <c r="BF1963" s="8"/>
      <c r="BG1963" s="8"/>
      <c r="BH1963" s="8"/>
      <c r="BI1963" s="8"/>
      <c r="BJ1963" s="8"/>
      <c r="BK1963" s="8"/>
      <c r="BL1963" s="8"/>
      <c r="BM1963" s="8"/>
      <c r="BN1963" s="8"/>
      <c r="BO1963" s="8"/>
      <c r="BP1963" s="8"/>
      <c r="BQ1963" s="8"/>
      <c r="BR1963" s="8"/>
      <c r="BS1963" s="8"/>
    </row>
    <row r="1964" customFormat="false" ht="15" hidden="false" customHeight="false" outlineLevel="0" collapsed="false">
      <c r="A1964" s="7" t="s">
        <v>12664</v>
      </c>
      <c r="B1964" s="7" t="s">
        <v>12665</v>
      </c>
      <c r="C1964" s="7" t="s">
        <v>12666</v>
      </c>
      <c r="D1964" s="7" t="s">
        <v>12667</v>
      </c>
      <c r="E1964" s="7" t="s">
        <v>431</v>
      </c>
      <c r="F1964" s="7" t="s">
        <v>431</v>
      </c>
      <c r="G1964" s="7"/>
      <c r="H1964" s="7" t="s">
        <v>207</v>
      </c>
      <c r="I1964" s="7" t="s">
        <v>132</v>
      </c>
      <c r="J1964" s="7" t="s">
        <v>104</v>
      </c>
      <c r="K1964" s="7" t="s">
        <v>105</v>
      </c>
      <c r="L1964" s="7" t="s">
        <v>106</v>
      </c>
      <c r="M1964" s="7"/>
      <c r="N1964" s="7" t="s">
        <v>12668</v>
      </c>
      <c r="O1964" s="7" t="s">
        <v>12668</v>
      </c>
      <c r="P1964" s="7" t="s">
        <v>109</v>
      </c>
      <c r="Q1964" s="7"/>
      <c r="R1964" s="7" t="s">
        <v>109</v>
      </c>
      <c r="S1964" s="7" t="s">
        <v>110</v>
      </c>
      <c r="T1964" s="7" t="n">
        <v>0.681</v>
      </c>
      <c r="U1964" s="7" t="n">
        <v>1</v>
      </c>
      <c r="V1964" s="7" t="s">
        <v>86</v>
      </c>
      <c r="W1964" s="7"/>
      <c r="X1964" s="7"/>
      <c r="Y1964" s="7" t="s">
        <v>12668</v>
      </c>
      <c r="Z1964" s="7"/>
      <c r="AA1964" s="7"/>
      <c r="AB1964" s="7"/>
      <c r="AC1964" s="7" t="n">
        <v>0</v>
      </c>
      <c r="AD1964" s="7" t="s">
        <v>388</v>
      </c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 t="s">
        <v>127</v>
      </c>
      <c r="BF1964" s="8"/>
      <c r="BG1964" s="8"/>
      <c r="BH1964" s="8"/>
      <c r="BI1964" s="8"/>
      <c r="BJ1964" s="8"/>
      <c r="BK1964" s="8"/>
      <c r="BL1964" s="8"/>
      <c r="BM1964" s="8"/>
      <c r="BN1964" s="8"/>
      <c r="BO1964" s="8"/>
      <c r="BP1964" s="8"/>
      <c r="BQ1964" s="8"/>
      <c r="BR1964" s="8"/>
      <c r="BS1964" s="8"/>
    </row>
    <row r="1965" customFormat="false" ht="15" hidden="false" customHeight="false" outlineLevel="0" collapsed="false">
      <c r="A1965" s="7" t="s">
        <v>12669</v>
      </c>
      <c r="B1965" s="7" t="s">
        <v>12670</v>
      </c>
      <c r="C1965" s="7" t="s">
        <v>12671</v>
      </c>
      <c r="D1965" s="7" t="s">
        <v>12672</v>
      </c>
      <c r="E1965" s="7" t="s">
        <v>410</v>
      </c>
      <c r="F1965" s="7" t="s">
        <v>410</v>
      </c>
      <c r="G1965" s="7"/>
      <c r="H1965" s="7" t="s">
        <v>207</v>
      </c>
      <c r="I1965" s="7" t="s">
        <v>132</v>
      </c>
      <c r="J1965" s="7" t="s">
        <v>104</v>
      </c>
      <c r="K1965" s="7" t="s">
        <v>105</v>
      </c>
      <c r="L1965" s="7" t="s">
        <v>106</v>
      </c>
      <c r="M1965" s="7"/>
      <c r="N1965" s="7" t="s">
        <v>12673</v>
      </c>
      <c r="O1965" s="7" t="s">
        <v>12673</v>
      </c>
      <c r="P1965" s="7" t="s">
        <v>109</v>
      </c>
      <c r="Q1965" s="7"/>
      <c r="R1965" s="7" t="s">
        <v>109</v>
      </c>
      <c r="S1965" s="7" t="s">
        <v>110</v>
      </c>
      <c r="T1965" s="7" t="n">
        <v>0.449</v>
      </c>
      <c r="U1965" s="7" t="n">
        <v>1</v>
      </c>
      <c r="V1965" s="7" t="s">
        <v>86</v>
      </c>
      <c r="W1965" s="7"/>
      <c r="X1965" s="7"/>
      <c r="Y1965" s="7" t="s">
        <v>12673</v>
      </c>
      <c r="Z1965" s="7"/>
      <c r="AA1965" s="7"/>
      <c r="AB1965" s="7"/>
      <c r="AC1965" s="7" t="n">
        <v>0</v>
      </c>
      <c r="AD1965" s="7" t="s">
        <v>388</v>
      </c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 t="s">
        <v>127</v>
      </c>
      <c r="BF1965" s="8"/>
      <c r="BG1965" s="8"/>
      <c r="BH1965" s="8"/>
      <c r="BI1965" s="8"/>
      <c r="BJ1965" s="8"/>
      <c r="BK1965" s="8"/>
      <c r="BL1965" s="8"/>
      <c r="BM1965" s="8"/>
      <c r="BN1965" s="8"/>
      <c r="BO1965" s="8"/>
      <c r="BP1965" s="8"/>
      <c r="BQ1965" s="8"/>
      <c r="BR1965" s="8"/>
      <c r="BS1965" s="8"/>
    </row>
    <row r="1966" customFormat="false" ht="15" hidden="false" customHeight="false" outlineLevel="0" collapsed="false">
      <c r="A1966" s="7" t="s">
        <v>12674</v>
      </c>
      <c r="B1966" s="7" t="s">
        <v>12675</v>
      </c>
      <c r="C1966" s="7" t="s">
        <v>12676</v>
      </c>
      <c r="D1966" s="7" t="s">
        <v>12677</v>
      </c>
      <c r="E1966" s="7" t="s">
        <v>444</v>
      </c>
      <c r="F1966" s="7" t="s">
        <v>444</v>
      </c>
      <c r="G1966" s="7"/>
      <c r="H1966" s="7" t="s">
        <v>207</v>
      </c>
      <c r="I1966" s="7" t="s">
        <v>300</v>
      </c>
      <c r="J1966" s="7" t="s">
        <v>104</v>
      </c>
      <c r="K1966" s="7" t="s">
        <v>105</v>
      </c>
      <c r="L1966" s="7" t="s">
        <v>106</v>
      </c>
      <c r="M1966" s="7"/>
      <c r="N1966" s="7" t="s">
        <v>12678</v>
      </c>
      <c r="O1966" s="7" t="s">
        <v>12678</v>
      </c>
      <c r="P1966" s="7" t="s">
        <v>135</v>
      </c>
      <c r="Q1966" s="7"/>
      <c r="R1966" s="7" t="s">
        <v>109</v>
      </c>
      <c r="S1966" s="7" t="s">
        <v>110</v>
      </c>
      <c r="T1966" s="7" t="n">
        <v>0.875</v>
      </c>
      <c r="U1966" s="7" t="n">
        <v>1</v>
      </c>
      <c r="V1966" s="7" t="s">
        <v>90</v>
      </c>
      <c r="W1966" s="7"/>
      <c r="X1966" s="7"/>
      <c r="Y1966" s="7" t="s">
        <v>12678</v>
      </c>
      <c r="Z1966" s="7"/>
      <c r="AA1966" s="7"/>
      <c r="AB1966" s="7"/>
      <c r="AC1966" s="7" t="n">
        <v>0</v>
      </c>
      <c r="AD1966" s="7" t="s">
        <v>388</v>
      </c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 t="s">
        <v>440</v>
      </c>
      <c r="BE1966" s="7" t="s">
        <v>127</v>
      </c>
      <c r="BF1966" s="8"/>
      <c r="BG1966" s="8"/>
      <c r="BH1966" s="8"/>
      <c r="BI1966" s="8"/>
      <c r="BJ1966" s="8"/>
      <c r="BK1966" s="8"/>
      <c r="BL1966" s="8"/>
      <c r="BM1966" s="8"/>
      <c r="BN1966" s="8"/>
      <c r="BO1966" s="8"/>
      <c r="BP1966" s="8"/>
      <c r="BQ1966" s="8"/>
      <c r="BR1966" s="8"/>
      <c r="BS1966" s="8"/>
    </row>
    <row r="1967" customFormat="false" ht="15" hidden="false" customHeight="false" outlineLevel="0" collapsed="false">
      <c r="A1967" s="7" t="s">
        <v>12679</v>
      </c>
      <c r="B1967" s="7" t="s">
        <v>12680</v>
      </c>
      <c r="C1967" s="9" t="s">
        <v>12681</v>
      </c>
      <c r="D1967" s="7" t="s">
        <v>12682</v>
      </c>
      <c r="E1967" s="7" t="s">
        <v>8961</v>
      </c>
      <c r="F1967" s="7" t="s">
        <v>8961</v>
      </c>
      <c r="G1967" s="7"/>
      <c r="H1967" s="7" t="s">
        <v>207</v>
      </c>
      <c r="I1967" s="7" t="s">
        <v>208</v>
      </c>
      <c r="J1967" s="7" t="s">
        <v>104</v>
      </c>
      <c r="K1967" s="7" t="s">
        <v>105</v>
      </c>
      <c r="L1967" s="7" t="s">
        <v>106</v>
      </c>
      <c r="M1967" s="7"/>
      <c r="N1967" s="7" t="s">
        <v>12683</v>
      </c>
      <c r="O1967" s="7" t="s">
        <v>12683</v>
      </c>
      <c r="P1967" s="7" t="s">
        <v>109</v>
      </c>
      <c r="Q1967" s="7"/>
      <c r="R1967" s="7" t="s">
        <v>109</v>
      </c>
      <c r="S1967" s="7" t="s">
        <v>110</v>
      </c>
      <c r="T1967" s="7" t="n">
        <v>0.865</v>
      </c>
      <c r="U1967" s="7" t="n">
        <v>1</v>
      </c>
      <c r="V1967" s="7" t="s">
        <v>86</v>
      </c>
      <c r="W1967" s="7"/>
      <c r="X1967" s="7"/>
      <c r="Y1967" s="7" t="s">
        <v>12683</v>
      </c>
      <c r="Z1967" s="7"/>
      <c r="AA1967" s="7"/>
      <c r="AB1967" s="7"/>
      <c r="AC1967" s="7" t="n">
        <v>0</v>
      </c>
      <c r="AD1967" s="7" t="s">
        <v>388</v>
      </c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 t="s">
        <v>127</v>
      </c>
      <c r="BF1967" s="8"/>
      <c r="BG1967" s="8"/>
      <c r="BH1967" s="8"/>
      <c r="BI1967" s="8"/>
      <c r="BJ1967" s="8"/>
      <c r="BK1967" s="8"/>
      <c r="BL1967" s="8"/>
      <c r="BM1967" s="8"/>
      <c r="BN1967" s="8"/>
      <c r="BO1967" s="8"/>
      <c r="BP1967" s="8"/>
      <c r="BQ1967" s="8"/>
      <c r="BR1967" s="8"/>
      <c r="BS1967" s="8"/>
    </row>
    <row r="1968" customFormat="false" ht="15" hidden="false" customHeight="false" outlineLevel="0" collapsed="false">
      <c r="A1968" s="7" t="s">
        <v>12684</v>
      </c>
      <c r="B1968" s="7" t="s">
        <v>12685</v>
      </c>
      <c r="C1968" s="7" t="s">
        <v>12686</v>
      </c>
      <c r="D1968" s="7" t="s">
        <v>12687</v>
      </c>
      <c r="E1968" s="7" t="s">
        <v>1966</v>
      </c>
      <c r="F1968" s="7" t="s">
        <v>1966</v>
      </c>
      <c r="G1968" s="7"/>
      <c r="H1968" s="7" t="s">
        <v>207</v>
      </c>
      <c r="I1968" s="7" t="s">
        <v>132</v>
      </c>
      <c r="J1968" s="7" t="s">
        <v>104</v>
      </c>
      <c r="K1968" s="7" t="s">
        <v>105</v>
      </c>
      <c r="L1968" s="7" t="s">
        <v>106</v>
      </c>
      <c r="M1968" s="7"/>
      <c r="N1968" s="7" t="s">
        <v>12688</v>
      </c>
      <c r="O1968" s="7" t="s">
        <v>12688</v>
      </c>
      <c r="P1968" s="7" t="s">
        <v>135</v>
      </c>
      <c r="Q1968" s="7"/>
      <c r="R1968" s="7" t="s">
        <v>109</v>
      </c>
      <c r="S1968" s="7" t="s">
        <v>110</v>
      </c>
      <c r="T1968" s="7" t="n">
        <v>0.473</v>
      </c>
      <c r="U1968" s="7" t="n">
        <v>1</v>
      </c>
      <c r="V1968" s="7" t="s">
        <v>90</v>
      </c>
      <c r="W1968" s="7"/>
      <c r="X1968" s="7"/>
      <c r="Y1968" s="7" t="s">
        <v>12688</v>
      </c>
      <c r="Z1968" s="7"/>
      <c r="AA1968" s="7"/>
      <c r="AB1968" s="7"/>
      <c r="AC1968" s="7" t="n">
        <v>0</v>
      </c>
      <c r="AD1968" s="7" t="s">
        <v>388</v>
      </c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 t="s">
        <v>440</v>
      </c>
      <c r="BE1968" s="7" t="s">
        <v>127</v>
      </c>
      <c r="BF1968" s="8"/>
      <c r="BG1968" s="8"/>
      <c r="BH1968" s="8"/>
      <c r="BI1968" s="8"/>
      <c r="BJ1968" s="8"/>
      <c r="BK1968" s="8"/>
      <c r="BL1968" s="8"/>
      <c r="BM1968" s="8"/>
      <c r="BN1968" s="8"/>
      <c r="BO1968" s="8"/>
      <c r="BP1968" s="8"/>
      <c r="BQ1968" s="8"/>
      <c r="BR1968" s="8"/>
      <c r="BS1968" s="8"/>
    </row>
    <row r="1969" customFormat="false" ht="15" hidden="false" customHeight="false" outlineLevel="0" collapsed="false">
      <c r="A1969" s="7" t="s">
        <v>12689</v>
      </c>
      <c r="B1969" s="7" t="s">
        <v>12690</v>
      </c>
      <c r="C1969" s="7" t="s">
        <v>12691</v>
      </c>
      <c r="D1969" s="7" t="s">
        <v>12692</v>
      </c>
      <c r="E1969" s="7" t="s">
        <v>3046</v>
      </c>
      <c r="F1969" s="7" t="s">
        <v>3046</v>
      </c>
      <c r="G1969" s="7"/>
      <c r="H1969" s="7" t="s">
        <v>207</v>
      </c>
      <c r="I1969" s="7" t="s">
        <v>158</v>
      </c>
      <c r="J1969" s="7" t="s">
        <v>104</v>
      </c>
      <c r="K1969" s="7" t="s">
        <v>105</v>
      </c>
      <c r="L1969" s="7" t="s">
        <v>106</v>
      </c>
      <c r="M1969" s="7"/>
      <c r="N1969" s="7" t="s">
        <v>12693</v>
      </c>
      <c r="O1969" s="7" t="s">
        <v>12693</v>
      </c>
      <c r="P1969" s="7" t="s">
        <v>135</v>
      </c>
      <c r="Q1969" s="7"/>
      <c r="R1969" s="7" t="s">
        <v>109</v>
      </c>
      <c r="S1969" s="7" t="s">
        <v>110</v>
      </c>
      <c r="T1969" s="7" t="n">
        <v>0.65</v>
      </c>
      <c r="U1969" s="7" t="n">
        <v>1</v>
      </c>
      <c r="V1969" s="7" t="s">
        <v>90</v>
      </c>
      <c r="W1969" s="7"/>
      <c r="X1969" s="7"/>
      <c r="Y1969" s="7" t="s">
        <v>12693</v>
      </c>
      <c r="Z1969" s="7"/>
      <c r="AA1969" s="7"/>
      <c r="AB1969" s="7"/>
      <c r="AC1969" s="7" t="n">
        <v>0</v>
      </c>
      <c r="AD1969" s="7" t="s">
        <v>388</v>
      </c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 t="s">
        <v>440</v>
      </c>
      <c r="BE1969" s="7" t="s">
        <v>127</v>
      </c>
      <c r="BF1969" s="8"/>
      <c r="BG1969" s="8"/>
      <c r="BH1969" s="8"/>
      <c r="BI1969" s="8"/>
      <c r="BJ1969" s="8"/>
      <c r="BK1969" s="8"/>
      <c r="BL1969" s="8"/>
      <c r="BM1969" s="8"/>
      <c r="BN1969" s="8"/>
      <c r="BO1969" s="8"/>
      <c r="BP1969" s="8"/>
      <c r="BQ1969" s="8"/>
      <c r="BR1969" s="8"/>
      <c r="BS1969" s="8"/>
    </row>
    <row r="1970" customFormat="false" ht="15" hidden="false" customHeight="false" outlineLevel="0" collapsed="false">
      <c r="A1970" s="7" t="s">
        <v>12694</v>
      </c>
      <c r="B1970" s="7" t="s">
        <v>12695</v>
      </c>
      <c r="C1970" s="7" t="s">
        <v>12696</v>
      </c>
      <c r="D1970" s="7" t="s">
        <v>12697</v>
      </c>
      <c r="E1970" s="7" t="s">
        <v>410</v>
      </c>
      <c r="F1970" s="7" t="s">
        <v>410</v>
      </c>
      <c r="G1970" s="7"/>
      <c r="H1970" s="7" t="s">
        <v>207</v>
      </c>
      <c r="I1970" s="7" t="s">
        <v>158</v>
      </c>
      <c r="J1970" s="7" t="s">
        <v>104</v>
      </c>
      <c r="K1970" s="7" t="s">
        <v>105</v>
      </c>
      <c r="L1970" s="7" t="s">
        <v>106</v>
      </c>
      <c r="M1970" s="7"/>
      <c r="N1970" s="7" t="s">
        <v>12698</v>
      </c>
      <c r="O1970" s="7" t="s">
        <v>12698</v>
      </c>
      <c r="P1970" s="7" t="s">
        <v>135</v>
      </c>
      <c r="Q1970" s="7"/>
      <c r="R1970" s="7" t="s">
        <v>109</v>
      </c>
      <c r="S1970" s="7" t="s">
        <v>110</v>
      </c>
      <c r="T1970" s="7" t="n">
        <v>0.425</v>
      </c>
      <c r="U1970" s="7" t="n">
        <v>1</v>
      </c>
      <c r="V1970" s="7" t="s">
        <v>90</v>
      </c>
      <c r="W1970" s="7"/>
      <c r="X1970" s="7"/>
      <c r="Y1970" s="7" t="s">
        <v>12698</v>
      </c>
      <c r="Z1970" s="7"/>
      <c r="AA1970" s="7"/>
      <c r="AB1970" s="7"/>
      <c r="AC1970" s="7" t="n">
        <v>0</v>
      </c>
      <c r="AD1970" s="7" t="s">
        <v>388</v>
      </c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 t="s">
        <v>440</v>
      </c>
      <c r="BE1970" s="7" t="s">
        <v>127</v>
      </c>
      <c r="BF1970" s="8"/>
      <c r="BG1970" s="8"/>
      <c r="BH1970" s="8"/>
      <c r="BI1970" s="8"/>
      <c r="BJ1970" s="8"/>
      <c r="BK1970" s="8"/>
      <c r="BL1970" s="8"/>
      <c r="BM1970" s="8"/>
      <c r="BN1970" s="8"/>
      <c r="BO1970" s="8"/>
      <c r="BP1970" s="8"/>
      <c r="BQ1970" s="8"/>
      <c r="BR1970" s="8"/>
      <c r="BS1970" s="8"/>
    </row>
    <row r="1971" customFormat="false" ht="15" hidden="false" customHeight="false" outlineLevel="0" collapsed="false">
      <c r="A1971" s="7" t="s">
        <v>12699</v>
      </c>
      <c r="B1971" s="7" t="s">
        <v>12700</v>
      </c>
      <c r="C1971" s="7" t="s">
        <v>12701</v>
      </c>
      <c r="D1971" s="7" t="s">
        <v>12702</v>
      </c>
      <c r="E1971" s="7" t="s">
        <v>4473</v>
      </c>
      <c r="F1971" s="7" t="s">
        <v>4473</v>
      </c>
      <c r="G1971" s="7"/>
      <c r="H1971" s="7" t="s">
        <v>207</v>
      </c>
      <c r="I1971" s="7" t="s">
        <v>103</v>
      </c>
      <c r="J1971" s="7" t="s">
        <v>104</v>
      </c>
      <c r="K1971" s="7" t="s">
        <v>105</v>
      </c>
      <c r="L1971" s="7" t="s">
        <v>106</v>
      </c>
      <c r="M1971" s="7"/>
      <c r="N1971" s="7" t="s">
        <v>12703</v>
      </c>
      <c r="O1971" s="7" t="s">
        <v>12703</v>
      </c>
      <c r="P1971" s="7" t="s">
        <v>109</v>
      </c>
      <c r="Q1971" s="7"/>
      <c r="R1971" s="7" t="s">
        <v>109</v>
      </c>
      <c r="S1971" s="7" t="s">
        <v>110</v>
      </c>
      <c r="T1971" s="7" t="n">
        <v>0.536</v>
      </c>
      <c r="U1971" s="7" t="n">
        <v>1</v>
      </c>
      <c r="V1971" s="7" t="s">
        <v>86</v>
      </c>
      <c r="W1971" s="7"/>
      <c r="X1971" s="7"/>
      <c r="Y1971" s="7" t="s">
        <v>12703</v>
      </c>
      <c r="Z1971" s="7"/>
      <c r="AA1971" s="7"/>
      <c r="AB1971" s="7"/>
      <c r="AC1971" s="7" t="n">
        <v>0</v>
      </c>
      <c r="AD1971" s="7" t="s">
        <v>388</v>
      </c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 t="s">
        <v>127</v>
      </c>
      <c r="BF1971" s="8"/>
      <c r="BG1971" s="8"/>
      <c r="BH1971" s="8"/>
      <c r="BI1971" s="8"/>
      <c r="BJ1971" s="8"/>
      <c r="BK1971" s="8"/>
      <c r="BL1971" s="8"/>
      <c r="BM1971" s="8"/>
      <c r="BN1971" s="8"/>
      <c r="BO1971" s="8"/>
      <c r="BP1971" s="8"/>
      <c r="BQ1971" s="8"/>
      <c r="BR1971" s="8"/>
      <c r="BS1971" s="8"/>
    </row>
    <row r="1972" customFormat="false" ht="15" hidden="false" customHeight="false" outlineLevel="0" collapsed="false">
      <c r="A1972" s="7" t="s">
        <v>12704</v>
      </c>
      <c r="B1972" s="7" t="s">
        <v>12705</v>
      </c>
      <c r="C1972" s="7" t="s">
        <v>12706</v>
      </c>
      <c r="D1972" s="7" t="s">
        <v>12458</v>
      </c>
      <c r="E1972" s="7" t="s">
        <v>741</v>
      </c>
      <c r="F1972" s="7" t="s">
        <v>741</v>
      </c>
      <c r="G1972" s="7"/>
      <c r="H1972" s="7" t="s">
        <v>207</v>
      </c>
      <c r="I1972" s="7" t="s">
        <v>103</v>
      </c>
      <c r="J1972" s="7" t="s">
        <v>104</v>
      </c>
      <c r="K1972" s="7" t="s">
        <v>105</v>
      </c>
      <c r="L1972" s="7" t="s">
        <v>106</v>
      </c>
      <c r="M1972" s="7"/>
      <c r="N1972" s="7" t="s">
        <v>12707</v>
      </c>
      <c r="O1972" s="7" t="s">
        <v>12707</v>
      </c>
      <c r="P1972" s="7" t="s">
        <v>84</v>
      </c>
      <c r="Q1972" s="7"/>
      <c r="R1972" s="7" t="s">
        <v>109</v>
      </c>
      <c r="S1972" s="7" t="s">
        <v>110</v>
      </c>
      <c r="T1972" s="7" t="n">
        <v>0.601</v>
      </c>
      <c r="U1972" s="7" t="n">
        <v>2</v>
      </c>
      <c r="V1972" s="7" t="s">
        <v>111</v>
      </c>
      <c r="W1972" s="7"/>
      <c r="X1972" s="7"/>
      <c r="Y1972" s="7" t="s">
        <v>12707</v>
      </c>
      <c r="Z1972" s="7"/>
      <c r="AA1972" s="7"/>
      <c r="AB1972" s="7"/>
      <c r="AC1972" s="7" t="n">
        <v>0</v>
      </c>
      <c r="AD1972" s="7" t="s">
        <v>388</v>
      </c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 t="s">
        <v>1861</v>
      </c>
      <c r="BE1972" s="7" t="s">
        <v>127</v>
      </c>
      <c r="BF1972" s="8"/>
      <c r="BG1972" s="8"/>
      <c r="BH1972" s="8"/>
      <c r="BI1972" s="8"/>
      <c r="BJ1972" s="8"/>
      <c r="BK1972" s="8"/>
      <c r="BL1972" s="8"/>
      <c r="BM1972" s="8"/>
      <c r="BN1972" s="8"/>
      <c r="BO1972" s="8"/>
      <c r="BP1972" s="8"/>
      <c r="BQ1972" s="8"/>
      <c r="BR1972" s="8"/>
      <c r="BS1972" s="8"/>
    </row>
    <row r="1973" customFormat="false" ht="15" hidden="false" customHeight="false" outlineLevel="0" collapsed="false">
      <c r="A1973" s="7" t="s">
        <v>12708</v>
      </c>
      <c r="B1973" s="7" t="s">
        <v>12709</v>
      </c>
      <c r="C1973" s="7" t="s">
        <v>12710</v>
      </c>
      <c r="D1973" s="7" t="s">
        <v>9739</v>
      </c>
      <c r="E1973" s="7" t="s">
        <v>431</v>
      </c>
      <c r="F1973" s="7" t="s">
        <v>431</v>
      </c>
      <c r="G1973" s="7"/>
      <c r="H1973" s="7" t="s">
        <v>207</v>
      </c>
      <c r="I1973" s="7" t="s">
        <v>1104</v>
      </c>
      <c r="J1973" s="7" t="s">
        <v>104</v>
      </c>
      <c r="K1973" s="7" t="s">
        <v>105</v>
      </c>
      <c r="L1973" s="7" t="s">
        <v>2951</v>
      </c>
      <c r="M1973" s="7"/>
      <c r="N1973" s="7" t="s">
        <v>12711</v>
      </c>
      <c r="O1973" s="7" t="s">
        <v>12711</v>
      </c>
      <c r="P1973" s="7" t="s">
        <v>109</v>
      </c>
      <c r="Q1973" s="7"/>
      <c r="R1973" s="7" t="s">
        <v>109</v>
      </c>
      <c r="S1973" s="7" t="s">
        <v>110</v>
      </c>
      <c r="T1973" s="7" t="n">
        <v>0.853</v>
      </c>
      <c r="U1973" s="7" t="n">
        <v>1</v>
      </c>
      <c r="V1973" s="7" t="s">
        <v>1156</v>
      </c>
      <c r="W1973" s="7"/>
      <c r="X1973" s="7"/>
      <c r="Y1973" s="7" t="s">
        <v>12711</v>
      </c>
      <c r="Z1973" s="7"/>
      <c r="AA1973" s="7"/>
      <c r="AB1973" s="7"/>
      <c r="AC1973" s="7" t="n">
        <v>0</v>
      </c>
      <c r="AD1973" s="7" t="s">
        <v>388</v>
      </c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 t="s">
        <v>127</v>
      </c>
      <c r="BF1973" s="8"/>
      <c r="BG1973" s="8"/>
      <c r="BH1973" s="8"/>
      <c r="BI1973" s="8"/>
      <c r="BJ1973" s="8"/>
      <c r="BK1973" s="8"/>
      <c r="BL1973" s="8"/>
      <c r="BM1973" s="8"/>
      <c r="BN1973" s="8"/>
      <c r="BO1973" s="8"/>
      <c r="BP1973" s="8"/>
      <c r="BQ1973" s="8"/>
      <c r="BR1973" s="8"/>
      <c r="BS1973" s="8"/>
    </row>
    <row r="1974" customFormat="false" ht="15" hidden="false" customHeight="false" outlineLevel="0" collapsed="false">
      <c r="A1974" s="7" t="s">
        <v>12712</v>
      </c>
      <c r="B1974" s="7" t="s">
        <v>12713</v>
      </c>
      <c r="C1974" s="7" t="s">
        <v>12714</v>
      </c>
      <c r="D1974" s="7" t="s">
        <v>12715</v>
      </c>
      <c r="E1974" s="7" t="s">
        <v>737</v>
      </c>
      <c r="F1974" s="7" t="s">
        <v>737</v>
      </c>
      <c r="G1974" s="7"/>
      <c r="H1974" s="7" t="s">
        <v>207</v>
      </c>
      <c r="I1974" s="7" t="s">
        <v>158</v>
      </c>
      <c r="J1974" s="7" t="s">
        <v>104</v>
      </c>
      <c r="K1974" s="7" t="s">
        <v>105</v>
      </c>
      <c r="L1974" s="7" t="s">
        <v>353</v>
      </c>
      <c r="M1974" s="7"/>
      <c r="N1974" s="7" t="s">
        <v>12716</v>
      </c>
      <c r="O1974" s="7" t="s">
        <v>12716</v>
      </c>
      <c r="P1974" s="7" t="s">
        <v>109</v>
      </c>
      <c r="Q1974" s="7"/>
      <c r="R1974" s="7" t="s">
        <v>109</v>
      </c>
      <c r="S1974" s="7" t="s">
        <v>110</v>
      </c>
      <c r="T1974" s="7" t="n">
        <v>0.476</v>
      </c>
      <c r="U1974" s="7" t="n">
        <v>1</v>
      </c>
      <c r="V1974" s="7" t="s">
        <v>86</v>
      </c>
      <c r="W1974" s="7"/>
      <c r="X1974" s="7"/>
      <c r="Y1974" s="7" t="s">
        <v>12716</v>
      </c>
      <c r="Z1974" s="7"/>
      <c r="AA1974" s="7"/>
      <c r="AB1974" s="7"/>
      <c r="AC1974" s="7" t="n">
        <v>0</v>
      </c>
      <c r="AD1974" s="7" t="s">
        <v>388</v>
      </c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 t="s">
        <v>127</v>
      </c>
      <c r="BF1974" s="8"/>
      <c r="BG1974" s="8"/>
      <c r="BH1974" s="8"/>
      <c r="BI1974" s="8"/>
      <c r="BJ1974" s="8"/>
      <c r="BK1974" s="8"/>
      <c r="BL1974" s="8"/>
      <c r="BM1974" s="8"/>
      <c r="BN1974" s="8"/>
      <c r="BO1974" s="8"/>
      <c r="BP1974" s="8"/>
      <c r="BQ1974" s="8"/>
      <c r="BR1974" s="8"/>
      <c r="BS1974" s="8"/>
    </row>
    <row r="1975" customFormat="false" ht="15" hidden="false" customHeight="false" outlineLevel="0" collapsed="false">
      <c r="A1975" s="7" t="s">
        <v>12717</v>
      </c>
      <c r="B1975" s="7" t="s">
        <v>12718</v>
      </c>
      <c r="C1975" s="7" t="s">
        <v>12719</v>
      </c>
      <c r="D1975" s="7" t="s">
        <v>12720</v>
      </c>
      <c r="E1975" s="7" t="s">
        <v>431</v>
      </c>
      <c r="F1975" s="7" t="s">
        <v>431</v>
      </c>
      <c r="G1975" s="7"/>
      <c r="H1975" s="7" t="s">
        <v>207</v>
      </c>
      <c r="I1975" s="7" t="s">
        <v>158</v>
      </c>
      <c r="J1975" s="7" t="s">
        <v>104</v>
      </c>
      <c r="K1975" s="7" t="s">
        <v>105</v>
      </c>
      <c r="L1975" s="7" t="s">
        <v>106</v>
      </c>
      <c r="M1975" s="7"/>
      <c r="N1975" s="7" t="s">
        <v>12721</v>
      </c>
      <c r="O1975" s="7" t="s">
        <v>12721</v>
      </c>
      <c r="P1975" s="7" t="s">
        <v>109</v>
      </c>
      <c r="Q1975" s="7"/>
      <c r="R1975" s="7" t="s">
        <v>109</v>
      </c>
      <c r="S1975" s="7" t="s">
        <v>110</v>
      </c>
      <c r="T1975" s="7" t="n">
        <v>0.49</v>
      </c>
      <c r="U1975" s="7" t="n">
        <v>1</v>
      </c>
      <c r="V1975" s="7" t="s">
        <v>86</v>
      </c>
      <c r="W1975" s="7"/>
      <c r="X1975" s="7"/>
      <c r="Y1975" s="7" t="s">
        <v>12721</v>
      </c>
      <c r="Z1975" s="7"/>
      <c r="AA1975" s="7"/>
      <c r="AB1975" s="7"/>
      <c r="AC1975" s="7" t="n">
        <v>0</v>
      </c>
      <c r="AD1975" s="7" t="s">
        <v>388</v>
      </c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 t="s">
        <v>127</v>
      </c>
      <c r="BF1975" s="8"/>
      <c r="BG1975" s="8"/>
      <c r="BH1975" s="8"/>
      <c r="BI1975" s="8"/>
      <c r="BJ1975" s="8"/>
      <c r="BK1975" s="8"/>
      <c r="BL1975" s="8"/>
      <c r="BM1975" s="8"/>
      <c r="BN1975" s="8"/>
      <c r="BO1975" s="8"/>
      <c r="BP1975" s="8"/>
      <c r="BQ1975" s="8"/>
      <c r="BR1975" s="8"/>
      <c r="BS1975" s="8"/>
    </row>
    <row r="1976" customFormat="false" ht="15" hidden="false" customHeight="false" outlineLevel="0" collapsed="false">
      <c r="A1976" s="7" t="s">
        <v>12722</v>
      </c>
      <c r="B1976" s="7" t="s">
        <v>12723</v>
      </c>
      <c r="C1976" s="7" t="s">
        <v>12724</v>
      </c>
      <c r="D1976" s="7" t="s">
        <v>12725</v>
      </c>
      <c r="E1976" s="7" t="s">
        <v>741</v>
      </c>
      <c r="F1976" s="7" t="s">
        <v>741</v>
      </c>
      <c r="G1976" s="7"/>
      <c r="H1976" s="7" t="s">
        <v>207</v>
      </c>
      <c r="I1976" s="7" t="s">
        <v>208</v>
      </c>
      <c r="J1976" s="7" t="s">
        <v>104</v>
      </c>
      <c r="K1976" s="7" t="s">
        <v>105</v>
      </c>
      <c r="L1976" s="7" t="s">
        <v>106</v>
      </c>
      <c r="M1976" s="7"/>
      <c r="N1976" s="7" t="s">
        <v>12726</v>
      </c>
      <c r="O1976" s="7" t="s">
        <v>12726</v>
      </c>
      <c r="P1976" s="7" t="s">
        <v>109</v>
      </c>
      <c r="Q1976" s="7"/>
      <c r="R1976" s="7" t="s">
        <v>109</v>
      </c>
      <c r="S1976" s="7" t="s">
        <v>110</v>
      </c>
      <c r="T1976" s="7" t="n">
        <v>0.623</v>
      </c>
      <c r="U1976" s="7" t="n">
        <v>1</v>
      </c>
      <c r="V1976" s="7" t="s">
        <v>1156</v>
      </c>
      <c r="W1976" s="7"/>
      <c r="X1976" s="7"/>
      <c r="Y1976" s="7" t="s">
        <v>12726</v>
      </c>
      <c r="Z1976" s="7"/>
      <c r="AA1976" s="7"/>
      <c r="AB1976" s="7"/>
      <c r="AC1976" s="7" t="n">
        <v>0</v>
      </c>
      <c r="AD1976" s="7" t="s">
        <v>388</v>
      </c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 t="s">
        <v>127</v>
      </c>
      <c r="BF1976" s="8"/>
      <c r="BG1976" s="8"/>
      <c r="BH1976" s="8"/>
      <c r="BI1976" s="8"/>
      <c r="BJ1976" s="8"/>
      <c r="BK1976" s="8"/>
      <c r="BL1976" s="8"/>
      <c r="BM1976" s="8"/>
      <c r="BN1976" s="8"/>
      <c r="BO1976" s="8"/>
      <c r="BP1976" s="8"/>
      <c r="BQ1976" s="8"/>
      <c r="BR1976" s="8"/>
      <c r="BS1976" s="8"/>
    </row>
    <row r="1977" customFormat="false" ht="15" hidden="false" customHeight="false" outlineLevel="0" collapsed="false">
      <c r="A1977" s="7" t="s">
        <v>12727</v>
      </c>
      <c r="B1977" s="7" t="s">
        <v>12728</v>
      </c>
      <c r="C1977" s="7" t="s">
        <v>12729</v>
      </c>
      <c r="D1977" s="7" t="s">
        <v>12730</v>
      </c>
      <c r="E1977" s="7" t="s">
        <v>516</v>
      </c>
      <c r="F1977" s="7" t="s">
        <v>516</v>
      </c>
      <c r="G1977" s="7"/>
      <c r="H1977" s="7" t="s">
        <v>207</v>
      </c>
      <c r="I1977" s="7" t="s">
        <v>208</v>
      </c>
      <c r="J1977" s="7" t="s">
        <v>104</v>
      </c>
      <c r="K1977" s="7" t="s">
        <v>105</v>
      </c>
      <c r="L1977" s="7" t="s">
        <v>106</v>
      </c>
      <c r="M1977" s="7"/>
      <c r="N1977" s="7" t="s">
        <v>12731</v>
      </c>
      <c r="O1977" s="7" t="s">
        <v>12731</v>
      </c>
      <c r="P1977" s="7" t="s">
        <v>109</v>
      </c>
      <c r="Q1977" s="7"/>
      <c r="R1977" s="7" t="s">
        <v>109</v>
      </c>
      <c r="S1977" s="7" t="s">
        <v>110</v>
      </c>
      <c r="T1977" s="7" t="n">
        <v>0.839</v>
      </c>
      <c r="U1977" s="7" t="n">
        <v>1</v>
      </c>
      <c r="V1977" s="7" t="s">
        <v>86</v>
      </c>
      <c r="W1977" s="7"/>
      <c r="X1977" s="7"/>
      <c r="Y1977" s="7" t="s">
        <v>12731</v>
      </c>
      <c r="Z1977" s="7"/>
      <c r="AA1977" s="7"/>
      <c r="AB1977" s="7"/>
      <c r="AC1977" s="7" t="n">
        <v>0</v>
      </c>
      <c r="AD1977" s="7" t="s">
        <v>388</v>
      </c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  <c r="BE1977" s="7" t="s">
        <v>127</v>
      </c>
      <c r="BF1977" s="8"/>
      <c r="BG1977" s="8"/>
      <c r="BH1977" s="8"/>
      <c r="BI1977" s="8"/>
      <c r="BJ1977" s="8"/>
      <c r="BK1977" s="8"/>
      <c r="BL1977" s="8"/>
      <c r="BM1977" s="8"/>
      <c r="BN1977" s="8"/>
      <c r="BO1977" s="8"/>
      <c r="BP1977" s="8"/>
      <c r="BQ1977" s="8"/>
      <c r="BR1977" s="8"/>
      <c r="BS1977" s="8"/>
    </row>
    <row r="1978" customFormat="false" ht="15" hidden="false" customHeight="false" outlineLevel="0" collapsed="false">
      <c r="A1978" s="7" t="s">
        <v>12732</v>
      </c>
      <c r="B1978" s="7" t="s">
        <v>12733</v>
      </c>
      <c r="C1978" s="7" t="s">
        <v>12734</v>
      </c>
      <c r="D1978" s="7" t="s">
        <v>12735</v>
      </c>
      <c r="E1978" s="7" t="s">
        <v>737</v>
      </c>
      <c r="F1978" s="7" t="s">
        <v>737</v>
      </c>
      <c r="G1978" s="7"/>
      <c r="H1978" s="7" t="s">
        <v>207</v>
      </c>
      <c r="I1978" s="7" t="s">
        <v>132</v>
      </c>
      <c r="J1978" s="7" t="s">
        <v>104</v>
      </c>
      <c r="K1978" s="7" t="s">
        <v>105</v>
      </c>
      <c r="L1978" s="7" t="s">
        <v>106</v>
      </c>
      <c r="M1978" s="7"/>
      <c r="N1978" s="7" t="s">
        <v>12736</v>
      </c>
      <c r="O1978" s="7" t="s">
        <v>12736</v>
      </c>
      <c r="P1978" s="7" t="s">
        <v>135</v>
      </c>
      <c r="Q1978" s="7"/>
      <c r="R1978" s="7" t="s">
        <v>109</v>
      </c>
      <c r="S1978" s="7" t="s">
        <v>110</v>
      </c>
      <c r="T1978" s="7" t="n">
        <v>0.671</v>
      </c>
      <c r="U1978" s="7" t="n">
        <v>1</v>
      </c>
      <c r="V1978" s="7" t="s">
        <v>90</v>
      </c>
      <c r="W1978" s="7"/>
      <c r="X1978" s="7"/>
      <c r="Y1978" s="7" t="s">
        <v>12736</v>
      </c>
      <c r="Z1978" s="7"/>
      <c r="AA1978" s="7"/>
      <c r="AB1978" s="7"/>
      <c r="AC1978" s="7" t="n">
        <v>0</v>
      </c>
      <c r="AD1978" s="7" t="s">
        <v>388</v>
      </c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 t="s">
        <v>2797</v>
      </c>
      <c r="BE1978" s="7" t="s">
        <v>127</v>
      </c>
      <c r="BF1978" s="8"/>
      <c r="BG1978" s="8"/>
      <c r="BH1978" s="8"/>
      <c r="BI1978" s="8"/>
      <c r="BJ1978" s="8"/>
      <c r="BK1978" s="8"/>
      <c r="BL1978" s="8"/>
      <c r="BM1978" s="8"/>
      <c r="BN1978" s="8"/>
      <c r="BO1978" s="8"/>
      <c r="BP1978" s="8"/>
      <c r="BQ1978" s="8"/>
      <c r="BR1978" s="8"/>
      <c r="BS1978" s="8"/>
    </row>
    <row r="1979" customFormat="false" ht="15" hidden="false" customHeight="false" outlineLevel="0" collapsed="false">
      <c r="A1979" s="7" t="s">
        <v>12737</v>
      </c>
      <c r="B1979" s="7" t="s">
        <v>12738</v>
      </c>
      <c r="C1979" s="7" t="s">
        <v>12739</v>
      </c>
      <c r="D1979" s="7" t="s">
        <v>12740</v>
      </c>
      <c r="E1979" s="7" t="s">
        <v>819</v>
      </c>
      <c r="F1979" s="7" t="s">
        <v>819</v>
      </c>
      <c r="G1979" s="7"/>
      <c r="H1979" s="7" t="s">
        <v>207</v>
      </c>
      <c r="I1979" s="7" t="s">
        <v>103</v>
      </c>
      <c r="J1979" s="7" t="s">
        <v>104</v>
      </c>
      <c r="K1979" s="7" t="s">
        <v>105</v>
      </c>
      <c r="L1979" s="7" t="s">
        <v>106</v>
      </c>
      <c r="M1979" s="7"/>
      <c r="N1979" s="7" t="s">
        <v>12741</v>
      </c>
      <c r="O1979" s="7" t="s">
        <v>12741</v>
      </c>
      <c r="P1979" s="7" t="s">
        <v>109</v>
      </c>
      <c r="Q1979" s="7"/>
      <c r="R1979" s="7" t="s">
        <v>109</v>
      </c>
      <c r="S1979" s="7" t="s">
        <v>110</v>
      </c>
      <c r="T1979" s="7" t="n">
        <v>0.51</v>
      </c>
      <c r="U1979" s="7" t="n">
        <v>1</v>
      </c>
      <c r="V1979" s="7" t="s">
        <v>1717</v>
      </c>
      <c r="W1979" s="7"/>
      <c r="X1979" s="7"/>
      <c r="Y1979" s="7" t="s">
        <v>12741</v>
      </c>
      <c r="Z1979" s="7"/>
      <c r="AA1979" s="7"/>
      <c r="AB1979" s="7"/>
      <c r="AC1979" s="7" t="n">
        <v>0</v>
      </c>
      <c r="AD1979" s="7" t="s">
        <v>388</v>
      </c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 t="s">
        <v>127</v>
      </c>
      <c r="BF1979" s="8"/>
      <c r="BG1979" s="8"/>
      <c r="BH1979" s="8"/>
      <c r="BI1979" s="8"/>
      <c r="BJ1979" s="8"/>
      <c r="BK1979" s="8"/>
      <c r="BL1979" s="8"/>
      <c r="BM1979" s="8"/>
      <c r="BN1979" s="8"/>
      <c r="BO1979" s="8"/>
      <c r="BP1979" s="8"/>
      <c r="BQ1979" s="8"/>
      <c r="BR1979" s="8"/>
      <c r="BS1979" s="8"/>
    </row>
    <row r="1980" customFormat="false" ht="15" hidden="false" customHeight="false" outlineLevel="0" collapsed="false">
      <c r="A1980" s="7" t="s">
        <v>12742</v>
      </c>
      <c r="B1980" s="7" t="s">
        <v>12743</v>
      </c>
      <c r="C1980" s="7" t="s">
        <v>12744</v>
      </c>
      <c r="D1980" s="7" t="s">
        <v>7901</v>
      </c>
      <c r="E1980" s="7" t="s">
        <v>444</v>
      </c>
      <c r="F1980" s="7" t="s">
        <v>444</v>
      </c>
      <c r="G1980" s="7"/>
      <c r="H1980" s="7" t="s">
        <v>207</v>
      </c>
      <c r="I1980" s="7" t="s">
        <v>158</v>
      </c>
      <c r="J1980" s="7" t="s">
        <v>104</v>
      </c>
      <c r="K1980" s="7" t="s">
        <v>105</v>
      </c>
      <c r="L1980" s="7" t="s">
        <v>106</v>
      </c>
      <c r="M1980" s="7"/>
      <c r="N1980" s="7" t="s">
        <v>12745</v>
      </c>
      <c r="O1980" s="7"/>
      <c r="P1980" s="7" t="s">
        <v>109</v>
      </c>
      <c r="Q1980" s="7"/>
      <c r="R1980" s="7"/>
      <c r="S1980" s="7"/>
      <c r="T1980" s="7" t="n">
        <v>0.572</v>
      </c>
      <c r="U1980" s="7" t="n">
        <v>1</v>
      </c>
      <c r="V1980" s="7" t="s">
        <v>1156</v>
      </c>
      <c r="W1980" s="7"/>
      <c r="X1980" s="7"/>
      <c r="Y1980" s="7" t="s">
        <v>12745</v>
      </c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 t="s">
        <v>127</v>
      </c>
      <c r="BF1980" s="8"/>
      <c r="BG1980" s="8"/>
      <c r="BH1980" s="8"/>
      <c r="BI1980" s="8"/>
      <c r="BJ1980" s="8"/>
      <c r="BK1980" s="8"/>
      <c r="BL1980" s="8"/>
      <c r="BM1980" s="8"/>
      <c r="BN1980" s="8"/>
      <c r="BO1980" s="8"/>
      <c r="BP1980" s="8"/>
      <c r="BQ1980" s="8"/>
      <c r="BR1980" s="8"/>
      <c r="BS1980" s="8"/>
    </row>
    <row r="1981" customFormat="false" ht="15" hidden="false" customHeight="false" outlineLevel="0" collapsed="false">
      <c r="A1981" s="7" t="s">
        <v>12746</v>
      </c>
      <c r="B1981" s="7" t="s">
        <v>12747</v>
      </c>
      <c r="C1981" s="7" t="s">
        <v>12748</v>
      </c>
      <c r="D1981" s="7" t="s">
        <v>12749</v>
      </c>
      <c r="E1981" s="7" t="s">
        <v>410</v>
      </c>
      <c r="F1981" s="7" t="s">
        <v>410</v>
      </c>
      <c r="G1981" s="7"/>
      <c r="H1981" s="7" t="s">
        <v>207</v>
      </c>
      <c r="I1981" s="7" t="s">
        <v>158</v>
      </c>
      <c r="J1981" s="7" t="s">
        <v>104</v>
      </c>
      <c r="K1981" s="7" t="s">
        <v>105</v>
      </c>
      <c r="L1981" s="7" t="s">
        <v>106</v>
      </c>
      <c r="M1981" s="7"/>
      <c r="N1981" s="7" t="s">
        <v>12750</v>
      </c>
      <c r="O1981" s="7" t="s">
        <v>12750</v>
      </c>
      <c r="P1981" s="7" t="s">
        <v>109</v>
      </c>
      <c r="Q1981" s="7"/>
      <c r="R1981" s="7" t="s">
        <v>109</v>
      </c>
      <c r="S1981" s="7" t="s">
        <v>110</v>
      </c>
      <c r="T1981" s="7" t="n">
        <v>0.285</v>
      </c>
      <c r="U1981" s="7" t="n">
        <v>1</v>
      </c>
      <c r="V1981" s="7" t="s">
        <v>1156</v>
      </c>
      <c r="W1981" s="7"/>
      <c r="X1981" s="7"/>
      <c r="Y1981" s="7" t="s">
        <v>12750</v>
      </c>
      <c r="Z1981" s="7"/>
      <c r="AA1981" s="7"/>
      <c r="AB1981" s="7"/>
      <c r="AC1981" s="7" t="n">
        <v>0</v>
      </c>
      <c r="AD1981" s="7" t="s">
        <v>388</v>
      </c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 t="s">
        <v>127</v>
      </c>
      <c r="BF1981" s="8"/>
      <c r="BG1981" s="8"/>
      <c r="BH1981" s="8"/>
      <c r="BI1981" s="8"/>
      <c r="BJ1981" s="8"/>
      <c r="BK1981" s="8"/>
      <c r="BL1981" s="8"/>
      <c r="BM1981" s="8"/>
      <c r="BN1981" s="8"/>
      <c r="BO1981" s="8"/>
      <c r="BP1981" s="8"/>
      <c r="BQ1981" s="8"/>
      <c r="BR1981" s="8"/>
      <c r="BS1981" s="8"/>
    </row>
    <row r="1982" customFormat="false" ht="15" hidden="false" customHeight="false" outlineLevel="0" collapsed="false">
      <c r="A1982" s="7" t="s">
        <v>12751</v>
      </c>
      <c r="B1982" s="7" t="s">
        <v>12752</v>
      </c>
      <c r="C1982" s="7" t="s">
        <v>12753</v>
      </c>
      <c r="D1982" s="7" t="s">
        <v>12754</v>
      </c>
      <c r="E1982" s="7" t="s">
        <v>1966</v>
      </c>
      <c r="F1982" s="7" t="s">
        <v>1966</v>
      </c>
      <c r="G1982" s="7"/>
      <c r="H1982" s="7" t="s">
        <v>207</v>
      </c>
      <c r="I1982" s="7" t="s">
        <v>300</v>
      </c>
      <c r="J1982" s="7" t="s">
        <v>104</v>
      </c>
      <c r="K1982" s="7" t="s">
        <v>105</v>
      </c>
      <c r="L1982" s="7" t="s">
        <v>106</v>
      </c>
      <c r="M1982" s="7"/>
      <c r="N1982" s="7" t="s">
        <v>12755</v>
      </c>
      <c r="O1982" s="7" t="s">
        <v>12755</v>
      </c>
      <c r="P1982" s="7" t="s">
        <v>135</v>
      </c>
      <c r="Q1982" s="7"/>
      <c r="R1982" s="7" t="s">
        <v>109</v>
      </c>
      <c r="S1982" s="7" t="s">
        <v>110</v>
      </c>
      <c r="T1982" s="7" t="n">
        <v>0.931</v>
      </c>
      <c r="U1982" s="7" t="n">
        <v>1</v>
      </c>
      <c r="V1982" s="7" t="s">
        <v>90</v>
      </c>
      <c r="W1982" s="7"/>
      <c r="X1982" s="7"/>
      <c r="Y1982" s="7" t="s">
        <v>12755</v>
      </c>
      <c r="Z1982" s="7"/>
      <c r="AA1982" s="7"/>
      <c r="AB1982" s="7"/>
      <c r="AC1982" s="7" t="n">
        <v>0</v>
      </c>
      <c r="AD1982" s="7" t="s">
        <v>388</v>
      </c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 t="s">
        <v>440</v>
      </c>
      <c r="BE1982" s="7" t="s">
        <v>127</v>
      </c>
      <c r="BF1982" s="8"/>
      <c r="BG1982" s="8"/>
      <c r="BH1982" s="8"/>
      <c r="BI1982" s="8"/>
      <c r="BJ1982" s="8"/>
      <c r="BK1982" s="8"/>
      <c r="BL1982" s="8"/>
      <c r="BM1982" s="8"/>
      <c r="BN1982" s="8"/>
      <c r="BO1982" s="8"/>
      <c r="BP1982" s="8"/>
      <c r="BQ1982" s="8"/>
      <c r="BR1982" s="8"/>
      <c r="BS1982" s="8"/>
    </row>
    <row r="1983" customFormat="false" ht="15" hidden="false" customHeight="false" outlineLevel="0" collapsed="false">
      <c r="A1983" s="7" t="s">
        <v>12756</v>
      </c>
      <c r="B1983" s="7" t="s">
        <v>12757</v>
      </c>
      <c r="C1983" s="7" t="s">
        <v>12758</v>
      </c>
      <c r="D1983" s="7" t="s">
        <v>12759</v>
      </c>
      <c r="E1983" s="7" t="s">
        <v>741</v>
      </c>
      <c r="F1983" s="7" t="s">
        <v>741</v>
      </c>
      <c r="G1983" s="7" t="s">
        <v>12760</v>
      </c>
      <c r="H1983" s="7" t="s">
        <v>207</v>
      </c>
      <c r="I1983" s="7" t="s">
        <v>132</v>
      </c>
      <c r="J1983" s="7" t="s">
        <v>104</v>
      </c>
      <c r="K1983" s="7" t="s">
        <v>105</v>
      </c>
      <c r="L1983" s="7" t="s">
        <v>106</v>
      </c>
      <c r="M1983" s="7"/>
      <c r="N1983" s="7" t="s">
        <v>12761</v>
      </c>
      <c r="O1983" s="7" t="s">
        <v>12761</v>
      </c>
      <c r="P1983" s="7" t="s">
        <v>109</v>
      </c>
      <c r="Q1983" s="7"/>
      <c r="R1983" s="7" t="s">
        <v>109</v>
      </c>
      <c r="S1983" s="7" t="s">
        <v>110</v>
      </c>
      <c r="T1983" s="7" t="n">
        <v>0.473</v>
      </c>
      <c r="U1983" s="7" t="n">
        <v>1</v>
      </c>
      <c r="V1983" s="7" t="s">
        <v>1156</v>
      </c>
      <c r="W1983" s="7"/>
      <c r="X1983" s="7"/>
      <c r="Y1983" s="7" t="s">
        <v>12761</v>
      </c>
      <c r="Z1983" s="7"/>
      <c r="AA1983" s="7"/>
      <c r="AB1983" s="7"/>
      <c r="AC1983" s="7" t="n">
        <v>0</v>
      </c>
      <c r="AD1983" s="7" t="s">
        <v>388</v>
      </c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 t="s">
        <v>127</v>
      </c>
      <c r="BF1983" s="8"/>
      <c r="BG1983" s="8"/>
      <c r="BH1983" s="8"/>
      <c r="BI1983" s="8"/>
      <c r="BJ1983" s="8"/>
      <c r="BK1983" s="8"/>
      <c r="BL1983" s="8"/>
      <c r="BM1983" s="8"/>
      <c r="BN1983" s="8"/>
      <c r="BO1983" s="8"/>
      <c r="BP1983" s="8"/>
      <c r="BQ1983" s="8"/>
      <c r="BR1983" s="8"/>
      <c r="BS1983" s="8"/>
    </row>
    <row r="1984" customFormat="false" ht="15" hidden="false" customHeight="false" outlineLevel="0" collapsed="false">
      <c r="A1984" s="7" t="s">
        <v>12762</v>
      </c>
      <c r="B1984" s="7" t="s">
        <v>12763</v>
      </c>
      <c r="C1984" s="7" t="s">
        <v>12764</v>
      </c>
      <c r="D1984" s="7" t="s">
        <v>12765</v>
      </c>
      <c r="E1984" s="7" t="s">
        <v>1966</v>
      </c>
      <c r="F1984" s="7" t="s">
        <v>1966</v>
      </c>
      <c r="G1984" s="7"/>
      <c r="H1984" s="7" t="s">
        <v>207</v>
      </c>
      <c r="I1984" s="7" t="s">
        <v>132</v>
      </c>
      <c r="J1984" s="7" t="s">
        <v>104</v>
      </c>
      <c r="K1984" s="7" t="s">
        <v>105</v>
      </c>
      <c r="L1984" s="7" t="s">
        <v>106</v>
      </c>
      <c r="M1984" s="7"/>
      <c r="N1984" s="7" t="s">
        <v>12766</v>
      </c>
      <c r="O1984" s="7" t="s">
        <v>12766</v>
      </c>
      <c r="P1984" s="7" t="s">
        <v>109</v>
      </c>
      <c r="Q1984" s="7"/>
      <c r="R1984" s="7" t="s">
        <v>109</v>
      </c>
      <c r="S1984" s="7" t="s">
        <v>110</v>
      </c>
      <c r="T1984" s="7" t="n">
        <v>0.668</v>
      </c>
      <c r="U1984" s="7" t="n">
        <v>1</v>
      </c>
      <c r="V1984" s="7" t="s">
        <v>1156</v>
      </c>
      <c r="W1984" s="7"/>
      <c r="X1984" s="7"/>
      <c r="Y1984" s="7" t="s">
        <v>12766</v>
      </c>
      <c r="Z1984" s="7"/>
      <c r="AA1984" s="7"/>
      <c r="AB1984" s="7"/>
      <c r="AC1984" s="7" t="n">
        <v>0</v>
      </c>
      <c r="AD1984" s="7" t="s">
        <v>388</v>
      </c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 t="s">
        <v>127</v>
      </c>
      <c r="BF1984" s="8"/>
      <c r="BG1984" s="8"/>
      <c r="BH1984" s="8"/>
      <c r="BI1984" s="8"/>
      <c r="BJ1984" s="8"/>
      <c r="BK1984" s="8"/>
      <c r="BL1984" s="8"/>
      <c r="BM1984" s="8"/>
      <c r="BN1984" s="8"/>
      <c r="BO1984" s="8"/>
      <c r="BP1984" s="8"/>
      <c r="BQ1984" s="8"/>
      <c r="BR1984" s="8"/>
      <c r="BS1984" s="8"/>
    </row>
    <row r="1985" customFormat="false" ht="15" hidden="false" customHeight="false" outlineLevel="0" collapsed="false">
      <c r="A1985" s="7" t="s">
        <v>12767</v>
      </c>
      <c r="B1985" s="7" t="s">
        <v>12768</v>
      </c>
      <c r="C1985" s="7" t="s">
        <v>12769</v>
      </c>
      <c r="D1985" s="7" t="s">
        <v>12770</v>
      </c>
      <c r="E1985" s="7" t="s">
        <v>1966</v>
      </c>
      <c r="F1985" s="7" t="s">
        <v>1966</v>
      </c>
      <c r="G1985" s="7"/>
      <c r="H1985" s="7" t="s">
        <v>207</v>
      </c>
      <c r="I1985" s="7" t="s">
        <v>158</v>
      </c>
      <c r="J1985" s="7" t="s">
        <v>104</v>
      </c>
      <c r="K1985" s="7" t="s">
        <v>105</v>
      </c>
      <c r="L1985" s="7" t="s">
        <v>106</v>
      </c>
      <c r="M1985" s="7"/>
      <c r="N1985" s="7" t="s">
        <v>12771</v>
      </c>
      <c r="O1985" s="7" t="s">
        <v>12771</v>
      </c>
      <c r="P1985" s="7" t="s">
        <v>109</v>
      </c>
      <c r="Q1985" s="7"/>
      <c r="R1985" s="7" t="s">
        <v>109</v>
      </c>
      <c r="S1985" s="7" t="s">
        <v>110</v>
      </c>
      <c r="T1985" s="7" t="n">
        <v>0.735</v>
      </c>
      <c r="U1985" s="7" t="n">
        <v>1</v>
      </c>
      <c r="V1985" s="7" t="s">
        <v>86</v>
      </c>
      <c r="W1985" s="7"/>
      <c r="X1985" s="7"/>
      <c r="Y1985" s="7" t="s">
        <v>12771</v>
      </c>
      <c r="Z1985" s="7"/>
      <c r="AA1985" s="7"/>
      <c r="AB1985" s="7"/>
      <c r="AC1985" s="7" t="n">
        <v>0</v>
      </c>
      <c r="AD1985" s="7" t="s">
        <v>388</v>
      </c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 t="s">
        <v>127</v>
      </c>
      <c r="BF1985" s="8"/>
      <c r="BG1985" s="8"/>
      <c r="BH1985" s="8"/>
      <c r="BI1985" s="8"/>
      <c r="BJ1985" s="8"/>
      <c r="BK1985" s="8"/>
      <c r="BL1985" s="8"/>
      <c r="BM1985" s="8"/>
      <c r="BN1985" s="8"/>
      <c r="BO1985" s="8"/>
      <c r="BP1985" s="8"/>
      <c r="BQ1985" s="8"/>
      <c r="BR1985" s="8"/>
      <c r="BS1985" s="8"/>
    </row>
    <row r="1986" customFormat="false" ht="15" hidden="false" customHeight="false" outlineLevel="0" collapsed="false">
      <c r="A1986" s="7" t="s">
        <v>12772</v>
      </c>
      <c r="B1986" s="7" t="s">
        <v>12773</v>
      </c>
      <c r="C1986" s="7" t="s">
        <v>12774</v>
      </c>
      <c r="D1986" s="7" t="s">
        <v>12775</v>
      </c>
      <c r="E1986" s="7" t="s">
        <v>431</v>
      </c>
      <c r="F1986" s="7" t="s">
        <v>431</v>
      </c>
      <c r="G1986" s="7"/>
      <c r="H1986" s="7" t="s">
        <v>207</v>
      </c>
      <c r="I1986" s="7" t="s">
        <v>132</v>
      </c>
      <c r="J1986" s="7" t="s">
        <v>104</v>
      </c>
      <c r="K1986" s="7" t="s">
        <v>105</v>
      </c>
      <c r="L1986" s="7" t="s">
        <v>106</v>
      </c>
      <c r="M1986" s="7"/>
      <c r="N1986" s="7" t="s">
        <v>12776</v>
      </c>
      <c r="O1986" s="7"/>
      <c r="P1986" s="7" t="s">
        <v>135</v>
      </c>
      <c r="Q1986" s="7"/>
      <c r="R1986" s="7"/>
      <c r="S1986" s="7"/>
      <c r="T1986" s="7" t="n">
        <v>0.27</v>
      </c>
      <c r="U1986" s="7" t="n">
        <v>1</v>
      </c>
      <c r="V1986" s="7" t="s">
        <v>90</v>
      </c>
      <c r="W1986" s="7"/>
      <c r="X1986" s="7"/>
      <c r="Y1986" s="7" t="s">
        <v>12776</v>
      </c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 t="s">
        <v>440</v>
      </c>
      <c r="BE1986" s="7" t="s">
        <v>127</v>
      </c>
      <c r="BF1986" s="8"/>
      <c r="BG1986" s="8"/>
      <c r="BH1986" s="8"/>
      <c r="BI1986" s="8"/>
      <c r="BJ1986" s="8"/>
      <c r="BK1986" s="8"/>
      <c r="BL1986" s="8"/>
      <c r="BM1986" s="8"/>
      <c r="BN1986" s="8"/>
      <c r="BO1986" s="8"/>
      <c r="BP1986" s="8"/>
      <c r="BQ1986" s="8"/>
      <c r="BR1986" s="8"/>
      <c r="BS1986" s="8"/>
    </row>
    <row r="1987" customFormat="false" ht="15" hidden="false" customHeight="false" outlineLevel="0" collapsed="false">
      <c r="A1987" s="7" t="s">
        <v>12777</v>
      </c>
      <c r="B1987" s="7" t="s">
        <v>12778</v>
      </c>
      <c r="C1987" s="7" t="s">
        <v>12779</v>
      </c>
      <c r="D1987" s="7" t="s">
        <v>12409</v>
      </c>
      <c r="E1987" s="7" t="s">
        <v>737</v>
      </c>
      <c r="F1987" s="7" t="s">
        <v>737</v>
      </c>
      <c r="G1987" s="7"/>
      <c r="H1987" s="7" t="s">
        <v>207</v>
      </c>
      <c r="I1987" s="7" t="s">
        <v>300</v>
      </c>
      <c r="J1987" s="7" t="s">
        <v>104</v>
      </c>
      <c r="K1987" s="7" t="s">
        <v>105</v>
      </c>
      <c r="L1987" s="7" t="s">
        <v>106</v>
      </c>
      <c r="M1987" s="7"/>
      <c r="N1987" s="7" t="s">
        <v>12780</v>
      </c>
      <c r="O1987" s="7" t="s">
        <v>12780</v>
      </c>
      <c r="P1987" s="7" t="s">
        <v>109</v>
      </c>
      <c r="Q1987" s="7"/>
      <c r="R1987" s="7" t="s">
        <v>109</v>
      </c>
      <c r="S1987" s="7" t="s">
        <v>110</v>
      </c>
      <c r="T1987" s="7" t="n">
        <v>0.324</v>
      </c>
      <c r="U1987" s="7" t="n">
        <v>1</v>
      </c>
      <c r="V1987" s="7" t="s">
        <v>86</v>
      </c>
      <c r="W1987" s="7"/>
      <c r="X1987" s="7"/>
      <c r="Y1987" s="7" t="s">
        <v>12780</v>
      </c>
      <c r="Z1987" s="7"/>
      <c r="AA1987" s="7"/>
      <c r="AB1987" s="7"/>
      <c r="AC1987" s="7" t="n">
        <v>0</v>
      </c>
      <c r="AD1987" s="7" t="s">
        <v>388</v>
      </c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  <c r="BE1987" s="7" t="s">
        <v>127</v>
      </c>
      <c r="BF1987" s="8"/>
      <c r="BG1987" s="8"/>
      <c r="BH1987" s="8"/>
      <c r="BI1987" s="8"/>
      <c r="BJ1987" s="8"/>
      <c r="BK1987" s="8"/>
      <c r="BL1987" s="8"/>
      <c r="BM1987" s="8"/>
      <c r="BN1987" s="8"/>
      <c r="BO1987" s="8"/>
      <c r="BP1987" s="8"/>
      <c r="BQ1987" s="8"/>
      <c r="BR1987" s="8"/>
      <c r="BS1987" s="8"/>
    </row>
    <row r="1988" customFormat="false" ht="15" hidden="false" customHeight="false" outlineLevel="0" collapsed="false">
      <c r="A1988" s="7" t="s">
        <v>12781</v>
      </c>
      <c r="B1988" s="7" t="s">
        <v>12782</v>
      </c>
      <c r="C1988" s="7" t="s">
        <v>12783</v>
      </c>
      <c r="D1988" s="7" t="s">
        <v>10349</v>
      </c>
      <c r="E1988" s="7" t="s">
        <v>516</v>
      </c>
      <c r="F1988" s="7" t="s">
        <v>516</v>
      </c>
      <c r="G1988" s="7"/>
      <c r="H1988" s="7" t="s">
        <v>207</v>
      </c>
      <c r="I1988" s="7" t="s">
        <v>132</v>
      </c>
      <c r="J1988" s="7" t="s">
        <v>104</v>
      </c>
      <c r="K1988" s="7" t="s">
        <v>105</v>
      </c>
      <c r="L1988" s="7" t="s">
        <v>106</v>
      </c>
      <c r="M1988" s="7"/>
      <c r="N1988" s="7" t="s">
        <v>12784</v>
      </c>
      <c r="O1988" s="7" t="s">
        <v>12784</v>
      </c>
      <c r="P1988" s="7" t="s">
        <v>135</v>
      </c>
      <c r="Q1988" s="7"/>
      <c r="R1988" s="7" t="s">
        <v>109</v>
      </c>
      <c r="S1988" s="7" t="s">
        <v>110</v>
      </c>
      <c r="T1988" s="7" t="n">
        <v>0.332</v>
      </c>
      <c r="U1988" s="7" t="n">
        <v>1</v>
      </c>
      <c r="V1988" s="7" t="s">
        <v>90</v>
      </c>
      <c r="W1988" s="7"/>
      <c r="X1988" s="7"/>
      <c r="Y1988" s="7" t="s">
        <v>12784</v>
      </c>
      <c r="Z1988" s="7"/>
      <c r="AA1988" s="7"/>
      <c r="AB1988" s="7"/>
      <c r="AC1988" s="7" t="n">
        <v>0</v>
      </c>
      <c r="AD1988" s="7" t="s">
        <v>388</v>
      </c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7" t="s">
        <v>440</v>
      </c>
      <c r="BE1988" s="7" t="s">
        <v>127</v>
      </c>
      <c r="BF1988" s="8"/>
      <c r="BG1988" s="8"/>
      <c r="BH1988" s="8"/>
      <c r="BI1988" s="8"/>
      <c r="BJ1988" s="8"/>
      <c r="BK1988" s="8"/>
      <c r="BL1988" s="8"/>
      <c r="BM1988" s="8"/>
      <c r="BN1988" s="8"/>
      <c r="BO1988" s="8"/>
      <c r="BP1988" s="8"/>
      <c r="BQ1988" s="8"/>
      <c r="BR1988" s="8"/>
      <c r="BS1988" s="8"/>
    </row>
    <row r="1989" customFormat="false" ht="15" hidden="false" customHeight="false" outlineLevel="0" collapsed="false">
      <c r="A1989" s="7" t="s">
        <v>12785</v>
      </c>
      <c r="B1989" s="7" t="s">
        <v>12786</v>
      </c>
      <c r="C1989" s="7" t="s">
        <v>12787</v>
      </c>
      <c r="D1989" s="7" t="s">
        <v>12788</v>
      </c>
      <c r="E1989" s="7" t="s">
        <v>1966</v>
      </c>
      <c r="F1989" s="7" t="s">
        <v>1966</v>
      </c>
      <c r="G1989" s="7"/>
      <c r="H1989" s="7" t="s">
        <v>207</v>
      </c>
      <c r="I1989" s="7" t="s">
        <v>103</v>
      </c>
      <c r="J1989" s="7" t="s">
        <v>104</v>
      </c>
      <c r="K1989" s="7" t="s">
        <v>105</v>
      </c>
      <c r="L1989" s="7" t="s">
        <v>106</v>
      </c>
      <c r="M1989" s="7"/>
      <c r="N1989" s="7" t="s">
        <v>12789</v>
      </c>
      <c r="O1989" s="7" t="s">
        <v>12789</v>
      </c>
      <c r="P1989" s="7" t="s">
        <v>84</v>
      </c>
      <c r="Q1989" s="7"/>
      <c r="R1989" s="7" t="s">
        <v>109</v>
      </c>
      <c r="S1989" s="7" t="s">
        <v>110</v>
      </c>
      <c r="T1989" s="7" t="n">
        <v>0.833</v>
      </c>
      <c r="U1989" s="7" t="n">
        <v>2</v>
      </c>
      <c r="V1989" s="7" t="s">
        <v>111</v>
      </c>
      <c r="W1989" s="7"/>
      <c r="X1989" s="7"/>
      <c r="Y1989" s="7" t="s">
        <v>12789</v>
      </c>
      <c r="Z1989" s="7"/>
      <c r="AA1989" s="7"/>
      <c r="AB1989" s="7"/>
      <c r="AC1989" s="7" t="n">
        <v>0</v>
      </c>
      <c r="AD1989" s="7" t="s">
        <v>388</v>
      </c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7" t="s">
        <v>1861</v>
      </c>
      <c r="BE1989" s="7" t="s">
        <v>127</v>
      </c>
      <c r="BF1989" s="8"/>
      <c r="BG1989" s="8"/>
      <c r="BH1989" s="8"/>
      <c r="BI1989" s="8"/>
      <c r="BJ1989" s="8"/>
      <c r="BK1989" s="8"/>
      <c r="BL1989" s="8"/>
      <c r="BM1989" s="8"/>
      <c r="BN1989" s="8"/>
      <c r="BO1989" s="8"/>
      <c r="BP1989" s="8"/>
      <c r="BQ1989" s="8"/>
      <c r="BR1989" s="8"/>
      <c r="BS1989" s="8"/>
    </row>
    <row r="1990" customFormat="false" ht="15" hidden="false" customHeight="false" outlineLevel="0" collapsed="false">
      <c r="A1990" s="7" t="s">
        <v>12790</v>
      </c>
      <c r="B1990" s="7" t="s">
        <v>12791</v>
      </c>
      <c r="C1990" s="7" t="s">
        <v>12792</v>
      </c>
      <c r="D1990" s="7" t="s">
        <v>8618</v>
      </c>
      <c r="E1990" s="7" t="s">
        <v>431</v>
      </c>
      <c r="F1990" s="7" t="s">
        <v>431</v>
      </c>
      <c r="G1990" s="7"/>
      <c r="H1990" s="7" t="s">
        <v>207</v>
      </c>
      <c r="I1990" s="7" t="s">
        <v>132</v>
      </c>
      <c r="J1990" s="7" t="s">
        <v>104</v>
      </c>
      <c r="K1990" s="7" t="s">
        <v>105</v>
      </c>
      <c r="L1990" s="7" t="s">
        <v>106</v>
      </c>
      <c r="M1990" s="7"/>
      <c r="N1990" s="7" t="s">
        <v>12793</v>
      </c>
      <c r="O1990" s="7" t="s">
        <v>12793</v>
      </c>
      <c r="P1990" s="7" t="s">
        <v>109</v>
      </c>
      <c r="Q1990" s="7"/>
      <c r="R1990" s="7" t="s">
        <v>109</v>
      </c>
      <c r="S1990" s="7" t="s">
        <v>110</v>
      </c>
      <c r="T1990" s="7" t="n">
        <v>0.65</v>
      </c>
      <c r="U1990" s="7" t="n">
        <v>1</v>
      </c>
      <c r="V1990" s="7" t="s">
        <v>1156</v>
      </c>
      <c r="W1990" s="7"/>
      <c r="X1990" s="7"/>
      <c r="Y1990" s="7" t="s">
        <v>12793</v>
      </c>
      <c r="Z1990" s="7"/>
      <c r="AA1990" s="7"/>
      <c r="AB1990" s="7"/>
      <c r="AC1990" s="7" t="n">
        <v>0</v>
      </c>
      <c r="AD1990" s="7" t="s">
        <v>388</v>
      </c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  <c r="BE1990" s="7" t="s">
        <v>127</v>
      </c>
      <c r="BF1990" s="8"/>
      <c r="BG1990" s="8"/>
      <c r="BH1990" s="8"/>
      <c r="BI1990" s="8"/>
      <c r="BJ1990" s="8"/>
      <c r="BK1990" s="8"/>
      <c r="BL1990" s="8"/>
      <c r="BM1990" s="8"/>
      <c r="BN1990" s="8"/>
      <c r="BO1990" s="8"/>
      <c r="BP1990" s="8"/>
      <c r="BQ1990" s="8"/>
      <c r="BR1990" s="8"/>
      <c r="BS1990" s="8"/>
    </row>
    <row r="1991" customFormat="false" ht="15" hidden="false" customHeight="false" outlineLevel="0" collapsed="false">
      <c r="A1991" s="7" t="s">
        <v>12794</v>
      </c>
      <c r="B1991" s="7" t="s">
        <v>12795</v>
      </c>
      <c r="C1991" s="7" t="s">
        <v>12796</v>
      </c>
      <c r="D1991" s="7" t="s">
        <v>12715</v>
      </c>
      <c r="E1991" s="7" t="s">
        <v>737</v>
      </c>
      <c r="F1991" s="7" t="s">
        <v>737</v>
      </c>
      <c r="G1991" s="7"/>
      <c r="H1991" s="7" t="s">
        <v>207</v>
      </c>
      <c r="I1991" s="7" t="s">
        <v>132</v>
      </c>
      <c r="J1991" s="7" t="s">
        <v>104</v>
      </c>
      <c r="K1991" s="7" t="s">
        <v>105</v>
      </c>
      <c r="L1991" s="7" t="s">
        <v>106</v>
      </c>
      <c r="M1991" s="7"/>
      <c r="N1991" s="7" t="s">
        <v>12797</v>
      </c>
      <c r="O1991" s="7" t="s">
        <v>12797</v>
      </c>
      <c r="P1991" s="7" t="s">
        <v>135</v>
      </c>
      <c r="Q1991" s="7"/>
      <c r="R1991" s="7" t="s">
        <v>109</v>
      </c>
      <c r="S1991" s="7" t="s">
        <v>110</v>
      </c>
      <c r="T1991" s="7" t="n">
        <v>0.248</v>
      </c>
      <c r="U1991" s="7" t="n">
        <v>1</v>
      </c>
      <c r="V1991" s="7" t="s">
        <v>90</v>
      </c>
      <c r="W1991" s="7"/>
      <c r="X1991" s="7"/>
      <c r="Y1991" s="7" t="s">
        <v>12797</v>
      </c>
      <c r="Z1991" s="7"/>
      <c r="AA1991" s="7"/>
      <c r="AB1991" s="7"/>
      <c r="AC1991" s="7" t="n">
        <v>0</v>
      </c>
      <c r="AD1991" s="7" t="s">
        <v>388</v>
      </c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7"/>
      <c r="BC1991" s="7"/>
      <c r="BD1991" s="7" t="s">
        <v>2797</v>
      </c>
      <c r="BE1991" s="7" t="s">
        <v>127</v>
      </c>
      <c r="BF1991" s="8"/>
      <c r="BG1991" s="8"/>
      <c r="BH1991" s="8"/>
      <c r="BI1991" s="8"/>
      <c r="BJ1991" s="8"/>
      <c r="BK1991" s="8"/>
      <c r="BL1991" s="8"/>
      <c r="BM1991" s="8"/>
      <c r="BN1991" s="8"/>
      <c r="BO1991" s="8"/>
      <c r="BP1991" s="8"/>
      <c r="BQ1991" s="8"/>
      <c r="BR1991" s="8"/>
      <c r="BS1991" s="8"/>
    </row>
    <row r="1992" customFormat="false" ht="15" hidden="false" customHeight="false" outlineLevel="0" collapsed="false">
      <c r="A1992" s="7" t="s">
        <v>12798</v>
      </c>
      <c r="B1992" s="7" t="s">
        <v>12799</v>
      </c>
      <c r="C1992" s="7" t="s">
        <v>12800</v>
      </c>
      <c r="D1992" s="7" t="s">
        <v>8500</v>
      </c>
      <c r="E1992" s="7" t="s">
        <v>431</v>
      </c>
      <c r="F1992" s="7" t="s">
        <v>431</v>
      </c>
      <c r="G1992" s="7"/>
      <c r="H1992" s="7" t="s">
        <v>207</v>
      </c>
      <c r="I1992" s="7" t="s">
        <v>158</v>
      </c>
      <c r="J1992" s="7" t="s">
        <v>104</v>
      </c>
      <c r="K1992" s="7" t="s">
        <v>105</v>
      </c>
      <c r="L1992" s="7" t="s">
        <v>106</v>
      </c>
      <c r="M1992" s="7"/>
      <c r="N1992" s="7" t="s">
        <v>12801</v>
      </c>
      <c r="O1992" s="7" t="s">
        <v>12801</v>
      </c>
      <c r="P1992" s="7" t="s">
        <v>135</v>
      </c>
      <c r="Q1992" s="7"/>
      <c r="R1992" s="7" t="s">
        <v>109</v>
      </c>
      <c r="S1992" s="7" t="s">
        <v>110</v>
      </c>
      <c r="T1992" s="7" t="n">
        <v>0.586</v>
      </c>
      <c r="U1992" s="7" t="n">
        <v>1</v>
      </c>
      <c r="V1992" s="7" t="s">
        <v>90</v>
      </c>
      <c r="W1992" s="7"/>
      <c r="X1992" s="7"/>
      <c r="Y1992" s="7" t="s">
        <v>12801</v>
      </c>
      <c r="Z1992" s="7"/>
      <c r="AA1992" s="7"/>
      <c r="AB1992" s="7"/>
      <c r="AC1992" s="7" t="n">
        <v>0</v>
      </c>
      <c r="AD1992" s="7" t="s">
        <v>388</v>
      </c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7"/>
      <c r="BC1992" s="7"/>
      <c r="BD1992" s="7" t="s">
        <v>2797</v>
      </c>
      <c r="BE1992" s="7" t="s">
        <v>127</v>
      </c>
      <c r="BF1992" s="8"/>
      <c r="BG1992" s="8"/>
      <c r="BH1992" s="8"/>
      <c r="BI1992" s="8"/>
      <c r="BJ1992" s="8"/>
      <c r="BK1992" s="8"/>
      <c r="BL1992" s="8"/>
      <c r="BM1992" s="8"/>
      <c r="BN1992" s="8"/>
      <c r="BO1992" s="8"/>
      <c r="BP1992" s="8"/>
      <c r="BQ1992" s="8"/>
      <c r="BR1992" s="8"/>
      <c r="BS1992" s="8"/>
    </row>
    <row r="1993" customFormat="false" ht="15" hidden="false" customHeight="false" outlineLevel="0" collapsed="false">
      <c r="A1993" s="7" t="s">
        <v>12802</v>
      </c>
      <c r="B1993" s="7" t="s">
        <v>12803</v>
      </c>
      <c r="C1993" s="7" t="s">
        <v>12804</v>
      </c>
      <c r="D1993" s="7" t="s">
        <v>12805</v>
      </c>
      <c r="E1993" s="7" t="s">
        <v>516</v>
      </c>
      <c r="F1993" s="7" t="s">
        <v>516</v>
      </c>
      <c r="G1993" s="7"/>
      <c r="H1993" s="7" t="s">
        <v>207</v>
      </c>
      <c r="I1993" s="7" t="s">
        <v>208</v>
      </c>
      <c r="J1993" s="7" t="s">
        <v>104</v>
      </c>
      <c r="K1993" s="7" t="s">
        <v>105</v>
      </c>
      <c r="L1993" s="7" t="s">
        <v>106</v>
      </c>
      <c r="M1993" s="7"/>
      <c r="N1993" s="7" t="s">
        <v>12806</v>
      </c>
      <c r="O1993" s="7" t="s">
        <v>12806</v>
      </c>
      <c r="P1993" s="7" t="s">
        <v>109</v>
      </c>
      <c r="Q1993" s="7"/>
      <c r="R1993" s="7" t="s">
        <v>109</v>
      </c>
      <c r="S1993" s="7" t="s">
        <v>110</v>
      </c>
      <c r="T1993" s="7" t="n">
        <v>0.775</v>
      </c>
      <c r="U1993" s="7" t="n">
        <v>1</v>
      </c>
      <c r="V1993" s="7" t="s">
        <v>1717</v>
      </c>
      <c r="W1993" s="7"/>
      <c r="X1993" s="7"/>
      <c r="Y1993" s="7" t="s">
        <v>12806</v>
      </c>
      <c r="Z1993" s="7"/>
      <c r="AA1993" s="7"/>
      <c r="AB1993" s="7"/>
      <c r="AC1993" s="7" t="n">
        <v>0</v>
      </c>
      <c r="AD1993" s="7" t="s">
        <v>388</v>
      </c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  <c r="BE1993" s="7" t="s">
        <v>127</v>
      </c>
      <c r="BF1993" s="8"/>
      <c r="BG1993" s="8"/>
      <c r="BH1993" s="8"/>
      <c r="BI1993" s="8"/>
      <c r="BJ1993" s="8"/>
      <c r="BK1993" s="8"/>
      <c r="BL1993" s="8"/>
      <c r="BM1993" s="8"/>
      <c r="BN1993" s="8"/>
      <c r="BO1993" s="8"/>
      <c r="BP1993" s="8"/>
      <c r="BQ1993" s="8"/>
      <c r="BR1993" s="8"/>
      <c r="BS1993" s="8"/>
    </row>
    <row r="1994" customFormat="false" ht="15" hidden="false" customHeight="false" outlineLevel="0" collapsed="false">
      <c r="A1994" s="7" t="s">
        <v>12807</v>
      </c>
      <c r="B1994" s="7" t="s">
        <v>12808</v>
      </c>
      <c r="C1994" s="7" t="s">
        <v>12809</v>
      </c>
      <c r="D1994" s="7" t="s">
        <v>12810</v>
      </c>
      <c r="E1994" s="7" t="s">
        <v>516</v>
      </c>
      <c r="F1994" s="7" t="s">
        <v>516</v>
      </c>
      <c r="G1994" s="7"/>
      <c r="H1994" s="7" t="s">
        <v>207</v>
      </c>
      <c r="I1994" s="7" t="s">
        <v>158</v>
      </c>
      <c r="J1994" s="7" t="s">
        <v>104</v>
      </c>
      <c r="K1994" s="7" t="s">
        <v>105</v>
      </c>
      <c r="L1994" s="7" t="s">
        <v>106</v>
      </c>
      <c r="M1994" s="7"/>
      <c r="N1994" s="7" t="s">
        <v>12811</v>
      </c>
      <c r="O1994" s="7" t="s">
        <v>12811</v>
      </c>
      <c r="P1994" s="7" t="s">
        <v>135</v>
      </c>
      <c r="Q1994" s="7"/>
      <c r="R1994" s="7" t="s">
        <v>109</v>
      </c>
      <c r="S1994" s="7" t="s">
        <v>110</v>
      </c>
      <c r="T1994" s="7" t="n">
        <v>0.726</v>
      </c>
      <c r="U1994" s="7" t="n">
        <v>1</v>
      </c>
      <c r="V1994" s="7" t="s">
        <v>90</v>
      </c>
      <c r="W1994" s="7"/>
      <c r="X1994" s="7"/>
      <c r="Y1994" s="7" t="s">
        <v>12811</v>
      </c>
      <c r="Z1994" s="7"/>
      <c r="AA1994" s="7"/>
      <c r="AB1994" s="7"/>
      <c r="AC1994" s="7" t="n">
        <v>0</v>
      </c>
      <c r="AD1994" s="7" t="s">
        <v>388</v>
      </c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  <c r="BB1994" s="7"/>
      <c r="BC1994" s="7"/>
      <c r="BD1994" s="7" t="s">
        <v>440</v>
      </c>
      <c r="BE1994" s="7" t="s">
        <v>127</v>
      </c>
      <c r="BF1994" s="8"/>
      <c r="BG1994" s="8"/>
      <c r="BH1994" s="8"/>
      <c r="BI1994" s="8"/>
      <c r="BJ1994" s="8"/>
      <c r="BK1994" s="8"/>
      <c r="BL1994" s="8"/>
      <c r="BM1994" s="8"/>
      <c r="BN1994" s="8"/>
      <c r="BO1994" s="8"/>
      <c r="BP1994" s="8"/>
      <c r="BQ1994" s="8"/>
      <c r="BR1994" s="8"/>
      <c r="BS1994" s="8"/>
    </row>
    <row r="1995" customFormat="false" ht="15" hidden="false" customHeight="false" outlineLevel="0" collapsed="false">
      <c r="A1995" s="7" t="s">
        <v>12812</v>
      </c>
      <c r="B1995" s="7" t="s">
        <v>12813</v>
      </c>
      <c r="C1995" s="7" t="s">
        <v>12814</v>
      </c>
      <c r="D1995" s="7" t="s">
        <v>1092</v>
      </c>
      <c r="E1995" s="7" t="s">
        <v>82</v>
      </c>
      <c r="F1995" s="7" t="s">
        <v>82</v>
      </c>
      <c r="G1995" s="7"/>
      <c r="H1995" s="7" t="s">
        <v>207</v>
      </c>
      <c r="I1995" s="7" t="s">
        <v>234</v>
      </c>
      <c r="J1995" s="7" t="s">
        <v>1646</v>
      </c>
      <c r="K1995" s="7" t="s">
        <v>1094</v>
      </c>
      <c r="L1995" s="7" t="s">
        <v>106</v>
      </c>
      <c r="M1995" s="7"/>
      <c r="N1995" s="7" t="s">
        <v>1095</v>
      </c>
      <c r="O1995" s="7" t="s">
        <v>1095</v>
      </c>
      <c r="P1995" s="7" t="s">
        <v>135</v>
      </c>
      <c r="Q1995" s="7"/>
      <c r="R1995" s="7" t="s">
        <v>109</v>
      </c>
      <c r="S1995" s="7" t="s">
        <v>110</v>
      </c>
      <c r="T1995" s="7" t="n">
        <v>0.356</v>
      </c>
      <c r="U1995" s="7" t="n">
        <v>0</v>
      </c>
      <c r="V1995" s="7"/>
      <c r="W1995" s="7"/>
      <c r="X1995" s="7"/>
      <c r="Y1995" s="7"/>
      <c r="Z1995" s="7"/>
      <c r="AA1995" s="7" t="s">
        <v>572</v>
      </c>
      <c r="AB1995" s="7" t="s">
        <v>573</v>
      </c>
      <c r="AC1995" s="7" t="n">
        <v>0</v>
      </c>
      <c r="AD1995" s="7" t="s">
        <v>388</v>
      </c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 t="s">
        <v>1096</v>
      </c>
      <c r="BE1995" s="7" t="s">
        <v>575</v>
      </c>
      <c r="BF1995" s="8"/>
      <c r="BG1995" s="8"/>
      <c r="BH1995" s="8"/>
      <c r="BI1995" s="8"/>
      <c r="BJ1995" s="8"/>
      <c r="BK1995" s="8"/>
      <c r="BL1995" s="8"/>
      <c r="BM1995" s="8"/>
      <c r="BN1995" s="8"/>
      <c r="BO1995" s="8"/>
      <c r="BP1995" s="8"/>
      <c r="BQ1995" s="8"/>
      <c r="BR1995" s="8"/>
      <c r="BS1995" s="8"/>
    </row>
    <row r="1996" customFormat="false" ht="15" hidden="false" customHeight="false" outlineLevel="0" collapsed="false">
      <c r="A1996" s="7" t="s">
        <v>12815</v>
      </c>
      <c r="B1996" s="7" t="s">
        <v>12816</v>
      </c>
      <c r="C1996" s="7" t="s">
        <v>12817</v>
      </c>
      <c r="D1996" s="7" t="s">
        <v>1092</v>
      </c>
      <c r="E1996" s="7" t="s">
        <v>82</v>
      </c>
      <c r="F1996" s="7" t="s">
        <v>82</v>
      </c>
      <c r="G1996" s="7" t="s">
        <v>83</v>
      </c>
      <c r="H1996" s="7" t="s">
        <v>1100</v>
      </c>
      <c r="I1996" s="7" t="s">
        <v>234</v>
      </c>
      <c r="J1996" s="7" t="s">
        <v>1646</v>
      </c>
      <c r="K1996" s="7" t="s">
        <v>1094</v>
      </c>
      <c r="L1996" s="7" t="s">
        <v>106</v>
      </c>
      <c r="M1996" s="7"/>
      <c r="N1996" s="7" t="s">
        <v>1095</v>
      </c>
      <c r="O1996" s="7" t="s">
        <v>1095</v>
      </c>
      <c r="P1996" s="7" t="s">
        <v>135</v>
      </c>
      <c r="Q1996" s="7"/>
      <c r="R1996" s="7" t="s">
        <v>109</v>
      </c>
      <c r="S1996" s="7" t="s">
        <v>110</v>
      </c>
      <c r="T1996" s="7" t="n">
        <v>0.377</v>
      </c>
      <c r="U1996" s="7" t="n">
        <v>0</v>
      </c>
      <c r="V1996" s="7"/>
      <c r="W1996" s="7"/>
      <c r="X1996" s="7"/>
      <c r="Y1996" s="7"/>
      <c r="Z1996" s="7"/>
      <c r="AA1996" s="7" t="s">
        <v>572</v>
      </c>
      <c r="AB1996" s="7" t="s">
        <v>573</v>
      </c>
      <c r="AC1996" s="7" t="n">
        <v>0</v>
      </c>
      <c r="AD1996" s="7" t="s">
        <v>388</v>
      </c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 t="s">
        <v>1096</v>
      </c>
      <c r="BE1996" s="7" t="s">
        <v>575</v>
      </c>
      <c r="BF1996" s="8"/>
      <c r="BG1996" s="8"/>
      <c r="BH1996" s="8"/>
      <c r="BI1996" s="8"/>
      <c r="BJ1996" s="8"/>
      <c r="BK1996" s="8"/>
      <c r="BL1996" s="8"/>
      <c r="BM1996" s="8"/>
      <c r="BN1996" s="8"/>
      <c r="BO1996" s="8"/>
      <c r="BP1996" s="8"/>
      <c r="BQ1996" s="8"/>
      <c r="BR1996" s="8"/>
      <c r="BS1996" s="8"/>
    </row>
    <row r="1997" customFormat="false" ht="15" hidden="false" customHeight="false" outlineLevel="0" collapsed="false">
      <c r="A1997" s="7" t="s">
        <v>12818</v>
      </c>
      <c r="B1997" s="7" t="s">
        <v>12819</v>
      </c>
      <c r="C1997" s="7" t="s">
        <v>12820</v>
      </c>
      <c r="D1997" s="7" t="s">
        <v>1650</v>
      </c>
      <c r="E1997" s="7" t="s">
        <v>82</v>
      </c>
      <c r="F1997" s="7" t="s">
        <v>82</v>
      </c>
      <c r="G1997" s="7"/>
      <c r="H1997" s="7" t="s">
        <v>207</v>
      </c>
      <c r="I1997" s="7" t="s">
        <v>132</v>
      </c>
      <c r="J1997" s="7" t="s">
        <v>1651</v>
      </c>
      <c r="K1997" s="7" t="s">
        <v>569</v>
      </c>
      <c r="L1997" s="7" t="s">
        <v>106</v>
      </c>
      <c r="M1997" s="7"/>
      <c r="N1997" s="7" t="s">
        <v>1652</v>
      </c>
      <c r="O1997" s="7" t="s">
        <v>1652</v>
      </c>
      <c r="P1997" s="7" t="s">
        <v>135</v>
      </c>
      <c r="Q1997" s="7"/>
      <c r="R1997" s="7" t="s">
        <v>109</v>
      </c>
      <c r="S1997" s="7" t="s">
        <v>110</v>
      </c>
      <c r="T1997" s="7" t="n">
        <v>0.336</v>
      </c>
      <c r="U1997" s="7" t="n">
        <v>0</v>
      </c>
      <c r="V1997" s="7"/>
      <c r="W1997" s="7"/>
      <c r="X1997" s="7"/>
      <c r="Y1997" s="7"/>
      <c r="Z1997" s="7"/>
      <c r="AA1997" s="7" t="s">
        <v>572</v>
      </c>
      <c r="AB1997" s="7" t="s">
        <v>573</v>
      </c>
      <c r="AC1997" s="7" t="n">
        <v>0</v>
      </c>
      <c r="AD1997" s="7" t="s">
        <v>388</v>
      </c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 t="s">
        <v>471</v>
      </c>
      <c r="BE1997" s="7" t="s">
        <v>1088</v>
      </c>
      <c r="BF1997" s="8"/>
      <c r="BG1997" s="8"/>
      <c r="BH1997" s="8"/>
      <c r="BI1997" s="8"/>
      <c r="BJ1997" s="8"/>
      <c r="BK1997" s="8"/>
      <c r="BL1997" s="8"/>
      <c r="BM1997" s="8"/>
      <c r="BN1997" s="8"/>
      <c r="BO1997" s="8"/>
      <c r="BP1997" s="8"/>
      <c r="BQ1997" s="8"/>
      <c r="BR1997" s="8"/>
      <c r="BS1997" s="8"/>
    </row>
    <row r="1998" customFormat="false" ht="15" hidden="false" customHeight="false" outlineLevel="0" collapsed="false">
      <c r="A1998" s="7" t="s">
        <v>12821</v>
      </c>
      <c r="B1998" s="7" t="s">
        <v>12822</v>
      </c>
      <c r="C1998" s="7" t="s">
        <v>1712</v>
      </c>
      <c r="D1998" s="7" t="s">
        <v>1650</v>
      </c>
      <c r="E1998" s="7" t="s">
        <v>82</v>
      </c>
      <c r="F1998" s="7" t="s">
        <v>82</v>
      </c>
      <c r="G1998" s="7" t="s">
        <v>83</v>
      </c>
      <c r="H1998" s="7" t="s">
        <v>1100</v>
      </c>
      <c r="I1998" s="7" t="s">
        <v>132</v>
      </c>
      <c r="J1998" s="7" t="s">
        <v>1651</v>
      </c>
      <c r="K1998" s="7" t="s">
        <v>569</v>
      </c>
      <c r="L1998" s="7" t="s">
        <v>106</v>
      </c>
      <c r="M1998" s="7"/>
      <c r="N1998" s="7" t="s">
        <v>1652</v>
      </c>
      <c r="O1998" s="7" t="s">
        <v>1652</v>
      </c>
      <c r="P1998" s="7" t="s">
        <v>135</v>
      </c>
      <c r="Q1998" s="7"/>
      <c r="R1998" s="7" t="s">
        <v>109</v>
      </c>
      <c r="S1998" s="7" t="s">
        <v>110</v>
      </c>
      <c r="T1998" s="7" t="n">
        <v>0.232</v>
      </c>
      <c r="U1998" s="7" t="n">
        <v>0</v>
      </c>
      <c r="V1998" s="7"/>
      <c r="W1998" s="7"/>
      <c r="X1998" s="7"/>
      <c r="Y1998" s="7"/>
      <c r="Z1998" s="7"/>
      <c r="AA1998" s="7" t="s">
        <v>572</v>
      </c>
      <c r="AB1998" s="7" t="s">
        <v>573</v>
      </c>
      <c r="AC1998" s="7" t="n">
        <v>0</v>
      </c>
      <c r="AD1998" s="7" t="s">
        <v>388</v>
      </c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 t="s">
        <v>471</v>
      </c>
      <c r="BE1998" s="7" t="s">
        <v>1088</v>
      </c>
      <c r="BF1998" s="8"/>
      <c r="BG1998" s="8"/>
      <c r="BH1998" s="8"/>
      <c r="BI1998" s="8"/>
      <c r="BJ1998" s="8"/>
      <c r="BK1998" s="8"/>
      <c r="BL1998" s="8"/>
      <c r="BM1998" s="8"/>
      <c r="BN1998" s="8"/>
      <c r="BO1998" s="8"/>
      <c r="BP1998" s="8"/>
      <c r="BQ1998" s="8"/>
      <c r="BR1998" s="8"/>
      <c r="BS1998" s="8"/>
    </row>
    <row r="1999" customFormat="false" ht="15" hidden="false" customHeight="false" outlineLevel="0" collapsed="false">
      <c r="A1999" s="7" t="s">
        <v>12823</v>
      </c>
      <c r="B1999" s="7" t="s">
        <v>12824</v>
      </c>
      <c r="C1999" s="7" t="s">
        <v>12825</v>
      </c>
      <c r="D1999" s="7" t="s">
        <v>1650</v>
      </c>
      <c r="E1999" s="7" t="s">
        <v>82</v>
      </c>
      <c r="F1999" s="7" t="s">
        <v>82</v>
      </c>
      <c r="G1999" s="7"/>
      <c r="H1999" s="7" t="s">
        <v>102</v>
      </c>
      <c r="I1999" s="7" t="s">
        <v>132</v>
      </c>
      <c r="J1999" s="7" t="s">
        <v>1651</v>
      </c>
      <c r="K1999" s="7" t="s">
        <v>569</v>
      </c>
      <c r="L1999" s="7" t="s">
        <v>106</v>
      </c>
      <c r="M1999" s="7"/>
      <c r="N1999" s="7" t="s">
        <v>1652</v>
      </c>
      <c r="O1999" s="7" t="s">
        <v>1652</v>
      </c>
      <c r="P1999" s="7" t="s">
        <v>135</v>
      </c>
      <c r="Q1999" s="7"/>
      <c r="R1999" s="7" t="s">
        <v>109</v>
      </c>
      <c r="S1999" s="7" t="s">
        <v>110</v>
      </c>
      <c r="T1999" s="7" t="n">
        <v>0.231</v>
      </c>
      <c r="U1999" s="7" t="n">
        <v>0</v>
      </c>
      <c r="V1999" s="7"/>
      <c r="W1999" s="7"/>
      <c r="X1999" s="7"/>
      <c r="Y1999" s="7"/>
      <c r="Z1999" s="7"/>
      <c r="AA1999" s="7" t="s">
        <v>572</v>
      </c>
      <c r="AB1999" s="7" t="s">
        <v>573</v>
      </c>
      <c r="AC1999" s="7" t="n">
        <v>0</v>
      </c>
      <c r="AD1999" s="7" t="s">
        <v>388</v>
      </c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 t="s">
        <v>471</v>
      </c>
      <c r="BE1999" s="7" t="s">
        <v>1088</v>
      </c>
      <c r="BF1999" s="8"/>
      <c r="BG1999" s="8"/>
      <c r="BH1999" s="8"/>
      <c r="BI1999" s="8"/>
      <c r="BJ1999" s="8"/>
      <c r="BK1999" s="8"/>
      <c r="BL1999" s="8"/>
      <c r="BM1999" s="8"/>
      <c r="BN1999" s="8"/>
      <c r="BO1999" s="8"/>
      <c r="BP1999" s="8"/>
      <c r="BQ1999" s="8"/>
      <c r="BR1999" s="8"/>
      <c r="BS1999" s="8"/>
    </row>
    <row r="2000" customFormat="false" ht="15" hidden="false" customHeight="false" outlineLevel="0" collapsed="false">
      <c r="A2000" s="7" t="s">
        <v>12826</v>
      </c>
      <c r="B2000" s="7" t="s">
        <v>12827</v>
      </c>
      <c r="C2000" s="7" t="s">
        <v>12828</v>
      </c>
      <c r="D2000" s="7" t="s">
        <v>1092</v>
      </c>
      <c r="E2000" s="7" t="s">
        <v>82</v>
      </c>
      <c r="F2000" s="7" t="s">
        <v>82</v>
      </c>
      <c r="G2000" s="7" t="s">
        <v>83</v>
      </c>
      <c r="H2000" s="7" t="s">
        <v>1100</v>
      </c>
      <c r="I2000" s="7" t="s">
        <v>234</v>
      </c>
      <c r="J2000" s="7" t="s">
        <v>1093</v>
      </c>
      <c r="K2000" s="7" t="s">
        <v>1094</v>
      </c>
      <c r="L2000" s="7" t="s">
        <v>106</v>
      </c>
      <c r="M2000" s="7"/>
      <c r="N2000" s="7" t="s">
        <v>1095</v>
      </c>
      <c r="O2000" s="7" t="s">
        <v>1095</v>
      </c>
      <c r="P2000" s="7" t="s">
        <v>135</v>
      </c>
      <c r="Q2000" s="7"/>
      <c r="R2000" s="7" t="s">
        <v>109</v>
      </c>
      <c r="S2000" s="7" t="s">
        <v>110</v>
      </c>
      <c r="T2000" s="7" t="n">
        <v>0.512</v>
      </c>
      <c r="U2000" s="7" t="n">
        <v>0</v>
      </c>
      <c r="V2000" s="7"/>
      <c r="W2000" s="7"/>
      <c r="X2000" s="7"/>
      <c r="Y2000" s="7"/>
      <c r="Z2000" s="7"/>
      <c r="AA2000" s="7" t="s">
        <v>572</v>
      </c>
      <c r="AB2000" s="7" t="s">
        <v>573</v>
      </c>
      <c r="AC2000" s="7" t="n">
        <v>0</v>
      </c>
      <c r="AD2000" s="7" t="s">
        <v>388</v>
      </c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  <c r="BB2000" s="7"/>
      <c r="BC2000" s="7"/>
      <c r="BD2000" s="7" t="s">
        <v>1096</v>
      </c>
      <c r="BE2000" s="7" t="s">
        <v>575</v>
      </c>
      <c r="BF2000" s="8"/>
      <c r="BG2000" s="8"/>
      <c r="BH2000" s="8"/>
      <c r="BI2000" s="8"/>
      <c r="BJ2000" s="8"/>
      <c r="BK2000" s="8"/>
      <c r="BL2000" s="8"/>
      <c r="BM2000" s="8"/>
      <c r="BN2000" s="8"/>
      <c r="BO2000" s="8"/>
      <c r="BP2000" s="8"/>
      <c r="BQ2000" s="8"/>
      <c r="BR2000" s="8"/>
      <c r="BS2000" s="8"/>
    </row>
    <row r="2001" customFormat="false" ht="15" hidden="false" customHeight="false" outlineLevel="0" collapsed="false">
      <c r="A2001" s="7" t="s">
        <v>12829</v>
      </c>
      <c r="B2001" s="7" t="s">
        <v>12830</v>
      </c>
      <c r="C2001" s="7" t="s">
        <v>12831</v>
      </c>
      <c r="D2001" s="7" t="s">
        <v>1092</v>
      </c>
      <c r="E2001" s="7" t="s">
        <v>82</v>
      </c>
      <c r="F2001" s="7" t="s">
        <v>82</v>
      </c>
      <c r="G2001" s="7"/>
      <c r="H2001" s="7" t="s">
        <v>1100</v>
      </c>
      <c r="I2001" s="7" t="s">
        <v>234</v>
      </c>
      <c r="J2001" s="7" t="s">
        <v>1093</v>
      </c>
      <c r="K2001" s="7" t="s">
        <v>1094</v>
      </c>
      <c r="L2001" s="7" t="s">
        <v>235</v>
      </c>
      <c r="M2001" s="7"/>
      <c r="N2001" s="7" t="s">
        <v>1095</v>
      </c>
      <c r="O2001" s="7" t="s">
        <v>1095</v>
      </c>
      <c r="P2001" s="7" t="s">
        <v>135</v>
      </c>
      <c r="Q2001" s="7"/>
      <c r="R2001" s="7" t="s">
        <v>109</v>
      </c>
      <c r="S2001" s="7" t="s">
        <v>110</v>
      </c>
      <c r="T2001" s="7" t="n">
        <v>0.501</v>
      </c>
      <c r="U2001" s="7" t="n">
        <v>0</v>
      </c>
      <c r="V2001" s="7"/>
      <c r="W2001" s="7"/>
      <c r="X2001" s="7"/>
      <c r="Y2001" s="7"/>
      <c r="Z2001" s="7"/>
      <c r="AA2001" s="7" t="s">
        <v>572</v>
      </c>
      <c r="AB2001" s="7" t="s">
        <v>573</v>
      </c>
      <c r="AC2001" s="7" t="n">
        <v>0</v>
      </c>
      <c r="AD2001" s="7" t="s">
        <v>388</v>
      </c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 t="s">
        <v>1096</v>
      </c>
      <c r="BE2001" s="7" t="s">
        <v>575</v>
      </c>
      <c r="BF2001" s="8"/>
      <c r="BG2001" s="8"/>
      <c r="BH2001" s="8"/>
      <c r="BI2001" s="8"/>
      <c r="BJ2001" s="8"/>
      <c r="BK2001" s="8"/>
      <c r="BL2001" s="8"/>
      <c r="BM2001" s="8"/>
      <c r="BN2001" s="8"/>
      <c r="BO2001" s="8"/>
      <c r="BP2001" s="8"/>
      <c r="BQ2001" s="8"/>
      <c r="BR2001" s="8"/>
      <c r="BS2001" s="8"/>
    </row>
    <row r="2002" customFormat="false" ht="15" hidden="false" customHeight="false" outlineLevel="0" collapsed="false">
      <c r="A2002" s="7" t="s">
        <v>12832</v>
      </c>
      <c r="B2002" s="7" t="s">
        <v>12833</v>
      </c>
      <c r="C2002" s="7" t="s">
        <v>12834</v>
      </c>
      <c r="D2002" s="7" t="s">
        <v>1092</v>
      </c>
      <c r="E2002" s="7" t="s">
        <v>82</v>
      </c>
      <c r="F2002" s="7" t="s">
        <v>82</v>
      </c>
      <c r="G2002" s="7"/>
      <c r="H2002" s="7" t="s">
        <v>1100</v>
      </c>
      <c r="I2002" s="7" t="s">
        <v>1140</v>
      </c>
      <c r="J2002" s="7" t="s">
        <v>1093</v>
      </c>
      <c r="K2002" s="7" t="s">
        <v>1094</v>
      </c>
      <c r="L2002" s="7" t="s">
        <v>235</v>
      </c>
      <c r="M2002" s="7"/>
      <c r="N2002" s="7" t="s">
        <v>1095</v>
      </c>
      <c r="O2002" s="7" t="s">
        <v>1095</v>
      </c>
      <c r="P2002" s="7" t="s">
        <v>135</v>
      </c>
      <c r="Q2002" s="7"/>
      <c r="R2002" s="7" t="s">
        <v>109</v>
      </c>
      <c r="S2002" s="7" t="s">
        <v>110</v>
      </c>
      <c r="T2002" s="7" t="n">
        <v>0.518</v>
      </c>
      <c r="U2002" s="7" t="n">
        <v>0</v>
      </c>
      <c r="V2002" s="7"/>
      <c r="W2002" s="7"/>
      <c r="X2002" s="7"/>
      <c r="Y2002" s="7"/>
      <c r="Z2002" s="7"/>
      <c r="AA2002" s="7" t="s">
        <v>572</v>
      </c>
      <c r="AB2002" s="7" t="s">
        <v>573</v>
      </c>
      <c r="AC2002" s="7" t="n">
        <v>0</v>
      </c>
      <c r="AD2002" s="7" t="s">
        <v>388</v>
      </c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 t="s">
        <v>1096</v>
      </c>
      <c r="BE2002" s="7" t="s">
        <v>575</v>
      </c>
      <c r="BF2002" s="8"/>
      <c r="BG2002" s="8"/>
      <c r="BH2002" s="8"/>
      <c r="BI2002" s="8"/>
      <c r="BJ2002" s="8"/>
      <c r="BK2002" s="8"/>
      <c r="BL2002" s="8"/>
      <c r="BM2002" s="8"/>
      <c r="BN2002" s="8"/>
      <c r="BO2002" s="8"/>
      <c r="BP2002" s="8"/>
      <c r="BQ2002" s="8"/>
      <c r="BR2002" s="8"/>
      <c r="BS2002" s="8"/>
    </row>
    <row r="2003" customFormat="false" ht="15" hidden="false" customHeight="false" outlineLevel="0" collapsed="false">
      <c r="A2003" s="7" t="s">
        <v>12835</v>
      </c>
      <c r="B2003" s="7" t="s">
        <v>12836</v>
      </c>
      <c r="C2003" s="7" t="s">
        <v>12837</v>
      </c>
      <c r="D2003" s="7" t="s">
        <v>1092</v>
      </c>
      <c r="E2003" s="7" t="s">
        <v>82</v>
      </c>
      <c r="F2003" s="7" t="s">
        <v>82</v>
      </c>
      <c r="G2003" s="7"/>
      <c r="H2003" s="7" t="s">
        <v>1100</v>
      </c>
      <c r="I2003" s="7" t="s">
        <v>158</v>
      </c>
      <c r="J2003" s="7" t="s">
        <v>1093</v>
      </c>
      <c r="K2003" s="7" t="s">
        <v>1147</v>
      </c>
      <c r="L2003" s="7" t="s">
        <v>235</v>
      </c>
      <c r="M2003" s="7"/>
      <c r="N2003" s="7" t="s">
        <v>1095</v>
      </c>
      <c r="O2003" s="7" t="s">
        <v>1095</v>
      </c>
      <c r="P2003" s="7" t="s">
        <v>135</v>
      </c>
      <c r="Q2003" s="7"/>
      <c r="R2003" s="7" t="s">
        <v>109</v>
      </c>
      <c r="S2003" s="7" t="s">
        <v>110</v>
      </c>
      <c r="T2003" s="7" t="n">
        <v>0.564</v>
      </c>
      <c r="U2003" s="7" t="n">
        <v>0</v>
      </c>
      <c r="V2003" s="7"/>
      <c r="W2003" s="7"/>
      <c r="X2003" s="7"/>
      <c r="Y2003" s="7"/>
      <c r="Z2003" s="7"/>
      <c r="AA2003" s="7" t="s">
        <v>572</v>
      </c>
      <c r="AB2003" s="7" t="s">
        <v>573</v>
      </c>
      <c r="AC2003" s="7" t="n">
        <v>0</v>
      </c>
      <c r="AD2003" s="7" t="s">
        <v>388</v>
      </c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 t="s">
        <v>1096</v>
      </c>
      <c r="BE2003" s="7" t="s">
        <v>575</v>
      </c>
      <c r="BF2003" s="8"/>
      <c r="BG2003" s="8"/>
      <c r="BH2003" s="8"/>
      <c r="BI2003" s="8"/>
      <c r="BJ2003" s="8"/>
      <c r="BK2003" s="8"/>
      <c r="BL2003" s="8"/>
      <c r="BM2003" s="8"/>
      <c r="BN2003" s="8"/>
      <c r="BO2003" s="8"/>
      <c r="BP2003" s="8"/>
      <c r="BQ2003" s="8"/>
      <c r="BR2003" s="8"/>
      <c r="BS2003" s="8"/>
    </row>
    <row r="2004" customFormat="false" ht="15" hidden="false" customHeight="false" outlineLevel="0" collapsed="false">
      <c r="A2004" s="7" t="s">
        <v>12838</v>
      </c>
      <c r="B2004" s="7" t="s">
        <v>12839</v>
      </c>
      <c r="C2004" s="7" t="s">
        <v>12840</v>
      </c>
      <c r="D2004" s="7" t="s">
        <v>1092</v>
      </c>
      <c r="E2004" s="7" t="s">
        <v>82</v>
      </c>
      <c r="F2004" s="7" t="s">
        <v>82</v>
      </c>
      <c r="G2004" s="7"/>
      <c r="H2004" s="7" t="s">
        <v>1100</v>
      </c>
      <c r="I2004" s="7" t="s">
        <v>1104</v>
      </c>
      <c r="J2004" s="7" t="s">
        <v>1093</v>
      </c>
      <c r="K2004" s="7" t="s">
        <v>1094</v>
      </c>
      <c r="L2004" s="7" t="s">
        <v>12453</v>
      </c>
      <c r="M2004" s="7"/>
      <c r="N2004" s="7" t="s">
        <v>1095</v>
      </c>
      <c r="O2004" s="7" t="s">
        <v>1095</v>
      </c>
      <c r="P2004" s="7" t="s">
        <v>135</v>
      </c>
      <c r="Q2004" s="7"/>
      <c r="R2004" s="7" t="s">
        <v>109</v>
      </c>
      <c r="S2004" s="7" t="s">
        <v>110</v>
      </c>
      <c r="T2004" s="7" t="n">
        <v>0.45</v>
      </c>
      <c r="U2004" s="7" t="n">
        <v>0</v>
      </c>
      <c r="V2004" s="7"/>
      <c r="W2004" s="7"/>
      <c r="X2004" s="7"/>
      <c r="Y2004" s="7"/>
      <c r="Z2004" s="7"/>
      <c r="AA2004" s="7" t="s">
        <v>572</v>
      </c>
      <c r="AB2004" s="7" t="s">
        <v>573</v>
      </c>
      <c r="AC2004" s="7" t="n">
        <v>0</v>
      </c>
      <c r="AD2004" s="7" t="s">
        <v>388</v>
      </c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 t="s">
        <v>1096</v>
      </c>
      <c r="BE2004" s="7" t="s">
        <v>575</v>
      </c>
      <c r="BF2004" s="8"/>
      <c r="BG2004" s="8"/>
      <c r="BH2004" s="8"/>
      <c r="BI2004" s="8"/>
      <c r="BJ2004" s="8"/>
      <c r="BK2004" s="8"/>
      <c r="BL2004" s="8"/>
      <c r="BM2004" s="8"/>
      <c r="BN2004" s="8"/>
      <c r="BO2004" s="8"/>
      <c r="BP2004" s="8"/>
      <c r="BQ2004" s="8"/>
      <c r="BR2004" s="8"/>
      <c r="BS2004" s="8"/>
    </row>
    <row r="2005" customFormat="false" ht="15" hidden="false" customHeight="false" outlineLevel="0" collapsed="false">
      <c r="A2005" s="7" t="s">
        <v>12841</v>
      </c>
      <c r="B2005" s="7" t="s">
        <v>12842</v>
      </c>
      <c r="C2005" s="7" t="s">
        <v>1374</v>
      </c>
      <c r="D2005" s="7" t="s">
        <v>12843</v>
      </c>
      <c r="E2005" s="7" t="s">
        <v>82</v>
      </c>
      <c r="F2005" s="7" t="s">
        <v>82</v>
      </c>
      <c r="G2005" s="7"/>
      <c r="H2005" s="7" t="s">
        <v>207</v>
      </c>
      <c r="I2005" s="7" t="s">
        <v>1104</v>
      </c>
      <c r="J2005" s="7" t="s">
        <v>1105</v>
      </c>
      <c r="K2005" s="7" t="s">
        <v>1094</v>
      </c>
      <c r="L2005" s="7" t="s">
        <v>1106</v>
      </c>
      <c r="M2005" s="7"/>
      <c r="N2005" s="7" t="s">
        <v>1155</v>
      </c>
      <c r="O2005" s="7" t="s">
        <v>1155</v>
      </c>
      <c r="P2005" s="7" t="s">
        <v>135</v>
      </c>
      <c r="Q2005" s="7"/>
      <c r="R2005" s="7" t="s">
        <v>109</v>
      </c>
      <c r="S2005" s="7" t="s">
        <v>110</v>
      </c>
      <c r="T2005" s="7" t="n">
        <v>0.451</v>
      </c>
      <c r="U2005" s="7" t="n">
        <v>0</v>
      </c>
      <c r="V2005" s="7"/>
      <c r="W2005" s="7"/>
      <c r="X2005" s="7"/>
      <c r="Y2005" s="7"/>
      <c r="Z2005" s="7"/>
      <c r="AA2005" s="7" t="s">
        <v>572</v>
      </c>
      <c r="AB2005" s="7" t="s">
        <v>573</v>
      </c>
      <c r="AC2005" s="7" t="n">
        <v>0</v>
      </c>
      <c r="AD2005" s="7" t="s">
        <v>388</v>
      </c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 t="s">
        <v>1142</v>
      </c>
      <c r="BE2005" s="7" t="s">
        <v>575</v>
      </c>
      <c r="BF2005" s="8"/>
      <c r="BG2005" s="8"/>
      <c r="BH2005" s="8"/>
      <c r="BI2005" s="8"/>
      <c r="BJ2005" s="8"/>
      <c r="BK2005" s="8"/>
      <c r="BL2005" s="8"/>
      <c r="BM2005" s="8"/>
      <c r="BN2005" s="8"/>
      <c r="BO2005" s="8"/>
      <c r="BP2005" s="8"/>
      <c r="BQ2005" s="8"/>
      <c r="BR2005" s="8"/>
      <c r="BS2005" s="8"/>
    </row>
    <row r="2006" customFormat="false" ht="15" hidden="false" customHeight="false" outlineLevel="0" collapsed="false">
      <c r="A2006" s="7" t="s">
        <v>12844</v>
      </c>
      <c r="B2006" s="7" t="s">
        <v>12845</v>
      </c>
      <c r="C2006" s="7" t="s">
        <v>2214</v>
      </c>
      <c r="D2006" s="7" t="s">
        <v>12846</v>
      </c>
      <c r="E2006" s="7" t="s">
        <v>82</v>
      </c>
      <c r="F2006" s="7" t="s">
        <v>82</v>
      </c>
      <c r="G2006" s="7"/>
      <c r="H2006" s="7" t="s">
        <v>207</v>
      </c>
      <c r="I2006" s="7" t="s">
        <v>158</v>
      </c>
      <c r="J2006" s="7" t="s">
        <v>475</v>
      </c>
      <c r="K2006" s="7" t="s">
        <v>569</v>
      </c>
      <c r="L2006" s="7" t="s">
        <v>106</v>
      </c>
      <c r="M2006" s="7"/>
      <c r="N2006" s="7" t="s">
        <v>682</v>
      </c>
      <c r="O2006" s="7" t="s">
        <v>682</v>
      </c>
      <c r="P2006" s="7" t="s">
        <v>84</v>
      </c>
      <c r="Q2006" s="7"/>
      <c r="R2006" s="7" t="s">
        <v>109</v>
      </c>
      <c r="S2006" s="7" t="s">
        <v>110</v>
      </c>
      <c r="T2006" s="7" t="n">
        <v>0.313</v>
      </c>
      <c r="U2006" s="7" t="n">
        <v>2</v>
      </c>
      <c r="V2006" s="7" t="s">
        <v>1112</v>
      </c>
      <c r="W2006" s="7" t="s">
        <v>11715</v>
      </c>
      <c r="X2006" s="7"/>
      <c r="Y2006" s="7" t="s">
        <v>12847</v>
      </c>
      <c r="Z2006" s="7"/>
      <c r="AA2006" s="7" t="s">
        <v>572</v>
      </c>
      <c r="AB2006" s="7" t="s">
        <v>573</v>
      </c>
      <c r="AC2006" s="7" t="n">
        <v>0</v>
      </c>
      <c r="AD2006" s="7" t="s">
        <v>388</v>
      </c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7" t="s">
        <v>12848</v>
      </c>
      <c r="BE2006" s="7" t="s">
        <v>575</v>
      </c>
      <c r="BF2006" s="8"/>
      <c r="BG2006" s="8"/>
      <c r="BH2006" s="8"/>
      <c r="BI2006" s="8"/>
      <c r="BJ2006" s="8"/>
      <c r="BK2006" s="8"/>
      <c r="BL2006" s="8"/>
      <c r="BM2006" s="8"/>
      <c r="BN2006" s="8"/>
      <c r="BO2006" s="8"/>
      <c r="BP2006" s="8"/>
      <c r="BQ2006" s="8"/>
      <c r="BR2006" s="8"/>
      <c r="BS2006" s="8"/>
    </row>
    <row r="2007" customFormat="false" ht="15" hidden="false" customHeight="false" outlineLevel="0" collapsed="false">
      <c r="A2007" s="7" t="s">
        <v>12849</v>
      </c>
      <c r="B2007" s="7" t="s">
        <v>12850</v>
      </c>
      <c r="C2007" s="7" t="s">
        <v>12851</v>
      </c>
      <c r="D2007" s="7" t="s">
        <v>1154</v>
      </c>
      <c r="E2007" s="7" t="s">
        <v>82</v>
      </c>
      <c r="F2007" s="7" t="s">
        <v>82</v>
      </c>
      <c r="G2007" s="7"/>
      <c r="H2007" s="7" t="s">
        <v>207</v>
      </c>
      <c r="I2007" s="7" t="s">
        <v>103</v>
      </c>
      <c r="J2007" s="7" t="s">
        <v>475</v>
      </c>
      <c r="K2007" s="7" t="s">
        <v>1147</v>
      </c>
      <c r="L2007" s="7" t="s">
        <v>1447</v>
      </c>
      <c r="M2007" s="7"/>
      <c r="N2007" s="7" t="s">
        <v>1155</v>
      </c>
      <c r="O2007" s="7" t="s">
        <v>1155</v>
      </c>
      <c r="P2007" s="7" t="s">
        <v>135</v>
      </c>
      <c r="Q2007" s="7"/>
      <c r="R2007" s="7" t="s">
        <v>109</v>
      </c>
      <c r="S2007" s="7" t="s">
        <v>110</v>
      </c>
      <c r="T2007" s="7" t="n">
        <v>0.407</v>
      </c>
      <c r="U2007" s="7" t="n">
        <v>0</v>
      </c>
      <c r="V2007" s="7"/>
      <c r="W2007" s="7"/>
      <c r="X2007" s="7"/>
      <c r="Y2007" s="7"/>
      <c r="Z2007" s="7"/>
      <c r="AA2007" s="7" t="s">
        <v>572</v>
      </c>
      <c r="AB2007" s="7" t="s">
        <v>573</v>
      </c>
      <c r="AC2007" s="7" t="n">
        <v>0</v>
      </c>
      <c r="AD2007" s="7" t="s">
        <v>388</v>
      </c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 t="s">
        <v>1142</v>
      </c>
      <c r="BE2007" s="7" t="s">
        <v>575</v>
      </c>
      <c r="BF2007" s="8"/>
      <c r="BG2007" s="8"/>
      <c r="BH2007" s="8"/>
      <c r="BI2007" s="8"/>
      <c r="BJ2007" s="8"/>
      <c r="BK2007" s="8"/>
      <c r="BL2007" s="8"/>
      <c r="BM2007" s="8"/>
      <c r="BN2007" s="8"/>
      <c r="BO2007" s="8"/>
      <c r="BP2007" s="8"/>
      <c r="BQ2007" s="8"/>
      <c r="BR2007" s="8"/>
      <c r="BS2007" s="8"/>
    </row>
    <row r="2008" customFormat="false" ht="15" hidden="false" customHeight="false" outlineLevel="0" collapsed="false">
      <c r="A2008" s="7" t="s">
        <v>12852</v>
      </c>
      <c r="B2008" s="7" t="s">
        <v>12853</v>
      </c>
      <c r="C2008" s="7" t="s">
        <v>12854</v>
      </c>
      <c r="D2008" s="7" t="s">
        <v>1154</v>
      </c>
      <c r="E2008" s="7" t="s">
        <v>82</v>
      </c>
      <c r="F2008" s="7" t="s">
        <v>82</v>
      </c>
      <c r="G2008" s="7"/>
      <c r="H2008" s="7" t="s">
        <v>207</v>
      </c>
      <c r="I2008" s="7" t="s">
        <v>103</v>
      </c>
      <c r="J2008" s="7" t="s">
        <v>475</v>
      </c>
      <c r="K2008" s="7" t="s">
        <v>1147</v>
      </c>
      <c r="L2008" s="7" t="s">
        <v>106</v>
      </c>
      <c r="M2008" s="7"/>
      <c r="N2008" s="7" t="s">
        <v>1155</v>
      </c>
      <c r="O2008" s="7" t="s">
        <v>1155</v>
      </c>
      <c r="P2008" s="7" t="s">
        <v>135</v>
      </c>
      <c r="Q2008" s="7"/>
      <c r="R2008" s="7" t="s">
        <v>109</v>
      </c>
      <c r="S2008" s="7" t="s">
        <v>110</v>
      </c>
      <c r="T2008" s="7" t="n">
        <v>0.311</v>
      </c>
      <c r="U2008" s="7" t="n">
        <v>0</v>
      </c>
      <c r="V2008" s="7"/>
      <c r="W2008" s="7"/>
      <c r="X2008" s="7"/>
      <c r="Y2008" s="7"/>
      <c r="Z2008" s="7"/>
      <c r="AA2008" s="7" t="s">
        <v>572</v>
      </c>
      <c r="AB2008" s="7" t="s">
        <v>573</v>
      </c>
      <c r="AC2008" s="7" t="n">
        <v>0</v>
      </c>
      <c r="AD2008" s="7" t="s">
        <v>388</v>
      </c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 t="s">
        <v>1142</v>
      </c>
      <c r="BE2008" s="7" t="s">
        <v>575</v>
      </c>
      <c r="BF2008" s="8"/>
      <c r="BG2008" s="8"/>
      <c r="BH2008" s="8"/>
      <c r="BI2008" s="8"/>
      <c r="BJ2008" s="8"/>
      <c r="BK2008" s="8"/>
      <c r="BL2008" s="8"/>
      <c r="BM2008" s="8"/>
      <c r="BN2008" s="8"/>
      <c r="BO2008" s="8"/>
      <c r="BP2008" s="8"/>
      <c r="BQ2008" s="8"/>
      <c r="BR2008" s="8"/>
      <c r="BS2008" s="8"/>
    </row>
    <row r="2009" customFormat="false" ht="15" hidden="false" customHeight="false" outlineLevel="0" collapsed="false">
      <c r="A2009" s="7" t="s">
        <v>12855</v>
      </c>
      <c r="B2009" s="7" t="s">
        <v>12856</v>
      </c>
      <c r="C2009" s="7" t="s">
        <v>12857</v>
      </c>
      <c r="D2009" s="7" t="s">
        <v>1092</v>
      </c>
      <c r="E2009" s="7" t="s">
        <v>82</v>
      </c>
      <c r="F2009" s="7" t="s">
        <v>82</v>
      </c>
      <c r="G2009" s="7"/>
      <c r="H2009" s="7" t="s">
        <v>207</v>
      </c>
      <c r="I2009" s="7" t="s">
        <v>234</v>
      </c>
      <c r="J2009" s="7" t="s">
        <v>475</v>
      </c>
      <c r="K2009" s="7" t="s">
        <v>1147</v>
      </c>
      <c r="L2009" s="7" t="s">
        <v>106</v>
      </c>
      <c r="M2009" s="7"/>
      <c r="N2009" s="7" t="s">
        <v>1095</v>
      </c>
      <c r="O2009" s="7" t="s">
        <v>1095</v>
      </c>
      <c r="P2009" s="7" t="s">
        <v>135</v>
      </c>
      <c r="Q2009" s="7"/>
      <c r="R2009" s="7" t="s">
        <v>109</v>
      </c>
      <c r="S2009" s="7" t="s">
        <v>110</v>
      </c>
      <c r="T2009" s="7" t="n">
        <v>0.416</v>
      </c>
      <c r="U2009" s="7" t="n">
        <v>0</v>
      </c>
      <c r="V2009" s="7"/>
      <c r="W2009" s="7"/>
      <c r="X2009" s="7"/>
      <c r="Y2009" s="7"/>
      <c r="Z2009" s="7"/>
      <c r="AA2009" s="7" t="s">
        <v>572</v>
      </c>
      <c r="AB2009" s="7" t="s">
        <v>573</v>
      </c>
      <c r="AC2009" s="7" t="n">
        <v>0</v>
      </c>
      <c r="AD2009" s="7" t="s">
        <v>388</v>
      </c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7"/>
      <c r="BC2009" s="7"/>
      <c r="BD2009" s="7" t="s">
        <v>1096</v>
      </c>
      <c r="BE2009" s="7" t="s">
        <v>575</v>
      </c>
      <c r="BF2009" s="8"/>
      <c r="BG2009" s="8"/>
      <c r="BH2009" s="8"/>
      <c r="BI2009" s="8"/>
      <c r="BJ2009" s="8"/>
      <c r="BK2009" s="8"/>
      <c r="BL2009" s="8"/>
      <c r="BM2009" s="8"/>
      <c r="BN2009" s="8"/>
      <c r="BO2009" s="8"/>
      <c r="BP2009" s="8"/>
      <c r="BQ2009" s="8"/>
      <c r="BR2009" s="8"/>
      <c r="BS2009" s="8"/>
    </row>
    <row r="2010" customFormat="false" ht="15" hidden="false" customHeight="false" outlineLevel="0" collapsed="false">
      <c r="A2010" s="7" t="s">
        <v>12858</v>
      </c>
      <c r="B2010" s="7" t="s">
        <v>12859</v>
      </c>
      <c r="C2010" s="7" t="s">
        <v>12860</v>
      </c>
      <c r="D2010" s="7" t="s">
        <v>1154</v>
      </c>
      <c r="E2010" s="7" t="s">
        <v>82</v>
      </c>
      <c r="F2010" s="7" t="s">
        <v>82</v>
      </c>
      <c r="G2010" s="7"/>
      <c r="H2010" s="7" t="s">
        <v>207</v>
      </c>
      <c r="I2010" s="7" t="s">
        <v>103</v>
      </c>
      <c r="J2010" s="7" t="s">
        <v>475</v>
      </c>
      <c r="K2010" s="7" t="s">
        <v>1094</v>
      </c>
      <c r="L2010" s="7" t="s">
        <v>106</v>
      </c>
      <c r="M2010" s="7"/>
      <c r="N2010" s="7" t="s">
        <v>1155</v>
      </c>
      <c r="O2010" s="7" t="s">
        <v>1155</v>
      </c>
      <c r="P2010" s="7" t="s">
        <v>135</v>
      </c>
      <c r="Q2010" s="7"/>
      <c r="R2010" s="7" t="s">
        <v>109</v>
      </c>
      <c r="S2010" s="7" t="s">
        <v>110</v>
      </c>
      <c r="T2010" s="7" t="n">
        <v>0.245</v>
      </c>
      <c r="U2010" s="7" t="n">
        <v>0</v>
      </c>
      <c r="V2010" s="7"/>
      <c r="W2010" s="7"/>
      <c r="X2010" s="7"/>
      <c r="Y2010" s="7"/>
      <c r="Z2010" s="7"/>
      <c r="AA2010" s="7" t="s">
        <v>572</v>
      </c>
      <c r="AB2010" s="7" t="s">
        <v>573</v>
      </c>
      <c r="AC2010" s="7" t="n">
        <v>0</v>
      </c>
      <c r="AD2010" s="7" t="s">
        <v>388</v>
      </c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 t="s">
        <v>1142</v>
      </c>
      <c r="BE2010" s="7" t="s">
        <v>575</v>
      </c>
      <c r="BF2010" s="8"/>
      <c r="BG2010" s="8"/>
      <c r="BH2010" s="8"/>
      <c r="BI2010" s="8"/>
      <c r="BJ2010" s="8"/>
      <c r="BK2010" s="8"/>
      <c r="BL2010" s="8"/>
      <c r="BM2010" s="8"/>
      <c r="BN2010" s="8"/>
      <c r="BO2010" s="8"/>
      <c r="BP2010" s="8"/>
      <c r="BQ2010" s="8"/>
      <c r="BR2010" s="8"/>
      <c r="BS2010" s="8"/>
    </row>
    <row r="2011" customFormat="false" ht="15" hidden="false" customHeight="false" outlineLevel="0" collapsed="false">
      <c r="A2011" s="7" t="s">
        <v>12861</v>
      </c>
      <c r="B2011" s="7" t="s">
        <v>12862</v>
      </c>
      <c r="C2011" s="7" t="s">
        <v>12863</v>
      </c>
      <c r="D2011" s="7" t="s">
        <v>12864</v>
      </c>
      <c r="E2011" s="7" t="s">
        <v>82</v>
      </c>
      <c r="F2011" s="7" t="s">
        <v>82</v>
      </c>
      <c r="G2011" s="7"/>
      <c r="H2011" s="7" t="s">
        <v>207</v>
      </c>
      <c r="I2011" s="7" t="s">
        <v>158</v>
      </c>
      <c r="J2011" s="7" t="s">
        <v>475</v>
      </c>
      <c r="K2011" s="7" t="s">
        <v>569</v>
      </c>
      <c r="L2011" s="7" t="s">
        <v>106</v>
      </c>
      <c r="M2011" s="7"/>
      <c r="N2011" s="7" t="s">
        <v>2029</v>
      </c>
      <c r="O2011" s="7" t="s">
        <v>2029</v>
      </c>
      <c r="P2011" s="7" t="s">
        <v>84</v>
      </c>
      <c r="Q2011" s="7"/>
      <c r="R2011" s="7" t="s">
        <v>109</v>
      </c>
      <c r="S2011" s="7" t="s">
        <v>110</v>
      </c>
      <c r="T2011" s="7" t="n">
        <v>0.347</v>
      </c>
      <c r="U2011" s="7" t="n">
        <v>3</v>
      </c>
      <c r="V2011" s="7" t="s">
        <v>161</v>
      </c>
      <c r="W2011" s="7" t="s">
        <v>9247</v>
      </c>
      <c r="X2011" s="7"/>
      <c r="Y2011" s="7" t="s">
        <v>2029</v>
      </c>
      <c r="Z2011" s="7"/>
      <c r="AA2011" s="7" t="s">
        <v>572</v>
      </c>
      <c r="AB2011" s="7" t="s">
        <v>573</v>
      </c>
      <c r="AC2011" s="7" t="n">
        <v>0</v>
      </c>
      <c r="AD2011" s="7" t="s">
        <v>388</v>
      </c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 t="s">
        <v>220</v>
      </c>
      <c r="BE2011" s="7" t="s">
        <v>575</v>
      </c>
      <c r="BF2011" s="8"/>
      <c r="BG2011" s="8"/>
      <c r="BH2011" s="8"/>
      <c r="BI2011" s="8"/>
      <c r="BJ2011" s="8"/>
      <c r="BK2011" s="8"/>
      <c r="BL2011" s="8"/>
      <c r="BM2011" s="8"/>
      <c r="BN2011" s="8"/>
      <c r="BO2011" s="8"/>
      <c r="BP2011" s="8"/>
      <c r="BQ2011" s="8"/>
      <c r="BR2011" s="8"/>
      <c r="BS2011" s="8"/>
    </row>
    <row r="2012" customFormat="false" ht="15" hidden="false" customHeight="false" outlineLevel="0" collapsed="false">
      <c r="A2012" s="7" t="s">
        <v>12865</v>
      </c>
      <c r="B2012" s="7" t="s">
        <v>12866</v>
      </c>
      <c r="C2012" s="7" t="s">
        <v>12867</v>
      </c>
      <c r="D2012" s="7" t="s">
        <v>1154</v>
      </c>
      <c r="E2012" s="7" t="s">
        <v>82</v>
      </c>
      <c r="F2012" s="7" t="s">
        <v>82</v>
      </c>
      <c r="G2012" s="7"/>
      <c r="H2012" s="7" t="s">
        <v>207</v>
      </c>
      <c r="I2012" s="7" t="s">
        <v>103</v>
      </c>
      <c r="J2012" s="7" t="s">
        <v>475</v>
      </c>
      <c r="K2012" s="7" t="s">
        <v>1147</v>
      </c>
      <c r="L2012" s="7" t="s">
        <v>106</v>
      </c>
      <c r="M2012" s="7"/>
      <c r="N2012" s="7" t="s">
        <v>1155</v>
      </c>
      <c r="O2012" s="7" t="s">
        <v>1155</v>
      </c>
      <c r="P2012" s="7" t="s">
        <v>135</v>
      </c>
      <c r="Q2012" s="7"/>
      <c r="R2012" s="7" t="s">
        <v>109</v>
      </c>
      <c r="S2012" s="7" t="s">
        <v>110</v>
      </c>
      <c r="T2012" s="7" t="n">
        <v>0.499</v>
      </c>
      <c r="U2012" s="7" t="n">
        <v>0</v>
      </c>
      <c r="V2012" s="7"/>
      <c r="W2012" s="7"/>
      <c r="X2012" s="7"/>
      <c r="Y2012" s="7"/>
      <c r="Z2012" s="7"/>
      <c r="AA2012" s="7" t="s">
        <v>572</v>
      </c>
      <c r="AB2012" s="7" t="s">
        <v>573</v>
      </c>
      <c r="AC2012" s="7" t="n">
        <v>0</v>
      </c>
      <c r="AD2012" s="7" t="s">
        <v>388</v>
      </c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 t="s">
        <v>1142</v>
      </c>
      <c r="BE2012" s="7" t="s">
        <v>575</v>
      </c>
      <c r="BF2012" s="8"/>
      <c r="BG2012" s="8"/>
      <c r="BH2012" s="8"/>
      <c r="BI2012" s="8"/>
      <c r="BJ2012" s="8"/>
      <c r="BK2012" s="8"/>
      <c r="BL2012" s="8"/>
      <c r="BM2012" s="8"/>
      <c r="BN2012" s="8"/>
      <c r="BO2012" s="8"/>
      <c r="BP2012" s="8"/>
      <c r="BQ2012" s="8"/>
      <c r="BR2012" s="8"/>
      <c r="BS2012" s="8"/>
    </row>
    <row r="2013" customFormat="false" ht="15" hidden="false" customHeight="false" outlineLevel="0" collapsed="false">
      <c r="A2013" s="7" t="s">
        <v>12868</v>
      </c>
      <c r="B2013" s="7" t="s">
        <v>12869</v>
      </c>
      <c r="C2013" s="7" t="s">
        <v>12870</v>
      </c>
      <c r="D2013" s="7" t="s">
        <v>12871</v>
      </c>
      <c r="E2013" s="7" t="s">
        <v>82</v>
      </c>
      <c r="F2013" s="7" t="s">
        <v>82</v>
      </c>
      <c r="G2013" s="7"/>
      <c r="H2013" s="7" t="s">
        <v>207</v>
      </c>
      <c r="I2013" s="7" t="s">
        <v>300</v>
      </c>
      <c r="J2013" s="7" t="s">
        <v>475</v>
      </c>
      <c r="K2013" s="7" t="s">
        <v>1147</v>
      </c>
      <c r="L2013" s="7" t="s">
        <v>106</v>
      </c>
      <c r="M2013" s="7"/>
      <c r="N2013" s="7" t="s">
        <v>12872</v>
      </c>
      <c r="O2013" s="7" t="s">
        <v>12872</v>
      </c>
      <c r="P2013" s="7" t="s">
        <v>135</v>
      </c>
      <c r="Q2013" s="7"/>
      <c r="R2013" s="7" t="s">
        <v>109</v>
      </c>
      <c r="S2013" s="7" t="s">
        <v>110</v>
      </c>
      <c r="T2013" s="7" t="n">
        <v>0.221</v>
      </c>
      <c r="U2013" s="7" t="n">
        <v>0</v>
      </c>
      <c r="V2013" s="7"/>
      <c r="W2013" s="7"/>
      <c r="X2013" s="7"/>
      <c r="Y2013" s="7"/>
      <c r="Z2013" s="7"/>
      <c r="AA2013" s="7" t="s">
        <v>572</v>
      </c>
      <c r="AB2013" s="7" t="s">
        <v>573</v>
      </c>
      <c r="AC2013" s="7" t="n">
        <v>0</v>
      </c>
      <c r="AD2013" s="7" t="s">
        <v>388</v>
      </c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 t="s">
        <v>1142</v>
      </c>
      <c r="BE2013" s="7" t="s">
        <v>1088</v>
      </c>
      <c r="BF2013" s="8"/>
      <c r="BG2013" s="8"/>
      <c r="BH2013" s="8"/>
      <c r="BI2013" s="8"/>
      <c r="BJ2013" s="8"/>
      <c r="BK2013" s="8"/>
      <c r="BL2013" s="8"/>
      <c r="BM2013" s="8"/>
      <c r="BN2013" s="8"/>
      <c r="BO2013" s="8"/>
      <c r="BP2013" s="8"/>
      <c r="BQ2013" s="8"/>
      <c r="BR2013" s="8"/>
      <c r="BS2013" s="8"/>
    </row>
    <row r="2014" customFormat="false" ht="15" hidden="false" customHeight="false" outlineLevel="0" collapsed="false">
      <c r="A2014" s="7" t="s">
        <v>12873</v>
      </c>
      <c r="B2014" s="7" t="s">
        <v>12874</v>
      </c>
      <c r="C2014" s="7" t="s">
        <v>12875</v>
      </c>
      <c r="D2014" s="7" t="s">
        <v>12876</v>
      </c>
      <c r="E2014" s="7" t="s">
        <v>82</v>
      </c>
      <c r="F2014" s="7" t="s">
        <v>82</v>
      </c>
      <c r="G2014" s="7"/>
      <c r="H2014" s="7" t="s">
        <v>207</v>
      </c>
      <c r="I2014" s="7" t="s">
        <v>208</v>
      </c>
      <c r="J2014" s="7" t="s">
        <v>475</v>
      </c>
      <c r="K2014" s="7" t="s">
        <v>1147</v>
      </c>
      <c r="L2014" s="7" t="s">
        <v>106</v>
      </c>
      <c r="M2014" s="7"/>
      <c r="N2014" s="7" t="s">
        <v>12877</v>
      </c>
      <c r="O2014" s="7" t="s">
        <v>12877</v>
      </c>
      <c r="P2014" s="7" t="s">
        <v>135</v>
      </c>
      <c r="Q2014" s="7"/>
      <c r="R2014" s="7" t="s">
        <v>109</v>
      </c>
      <c r="S2014" s="7" t="s">
        <v>110</v>
      </c>
      <c r="T2014" s="7" t="n">
        <v>0.304</v>
      </c>
      <c r="U2014" s="7" t="n">
        <v>0</v>
      </c>
      <c r="V2014" s="7"/>
      <c r="W2014" s="7"/>
      <c r="X2014" s="7"/>
      <c r="Y2014" s="7"/>
      <c r="Z2014" s="7"/>
      <c r="AA2014" s="7" t="s">
        <v>572</v>
      </c>
      <c r="AB2014" s="7" t="s">
        <v>573</v>
      </c>
      <c r="AC2014" s="7" t="n">
        <v>0</v>
      </c>
      <c r="AD2014" s="7" t="s">
        <v>388</v>
      </c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 t="s">
        <v>1142</v>
      </c>
      <c r="BE2014" s="7" t="s">
        <v>575</v>
      </c>
      <c r="BF2014" s="8"/>
      <c r="BG2014" s="8"/>
      <c r="BH2014" s="8"/>
      <c r="BI2014" s="8"/>
      <c r="BJ2014" s="8"/>
      <c r="BK2014" s="8"/>
      <c r="BL2014" s="8"/>
      <c r="BM2014" s="8"/>
      <c r="BN2014" s="8"/>
      <c r="BO2014" s="8"/>
      <c r="BP2014" s="8"/>
      <c r="BQ2014" s="8"/>
      <c r="BR2014" s="8"/>
      <c r="BS2014" s="8"/>
    </row>
    <row r="2015" customFormat="false" ht="15" hidden="false" customHeight="false" outlineLevel="0" collapsed="false">
      <c r="A2015" s="7" t="s">
        <v>12878</v>
      </c>
      <c r="B2015" s="7" t="s">
        <v>12879</v>
      </c>
      <c r="C2015" s="7" t="s">
        <v>12880</v>
      </c>
      <c r="D2015" s="7" t="s">
        <v>12876</v>
      </c>
      <c r="E2015" s="7" t="s">
        <v>82</v>
      </c>
      <c r="F2015" s="7" t="s">
        <v>82</v>
      </c>
      <c r="G2015" s="7"/>
      <c r="H2015" s="7" t="s">
        <v>207</v>
      </c>
      <c r="I2015" s="7" t="s">
        <v>208</v>
      </c>
      <c r="J2015" s="7" t="s">
        <v>475</v>
      </c>
      <c r="K2015" s="7" t="s">
        <v>569</v>
      </c>
      <c r="L2015" s="7" t="s">
        <v>106</v>
      </c>
      <c r="M2015" s="7"/>
      <c r="N2015" s="7" t="s">
        <v>12877</v>
      </c>
      <c r="O2015" s="7" t="s">
        <v>12877</v>
      </c>
      <c r="P2015" s="7" t="s">
        <v>135</v>
      </c>
      <c r="Q2015" s="7"/>
      <c r="R2015" s="7" t="s">
        <v>109</v>
      </c>
      <c r="S2015" s="7" t="s">
        <v>110</v>
      </c>
      <c r="T2015" s="7" t="n">
        <v>0.341</v>
      </c>
      <c r="U2015" s="7" t="n">
        <v>0</v>
      </c>
      <c r="V2015" s="7"/>
      <c r="W2015" s="7"/>
      <c r="X2015" s="7"/>
      <c r="Y2015" s="7"/>
      <c r="Z2015" s="7"/>
      <c r="AA2015" s="7" t="s">
        <v>572</v>
      </c>
      <c r="AB2015" s="7" t="s">
        <v>573</v>
      </c>
      <c r="AC2015" s="7" t="n">
        <v>0</v>
      </c>
      <c r="AD2015" s="7" t="s">
        <v>388</v>
      </c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7"/>
      <c r="BC2015" s="7"/>
      <c r="BD2015" s="7" t="s">
        <v>1142</v>
      </c>
      <c r="BE2015" s="7" t="s">
        <v>575</v>
      </c>
      <c r="BF2015" s="8"/>
      <c r="BG2015" s="8"/>
      <c r="BH2015" s="8"/>
      <c r="BI2015" s="8"/>
      <c r="BJ2015" s="8"/>
      <c r="BK2015" s="8"/>
      <c r="BL2015" s="8"/>
      <c r="BM2015" s="8"/>
      <c r="BN2015" s="8"/>
      <c r="BO2015" s="8"/>
      <c r="BP2015" s="8"/>
      <c r="BQ2015" s="8"/>
      <c r="BR2015" s="8"/>
      <c r="BS2015" s="8"/>
    </row>
    <row r="2016" customFormat="false" ht="15" hidden="false" customHeight="false" outlineLevel="0" collapsed="false">
      <c r="A2016" s="7" t="s">
        <v>12881</v>
      </c>
      <c r="B2016" s="7" t="s">
        <v>12882</v>
      </c>
      <c r="C2016" s="7" t="s">
        <v>12883</v>
      </c>
      <c r="D2016" s="7" t="s">
        <v>1154</v>
      </c>
      <c r="E2016" s="7" t="s">
        <v>82</v>
      </c>
      <c r="F2016" s="7" t="s">
        <v>82</v>
      </c>
      <c r="G2016" s="7"/>
      <c r="H2016" s="7" t="s">
        <v>207</v>
      </c>
      <c r="I2016" s="7" t="s">
        <v>103</v>
      </c>
      <c r="J2016" s="7" t="s">
        <v>475</v>
      </c>
      <c r="K2016" s="7" t="s">
        <v>569</v>
      </c>
      <c r="L2016" s="7" t="s">
        <v>106</v>
      </c>
      <c r="M2016" s="7"/>
      <c r="N2016" s="7" t="s">
        <v>1155</v>
      </c>
      <c r="O2016" s="7" t="s">
        <v>1155</v>
      </c>
      <c r="P2016" s="7" t="s">
        <v>135</v>
      </c>
      <c r="Q2016" s="7"/>
      <c r="R2016" s="7" t="s">
        <v>109</v>
      </c>
      <c r="S2016" s="7" t="s">
        <v>110</v>
      </c>
      <c r="T2016" s="7" t="n">
        <v>0.327</v>
      </c>
      <c r="U2016" s="7" t="n">
        <v>0</v>
      </c>
      <c r="V2016" s="7"/>
      <c r="W2016" s="7"/>
      <c r="X2016" s="7"/>
      <c r="Y2016" s="7"/>
      <c r="Z2016" s="7"/>
      <c r="AA2016" s="7" t="s">
        <v>572</v>
      </c>
      <c r="AB2016" s="7" t="s">
        <v>573</v>
      </c>
      <c r="AC2016" s="7" t="n">
        <v>0</v>
      </c>
      <c r="AD2016" s="7" t="s">
        <v>388</v>
      </c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 t="s">
        <v>1142</v>
      </c>
      <c r="BE2016" s="7" t="s">
        <v>575</v>
      </c>
      <c r="BF2016" s="8"/>
      <c r="BG2016" s="8"/>
      <c r="BH2016" s="8"/>
      <c r="BI2016" s="8"/>
      <c r="BJ2016" s="8"/>
      <c r="BK2016" s="8"/>
      <c r="BL2016" s="8"/>
      <c r="BM2016" s="8"/>
      <c r="BN2016" s="8"/>
      <c r="BO2016" s="8"/>
      <c r="BP2016" s="8"/>
      <c r="BQ2016" s="8"/>
      <c r="BR2016" s="8"/>
      <c r="BS2016" s="8"/>
    </row>
    <row r="2017" customFormat="false" ht="15" hidden="false" customHeight="false" outlineLevel="0" collapsed="false">
      <c r="A2017" s="7" t="s">
        <v>12884</v>
      </c>
      <c r="B2017" s="7" t="s">
        <v>12885</v>
      </c>
      <c r="C2017" s="7" t="s">
        <v>12886</v>
      </c>
      <c r="D2017" s="7" t="s">
        <v>1162</v>
      </c>
      <c r="E2017" s="7" t="s">
        <v>82</v>
      </c>
      <c r="F2017" s="7" t="s">
        <v>82</v>
      </c>
      <c r="G2017" s="7" t="s">
        <v>83</v>
      </c>
      <c r="H2017" s="7" t="s">
        <v>1100</v>
      </c>
      <c r="I2017" s="7" t="s">
        <v>158</v>
      </c>
      <c r="J2017" s="7" t="s">
        <v>475</v>
      </c>
      <c r="K2017" s="7" t="s">
        <v>569</v>
      </c>
      <c r="L2017" s="7" t="s">
        <v>106</v>
      </c>
      <c r="M2017" s="7"/>
      <c r="N2017" s="7" t="s">
        <v>1163</v>
      </c>
      <c r="O2017" s="7" t="s">
        <v>1163</v>
      </c>
      <c r="P2017" s="7" t="s">
        <v>109</v>
      </c>
      <c r="Q2017" s="7"/>
      <c r="R2017" s="7" t="s">
        <v>109</v>
      </c>
      <c r="S2017" s="7" t="s">
        <v>110</v>
      </c>
      <c r="T2017" s="7" t="n">
        <v>0.291</v>
      </c>
      <c r="U2017" s="7" t="n">
        <v>1</v>
      </c>
      <c r="V2017" s="7" t="s">
        <v>1156</v>
      </c>
      <c r="W2017" s="7"/>
      <c r="X2017" s="7" t="s">
        <v>12887</v>
      </c>
      <c r="Y2017" s="7" t="s">
        <v>12888</v>
      </c>
      <c r="Z2017" s="7"/>
      <c r="AA2017" s="7" t="s">
        <v>1164</v>
      </c>
      <c r="AB2017" s="7" t="s">
        <v>1165</v>
      </c>
      <c r="AC2017" s="7" t="n">
        <v>0</v>
      </c>
      <c r="AD2017" s="7" t="s">
        <v>388</v>
      </c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 t="s">
        <v>12889</v>
      </c>
      <c r="BE2017" s="7" t="s">
        <v>575</v>
      </c>
      <c r="BF2017" s="8"/>
      <c r="BG2017" s="8"/>
      <c r="BH2017" s="8"/>
      <c r="BI2017" s="8"/>
      <c r="BJ2017" s="8"/>
      <c r="BK2017" s="8"/>
      <c r="BL2017" s="8"/>
      <c r="BM2017" s="8"/>
      <c r="BN2017" s="8"/>
      <c r="BO2017" s="8"/>
      <c r="BP2017" s="8"/>
      <c r="BQ2017" s="8"/>
      <c r="BR2017" s="8"/>
      <c r="BS2017" s="8"/>
    </row>
    <row r="2018" customFormat="false" ht="15" hidden="false" customHeight="false" outlineLevel="0" collapsed="false">
      <c r="A2018" s="7" t="s">
        <v>12890</v>
      </c>
      <c r="B2018" s="7" t="s">
        <v>12891</v>
      </c>
      <c r="C2018" s="7" t="s">
        <v>12892</v>
      </c>
      <c r="D2018" s="7" t="s">
        <v>4288</v>
      </c>
      <c r="E2018" s="7" t="s">
        <v>82</v>
      </c>
      <c r="F2018" s="7" t="s">
        <v>82</v>
      </c>
      <c r="G2018" s="7"/>
      <c r="H2018" s="7" t="s">
        <v>1100</v>
      </c>
      <c r="I2018" s="7" t="s">
        <v>374</v>
      </c>
      <c r="J2018" s="7" t="s">
        <v>475</v>
      </c>
      <c r="K2018" s="7" t="s">
        <v>569</v>
      </c>
      <c r="L2018" s="7" t="s">
        <v>106</v>
      </c>
      <c r="M2018" s="7"/>
      <c r="N2018" s="7" t="s">
        <v>12893</v>
      </c>
      <c r="O2018" s="7"/>
      <c r="P2018" s="7" t="s">
        <v>135</v>
      </c>
      <c r="Q2018" s="7"/>
      <c r="R2018" s="7" t="s">
        <v>135</v>
      </c>
      <c r="S2018" s="7" t="s">
        <v>136</v>
      </c>
      <c r="T2018" s="7" t="n">
        <v>0.232</v>
      </c>
      <c r="U2018" s="7" t="n">
        <v>0</v>
      </c>
      <c r="V2018" s="7"/>
      <c r="W2018" s="7"/>
      <c r="X2018" s="7"/>
      <c r="Y2018" s="7"/>
      <c r="Z2018" s="7"/>
      <c r="AA2018" s="7" t="s">
        <v>572</v>
      </c>
      <c r="AB2018" s="7" t="s">
        <v>573</v>
      </c>
      <c r="AC2018" s="7" t="n">
        <v>0</v>
      </c>
      <c r="AD2018" s="7" t="s">
        <v>388</v>
      </c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 t="s">
        <v>220</v>
      </c>
      <c r="BE2018" s="7" t="s">
        <v>575</v>
      </c>
      <c r="BF2018" s="8"/>
      <c r="BG2018" s="8"/>
      <c r="BH2018" s="8"/>
      <c r="BI2018" s="8"/>
      <c r="BJ2018" s="8"/>
      <c r="BK2018" s="8"/>
      <c r="BL2018" s="8"/>
      <c r="BM2018" s="8"/>
      <c r="BN2018" s="8"/>
      <c r="BO2018" s="8"/>
      <c r="BP2018" s="8"/>
      <c r="BQ2018" s="8"/>
      <c r="BR2018" s="8"/>
      <c r="BS2018" s="8"/>
    </row>
    <row r="2019" customFormat="false" ht="15" hidden="false" customHeight="false" outlineLevel="0" collapsed="false">
      <c r="A2019" s="7" t="s">
        <v>12894</v>
      </c>
      <c r="B2019" s="7" t="s">
        <v>12895</v>
      </c>
      <c r="C2019" s="7" t="s">
        <v>12896</v>
      </c>
      <c r="D2019" s="7" t="s">
        <v>12897</v>
      </c>
      <c r="E2019" s="7" t="s">
        <v>82</v>
      </c>
      <c r="F2019" s="7" t="s">
        <v>82</v>
      </c>
      <c r="G2019" s="7"/>
      <c r="H2019" s="7" t="s">
        <v>1100</v>
      </c>
      <c r="I2019" s="7" t="s">
        <v>158</v>
      </c>
      <c r="J2019" s="7" t="s">
        <v>475</v>
      </c>
      <c r="K2019" s="7" t="s">
        <v>569</v>
      </c>
      <c r="L2019" s="7" t="s">
        <v>106</v>
      </c>
      <c r="M2019" s="7"/>
      <c r="N2019" s="7" t="s">
        <v>12898</v>
      </c>
      <c r="O2019" s="7" t="s">
        <v>12898</v>
      </c>
      <c r="P2019" s="7" t="s">
        <v>135</v>
      </c>
      <c r="Q2019" s="7"/>
      <c r="R2019" s="7" t="s">
        <v>109</v>
      </c>
      <c r="S2019" s="7" t="s">
        <v>110</v>
      </c>
      <c r="T2019" s="7" t="n">
        <v>0.542</v>
      </c>
      <c r="U2019" s="7" t="n">
        <v>0</v>
      </c>
      <c r="V2019" s="7"/>
      <c r="W2019" s="7"/>
      <c r="X2019" s="7"/>
      <c r="Y2019" s="7"/>
      <c r="Z2019" s="7"/>
      <c r="AA2019" s="7" t="s">
        <v>572</v>
      </c>
      <c r="AB2019" s="7" t="s">
        <v>573</v>
      </c>
      <c r="AC2019" s="7" t="n">
        <v>0</v>
      </c>
      <c r="AD2019" s="7" t="s">
        <v>388</v>
      </c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 t="s">
        <v>220</v>
      </c>
      <c r="BE2019" s="7" t="s">
        <v>1088</v>
      </c>
      <c r="BF2019" s="8"/>
      <c r="BG2019" s="8"/>
      <c r="BH2019" s="8"/>
      <c r="BI2019" s="8"/>
      <c r="BJ2019" s="8"/>
      <c r="BK2019" s="8"/>
      <c r="BL2019" s="8"/>
      <c r="BM2019" s="8"/>
      <c r="BN2019" s="8"/>
      <c r="BO2019" s="8"/>
      <c r="BP2019" s="8"/>
      <c r="BQ2019" s="8"/>
      <c r="BR2019" s="8"/>
      <c r="BS2019" s="8"/>
    </row>
    <row r="2020" customFormat="false" ht="15" hidden="false" customHeight="false" outlineLevel="0" collapsed="false">
      <c r="A2020" s="7" t="s">
        <v>12899</v>
      </c>
      <c r="B2020" s="7" t="s">
        <v>12900</v>
      </c>
      <c r="C2020" s="7" t="s">
        <v>12901</v>
      </c>
      <c r="D2020" s="7" t="s">
        <v>4416</v>
      </c>
      <c r="E2020" s="7" t="s">
        <v>82</v>
      </c>
      <c r="F2020" s="7" t="s">
        <v>82</v>
      </c>
      <c r="G2020" s="7"/>
      <c r="H2020" s="7" t="s">
        <v>1100</v>
      </c>
      <c r="I2020" s="7" t="s">
        <v>158</v>
      </c>
      <c r="J2020" s="7" t="s">
        <v>475</v>
      </c>
      <c r="K2020" s="7" t="s">
        <v>569</v>
      </c>
      <c r="L2020" s="7" t="s">
        <v>106</v>
      </c>
      <c r="M2020" s="7"/>
      <c r="N2020" s="7" t="s">
        <v>12902</v>
      </c>
      <c r="O2020" s="7" t="s">
        <v>12902</v>
      </c>
      <c r="P2020" s="7" t="s">
        <v>135</v>
      </c>
      <c r="Q2020" s="7"/>
      <c r="R2020" s="7" t="s">
        <v>109</v>
      </c>
      <c r="S2020" s="7" t="s">
        <v>110</v>
      </c>
      <c r="T2020" s="7" t="n">
        <v>0.444</v>
      </c>
      <c r="U2020" s="7" t="n">
        <v>0</v>
      </c>
      <c r="V2020" s="7"/>
      <c r="W2020" s="7"/>
      <c r="X2020" s="7"/>
      <c r="Y2020" s="7"/>
      <c r="Z2020" s="7"/>
      <c r="AA2020" s="7" t="s">
        <v>572</v>
      </c>
      <c r="AB2020" s="7" t="s">
        <v>573</v>
      </c>
      <c r="AC2020" s="7" t="n">
        <v>0</v>
      </c>
      <c r="AD2020" s="7" t="s">
        <v>388</v>
      </c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7"/>
      <c r="BD2020" s="7" t="s">
        <v>1400</v>
      </c>
      <c r="BE2020" s="7" t="s">
        <v>1088</v>
      </c>
      <c r="BF2020" s="8"/>
      <c r="BG2020" s="8"/>
      <c r="BH2020" s="8"/>
      <c r="BI2020" s="8"/>
      <c r="BJ2020" s="8"/>
      <c r="BK2020" s="8"/>
      <c r="BL2020" s="8"/>
      <c r="BM2020" s="8"/>
      <c r="BN2020" s="8"/>
      <c r="BO2020" s="8"/>
      <c r="BP2020" s="8"/>
      <c r="BQ2020" s="8"/>
      <c r="BR2020" s="8"/>
      <c r="BS2020" s="8"/>
    </row>
    <row r="2021" customFormat="false" ht="15" hidden="false" customHeight="false" outlineLevel="0" collapsed="false">
      <c r="A2021" s="7" t="s">
        <v>12903</v>
      </c>
      <c r="B2021" s="7" t="s">
        <v>12904</v>
      </c>
      <c r="C2021" s="7" t="s">
        <v>12905</v>
      </c>
      <c r="D2021" s="7" t="s">
        <v>3243</v>
      </c>
      <c r="E2021" s="7" t="s">
        <v>82</v>
      </c>
      <c r="F2021" s="7" t="s">
        <v>82</v>
      </c>
      <c r="G2021" s="7" t="s">
        <v>83</v>
      </c>
      <c r="H2021" s="7" t="s">
        <v>1100</v>
      </c>
      <c r="I2021" s="7" t="s">
        <v>374</v>
      </c>
      <c r="J2021" s="7" t="s">
        <v>475</v>
      </c>
      <c r="K2021" s="7" t="s">
        <v>1147</v>
      </c>
      <c r="L2021" s="7" t="s">
        <v>106</v>
      </c>
      <c r="M2021" s="7"/>
      <c r="N2021" s="7" t="s">
        <v>12906</v>
      </c>
      <c r="O2021" s="7" t="s">
        <v>12906</v>
      </c>
      <c r="P2021" s="7" t="s">
        <v>135</v>
      </c>
      <c r="Q2021" s="7"/>
      <c r="R2021" s="7" t="s">
        <v>109</v>
      </c>
      <c r="S2021" s="7" t="s">
        <v>110</v>
      </c>
      <c r="T2021" s="7" t="n">
        <v>0.346</v>
      </c>
      <c r="U2021" s="7" t="n">
        <v>0</v>
      </c>
      <c r="V2021" s="7"/>
      <c r="W2021" s="7"/>
      <c r="X2021" s="7"/>
      <c r="Y2021" s="7"/>
      <c r="Z2021" s="7"/>
      <c r="AA2021" s="7" t="s">
        <v>572</v>
      </c>
      <c r="AB2021" s="7" t="s">
        <v>573</v>
      </c>
      <c r="AC2021" s="7" t="n">
        <v>0</v>
      </c>
      <c r="AD2021" s="7" t="s">
        <v>388</v>
      </c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7"/>
      <c r="BC2021" s="7"/>
      <c r="BD2021" s="7" t="s">
        <v>1142</v>
      </c>
      <c r="BE2021" s="7" t="s">
        <v>1088</v>
      </c>
      <c r="BF2021" s="8"/>
      <c r="BG2021" s="8"/>
      <c r="BH2021" s="8"/>
      <c r="BI2021" s="8"/>
      <c r="BJ2021" s="8"/>
      <c r="BK2021" s="8"/>
      <c r="BL2021" s="8"/>
      <c r="BM2021" s="8"/>
      <c r="BN2021" s="8"/>
      <c r="BO2021" s="8"/>
      <c r="BP2021" s="8"/>
      <c r="BQ2021" s="8"/>
      <c r="BR2021" s="8"/>
      <c r="BS2021" s="8"/>
    </row>
    <row r="2022" customFormat="false" ht="15" hidden="false" customHeight="false" outlineLevel="0" collapsed="false">
      <c r="A2022" s="7" t="s">
        <v>12907</v>
      </c>
      <c r="B2022" s="7" t="s">
        <v>12908</v>
      </c>
      <c r="C2022" s="7" t="s">
        <v>12909</v>
      </c>
      <c r="D2022" s="7" t="s">
        <v>1092</v>
      </c>
      <c r="E2022" s="7" t="s">
        <v>82</v>
      </c>
      <c r="F2022" s="7" t="s">
        <v>82</v>
      </c>
      <c r="G2022" s="7"/>
      <c r="H2022" s="7" t="s">
        <v>1100</v>
      </c>
      <c r="I2022" s="7" t="s">
        <v>234</v>
      </c>
      <c r="J2022" s="7" t="s">
        <v>475</v>
      </c>
      <c r="K2022" s="7" t="s">
        <v>1147</v>
      </c>
      <c r="L2022" s="7" t="s">
        <v>106</v>
      </c>
      <c r="M2022" s="7"/>
      <c r="N2022" s="7" t="s">
        <v>1095</v>
      </c>
      <c r="O2022" s="7" t="s">
        <v>1095</v>
      </c>
      <c r="P2022" s="7" t="s">
        <v>135</v>
      </c>
      <c r="Q2022" s="7"/>
      <c r="R2022" s="7" t="s">
        <v>109</v>
      </c>
      <c r="S2022" s="7" t="s">
        <v>110</v>
      </c>
      <c r="T2022" s="7" t="n">
        <v>0.489</v>
      </c>
      <c r="U2022" s="7" t="n">
        <v>0</v>
      </c>
      <c r="V2022" s="7"/>
      <c r="W2022" s="7"/>
      <c r="X2022" s="7"/>
      <c r="Y2022" s="7"/>
      <c r="Z2022" s="7"/>
      <c r="AA2022" s="7" t="s">
        <v>572</v>
      </c>
      <c r="AB2022" s="7" t="s">
        <v>573</v>
      </c>
      <c r="AC2022" s="7" t="n">
        <v>0</v>
      </c>
      <c r="AD2022" s="7" t="s">
        <v>388</v>
      </c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 t="s">
        <v>1096</v>
      </c>
      <c r="BE2022" s="7" t="s">
        <v>575</v>
      </c>
      <c r="BF2022" s="8"/>
      <c r="BG2022" s="8"/>
      <c r="BH2022" s="8"/>
      <c r="BI2022" s="8"/>
      <c r="BJ2022" s="8"/>
      <c r="BK2022" s="8"/>
      <c r="BL2022" s="8"/>
      <c r="BM2022" s="8"/>
      <c r="BN2022" s="8"/>
      <c r="BO2022" s="8"/>
      <c r="BP2022" s="8"/>
      <c r="BQ2022" s="8"/>
      <c r="BR2022" s="8"/>
      <c r="BS2022" s="8"/>
    </row>
    <row r="2023" customFormat="false" ht="15" hidden="false" customHeight="false" outlineLevel="0" collapsed="false">
      <c r="A2023" s="7" t="s">
        <v>12910</v>
      </c>
      <c r="B2023" s="7" t="s">
        <v>12911</v>
      </c>
      <c r="C2023" s="7" t="s">
        <v>12912</v>
      </c>
      <c r="D2023" s="7" t="s">
        <v>1092</v>
      </c>
      <c r="E2023" s="7" t="s">
        <v>82</v>
      </c>
      <c r="F2023" s="7" t="s">
        <v>82</v>
      </c>
      <c r="G2023" s="7"/>
      <c r="H2023" s="7" t="s">
        <v>1100</v>
      </c>
      <c r="I2023" s="7" t="s">
        <v>158</v>
      </c>
      <c r="J2023" s="7" t="s">
        <v>475</v>
      </c>
      <c r="K2023" s="7" t="s">
        <v>1147</v>
      </c>
      <c r="L2023" s="7" t="s">
        <v>235</v>
      </c>
      <c r="M2023" s="7"/>
      <c r="N2023" s="7" t="s">
        <v>1095</v>
      </c>
      <c r="O2023" s="7" t="s">
        <v>1095</v>
      </c>
      <c r="P2023" s="7" t="s">
        <v>135</v>
      </c>
      <c r="Q2023" s="7"/>
      <c r="R2023" s="7" t="s">
        <v>109</v>
      </c>
      <c r="S2023" s="7" t="s">
        <v>110</v>
      </c>
      <c r="T2023" s="7" t="n">
        <v>0.388</v>
      </c>
      <c r="U2023" s="7" t="n">
        <v>0</v>
      </c>
      <c r="V2023" s="7"/>
      <c r="W2023" s="7"/>
      <c r="X2023" s="7"/>
      <c r="Y2023" s="7"/>
      <c r="Z2023" s="7"/>
      <c r="AA2023" s="7" t="s">
        <v>572</v>
      </c>
      <c r="AB2023" s="7" t="s">
        <v>573</v>
      </c>
      <c r="AC2023" s="7" t="n">
        <v>0</v>
      </c>
      <c r="AD2023" s="7" t="s">
        <v>388</v>
      </c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  <c r="BB2023" s="7"/>
      <c r="BC2023" s="7"/>
      <c r="BD2023" s="7" t="s">
        <v>1096</v>
      </c>
      <c r="BE2023" s="7" t="s">
        <v>575</v>
      </c>
      <c r="BF2023" s="8"/>
      <c r="BG2023" s="8"/>
      <c r="BH2023" s="8"/>
      <c r="BI2023" s="8"/>
      <c r="BJ2023" s="8"/>
      <c r="BK2023" s="8"/>
      <c r="BL2023" s="8"/>
      <c r="BM2023" s="8"/>
      <c r="BN2023" s="8"/>
      <c r="BO2023" s="8"/>
      <c r="BP2023" s="8"/>
      <c r="BQ2023" s="8"/>
      <c r="BR2023" s="8"/>
      <c r="BS2023" s="8"/>
    </row>
    <row r="2024" customFormat="false" ht="15" hidden="false" customHeight="false" outlineLevel="0" collapsed="false">
      <c r="A2024" s="7" t="s">
        <v>12913</v>
      </c>
      <c r="B2024" s="7" t="s">
        <v>12914</v>
      </c>
      <c r="C2024" s="7" t="s">
        <v>12915</v>
      </c>
      <c r="D2024" s="7" t="s">
        <v>1092</v>
      </c>
      <c r="E2024" s="7" t="s">
        <v>82</v>
      </c>
      <c r="F2024" s="7" t="s">
        <v>82</v>
      </c>
      <c r="G2024" s="7"/>
      <c r="H2024" s="7" t="s">
        <v>1100</v>
      </c>
      <c r="I2024" s="7" t="s">
        <v>234</v>
      </c>
      <c r="J2024" s="7" t="s">
        <v>475</v>
      </c>
      <c r="K2024" s="7" t="s">
        <v>1147</v>
      </c>
      <c r="L2024" s="7" t="s">
        <v>106</v>
      </c>
      <c r="M2024" s="7"/>
      <c r="N2024" s="7" t="s">
        <v>1095</v>
      </c>
      <c r="O2024" s="7" t="s">
        <v>1095</v>
      </c>
      <c r="P2024" s="7" t="s">
        <v>135</v>
      </c>
      <c r="Q2024" s="7"/>
      <c r="R2024" s="7" t="s">
        <v>109</v>
      </c>
      <c r="S2024" s="7" t="s">
        <v>110</v>
      </c>
      <c r="T2024" s="7" t="n">
        <v>0.363</v>
      </c>
      <c r="U2024" s="7" t="n">
        <v>0</v>
      </c>
      <c r="V2024" s="7"/>
      <c r="W2024" s="7"/>
      <c r="X2024" s="7"/>
      <c r="Y2024" s="7"/>
      <c r="Z2024" s="7"/>
      <c r="AA2024" s="7" t="s">
        <v>572</v>
      </c>
      <c r="AB2024" s="7" t="s">
        <v>573</v>
      </c>
      <c r="AC2024" s="7" t="n">
        <v>0</v>
      </c>
      <c r="AD2024" s="7" t="s">
        <v>388</v>
      </c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7"/>
      <c r="BC2024" s="7"/>
      <c r="BD2024" s="7" t="s">
        <v>1096</v>
      </c>
      <c r="BE2024" s="7" t="s">
        <v>575</v>
      </c>
      <c r="BF2024" s="8"/>
      <c r="BG2024" s="8"/>
      <c r="BH2024" s="8"/>
      <c r="BI2024" s="8"/>
      <c r="BJ2024" s="8"/>
      <c r="BK2024" s="8"/>
      <c r="BL2024" s="8"/>
      <c r="BM2024" s="8"/>
      <c r="BN2024" s="8"/>
      <c r="BO2024" s="8"/>
      <c r="BP2024" s="8"/>
      <c r="BQ2024" s="8"/>
      <c r="BR2024" s="8"/>
      <c r="BS2024" s="8"/>
    </row>
    <row r="2025" customFormat="false" ht="15" hidden="false" customHeight="false" outlineLevel="0" collapsed="false">
      <c r="A2025" s="7" t="s">
        <v>12916</v>
      </c>
      <c r="B2025" s="7" t="s">
        <v>12917</v>
      </c>
      <c r="C2025" s="7" t="s">
        <v>12918</v>
      </c>
      <c r="D2025" s="7" t="s">
        <v>1092</v>
      </c>
      <c r="E2025" s="7" t="s">
        <v>82</v>
      </c>
      <c r="F2025" s="7" t="s">
        <v>82</v>
      </c>
      <c r="G2025" s="7"/>
      <c r="H2025" s="7" t="s">
        <v>1100</v>
      </c>
      <c r="I2025" s="7" t="s">
        <v>1140</v>
      </c>
      <c r="J2025" s="7" t="s">
        <v>475</v>
      </c>
      <c r="K2025" s="7" t="s">
        <v>1147</v>
      </c>
      <c r="L2025" s="7" t="s">
        <v>235</v>
      </c>
      <c r="M2025" s="7"/>
      <c r="N2025" s="7" t="s">
        <v>1095</v>
      </c>
      <c r="O2025" s="7" t="s">
        <v>1095</v>
      </c>
      <c r="P2025" s="7" t="s">
        <v>135</v>
      </c>
      <c r="Q2025" s="7"/>
      <c r="R2025" s="7" t="s">
        <v>109</v>
      </c>
      <c r="S2025" s="7" t="s">
        <v>110</v>
      </c>
      <c r="T2025" s="7" t="n">
        <v>0.356</v>
      </c>
      <c r="U2025" s="7" t="n">
        <v>0</v>
      </c>
      <c r="V2025" s="7"/>
      <c r="W2025" s="7"/>
      <c r="X2025" s="7"/>
      <c r="Y2025" s="7"/>
      <c r="Z2025" s="7"/>
      <c r="AA2025" s="7" t="s">
        <v>572</v>
      </c>
      <c r="AB2025" s="7" t="s">
        <v>573</v>
      </c>
      <c r="AC2025" s="7" t="n">
        <v>0</v>
      </c>
      <c r="AD2025" s="7" t="s">
        <v>388</v>
      </c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 t="s">
        <v>1096</v>
      </c>
      <c r="BE2025" s="7" t="s">
        <v>575</v>
      </c>
      <c r="BF2025" s="8"/>
      <c r="BG2025" s="8"/>
      <c r="BH2025" s="8"/>
      <c r="BI2025" s="8"/>
      <c r="BJ2025" s="8"/>
      <c r="BK2025" s="8"/>
      <c r="BL2025" s="8"/>
      <c r="BM2025" s="8"/>
      <c r="BN2025" s="8"/>
      <c r="BO2025" s="8"/>
      <c r="BP2025" s="8"/>
      <c r="BQ2025" s="8"/>
      <c r="BR2025" s="8"/>
      <c r="BS2025" s="8"/>
    </row>
    <row r="2026" customFormat="false" ht="15" hidden="false" customHeight="false" outlineLevel="0" collapsed="false">
      <c r="A2026" s="7" t="s">
        <v>12919</v>
      </c>
      <c r="B2026" s="7" t="s">
        <v>12920</v>
      </c>
      <c r="C2026" s="7" t="s">
        <v>12921</v>
      </c>
      <c r="D2026" s="7" t="s">
        <v>1092</v>
      </c>
      <c r="E2026" s="7" t="s">
        <v>82</v>
      </c>
      <c r="F2026" s="7" t="s">
        <v>82</v>
      </c>
      <c r="G2026" s="7"/>
      <c r="H2026" s="7" t="s">
        <v>1100</v>
      </c>
      <c r="I2026" s="7" t="s">
        <v>234</v>
      </c>
      <c r="J2026" s="7" t="s">
        <v>475</v>
      </c>
      <c r="K2026" s="7" t="s">
        <v>1147</v>
      </c>
      <c r="L2026" s="7" t="s">
        <v>106</v>
      </c>
      <c r="M2026" s="7"/>
      <c r="N2026" s="7" t="s">
        <v>1095</v>
      </c>
      <c r="O2026" s="7" t="s">
        <v>1095</v>
      </c>
      <c r="P2026" s="7" t="s">
        <v>135</v>
      </c>
      <c r="Q2026" s="7"/>
      <c r="R2026" s="7" t="s">
        <v>109</v>
      </c>
      <c r="S2026" s="7" t="s">
        <v>110</v>
      </c>
      <c r="T2026" s="7" t="n">
        <v>0.261</v>
      </c>
      <c r="U2026" s="7" t="n">
        <v>0</v>
      </c>
      <c r="V2026" s="7"/>
      <c r="W2026" s="7"/>
      <c r="X2026" s="7"/>
      <c r="Y2026" s="7"/>
      <c r="Z2026" s="7"/>
      <c r="AA2026" s="7" t="s">
        <v>572</v>
      </c>
      <c r="AB2026" s="7" t="s">
        <v>573</v>
      </c>
      <c r="AC2026" s="7" t="n">
        <v>0</v>
      </c>
      <c r="AD2026" s="7" t="s">
        <v>388</v>
      </c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 t="s">
        <v>1096</v>
      </c>
      <c r="BE2026" s="7" t="s">
        <v>575</v>
      </c>
      <c r="BF2026" s="8"/>
      <c r="BG2026" s="8"/>
      <c r="BH2026" s="8"/>
      <c r="BI2026" s="8"/>
      <c r="BJ2026" s="8"/>
      <c r="BK2026" s="8"/>
      <c r="BL2026" s="8"/>
      <c r="BM2026" s="8"/>
      <c r="BN2026" s="8"/>
      <c r="BO2026" s="8"/>
      <c r="BP2026" s="8"/>
      <c r="BQ2026" s="8"/>
      <c r="BR2026" s="8"/>
      <c r="BS2026" s="8"/>
    </row>
    <row r="2027" customFormat="false" ht="15" hidden="false" customHeight="false" outlineLevel="0" collapsed="false">
      <c r="A2027" s="7" t="s">
        <v>12922</v>
      </c>
      <c r="B2027" s="7" t="s">
        <v>12923</v>
      </c>
      <c r="C2027" s="7" t="s">
        <v>12924</v>
      </c>
      <c r="D2027" s="7" t="s">
        <v>1092</v>
      </c>
      <c r="E2027" s="7" t="s">
        <v>82</v>
      </c>
      <c r="F2027" s="7" t="s">
        <v>82</v>
      </c>
      <c r="G2027" s="7"/>
      <c r="H2027" s="7" t="s">
        <v>1100</v>
      </c>
      <c r="I2027" s="7" t="s">
        <v>234</v>
      </c>
      <c r="J2027" s="7" t="s">
        <v>475</v>
      </c>
      <c r="K2027" s="7" t="s">
        <v>1094</v>
      </c>
      <c r="L2027" s="7" t="s">
        <v>106</v>
      </c>
      <c r="M2027" s="7"/>
      <c r="N2027" s="7" t="s">
        <v>1095</v>
      </c>
      <c r="O2027" s="7" t="s">
        <v>1095</v>
      </c>
      <c r="P2027" s="7" t="s">
        <v>135</v>
      </c>
      <c r="Q2027" s="7"/>
      <c r="R2027" s="7" t="s">
        <v>109</v>
      </c>
      <c r="S2027" s="7" t="s">
        <v>110</v>
      </c>
      <c r="T2027" s="7" t="n">
        <v>0.312</v>
      </c>
      <c r="U2027" s="7" t="n">
        <v>0</v>
      </c>
      <c r="V2027" s="7"/>
      <c r="W2027" s="7"/>
      <c r="X2027" s="7"/>
      <c r="Y2027" s="7"/>
      <c r="Z2027" s="7"/>
      <c r="AA2027" s="7" t="s">
        <v>572</v>
      </c>
      <c r="AB2027" s="7" t="s">
        <v>573</v>
      </c>
      <c r="AC2027" s="7" t="n">
        <v>0</v>
      </c>
      <c r="AD2027" s="7" t="s">
        <v>388</v>
      </c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 t="s">
        <v>1096</v>
      </c>
      <c r="BE2027" s="7" t="s">
        <v>575</v>
      </c>
      <c r="BF2027" s="8"/>
      <c r="BG2027" s="8"/>
      <c r="BH2027" s="8"/>
      <c r="BI2027" s="8"/>
      <c r="BJ2027" s="8"/>
      <c r="BK2027" s="8"/>
      <c r="BL2027" s="8"/>
      <c r="BM2027" s="8"/>
      <c r="BN2027" s="8"/>
      <c r="BO2027" s="8"/>
      <c r="BP2027" s="8"/>
      <c r="BQ2027" s="8"/>
      <c r="BR2027" s="8"/>
      <c r="BS2027" s="8"/>
    </row>
    <row r="2028" customFormat="false" ht="15" hidden="false" customHeight="false" outlineLevel="0" collapsed="false">
      <c r="A2028" s="7" t="s">
        <v>12925</v>
      </c>
      <c r="B2028" s="7" t="s">
        <v>12926</v>
      </c>
      <c r="C2028" s="7" t="s">
        <v>12927</v>
      </c>
      <c r="D2028" s="7" t="s">
        <v>1092</v>
      </c>
      <c r="E2028" s="7" t="s">
        <v>82</v>
      </c>
      <c r="F2028" s="7" t="s">
        <v>82</v>
      </c>
      <c r="G2028" s="7"/>
      <c r="H2028" s="7" t="s">
        <v>1100</v>
      </c>
      <c r="I2028" s="7" t="s">
        <v>234</v>
      </c>
      <c r="J2028" s="7" t="s">
        <v>475</v>
      </c>
      <c r="K2028" s="7" t="s">
        <v>569</v>
      </c>
      <c r="L2028" s="7" t="s">
        <v>106</v>
      </c>
      <c r="M2028" s="7"/>
      <c r="N2028" s="7" t="s">
        <v>1095</v>
      </c>
      <c r="O2028" s="7" t="s">
        <v>1095</v>
      </c>
      <c r="P2028" s="7" t="s">
        <v>135</v>
      </c>
      <c r="Q2028" s="7"/>
      <c r="R2028" s="7" t="s">
        <v>109</v>
      </c>
      <c r="S2028" s="7" t="s">
        <v>110</v>
      </c>
      <c r="T2028" s="7" t="n">
        <v>0.353</v>
      </c>
      <c r="U2028" s="7" t="n">
        <v>0</v>
      </c>
      <c r="V2028" s="7"/>
      <c r="W2028" s="7"/>
      <c r="X2028" s="7"/>
      <c r="Y2028" s="7"/>
      <c r="Z2028" s="7"/>
      <c r="AA2028" s="7" t="s">
        <v>572</v>
      </c>
      <c r="AB2028" s="7" t="s">
        <v>573</v>
      </c>
      <c r="AC2028" s="7" t="n">
        <v>0</v>
      </c>
      <c r="AD2028" s="7" t="s">
        <v>388</v>
      </c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7"/>
      <c r="BC2028" s="7"/>
      <c r="BD2028" s="7" t="s">
        <v>1096</v>
      </c>
      <c r="BE2028" s="7" t="s">
        <v>575</v>
      </c>
      <c r="BF2028" s="8"/>
      <c r="BG2028" s="8"/>
      <c r="BH2028" s="8"/>
      <c r="BI2028" s="8"/>
      <c r="BJ2028" s="8"/>
      <c r="BK2028" s="8"/>
      <c r="BL2028" s="8"/>
      <c r="BM2028" s="8"/>
      <c r="BN2028" s="8"/>
      <c r="BO2028" s="8"/>
      <c r="BP2028" s="8"/>
      <c r="BQ2028" s="8"/>
      <c r="BR2028" s="8"/>
      <c r="BS2028" s="8"/>
    </row>
    <row r="2029" customFormat="false" ht="15" hidden="false" customHeight="false" outlineLevel="0" collapsed="false">
      <c r="A2029" s="7" t="s">
        <v>12928</v>
      </c>
      <c r="B2029" s="7" t="s">
        <v>12929</v>
      </c>
      <c r="C2029" s="7" t="s">
        <v>12930</v>
      </c>
      <c r="D2029" s="7" t="s">
        <v>1092</v>
      </c>
      <c r="E2029" s="7" t="s">
        <v>82</v>
      </c>
      <c r="F2029" s="7" t="s">
        <v>82</v>
      </c>
      <c r="G2029" s="7"/>
      <c r="H2029" s="7" t="s">
        <v>1100</v>
      </c>
      <c r="I2029" s="7" t="s">
        <v>234</v>
      </c>
      <c r="J2029" s="7" t="s">
        <v>475</v>
      </c>
      <c r="K2029" s="7" t="s">
        <v>1094</v>
      </c>
      <c r="L2029" s="7" t="s">
        <v>106</v>
      </c>
      <c r="M2029" s="7"/>
      <c r="N2029" s="7" t="s">
        <v>1095</v>
      </c>
      <c r="O2029" s="7" t="s">
        <v>1095</v>
      </c>
      <c r="P2029" s="7" t="s">
        <v>135</v>
      </c>
      <c r="Q2029" s="7"/>
      <c r="R2029" s="7" t="s">
        <v>109</v>
      </c>
      <c r="S2029" s="7" t="s">
        <v>110</v>
      </c>
      <c r="T2029" s="7" t="n">
        <v>0.401</v>
      </c>
      <c r="U2029" s="7" t="n">
        <v>0</v>
      </c>
      <c r="V2029" s="7"/>
      <c r="W2029" s="7"/>
      <c r="X2029" s="7"/>
      <c r="Y2029" s="7"/>
      <c r="Z2029" s="7"/>
      <c r="AA2029" s="7" t="s">
        <v>572</v>
      </c>
      <c r="AB2029" s="7" t="s">
        <v>573</v>
      </c>
      <c r="AC2029" s="7" t="n">
        <v>0</v>
      </c>
      <c r="AD2029" s="7" t="s">
        <v>388</v>
      </c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 t="s">
        <v>1096</v>
      </c>
      <c r="BE2029" s="7" t="s">
        <v>575</v>
      </c>
      <c r="BF2029" s="8"/>
      <c r="BG2029" s="8"/>
      <c r="BH2029" s="8"/>
      <c r="BI2029" s="8"/>
      <c r="BJ2029" s="8"/>
      <c r="BK2029" s="8"/>
      <c r="BL2029" s="8"/>
      <c r="BM2029" s="8"/>
      <c r="BN2029" s="8"/>
      <c r="BO2029" s="8"/>
      <c r="BP2029" s="8"/>
      <c r="BQ2029" s="8"/>
      <c r="BR2029" s="8"/>
      <c r="BS2029" s="8"/>
    </row>
    <row r="2030" customFormat="false" ht="15" hidden="false" customHeight="false" outlineLevel="0" collapsed="false">
      <c r="A2030" s="7" t="s">
        <v>12931</v>
      </c>
      <c r="B2030" s="7" t="s">
        <v>12932</v>
      </c>
      <c r="C2030" s="7" t="s">
        <v>12933</v>
      </c>
      <c r="D2030" s="7" t="s">
        <v>12934</v>
      </c>
      <c r="E2030" s="7" t="s">
        <v>82</v>
      </c>
      <c r="F2030" s="7" t="s">
        <v>82</v>
      </c>
      <c r="G2030" s="7" t="s">
        <v>83</v>
      </c>
      <c r="H2030" s="7" t="s">
        <v>1100</v>
      </c>
      <c r="I2030" s="7" t="s">
        <v>234</v>
      </c>
      <c r="J2030" s="7" t="s">
        <v>475</v>
      </c>
      <c r="K2030" s="7" t="s">
        <v>569</v>
      </c>
      <c r="L2030" s="7" t="s">
        <v>235</v>
      </c>
      <c r="M2030" s="7"/>
      <c r="N2030" s="7" t="s">
        <v>1634</v>
      </c>
      <c r="O2030" s="7" t="s">
        <v>1634</v>
      </c>
      <c r="P2030" s="7" t="s">
        <v>135</v>
      </c>
      <c r="Q2030" s="7"/>
      <c r="R2030" s="7" t="s">
        <v>109</v>
      </c>
      <c r="S2030" s="7" t="s">
        <v>110</v>
      </c>
      <c r="T2030" s="7" t="n">
        <v>0.37</v>
      </c>
      <c r="U2030" s="7" t="n">
        <v>0</v>
      </c>
      <c r="V2030" s="7"/>
      <c r="W2030" s="7"/>
      <c r="X2030" s="7"/>
      <c r="Y2030" s="7"/>
      <c r="Z2030" s="7"/>
      <c r="AA2030" s="7" t="s">
        <v>572</v>
      </c>
      <c r="AB2030" s="7" t="s">
        <v>573</v>
      </c>
      <c r="AC2030" s="7" t="n">
        <v>0</v>
      </c>
      <c r="AD2030" s="7" t="s">
        <v>388</v>
      </c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 t="s">
        <v>1142</v>
      </c>
      <c r="BE2030" s="7" t="s">
        <v>575</v>
      </c>
      <c r="BF2030" s="8"/>
      <c r="BG2030" s="8"/>
      <c r="BH2030" s="8"/>
      <c r="BI2030" s="8"/>
      <c r="BJ2030" s="8"/>
      <c r="BK2030" s="8"/>
      <c r="BL2030" s="8"/>
      <c r="BM2030" s="8"/>
      <c r="BN2030" s="8"/>
      <c r="BO2030" s="8"/>
      <c r="BP2030" s="8"/>
      <c r="BQ2030" s="8"/>
      <c r="BR2030" s="8"/>
      <c r="BS2030" s="8"/>
    </row>
    <row r="2031" customFormat="false" ht="15" hidden="false" customHeight="false" outlineLevel="0" collapsed="false">
      <c r="A2031" s="7" t="s">
        <v>12935</v>
      </c>
      <c r="B2031" s="7" t="s">
        <v>12936</v>
      </c>
      <c r="C2031" s="7" t="s">
        <v>12937</v>
      </c>
      <c r="D2031" s="7" t="s">
        <v>12934</v>
      </c>
      <c r="E2031" s="7" t="s">
        <v>82</v>
      </c>
      <c r="F2031" s="7" t="s">
        <v>82</v>
      </c>
      <c r="G2031" s="7" t="s">
        <v>83</v>
      </c>
      <c r="H2031" s="7" t="s">
        <v>1100</v>
      </c>
      <c r="I2031" s="7" t="s">
        <v>103</v>
      </c>
      <c r="J2031" s="7" t="s">
        <v>475</v>
      </c>
      <c r="K2031" s="7" t="s">
        <v>569</v>
      </c>
      <c r="L2031" s="7" t="s">
        <v>106</v>
      </c>
      <c r="M2031" s="7"/>
      <c r="N2031" s="7" t="s">
        <v>1634</v>
      </c>
      <c r="O2031" s="7" t="s">
        <v>1634</v>
      </c>
      <c r="P2031" s="7" t="s">
        <v>135</v>
      </c>
      <c r="Q2031" s="7"/>
      <c r="R2031" s="7" t="s">
        <v>109</v>
      </c>
      <c r="S2031" s="7" t="s">
        <v>110</v>
      </c>
      <c r="T2031" s="7" t="n">
        <v>0.63</v>
      </c>
      <c r="U2031" s="7" t="n">
        <v>0</v>
      </c>
      <c r="V2031" s="7"/>
      <c r="W2031" s="7"/>
      <c r="X2031" s="7"/>
      <c r="Y2031" s="7"/>
      <c r="Z2031" s="7"/>
      <c r="AA2031" s="7" t="s">
        <v>572</v>
      </c>
      <c r="AB2031" s="7" t="s">
        <v>573</v>
      </c>
      <c r="AC2031" s="7" t="n">
        <v>0</v>
      </c>
      <c r="AD2031" s="7" t="s">
        <v>388</v>
      </c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7" t="s">
        <v>1142</v>
      </c>
      <c r="BE2031" s="7" t="s">
        <v>575</v>
      </c>
      <c r="BF2031" s="8"/>
      <c r="BG2031" s="8"/>
      <c r="BH2031" s="8"/>
      <c r="BI2031" s="8"/>
      <c r="BJ2031" s="8"/>
      <c r="BK2031" s="8"/>
      <c r="BL2031" s="8"/>
      <c r="BM2031" s="8"/>
      <c r="BN2031" s="8"/>
      <c r="BO2031" s="8"/>
      <c r="BP2031" s="8"/>
      <c r="BQ2031" s="8"/>
      <c r="BR2031" s="8"/>
      <c r="BS2031" s="8"/>
    </row>
    <row r="2032" customFormat="false" ht="15" hidden="false" customHeight="false" outlineLevel="0" collapsed="false">
      <c r="A2032" s="7" t="s">
        <v>12938</v>
      </c>
      <c r="B2032" s="7" t="s">
        <v>12939</v>
      </c>
      <c r="C2032" s="7" t="s">
        <v>12940</v>
      </c>
      <c r="D2032" s="7" t="s">
        <v>12934</v>
      </c>
      <c r="E2032" s="7" t="s">
        <v>82</v>
      </c>
      <c r="F2032" s="7" t="s">
        <v>82</v>
      </c>
      <c r="G2032" s="7" t="s">
        <v>83</v>
      </c>
      <c r="H2032" s="7" t="s">
        <v>1100</v>
      </c>
      <c r="I2032" s="7" t="s">
        <v>234</v>
      </c>
      <c r="J2032" s="7" t="s">
        <v>475</v>
      </c>
      <c r="K2032" s="7" t="s">
        <v>569</v>
      </c>
      <c r="L2032" s="7" t="s">
        <v>235</v>
      </c>
      <c r="M2032" s="7"/>
      <c r="N2032" s="7" t="s">
        <v>1634</v>
      </c>
      <c r="O2032" s="7" t="s">
        <v>1634</v>
      </c>
      <c r="P2032" s="7" t="s">
        <v>135</v>
      </c>
      <c r="Q2032" s="7"/>
      <c r="R2032" s="7" t="s">
        <v>109</v>
      </c>
      <c r="S2032" s="7" t="s">
        <v>110</v>
      </c>
      <c r="T2032" s="7" t="n">
        <v>0.368</v>
      </c>
      <c r="U2032" s="7" t="n">
        <v>0</v>
      </c>
      <c r="V2032" s="7"/>
      <c r="W2032" s="7"/>
      <c r="X2032" s="7"/>
      <c r="Y2032" s="7"/>
      <c r="Z2032" s="7"/>
      <c r="AA2032" s="7" t="s">
        <v>572</v>
      </c>
      <c r="AB2032" s="7" t="s">
        <v>573</v>
      </c>
      <c r="AC2032" s="7" t="n">
        <v>0</v>
      </c>
      <c r="AD2032" s="7" t="s">
        <v>388</v>
      </c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7"/>
      <c r="BC2032" s="7"/>
      <c r="BD2032" s="7" t="s">
        <v>1142</v>
      </c>
      <c r="BE2032" s="7" t="s">
        <v>575</v>
      </c>
      <c r="BF2032" s="8"/>
      <c r="BG2032" s="8"/>
      <c r="BH2032" s="8"/>
      <c r="BI2032" s="8"/>
      <c r="BJ2032" s="8"/>
      <c r="BK2032" s="8"/>
      <c r="BL2032" s="8"/>
      <c r="BM2032" s="8"/>
      <c r="BN2032" s="8"/>
      <c r="BO2032" s="8"/>
      <c r="BP2032" s="8"/>
      <c r="BQ2032" s="8"/>
      <c r="BR2032" s="8"/>
      <c r="BS2032" s="8"/>
    </row>
    <row r="2033" customFormat="false" ht="15" hidden="false" customHeight="false" outlineLevel="0" collapsed="false">
      <c r="A2033" s="7" t="s">
        <v>12941</v>
      </c>
      <c r="B2033" s="7" t="s">
        <v>12942</v>
      </c>
      <c r="C2033" s="7" t="s">
        <v>206</v>
      </c>
      <c r="D2033" s="7" t="s">
        <v>2519</v>
      </c>
      <c r="E2033" s="7" t="s">
        <v>82</v>
      </c>
      <c r="F2033" s="7" t="s">
        <v>82</v>
      </c>
      <c r="G2033" s="7" t="s">
        <v>83</v>
      </c>
      <c r="H2033" s="7" t="s">
        <v>1100</v>
      </c>
      <c r="I2033" s="7" t="s">
        <v>208</v>
      </c>
      <c r="J2033" s="7" t="s">
        <v>475</v>
      </c>
      <c r="K2033" s="7" t="s">
        <v>569</v>
      </c>
      <c r="L2033" s="7" t="s">
        <v>106</v>
      </c>
      <c r="M2033" s="7"/>
      <c r="N2033" s="7" t="s">
        <v>12943</v>
      </c>
      <c r="O2033" s="7" t="s">
        <v>12943</v>
      </c>
      <c r="P2033" s="7" t="s">
        <v>135</v>
      </c>
      <c r="Q2033" s="7"/>
      <c r="R2033" s="7" t="s">
        <v>109</v>
      </c>
      <c r="S2033" s="7" t="s">
        <v>110</v>
      </c>
      <c r="T2033" s="7" t="n">
        <v>0.559</v>
      </c>
      <c r="U2033" s="7" t="n">
        <v>0</v>
      </c>
      <c r="V2033" s="7"/>
      <c r="W2033" s="7"/>
      <c r="X2033" s="7"/>
      <c r="Y2033" s="7"/>
      <c r="Z2033" s="7"/>
      <c r="AA2033" s="7" t="s">
        <v>572</v>
      </c>
      <c r="AB2033" s="7" t="s">
        <v>573</v>
      </c>
      <c r="AC2033" s="7" t="n">
        <v>0</v>
      </c>
      <c r="AD2033" s="7" t="s">
        <v>388</v>
      </c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7" t="s">
        <v>1142</v>
      </c>
      <c r="BE2033" s="7" t="s">
        <v>575</v>
      </c>
      <c r="BF2033" s="8"/>
      <c r="BG2033" s="8"/>
      <c r="BH2033" s="8"/>
      <c r="BI2033" s="8"/>
      <c r="BJ2033" s="8"/>
      <c r="BK2033" s="8"/>
      <c r="BL2033" s="8"/>
      <c r="BM2033" s="8"/>
      <c r="BN2033" s="8"/>
      <c r="BO2033" s="8"/>
      <c r="BP2033" s="8"/>
      <c r="BQ2033" s="8"/>
      <c r="BR2033" s="8"/>
      <c r="BS2033" s="8"/>
    </row>
    <row r="2034" customFormat="false" ht="15" hidden="false" customHeight="false" outlineLevel="0" collapsed="false">
      <c r="A2034" s="7" t="s">
        <v>12944</v>
      </c>
      <c r="B2034" s="7" t="s">
        <v>12945</v>
      </c>
      <c r="C2034" s="7" t="s">
        <v>12946</v>
      </c>
      <c r="D2034" s="7" t="s">
        <v>12947</v>
      </c>
      <c r="E2034" s="7" t="s">
        <v>82</v>
      </c>
      <c r="F2034" s="7" t="s">
        <v>82</v>
      </c>
      <c r="G2034" s="7"/>
      <c r="H2034" s="7" t="s">
        <v>1100</v>
      </c>
      <c r="I2034" s="7" t="s">
        <v>132</v>
      </c>
      <c r="J2034" s="7" t="s">
        <v>475</v>
      </c>
      <c r="K2034" s="7" t="s">
        <v>1147</v>
      </c>
      <c r="L2034" s="7" t="s">
        <v>106</v>
      </c>
      <c r="M2034" s="7"/>
      <c r="N2034" s="7" t="s">
        <v>12948</v>
      </c>
      <c r="O2034" s="7" t="s">
        <v>12948</v>
      </c>
      <c r="P2034" s="7" t="s">
        <v>135</v>
      </c>
      <c r="Q2034" s="7"/>
      <c r="R2034" s="7" t="s">
        <v>109</v>
      </c>
      <c r="S2034" s="7" t="s">
        <v>110</v>
      </c>
      <c r="T2034" s="7" t="n">
        <v>0.498</v>
      </c>
      <c r="U2034" s="7" t="n">
        <v>0</v>
      </c>
      <c r="V2034" s="7"/>
      <c r="W2034" s="7"/>
      <c r="X2034" s="7"/>
      <c r="Y2034" s="7"/>
      <c r="Z2034" s="7"/>
      <c r="AA2034" s="7" t="s">
        <v>572</v>
      </c>
      <c r="AB2034" s="7" t="s">
        <v>573</v>
      </c>
      <c r="AC2034" s="7" t="n">
        <v>0</v>
      </c>
      <c r="AD2034" s="7" t="s">
        <v>388</v>
      </c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7"/>
      <c r="BC2034" s="7"/>
      <c r="BD2034" s="7" t="s">
        <v>1142</v>
      </c>
      <c r="BE2034" s="7" t="s">
        <v>1088</v>
      </c>
      <c r="BF2034" s="8"/>
      <c r="BG2034" s="8"/>
      <c r="BH2034" s="8"/>
      <c r="BI2034" s="8"/>
      <c r="BJ2034" s="8"/>
      <c r="BK2034" s="8"/>
      <c r="BL2034" s="8"/>
      <c r="BM2034" s="8"/>
      <c r="BN2034" s="8"/>
      <c r="BO2034" s="8"/>
      <c r="BP2034" s="8"/>
      <c r="BQ2034" s="8"/>
      <c r="BR2034" s="8"/>
      <c r="BS2034" s="8"/>
    </row>
    <row r="2035" customFormat="false" ht="15" hidden="false" customHeight="false" outlineLevel="0" collapsed="false">
      <c r="A2035" s="7" t="s">
        <v>12949</v>
      </c>
      <c r="B2035" s="7" t="s">
        <v>12950</v>
      </c>
      <c r="C2035" s="7" t="s">
        <v>12951</v>
      </c>
      <c r="D2035" s="7" t="s">
        <v>12934</v>
      </c>
      <c r="E2035" s="7" t="s">
        <v>82</v>
      </c>
      <c r="F2035" s="7" t="s">
        <v>82</v>
      </c>
      <c r="G2035" s="7" t="s">
        <v>83</v>
      </c>
      <c r="H2035" s="7" t="s">
        <v>1100</v>
      </c>
      <c r="I2035" s="7" t="s">
        <v>103</v>
      </c>
      <c r="J2035" s="7" t="s">
        <v>475</v>
      </c>
      <c r="K2035" s="7" t="s">
        <v>569</v>
      </c>
      <c r="L2035" s="7" t="s">
        <v>106</v>
      </c>
      <c r="M2035" s="7"/>
      <c r="N2035" s="7" t="s">
        <v>1634</v>
      </c>
      <c r="O2035" s="7" t="s">
        <v>1634</v>
      </c>
      <c r="P2035" s="7" t="s">
        <v>135</v>
      </c>
      <c r="Q2035" s="7"/>
      <c r="R2035" s="7" t="s">
        <v>109</v>
      </c>
      <c r="S2035" s="7" t="s">
        <v>110</v>
      </c>
      <c r="T2035" s="7" t="n">
        <v>0.398</v>
      </c>
      <c r="U2035" s="7" t="n">
        <v>0</v>
      </c>
      <c r="V2035" s="7"/>
      <c r="W2035" s="7"/>
      <c r="X2035" s="7"/>
      <c r="Y2035" s="7"/>
      <c r="Z2035" s="7"/>
      <c r="AA2035" s="7" t="s">
        <v>572</v>
      </c>
      <c r="AB2035" s="7" t="s">
        <v>573</v>
      </c>
      <c r="AC2035" s="7" t="n">
        <v>0</v>
      </c>
      <c r="AD2035" s="7" t="s">
        <v>388</v>
      </c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7" t="s">
        <v>1142</v>
      </c>
      <c r="BE2035" s="7" t="s">
        <v>575</v>
      </c>
      <c r="BF2035" s="8"/>
      <c r="BG2035" s="8"/>
      <c r="BH2035" s="8"/>
      <c r="BI2035" s="8"/>
      <c r="BJ2035" s="8"/>
      <c r="BK2035" s="8"/>
      <c r="BL2035" s="8"/>
      <c r="BM2035" s="8"/>
      <c r="BN2035" s="8"/>
      <c r="BO2035" s="8"/>
      <c r="BP2035" s="8"/>
      <c r="BQ2035" s="8"/>
      <c r="BR2035" s="8"/>
      <c r="BS2035" s="8"/>
    </row>
    <row r="2036" customFormat="false" ht="15" hidden="false" customHeight="false" outlineLevel="0" collapsed="false">
      <c r="A2036" s="7" t="s">
        <v>12952</v>
      </c>
      <c r="B2036" s="7" t="s">
        <v>12953</v>
      </c>
      <c r="C2036" s="7" t="s">
        <v>12954</v>
      </c>
      <c r="D2036" s="7" t="s">
        <v>12955</v>
      </c>
      <c r="E2036" s="7"/>
      <c r="F2036" s="7" t="s">
        <v>101</v>
      </c>
      <c r="G2036" s="7"/>
      <c r="H2036" s="7" t="s">
        <v>102</v>
      </c>
      <c r="I2036" s="7" t="s">
        <v>132</v>
      </c>
      <c r="J2036" s="7" t="s">
        <v>475</v>
      </c>
      <c r="K2036" s="7" t="s">
        <v>569</v>
      </c>
      <c r="L2036" s="7" t="s">
        <v>106</v>
      </c>
      <c r="M2036" s="7"/>
      <c r="N2036" s="7" t="s">
        <v>12956</v>
      </c>
      <c r="O2036" s="7"/>
      <c r="P2036" s="7" t="s">
        <v>135</v>
      </c>
      <c r="Q2036" s="7"/>
      <c r="R2036" s="7" t="s">
        <v>135</v>
      </c>
      <c r="S2036" s="7" t="s">
        <v>136</v>
      </c>
      <c r="T2036" s="7" t="n">
        <v>0.583</v>
      </c>
      <c r="U2036" s="7" t="n">
        <v>1</v>
      </c>
      <c r="V2036" s="7" t="s">
        <v>90</v>
      </c>
      <c r="W2036" s="7" t="s">
        <v>6302</v>
      </c>
      <c r="X2036" s="7" t="s">
        <v>282</v>
      </c>
      <c r="Y2036" s="7" t="s">
        <v>12956</v>
      </c>
      <c r="Z2036" s="7"/>
      <c r="AA2036" s="7" t="s">
        <v>572</v>
      </c>
      <c r="AB2036" s="7" t="s">
        <v>573</v>
      </c>
      <c r="AC2036" s="7" t="n">
        <v>5</v>
      </c>
      <c r="AD2036" s="7" t="s">
        <v>1897</v>
      </c>
      <c r="AE2036" s="7" t="s">
        <v>189</v>
      </c>
      <c r="AF2036" s="7" t="s">
        <v>12957</v>
      </c>
      <c r="AG2036" s="7" t="s">
        <v>189</v>
      </c>
      <c r="AH2036" s="7" t="s">
        <v>303</v>
      </c>
      <c r="AI2036" s="7"/>
      <c r="AJ2036" s="7"/>
      <c r="AK2036" s="7"/>
      <c r="AL2036" s="7"/>
      <c r="AM2036" s="7" t="s">
        <v>189</v>
      </c>
      <c r="AN2036" s="7" t="s">
        <v>12958</v>
      </c>
      <c r="AO2036" s="7" t="s">
        <v>189</v>
      </c>
      <c r="AP2036" s="7" t="s">
        <v>12959</v>
      </c>
      <c r="AQ2036" s="7"/>
      <c r="AR2036" s="7"/>
      <c r="AS2036" s="7"/>
      <c r="AT2036" s="7"/>
      <c r="AU2036" s="7"/>
      <c r="AV2036" s="7"/>
      <c r="AW2036" s="7" t="s">
        <v>189</v>
      </c>
      <c r="AX2036" s="7" t="s">
        <v>12956</v>
      </c>
      <c r="AY2036" s="7"/>
      <c r="AZ2036" s="7"/>
      <c r="BA2036" s="7"/>
      <c r="BB2036" s="7"/>
      <c r="BC2036" s="7"/>
      <c r="BD2036" s="7" t="s">
        <v>1080</v>
      </c>
      <c r="BE2036" s="7" t="s">
        <v>1088</v>
      </c>
      <c r="BF2036" s="8"/>
      <c r="BG2036" s="8"/>
      <c r="BH2036" s="8"/>
      <c r="BI2036" s="8"/>
      <c r="BJ2036" s="8"/>
      <c r="BK2036" s="8"/>
      <c r="BL2036" s="8"/>
      <c r="BM2036" s="8"/>
      <c r="BN2036" s="8"/>
      <c r="BO2036" s="8"/>
      <c r="BP2036" s="8"/>
      <c r="BQ2036" s="8"/>
      <c r="BR2036" s="8"/>
      <c r="BS2036" s="8"/>
    </row>
    <row r="2037" customFormat="false" ht="15" hidden="false" customHeight="false" outlineLevel="0" collapsed="false">
      <c r="A2037" s="7" t="s">
        <v>12960</v>
      </c>
      <c r="B2037" s="7" t="s">
        <v>12961</v>
      </c>
      <c r="C2037" s="7" t="s">
        <v>12962</v>
      </c>
      <c r="D2037" s="7" t="s">
        <v>12876</v>
      </c>
      <c r="E2037" s="7" t="s">
        <v>82</v>
      </c>
      <c r="F2037" s="7" t="s">
        <v>82</v>
      </c>
      <c r="G2037" s="7"/>
      <c r="H2037" s="7" t="s">
        <v>207</v>
      </c>
      <c r="I2037" s="7" t="s">
        <v>208</v>
      </c>
      <c r="J2037" s="7" t="s">
        <v>475</v>
      </c>
      <c r="K2037" s="7" t="s">
        <v>1147</v>
      </c>
      <c r="L2037" s="7" t="s">
        <v>106</v>
      </c>
      <c r="M2037" s="7"/>
      <c r="N2037" s="7" t="s">
        <v>12877</v>
      </c>
      <c r="O2037" s="7" t="s">
        <v>12877</v>
      </c>
      <c r="P2037" s="7" t="s">
        <v>135</v>
      </c>
      <c r="Q2037" s="7"/>
      <c r="R2037" s="7" t="s">
        <v>109</v>
      </c>
      <c r="S2037" s="7" t="s">
        <v>110</v>
      </c>
      <c r="T2037" s="7" t="n">
        <v>0.496</v>
      </c>
      <c r="U2037" s="7" t="n">
        <v>0</v>
      </c>
      <c r="V2037" s="7"/>
      <c r="W2037" s="7"/>
      <c r="X2037" s="7"/>
      <c r="Y2037" s="7"/>
      <c r="Z2037" s="7"/>
      <c r="AA2037" s="7" t="s">
        <v>572</v>
      </c>
      <c r="AB2037" s="7" t="s">
        <v>573</v>
      </c>
      <c r="AC2037" s="7" t="n">
        <v>0</v>
      </c>
      <c r="AD2037" s="7" t="s">
        <v>388</v>
      </c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7" t="s">
        <v>1142</v>
      </c>
      <c r="BE2037" s="7" t="s">
        <v>575</v>
      </c>
      <c r="BF2037" s="8"/>
      <c r="BG2037" s="8"/>
      <c r="BH2037" s="8"/>
      <c r="BI2037" s="8"/>
      <c r="BJ2037" s="8"/>
      <c r="BK2037" s="8"/>
      <c r="BL2037" s="8"/>
      <c r="BM2037" s="8"/>
      <c r="BN2037" s="8"/>
      <c r="BO2037" s="8"/>
      <c r="BP2037" s="8"/>
      <c r="BQ2037" s="8"/>
      <c r="BR2037" s="8"/>
      <c r="BS2037" s="8"/>
    </row>
    <row r="2038" customFormat="false" ht="15" hidden="false" customHeight="false" outlineLevel="0" collapsed="false">
      <c r="A2038" s="7" t="s">
        <v>12963</v>
      </c>
      <c r="B2038" s="7" t="s">
        <v>12964</v>
      </c>
      <c r="C2038" s="7" t="s">
        <v>12965</v>
      </c>
      <c r="D2038" s="7" t="s">
        <v>1133</v>
      </c>
      <c r="E2038" s="7" t="s">
        <v>82</v>
      </c>
      <c r="F2038" s="7" t="s">
        <v>82</v>
      </c>
      <c r="G2038" s="7"/>
      <c r="H2038" s="7" t="s">
        <v>207</v>
      </c>
      <c r="I2038" s="7" t="s">
        <v>158</v>
      </c>
      <c r="J2038" s="7" t="s">
        <v>1172</v>
      </c>
      <c r="K2038" s="7" t="s">
        <v>569</v>
      </c>
      <c r="L2038" s="7" t="s">
        <v>106</v>
      </c>
      <c r="M2038" s="7"/>
      <c r="N2038" s="7" t="s">
        <v>682</v>
      </c>
      <c r="O2038" s="7" t="s">
        <v>682</v>
      </c>
      <c r="P2038" s="7" t="s">
        <v>109</v>
      </c>
      <c r="Q2038" s="7"/>
      <c r="R2038" s="7" t="s">
        <v>109</v>
      </c>
      <c r="S2038" s="7" t="s">
        <v>110</v>
      </c>
      <c r="T2038" s="7" t="n">
        <v>0.44</v>
      </c>
      <c r="U2038" s="7" t="n">
        <v>1</v>
      </c>
      <c r="V2038" s="7" t="s">
        <v>1156</v>
      </c>
      <c r="W2038" s="7" t="s">
        <v>1173</v>
      </c>
      <c r="X2038" s="7" t="s">
        <v>1174</v>
      </c>
      <c r="Y2038" s="7" t="s">
        <v>1175</v>
      </c>
      <c r="Z2038" s="7"/>
      <c r="AA2038" s="7" t="s">
        <v>572</v>
      </c>
      <c r="AB2038" s="7" t="s">
        <v>573</v>
      </c>
      <c r="AC2038" s="7" t="n">
        <v>0</v>
      </c>
      <c r="AD2038" s="7" t="s">
        <v>388</v>
      </c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7"/>
      <c r="BC2038" s="7"/>
      <c r="BD2038" s="7" t="s">
        <v>1176</v>
      </c>
      <c r="BE2038" s="7" t="s">
        <v>575</v>
      </c>
      <c r="BF2038" s="8"/>
      <c r="BG2038" s="8"/>
      <c r="BH2038" s="8"/>
      <c r="BI2038" s="8"/>
      <c r="BJ2038" s="8"/>
      <c r="BK2038" s="8"/>
      <c r="BL2038" s="8"/>
      <c r="BM2038" s="8"/>
      <c r="BN2038" s="8"/>
      <c r="BO2038" s="8"/>
      <c r="BP2038" s="8"/>
      <c r="BQ2038" s="8"/>
      <c r="BR2038" s="8"/>
      <c r="BS2038" s="8"/>
    </row>
    <row r="2039" customFormat="false" ht="15" hidden="false" customHeight="false" outlineLevel="0" collapsed="false">
      <c r="A2039" s="7" t="s">
        <v>12966</v>
      </c>
      <c r="B2039" s="7" t="s">
        <v>12967</v>
      </c>
      <c r="C2039" s="7" t="s">
        <v>12968</v>
      </c>
      <c r="D2039" s="7" t="s">
        <v>1133</v>
      </c>
      <c r="E2039" s="7" t="s">
        <v>82</v>
      </c>
      <c r="F2039" s="7" t="s">
        <v>82</v>
      </c>
      <c r="G2039" s="7"/>
      <c r="H2039" s="7" t="s">
        <v>207</v>
      </c>
      <c r="I2039" s="7" t="s">
        <v>158</v>
      </c>
      <c r="J2039" s="7" t="s">
        <v>1172</v>
      </c>
      <c r="K2039" s="7" t="s">
        <v>569</v>
      </c>
      <c r="L2039" s="7" t="s">
        <v>106</v>
      </c>
      <c r="M2039" s="7"/>
      <c r="N2039" s="7" t="s">
        <v>682</v>
      </c>
      <c r="O2039" s="7" t="s">
        <v>682</v>
      </c>
      <c r="P2039" s="7" t="s">
        <v>109</v>
      </c>
      <c r="Q2039" s="7"/>
      <c r="R2039" s="7" t="s">
        <v>109</v>
      </c>
      <c r="S2039" s="7" t="s">
        <v>110</v>
      </c>
      <c r="T2039" s="7" t="n">
        <v>0.407</v>
      </c>
      <c r="U2039" s="7" t="n">
        <v>1</v>
      </c>
      <c r="V2039" s="7" t="s">
        <v>1156</v>
      </c>
      <c r="W2039" s="7" t="s">
        <v>1173</v>
      </c>
      <c r="X2039" s="7" t="s">
        <v>1174</v>
      </c>
      <c r="Y2039" s="7" t="s">
        <v>1175</v>
      </c>
      <c r="Z2039" s="7"/>
      <c r="AA2039" s="7" t="s">
        <v>572</v>
      </c>
      <c r="AB2039" s="7" t="s">
        <v>573</v>
      </c>
      <c r="AC2039" s="7" t="n">
        <v>0</v>
      </c>
      <c r="AD2039" s="7" t="s">
        <v>388</v>
      </c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 t="s">
        <v>1176</v>
      </c>
      <c r="BE2039" s="7" t="s">
        <v>575</v>
      </c>
      <c r="BF2039" s="8"/>
      <c r="BG2039" s="8"/>
      <c r="BH2039" s="8"/>
      <c r="BI2039" s="8"/>
      <c r="BJ2039" s="8"/>
      <c r="BK2039" s="8"/>
      <c r="BL2039" s="8"/>
      <c r="BM2039" s="8"/>
      <c r="BN2039" s="8"/>
      <c r="BO2039" s="8"/>
      <c r="BP2039" s="8"/>
      <c r="BQ2039" s="8"/>
      <c r="BR2039" s="8"/>
      <c r="BS2039" s="8"/>
    </row>
    <row r="2040" customFormat="false" ht="15" hidden="false" customHeight="false" outlineLevel="0" collapsed="false">
      <c r="A2040" s="7" t="s">
        <v>12969</v>
      </c>
      <c r="B2040" s="7" t="s">
        <v>12970</v>
      </c>
      <c r="C2040" s="7" t="s">
        <v>12971</v>
      </c>
      <c r="D2040" s="7" t="s">
        <v>1133</v>
      </c>
      <c r="E2040" s="7" t="s">
        <v>82</v>
      </c>
      <c r="F2040" s="7" t="s">
        <v>82</v>
      </c>
      <c r="G2040" s="7"/>
      <c r="H2040" s="7" t="s">
        <v>207</v>
      </c>
      <c r="I2040" s="7" t="s">
        <v>158</v>
      </c>
      <c r="J2040" s="7" t="s">
        <v>1172</v>
      </c>
      <c r="K2040" s="7" t="s">
        <v>569</v>
      </c>
      <c r="L2040" s="7" t="s">
        <v>106</v>
      </c>
      <c r="M2040" s="7"/>
      <c r="N2040" s="7" t="s">
        <v>682</v>
      </c>
      <c r="O2040" s="7" t="s">
        <v>682</v>
      </c>
      <c r="P2040" s="7" t="s">
        <v>109</v>
      </c>
      <c r="Q2040" s="7"/>
      <c r="R2040" s="7" t="s">
        <v>109</v>
      </c>
      <c r="S2040" s="7" t="s">
        <v>110</v>
      </c>
      <c r="T2040" s="7" t="n">
        <v>0.399</v>
      </c>
      <c r="U2040" s="7" t="n">
        <v>1</v>
      </c>
      <c r="V2040" s="7" t="s">
        <v>1156</v>
      </c>
      <c r="W2040" s="7" t="s">
        <v>1173</v>
      </c>
      <c r="X2040" s="7" t="s">
        <v>1174</v>
      </c>
      <c r="Y2040" s="7" t="s">
        <v>1175</v>
      </c>
      <c r="Z2040" s="7"/>
      <c r="AA2040" s="7" t="s">
        <v>572</v>
      </c>
      <c r="AB2040" s="7" t="s">
        <v>573</v>
      </c>
      <c r="AC2040" s="7" t="n">
        <v>0</v>
      </c>
      <c r="AD2040" s="7" t="s">
        <v>388</v>
      </c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7"/>
      <c r="BC2040" s="7"/>
      <c r="BD2040" s="7" t="s">
        <v>1176</v>
      </c>
      <c r="BE2040" s="7" t="s">
        <v>575</v>
      </c>
      <c r="BF2040" s="8"/>
      <c r="BG2040" s="8"/>
      <c r="BH2040" s="8"/>
      <c r="BI2040" s="8"/>
      <c r="BJ2040" s="8"/>
      <c r="BK2040" s="8"/>
      <c r="BL2040" s="8"/>
      <c r="BM2040" s="8"/>
      <c r="BN2040" s="8"/>
      <c r="BO2040" s="8"/>
      <c r="BP2040" s="8"/>
      <c r="BQ2040" s="8"/>
      <c r="BR2040" s="8"/>
      <c r="BS2040" s="8"/>
    </row>
    <row r="2041" customFormat="false" ht="15" hidden="false" customHeight="false" outlineLevel="0" collapsed="false">
      <c r="A2041" s="7" t="s">
        <v>12972</v>
      </c>
      <c r="B2041" s="7" t="s">
        <v>12973</v>
      </c>
      <c r="C2041" s="7" t="s">
        <v>12974</v>
      </c>
      <c r="D2041" s="7" t="s">
        <v>1133</v>
      </c>
      <c r="E2041" s="7" t="s">
        <v>82</v>
      </c>
      <c r="F2041" s="7" t="s">
        <v>82</v>
      </c>
      <c r="G2041" s="7"/>
      <c r="H2041" s="7" t="s">
        <v>207</v>
      </c>
      <c r="I2041" s="7" t="s">
        <v>158</v>
      </c>
      <c r="J2041" s="7" t="s">
        <v>1172</v>
      </c>
      <c r="K2041" s="7" t="s">
        <v>569</v>
      </c>
      <c r="L2041" s="7" t="s">
        <v>106</v>
      </c>
      <c r="M2041" s="7"/>
      <c r="N2041" s="7" t="s">
        <v>682</v>
      </c>
      <c r="O2041" s="7" t="s">
        <v>682</v>
      </c>
      <c r="P2041" s="7" t="s">
        <v>109</v>
      </c>
      <c r="Q2041" s="7"/>
      <c r="R2041" s="7" t="s">
        <v>109</v>
      </c>
      <c r="S2041" s="7" t="s">
        <v>110</v>
      </c>
      <c r="T2041" s="7" t="n">
        <v>0.461</v>
      </c>
      <c r="U2041" s="7" t="n">
        <v>1</v>
      </c>
      <c r="V2041" s="7" t="s">
        <v>1156</v>
      </c>
      <c r="W2041" s="7" t="s">
        <v>1173</v>
      </c>
      <c r="X2041" s="7" t="s">
        <v>1174</v>
      </c>
      <c r="Y2041" s="7" t="s">
        <v>1175</v>
      </c>
      <c r="Z2041" s="7"/>
      <c r="AA2041" s="7" t="s">
        <v>572</v>
      </c>
      <c r="AB2041" s="7" t="s">
        <v>573</v>
      </c>
      <c r="AC2041" s="7" t="n">
        <v>0</v>
      </c>
      <c r="AD2041" s="7" t="s">
        <v>388</v>
      </c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7"/>
      <c r="BC2041" s="7"/>
      <c r="BD2041" s="7" t="s">
        <v>1186</v>
      </c>
      <c r="BE2041" s="7" t="s">
        <v>575</v>
      </c>
      <c r="BF2041" s="8"/>
      <c r="BG2041" s="8"/>
      <c r="BH2041" s="8"/>
      <c r="BI2041" s="8"/>
      <c r="BJ2041" s="8"/>
      <c r="BK2041" s="8"/>
      <c r="BL2041" s="8"/>
      <c r="BM2041" s="8"/>
      <c r="BN2041" s="8"/>
      <c r="BO2041" s="8"/>
      <c r="BP2041" s="8"/>
      <c r="BQ2041" s="8"/>
      <c r="BR2041" s="8"/>
      <c r="BS2041" s="8"/>
    </row>
    <row r="2042" customFormat="false" ht="15" hidden="false" customHeight="false" outlineLevel="0" collapsed="false">
      <c r="A2042" s="7" t="s">
        <v>12975</v>
      </c>
      <c r="B2042" s="7" t="s">
        <v>12976</v>
      </c>
      <c r="C2042" s="7" t="s">
        <v>12977</v>
      </c>
      <c r="D2042" s="7" t="s">
        <v>1133</v>
      </c>
      <c r="E2042" s="7" t="s">
        <v>82</v>
      </c>
      <c r="F2042" s="7" t="s">
        <v>82</v>
      </c>
      <c r="G2042" s="7"/>
      <c r="H2042" s="7" t="s">
        <v>207</v>
      </c>
      <c r="I2042" s="7" t="s">
        <v>158</v>
      </c>
      <c r="J2042" s="7" t="s">
        <v>1172</v>
      </c>
      <c r="K2042" s="7" t="s">
        <v>569</v>
      </c>
      <c r="L2042" s="7" t="s">
        <v>106</v>
      </c>
      <c r="M2042" s="7"/>
      <c r="N2042" s="7" t="s">
        <v>682</v>
      </c>
      <c r="O2042" s="7" t="s">
        <v>682</v>
      </c>
      <c r="P2042" s="7" t="s">
        <v>109</v>
      </c>
      <c r="Q2042" s="7"/>
      <c r="R2042" s="7" t="s">
        <v>109</v>
      </c>
      <c r="S2042" s="7" t="s">
        <v>110</v>
      </c>
      <c r="T2042" s="7" t="n">
        <v>0.402</v>
      </c>
      <c r="U2042" s="7" t="n">
        <v>1</v>
      </c>
      <c r="V2042" s="7" t="s">
        <v>1156</v>
      </c>
      <c r="W2042" s="7" t="s">
        <v>1173</v>
      </c>
      <c r="X2042" s="7" t="s">
        <v>1174</v>
      </c>
      <c r="Y2042" s="7" t="s">
        <v>1175</v>
      </c>
      <c r="Z2042" s="7"/>
      <c r="AA2042" s="7" t="s">
        <v>572</v>
      </c>
      <c r="AB2042" s="7" t="s">
        <v>573</v>
      </c>
      <c r="AC2042" s="7" t="n">
        <v>0</v>
      </c>
      <c r="AD2042" s="7" t="s">
        <v>388</v>
      </c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 t="s">
        <v>1186</v>
      </c>
      <c r="BE2042" s="7" t="s">
        <v>575</v>
      </c>
      <c r="BF2042" s="8"/>
      <c r="BG2042" s="8"/>
      <c r="BH2042" s="8"/>
      <c r="BI2042" s="8"/>
      <c r="BJ2042" s="8"/>
      <c r="BK2042" s="8"/>
      <c r="BL2042" s="8"/>
      <c r="BM2042" s="8"/>
      <c r="BN2042" s="8"/>
      <c r="BO2042" s="8"/>
      <c r="BP2042" s="8"/>
      <c r="BQ2042" s="8"/>
      <c r="BR2042" s="8"/>
      <c r="BS2042" s="8"/>
    </row>
    <row r="2043" customFormat="false" ht="15" hidden="false" customHeight="false" outlineLevel="0" collapsed="false">
      <c r="A2043" s="7" t="s">
        <v>12978</v>
      </c>
      <c r="B2043" s="7" t="s">
        <v>12979</v>
      </c>
      <c r="C2043" s="7" t="s">
        <v>12980</v>
      </c>
      <c r="D2043" s="7" t="s">
        <v>1133</v>
      </c>
      <c r="E2043" s="7" t="s">
        <v>82</v>
      </c>
      <c r="F2043" s="7" t="s">
        <v>82</v>
      </c>
      <c r="G2043" s="7"/>
      <c r="H2043" s="7" t="s">
        <v>207</v>
      </c>
      <c r="I2043" s="7" t="s">
        <v>158</v>
      </c>
      <c r="J2043" s="7" t="s">
        <v>1172</v>
      </c>
      <c r="K2043" s="7" t="s">
        <v>569</v>
      </c>
      <c r="L2043" s="7" t="s">
        <v>106</v>
      </c>
      <c r="M2043" s="7"/>
      <c r="N2043" s="7" t="s">
        <v>682</v>
      </c>
      <c r="O2043" s="7" t="s">
        <v>682</v>
      </c>
      <c r="P2043" s="7" t="s">
        <v>109</v>
      </c>
      <c r="Q2043" s="7"/>
      <c r="R2043" s="7" t="s">
        <v>109</v>
      </c>
      <c r="S2043" s="7" t="s">
        <v>110</v>
      </c>
      <c r="T2043" s="7" t="n">
        <v>0.386</v>
      </c>
      <c r="U2043" s="7" t="n">
        <v>1</v>
      </c>
      <c r="V2043" s="7" t="s">
        <v>1156</v>
      </c>
      <c r="W2043" s="7" t="s">
        <v>1173</v>
      </c>
      <c r="X2043" s="7" t="s">
        <v>1174</v>
      </c>
      <c r="Y2043" s="7" t="s">
        <v>1175</v>
      </c>
      <c r="Z2043" s="7"/>
      <c r="AA2043" s="7" t="s">
        <v>572</v>
      </c>
      <c r="AB2043" s="7" t="s">
        <v>573</v>
      </c>
      <c r="AC2043" s="7" t="n">
        <v>0</v>
      </c>
      <c r="AD2043" s="7" t="s">
        <v>388</v>
      </c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7"/>
      <c r="BC2043" s="7"/>
      <c r="BD2043" s="7" t="s">
        <v>1176</v>
      </c>
      <c r="BE2043" s="7" t="s">
        <v>575</v>
      </c>
      <c r="BF2043" s="8"/>
      <c r="BG2043" s="8"/>
      <c r="BH2043" s="8"/>
      <c r="BI2043" s="8"/>
      <c r="BJ2043" s="8"/>
      <c r="BK2043" s="8"/>
      <c r="BL2043" s="8"/>
      <c r="BM2043" s="8"/>
      <c r="BN2043" s="8"/>
      <c r="BO2043" s="8"/>
      <c r="BP2043" s="8"/>
      <c r="BQ2043" s="8"/>
      <c r="BR2043" s="8"/>
      <c r="BS2043" s="8"/>
    </row>
    <row r="2044" customFormat="false" ht="15" hidden="false" customHeight="false" outlineLevel="0" collapsed="false">
      <c r="A2044" s="7" t="s">
        <v>12981</v>
      </c>
      <c r="B2044" s="7" t="s">
        <v>12982</v>
      </c>
      <c r="C2044" s="7" t="s">
        <v>12983</v>
      </c>
      <c r="D2044" s="7" t="s">
        <v>1133</v>
      </c>
      <c r="E2044" s="7" t="s">
        <v>82</v>
      </c>
      <c r="F2044" s="7" t="s">
        <v>82</v>
      </c>
      <c r="G2044" s="7"/>
      <c r="H2044" s="7" t="s">
        <v>207</v>
      </c>
      <c r="I2044" s="7" t="s">
        <v>158</v>
      </c>
      <c r="J2044" s="7" t="s">
        <v>1172</v>
      </c>
      <c r="K2044" s="7" t="s">
        <v>569</v>
      </c>
      <c r="L2044" s="7" t="s">
        <v>106</v>
      </c>
      <c r="M2044" s="7"/>
      <c r="N2044" s="7" t="s">
        <v>682</v>
      </c>
      <c r="O2044" s="7" t="s">
        <v>682</v>
      </c>
      <c r="P2044" s="7" t="s">
        <v>109</v>
      </c>
      <c r="Q2044" s="7"/>
      <c r="R2044" s="7" t="s">
        <v>109</v>
      </c>
      <c r="S2044" s="7" t="s">
        <v>110</v>
      </c>
      <c r="T2044" s="7" t="n">
        <v>0.312</v>
      </c>
      <c r="U2044" s="7" t="n">
        <v>1</v>
      </c>
      <c r="V2044" s="7" t="s">
        <v>1156</v>
      </c>
      <c r="W2044" s="7" t="s">
        <v>1173</v>
      </c>
      <c r="X2044" s="7" t="s">
        <v>1174</v>
      </c>
      <c r="Y2044" s="7" t="s">
        <v>1175</v>
      </c>
      <c r="Z2044" s="7"/>
      <c r="AA2044" s="7" t="s">
        <v>572</v>
      </c>
      <c r="AB2044" s="7" t="s">
        <v>573</v>
      </c>
      <c r="AC2044" s="7" t="n">
        <v>0</v>
      </c>
      <c r="AD2044" s="7" t="s">
        <v>388</v>
      </c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7"/>
      <c r="BC2044" s="7"/>
      <c r="BD2044" s="7" t="s">
        <v>1176</v>
      </c>
      <c r="BE2044" s="7" t="s">
        <v>575</v>
      </c>
      <c r="BF2044" s="8"/>
      <c r="BG2044" s="8"/>
      <c r="BH2044" s="8"/>
      <c r="BI2044" s="8"/>
      <c r="BJ2044" s="8"/>
      <c r="BK2044" s="8"/>
      <c r="BL2044" s="8"/>
      <c r="BM2044" s="8"/>
      <c r="BN2044" s="8"/>
      <c r="BO2044" s="8"/>
      <c r="BP2044" s="8"/>
      <c r="BQ2044" s="8"/>
      <c r="BR2044" s="8"/>
      <c r="BS2044" s="8"/>
    </row>
    <row r="2045" customFormat="false" ht="15" hidden="false" customHeight="false" outlineLevel="0" collapsed="false">
      <c r="A2045" s="7" t="s">
        <v>12984</v>
      </c>
      <c r="B2045" s="7" t="s">
        <v>12985</v>
      </c>
      <c r="C2045" s="7" t="s">
        <v>12986</v>
      </c>
      <c r="D2045" s="7" t="s">
        <v>1133</v>
      </c>
      <c r="E2045" s="7" t="s">
        <v>82</v>
      </c>
      <c r="F2045" s="7" t="s">
        <v>82</v>
      </c>
      <c r="G2045" s="7"/>
      <c r="H2045" s="7" t="s">
        <v>207</v>
      </c>
      <c r="I2045" s="7" t="s">
        <v>158</v>
      </c>
      <c r="J2045" s="7" t="s">
        <v>1172</v>
      </c>
      <c r="K2045" s="7" t="s">
        <v>569</v>
      </c>
      <c r="L2045" s="7" t="s">
        <v>106</v>
      </c>
      <c r="M2045" s="7"/>
      <c r="N2045" s="7" t="s">
        <v>682</v>
      </c>
      <c r="O2045" s="7" t="s">
        <v>682</v>
      </c>
      <c r="P2045" s="7" t="s">
        <v>109</v>
      </c>
      <c r="Q2045" s="7"/>
      <c r="R2045" s="7" t="s">
        <v>109</v>
      </c>
      <c r="S2045" s="7" t="s">
        <v>110</v>
      </c>
      <c r="T2045" s="7" t="n">
        <v>0.248</v>
      </c>
      <c r="U2045" s="7" t="n">
        <v>1</v>
      </c>
      <c r="V2045" s="7" t="s">
        <v>1156</v>
      </c>
      <c r="W2045" s="7" t="s">
        <v>1173</v>
      </c>
      <c r="X2045" s="7" t="s">
        <v>1174</v>
      </c>
      <c r="Y2045" s="7" t="s">
        <v>1175</v>
      </c>
      <c r="Z2045" s="7"/>
      <c r="AA2045" s="7" t="s">
        <v>572</v>
      </c>
      <c r="AB2045" s="7" t="s">
        <v>573</v>
      </c>
      <c r="AC2045" s="7" t="n">
        <v>0</v>
      </c>
      <c r="AD2045" s="7" t="s">
        <v>388</v>
      </c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  <c r="BB2045" s="7"/>
      <c r="BC2045" s="7"/>
      <c r="BD2045" s="7" t="s">
        <v>1176</v>
      </c>
      <c r="BE2045" s="7" t="s">
        <v>575</v>
      </c>
      <c r="BF2045" s="8"/>
      <c r="BG2045" s="8"/>
      <c r="BH2045" s="8"/>
      <c r="BI2045" s="8"/>
      <c r="BJ2045" s="8"/>
      <c r="BK2045" s="8"/>
      <c r="BL2045" s="8"/>
      <c r="BM2045" s="8"/>
      <c r="BN2045" s="8"/>
      <c r="BO2045" s="8"/>
      <c r="BP2045" s="8"/>
      <c r="BQ2045" s="8"/>
      <c r="BR2045" s="8"/>
      <c r="BS2045" s="8"/>
    </row>
    <row r="2046" customFormat="false" ht="15" hidden="false" customHeight="false" outlineLevel="0" collapsed="false">
      <c r="A2046" s="7" t="s">
        <v>12987</v>
      </c>
      <c r="B2046" s="7" t="s">
        <v>12988</v>
      </c>
      <c r="C2046" s="7" t="s">
        <v>12989</v>
      </c>
      <c r="D2046" s="7" t="s">
        <v>1133</v>
      </c>
      <c r="E2046" s="7" t="s">
        <v>82</v>
      </c>
      <c r="F2046" s="7" t="s">
        <v>82</v>
      </c>
      <c r="G2046" s="7"/>
      <c r="H2046" s="7" t="s">
        <v>207</v>
      </c>
      <c r="I2046" s="7" t="s">
        <v>158</v>
      </c>
      <c r="J2046" s="7" t="s">
        <v>1172</v>
      </c>
      <c r="K2046" s="7" t="s">
        <v>569</v>
      </c>
      <c r="L2046" s="7" t="s">
        <v>106</v>
      </c>
      <c r="M2046" s="7"/>
      <c r="N2046" s="7" t="s">
        <v>682</v>
      </c>
      <c r="O2046" s="7" t="s">
        <v>682</v>
      </c>
      <c r="P2046" s="7" t="s">
        <v>84</v>
      </c>
      <c r="Q2046" s="7"/>
      <c r="R2046" s="7" t="s">
        <v>109</v>
      </c>
      <c r="S2046" s="7" t="s">
        <v>110</v>
      </c>
      <c r="T2046" s="7" t="n">
        <v>0.473</v>
      </c>
      <c r="U2046" s="7" t="n">
        <v>2</v>
      </c>
      <c r="V2046" s="7" t="s">
        <v>1112</v>
      </c>
      <c r="W2046" s="7" t="s">
        <v>1193</v>
      </c>
      <c r="X2046" s="7" t="s">
        <v>1194</v>
      </c>
      <c r="Y2046" s="7" t="s">
        <v>1195</v>
      </c>
      <c r="Z2046" s="7"/>
      <c r="AA2046" s="7" t="s">
        <v>572</v>
      </c>
      <c r="AB2046" s="7" t="s">
        <v>573</v>
      </c>
      <c r="AC2046" s="7" t="n">
        <v>0</v>
      </c>
      <c r="AD2046" s="7" t="s">
        <v>388</v>
      </c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7"/>
      <c r="BC2046" s="7"/>
      <c r="BD2046" s="7" t="s">
        <v>1196</v>
      </c>
      <c r="BE2046" s="7" t="s">
        <v>575</v>
      </c>
      <c r="BF2046" s="8"/>
      <c r="BG2046" s="8"/>
      <c r="BH2046" s="8"/>
      <c r="BI2046" s="8"/>
      <c r="BJ2046" s="8"/>
      <c r="BK2046" s="8"/>
      <c r="BL2046" s="8"/>
      <c r="BM2046" s="8"/>
      <c r="BN2046" s="8"/>
      <c r="BO2046" s="8"/>
      <c r="BP2046" s="8"/>
      <c r="BQ2046" s="8"/>
      <c r="BR2046" s="8"/>
      <c r="BS2046" s="8"/>
    </row>
    <row r="2047" customFormat="false" ht="15" hidden="false" customHeight="false" outlineLevel="0" collapsed="false">
      <c r="A2047" s="7" t="s">
        <v>12990</v>
      </c>
      <c r="B2047" s="7" t="s">
        <v>12991</v>
      </c>
      <c r="C2047" s="7" t="s">
        <v>12992</v>
      </c>
      <c r="D2047" s="7" t="s">
        <v>1133</v>
      </c>
      <c r="E2047" s="7" t="s">
        <v>82</v>
      </c>
      <c r="F2047" s="7" t="s">
        <v>82</v>
      </c>
      <c r="G2047" s="7"/>
      <c r="H2047" s="7" t="s">
        <v>207</v>
      </c>
      <c r="I2047" s="7" t="s">
        <v>158</v>
      </c>
      <c r="J2047" s="7" t="s">
        <v>1172</v>
      </c>
      <c r="K2047" s="7" t="s">
        <v>569</v>
      </c>
      <c r="L2047" s="7" t="s">
        <v>106</v>
      </c>
      <c r="M2047" s="7"/>
      <c r="N2047" s="7" t="s">
        <v>682</v>
      </c>
      <c r="O2047" s="7" t="s">
        <v>682</v>
      </c>
      <c r="P2047" s="7" t="s">
        <v>109</v>
      </c>
      <c r="Q2047" s="7"/>
      <c r="R2047" s="7" t="s">
        <v>109</v>
      </c>
      <c r="S2047" s="7" t="s">
        <v>110</v>
      </c>
      <c r="T2047" s="7" t="n">
        <v>0.414</v>
      </c>
      <c r="U2047" s="7" t="n">
        <v>1</v>
      </c>
      <c r="V2047" s="7" t="s">
        <v>1156</v>
      </c>
      <c r="W2047" s="7" t="s">
        <v>1173</v>
      </c>
      <c r="X2047" s="7" t="s">
        <v>1174</v>
      </c>
      <c r="Y2047" s="7" t="s">
        <v>1175</v>
      </c>
      <c r="Z2047" s="7"/>
      <c r="AA2047" s="7" t="s">
        <v>572</v>
      </c>
      <c r="AB2047" s="7" t="s">
        <v>573</v>
      </c>
      <c r="AC2047" s="7" t="n">
        <v>0</v>
      </c>
      <c r="AD2047" s="7" t="s">
        <v>388</v>
      </c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7"/>
      <c r="BC2047" s="7"/>
      <c r="BD2047" s="7" t="s">
        <v>1176</v>
      </c>
      <c r="BE2047" s="7" t="s">
        <v>575</v>
      </c>
      <c r="BF2047" s="8"/>
      <c r="BG2047" s="8"/>
      <c r="BH2047" s="8"/>
      <c r="BI2047" s="8"/>
      <c r="BJ2047" s="8"/>
      <c r="BK2047" s="8"/>
      <c r="BL2047" s="8"/>
      <c r="BM2047" s="8"/>
      <c r="BN2047" s="8"/>
      <c r="BO2047" s="8"/>
      <c r="BP2047" s="8"/>
      <c r="BQ2047" s="8"/>
      <c r="BR2047" s="8"/>
      <c r="BS2047" s="8"/>
    </row>
    <row r="2048" customFormat="false" ht="15" hidden="false" customHeight="false" outlineLevel="0" collapsed="false">
      <c r="A2048" s="7" t="s">
        <v>12993</v>
      </c>
      <c r="B2048" s="7" t="s">
        <v>12994</v>
      </c>
      <c r="C2048" s="7" t="s">
        <v>12995</v>
      </c>
      <c r="D2048" s="7" t="s">
        <v>1162</v>
      </c>
      <c r="E2048" s="7" t="s">
        <v>82</v>
      </c>
      <c r="F2048" s="7" t="s">
        <v>82</v>
      </c>
      <c r="G2048" s="7" t="s">
        <v>83</v>
      </c>
      <c r="H2048" s="7" t="s">
        <v>1100</v>
      </c>
      <c r="I2048" s="7" t="s">
        <v>158</v>
      </c>
      <c r="J2048" s="7" t="s">
        <v>1172</v>
      </c>
      <c r="K2048" s="7" t="s">
        <v>569</v>
      </c>
      <c r="L2048" s="7" t="s">
        <v>106</v>
      </c>
      <c r="M2048" s="7"/>
      <c r="N2048" s="7" t="s">
        <v>1163</v>
      </c>
      <c r="O2048" s="7" t="s">
        <v>1163</v>
      </c>
      <c r="P2048" s="7" t="s">
        <v>109</v>
      </c>
      <c r="Q2048" s="7"/>
      <c r="R2048" s="7" t="s">
        <v>109</v>
      </c>
      <c r="S2048" s="7" t="s">
        <v>110</v>
      </c>
      <c r="T2048" s="7" t="n">
        <v>0.478</v>
      </c>
      <c r="U2048" s="7" t="n">
        <v>1</v>
      </c>
      <c r="V2048" s="7" t="s">
        <v>1156</v>
      </c>
      <c r="W2048" s="7" t="s">
        <v>1200</v>
      </c>
      <c r="X2048" s="7" t="s">
        <v>1201</v>
      </c>
      <c r="Y2048" s="7" t="s">
        <v>1202</v>
      </c>
      <c r="Z2048" s="7"/>
      <c r="AA2048" s="7" t="s">
        <v>1164</v>
      </c>
      <c r="AB2048" s="7" t="s">
        <v>1165</v>
      </c>
      <c r="AC2048" s="7" t="n">
        <v>0</v>
      </c>
      <c r="AD2048" s="7" t="s">
        <v>388</v>
      </c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  <c r="BB2048" s="7"/>
      <c r="BC2048" s="7"/>
      <c r="BD2048" s="7" t="s">
        <v>1203</v>
      </c>
      <c r="BE2048" s="7" t="s">
        <v>575</v>
      </c>
      <c r="BF2048" s="8"/>
      <c r="BG2048" s="8"/>
      <c r="BH2048" s="8"/>
      <c r="BI2048" s="8"/>
      <c r="BJ2048" s="8"/>
      <c r="BK2048" s="8"/>
      <c r="BL2048" s="8"/>
      <c r="BM2048" s="8"/>
      <c r="BN2048" s="8"/>
      <c r="BO2048" s="8"/>
      <c r="BP2048" s="8"/>
      <c r="BQ2048" s="8"/>
      <c r="BR2048" s="8"/>
      <c r="BS2048" s="8"/>
    </row>
    <row r="2049" customFormat="false" ht="15" hidden="false" customHeight="false" outlineLevel="0" collapsed="false">
      <c r="A2049" s="7" t="s">
        <v>12996</v>
      </c>
      <c r="B2049" s="7" t="s">
        <v>12997</v>
      </c>
      <c r="C2049" s="7" t="s">
        <v>12998</v>
      </c>
      <c r="D2049" s="7" t="s">
        <v>1162</v>
      </c>
      <c r="E2049" s="7" t="s">
        <v>82</v>
      </c>
      <c r="F2049" s="7" t="s">
        <v>82</v>
      </c>
      <c r="G2049" s="7" t="s">
        <v>83</v>
      </c>
      <c r="H2049" s="7" t="s">
        <v>1100</v>
      </c>
      <c r="I2049" s="7" t="s">
        <v>158</v>
      </c>
      <c r="J2049" s="7" t="s">
        <v>1172</v>
      </c>
      <c r="K2049" s="7" t="s">
        <v>569</v>
      </c>
      <c r="L2049" s="7" t="s">
        <v>106</v>
      </c>
      <c r="M2049" s="7"/>
      <c r="N2049" s="7" t="s">
        <v>1163</v>
      </c>
      <c r="O2049" s="7" t="s">
        <v>1163</v>
      </c>
      <c r="P2049" s="7" t="s">
        <v>109</v>
      </c>
      <c r="Q2049" s="7"/>
      <c r="R2049" s="7" t="s">
        <v>109</v>
      </c>
      <c r="S2049" s="7" t="s">
        <v>110</v>
      </c>
      <c r="T2049" s="7" t="n">
        <v>0.564</v>
      </c>
      <c r="U2049" s="7" t="n">
        <v>1</v>
      </c>
      <c r="V2049" s="7" t="s">
        <v>1156</v>
      </c>
      <c r="W2049" s="7" t="s">
        <v>1200</v>
      </c>
      <c r="X2049" s="7" t="s">
        <v>1201</v>
      </c>
      <c r="Y2049" s="7" t="s">
        <v>1202</v>
      </c>
      <c r="Z2049" s="7"/>
      <c r="AA2049" s="7" t="s">
        <v>1164</v>
      </c>
      <c r="AB2049" s="7" t="s">
        <v>1165</v>
      </c>
      <c r="AC2049" s="7" t="n">
        <v>0</v>
      </c>
      <c r="AD2049" s="7" t="s">
        <v>388</v>
      </c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  <c r="AZ2049" s="7"/>
      <c r="BA2049" s="7"/>
      <c r="BB2049" s="7"/>
      <c r="BC2049" s="7"/>
      <c r="BD2049" s="7" t="s">
        <v>1203</v>
      </c>
      <c r="BE2049" s="7" t="s">
        <v>575</v>
      </c>
      <c r="BF2049" s="8"/>
      <c r="BG2049" s="8"/>
      <c r="BH2049" s="8"/>
      <c r="BI2049" s="8"/>
      <c r="BJ2049" s="8"/>
      <c r="BK2049" s="8"/>
      <c r="BL2049" s="8"/>
      <c r="BM2049" s="8"/>
      <c r="BN2049" s="8"/>
      <c r="BO2049" s="8"/>
      <c r="BP2049" s="8"/>
      <c r="BQ2049" s="8"/>
      <c r="BR2049" s="8"/>
      <c r="BS2049" s="8"/>
    </row>
    <row r="2050" customFormat="false" ht="15" hidden="false" customHeight="false" outlineLevel="0" collapsed="false">
      <c r="A2050" s="7" t="s">
        <v>12999</v>
      </c>
      <c r="B2050" s="7" t="s">
        <v>13000</v>
      </c>
      <c r="C2050" s="7" t="s">
        <v>13001</v>
      </c>
      <c r="D2050" s="7" t="s">
        <v>1162</v>
      </c>
      <c r="E2050" s="7" t="s">
        <v>82</v>
      </c>
      <c r="F2050" s="7" t="s">
        <v>82</v>
      </c>
      <c r="G2050" s="7" t="s">
        <v>83</v>
      </c>
      <c r="H2050" s="7" t="s">
        <v>1100</v>
      </c>
      <c r="I2050" s="7" t="s">
        <v>158</v>
      </c>
      <c r="J2050" s="7" t="s">
        <v>1172</v>
      </c>
      <c r="K2050" s="7" t="s">
        <v>569</v>
      </c>
      <c r="L2050" s="7" t="s">
        <v>106</v>
      </c>
      <c r="M2050" s="7"/>
      <c r="N2050" s="7" t="s">
        <v>1163</v>
      </c>
      <c r="O2050" s="7" t="s">
        <v>1163</v>
      </c>
      <c r="P2050" s="7" t="s">
        <v>109</v>
      </c>
      <c r="Q2050" s="7"/>
      <c r="R2050" s="7" t="s">
        <v>109</v>
      </c>
      <c r="S2050" s="7" t="s">
        <v>110</v>
      </c>
      <c r="T2050" s="7" t="n">
        <v>0.543</v>
      </c>
      <c r="U2050" s="7" t="n">
        <v>1</v>
      </c>
      <c r="V2050" s="7" t="s">
        <v>1156</v>
      </c>
      <c r="W2050" s="7" t="s">
        <v>1200</v>
      </c>
      <c r="X2050" s="7" t="s">
        <v>1201</v>
      </c>
      <c r="Y2050" s="7" t="s">
        <v>1202</v>
      </c>
      <c r="Z2050" s="7"/>
      <c r="AA2050" s="7" t="s">
        <v>1164</v>
      </c>
      <c r="AB2050" s="7" t="s">
        <v>1165</v>
      </c>
      <c r="AC2050" s="7" t="n">
        <v>0</v>
      </c>
      <c r="AD2050" s="7" t="s">
        <v>388</v>
      </c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  <c r="BB2050" s="7"/>
      <c r="BC2050" s="7"/>
      <c r="BD2050" s="7" t="s">
        <v>1203</v>
      </c>
      <c r="BE2050" s="7" t="s">
        <v>575</v>
      </c>
      <c r="BF2050" s="8"/>
      <c r="BG2050" s="8"/>
      <c r="BH2050" s="8"/>
      <c r="BI2050" s="8"/>
      <c r="BJ2050" s="8"/>
      <c r="BK2050" s="8"/>
      <c r="BL2050" s="8"/>
      <c r="BM2050" s="8"/>
      <c r="BN2050" s="8"/>
      <c r="BO2050" s="8"/>
      <c r="BP2050" s="8"/>
      <c r="BQ2050" s="8"/>
      <c r="BR2050" s="8"/>
      <c r="BS2050" s="8"/>
    </row>
    <row r="2051" customFormat="false" ht="15" hidden="false" customHeight="false" outlineLevel="0" collapsed="false">
      <c r="A2051" s="7" t="s">
        <v>13002</v>
      </c>
      <c r="B2051" s="7" t="s">
        <v>13003</v>
      </c>
      <c r="C2051" s="7" t="s">
        <v>13004</v>
      </c>
      <c r="D2051" s="7" t="s">
        <v>1162</v>
      </c>
      <c r="E2051" s="7" t="s">
        <v>82</v>
      </c>
      <c r="F2051" s="7" t="s">
        <v>82</v>
      </c>
      <c r="G2051" s="7" t="s">
        <v>83</v>
      </c>
      <c r="H2051" s="7" t="s">
        <v>1100</v>
      </c>
      <c r="I2051" s="7" t="s">
        <v>158</v>
      </c>
      <c r="J2051" s="7" t="s">
        <v>1172</v>
      </c>
      <c r="K2051" s="7" t="s">
        <v>569</v>
      </c>
      <c r="L2051" s="7" t="s">
        <v>106</v>
      </c>
      <c r="M2051" s="7"/>
      <c r="N2051" s="7" t="s">
        <v>1163</v>
      </c>
      <c r="O2051" s="7" t="s">
        <v>1163</v>
      </c>
      <c r="P2051" s="7" t="s">
        <v>109</v>
      </c>
      <c r="Q2051" s="7"/>
      <c r="R2051" s="7" t="s">
        <v>109</v>
      </c>
      <c r="S2051" s="7" t="s">
        <v>110</v>
      </c>
      <c r="T2051" s="7" t="n">
        <v>0.818</v>
      </c>
      <c r="U2051" s="7" t="n">
        <v>1</v>
      </c>
      <c r="V2051" s="7" t="s">
        <v>1156</v>
      </c>
      <c r="W2051" s="7" t="s">
        <v>1200</v>
      </c>
      <c r="X2051" s="7" t="s">
        <v>1201</v>
      </c>
      <c r="Y2051" s="7" t="s">
        <v>1202</v>
      </c>
      <c r="Z2051" s="7"/>
      <c r="AA2051" s="7" t="s">
        <v>1164</v>
      </c>
      <c r="AB2051" s="7" t="s">
        <v>1165</v>
      </c>
      <c r="AC2051" s="7" t="n">
        <v>0</v>
      </c>
      <c r="AD2051" s="7" t="s">
        <v>388</v>
      </c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  <c r="BB2051" s="7"/>
      <c r="BC2051" s="7"/>
      <c r="BD2051" s="7" t="s">
        <v>1203</v>
      </c>
      <c r="BE2051" s="7" t="s">
        <v>575</v>
      </c>
      <c r="BF2051" s="8"/>
      <c r="BG2051" s="8"/>
      <c r="BH2051" s="8"/>
      <c r="BI2051" s="8"/>
      <c r="BJ2051" s="8"/>
      <c r="BK2051" s="8"/>
      <c r="BL2051" s="8"/>
      <c r="BM2051" s="8"/>
      <c r="BN2051" s="8"/>
      <c r="BO2051" s="8"/>
      <c r="BP2051" s="8"/>
      <c r="BQ2051" s="8"/>
      <c r="BR2051" s="8"/>
      <c r="BS2051" s="8"/>
    </row>
    <row r="2052" customFormat="false" ht="15" hidden="false" customHeight="false" outlineLevel="0" collapsed="false">
      <c r="A2052" s="7" t="s">
        <v>13005</v>
      </c>
      <c r="B2052" s="7" t="s">
        <v>13006</v>
      </c>
      <c r="C2052" s="7" t="s">
        <v>13007</v>
      </c>
      <c r="D2052" s="7" t="s">
        <v>1162</v>
      </c>
      <c r="E2052" s="7" t="s">
        <v>82</v>
      </c>
      <c r="F2052" s="7" t="s">
        <v>82</v>
      </c>
      <c r="G2052" s="7" t="s">
        <v>83</v>
      </c>
      <c r="H2052" s="7" t="s">
        <v>1100</v>
      </c>
      <c r="I2052" s="7" t="s">
        <v>158</v>
      </c>
      <c r="J2052" s="7" t="s">
        <v>1172</v>
      </c>
      <c r="K2052" s="7" t="s">
        <v>569</v>
      </c>
      <c r="L2052" s="7" t="s">
        <v>106</v>
      </c>
      <c r="M2052" s="7"/>
      <c r="N2052" s="7" t="s">
        <v>1163</v>
      </c>
      <c r="O2052" s="7" t="s">
        <v>1163</v>
      </c>
      <c r="P2052" s="7" t="s">
        <v>109</v>
      </c>
      <c r="Q2052" s="7"/>
      <c r="R2052" s="7" t="s">
        <v>109</v>
      </c>
      <c r="S2052" s="7" t="s">
        <v>110</v>
      </c>
      <c r="T2052" s="7" t="n">
        <v>0.635</v>
      </c>
      <c r="U2052" s="7" t="n">
        <v>1</v>
      </c>
      <c r="V2052" s="7" t="s">
        <v>1156</v>
      </c>
      <c r="W2052" s="7" t="s">
        <v>1200</v>
      </c>
      <c r="X2052" s="7" t="s">
        <v>1201</v>
      </c>
      <c r="Y2052" s="7" t="s">
        <v>1202</v>
      </c>
      <c r="Z2052" s="7"/>
      <c r="AA2052" s="7" t="s">
        <v>1164</v>
      </c>
      <c r="AB2052" s="7" t="s">
        <v>1165</v>
      </c>
      <c r="AC2052" s="7" t="n">
        <v>0</v>
      </c>
      <c r="AD2052" s="7" t="s">
        <v>388</v>
      </c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/>
      <c r="BA2052" s="7"/>
      <c r="BB2052" s="7"/>
      <c r="BC2052" s="7"/>
      <c r="BD2052" s="7" t="s">
        <v>1203</v>
      </c>
      <c r="BE2052" s="7" t="s">
        <v>575</v>
      </c>
      <c r="BF2052" s="8"/>
      <c r="BG2052" s="8"/>
      <c r="BH2052" s="8"/>
      <c r="BI2052" s="8"/>
      <c r="BJ2052" s="8"/>
      <c r="BK2052" s="8"/>
      <c r="BL2052" s="8"/>
      <c r="BM2052" s="8"/>
      <c r="BN2052" s="8"/>
      <c r="BO2052" s="8"/>
      <c r="BP2052" s="8"/>
      <c r="BQ2052" s="8"/>
      <c r="BR2052" s="8"/>
      <c r="BS2052" s="8"/>
    </row>
    <row r="2053" customFormat="false" ht="15" hidden="false" customHeight="false" outlineLevel="0" collapsed="false">
      <c r="A2053" s="7" t="s">
        <v>13008</v>
      </c>
      <c r="B2053" s="7" t="s">
        <v>13009</v>
      </c>
      <c r="C2053" s="7" t="s">
        <v>13010</v>
      </c>
      <c r="D2053" s="7" t="s">
        <v>1162</v>
      </c>
      <c r="E2053" s="7" t="s">
        <v>82</v>
      </c>
      <c r="F2053" s="7" t="s">
        <v>82</v>
      </c>
      <c r="G2053" s="7" t="s">
        <v>83</v>
      </c>
      <c r="H2053" s="7" t="s">
        <v>1100</v>
      </c>
      <c r="I2053" s="7" t="s">
        <v>158</v>
      </c>
      <c r="J2053" s="7" t="s">
        <v>1172</v>
      </c>
      <c r="K2053" s="7" t="s">
        <v>569</v>
      </c>
      <c r="L2053" s="7" t="s">
        <v>106</v>
      </c>
      <c r="M2053" s="7"/>
      <c r="N2053" s="7" t="s">
        <v>1163</v>
      </c>
      <c r="O2053" s="7" t="s">
        <v>1163</v>
      </c>
      <c r="P2053" s="7" t="s">
        <v>109</v>
      </c>
      <c r="Q2053" s="7"/>
      <c r="R2053" s="7" t="s">
        <v>109</v>
      </c>
      <c r="S2053" s="7" t="s">
        <v>110</v>
      </c>
      <c r="T2053" s="7" t="n">
        <v>0.515</v>
      </c>
      <c r="U2053" s="7" t="n">
        <v>1</v>
      </c>
      <c r="V2053" s="7" t="s">
        <v>1156</v>
      </c>
      <c r="W2053" s="7" t="s">
        <v>1200</v>
      </c>
      <c r="X2053" s="7" t="s">
        <v>1201</v>
      </c>
      <c r="Y2053" s="7" t="s">
        <v>1202</v>
      </c>
      <c r="Z2053" s="7"/>
      <c r="AA2053" s="7" t="s">
        <v>1164</v>
      </c>
      <c r="AB2053" s="7" t="s">
        <v>1165</v>
      </c>
      <c r="AC2053" s="7" t="n">
        <v>0</v>
      </c>
      <c r="AD2053" s="7" t="s">
        <v>388</v>
      </c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  <c r="BB2053" s="7"/>
      <c r="BC2053" s="7"/>
      <c r="BD2053" s="7" t="s">
        <v>1203</v>
      </c>
      <c r="BE2053" s="7" t="s">
        <v>575</v>
      </c>
      <c r="BF2053" s="8"/>
      <c r="BG2053" s="8"/>
      <c r="BH2053" s="8"/>
      <c r="BI2053" s="8"/>
      <c r="BJ2053" s="8"/>
      <c r="BK2053" s="8"/>
      <c r="BL2053" s="8"/>
      <c r="BM2053" s="8"/>
      <c r="BN2053" s="8"/>
      <c r="BO2053" s="8"/>
      <c r="BP2053" s="8"/>
      <c r="BQ2053" s="8"/>
      <c r="BR2053" s="8"/>
      <c r="BS2053" s="8"/>
    </row>
    <row r="2054" customFormat="false" ht="15" hidden="false" customHeight="false" outlineLevel="0" collapsed="false">
      <c r="A2054" s="7" t="s">
        <v>13011</v>
      </c>
      <c r="B2054" s="7" t="s">
        <v>13012</v>
      </c>
      <c r="C2054" s="7" t="s">
        <v>13013</v>
      </c>
      <c r="D2054" s="7" t="s">
        <v>1162</v>
      </c>
      <c r="E2054" s="7" t="s">
        <v>82</v>
      </c>
      <c r="F2054" s="7" t="s">
        <v>82</v>
      </c>
      <c r="G2054" s="7" t="s">
        <v>83</v>
      </c>
      <c r="H2054" s="7" t="s">
        <v>1100</v>
      </c>
      <c r="I2054" s="7" t="s">
        <v>158</v>
      </c>
      <c r="J2054" s="7" t="s">
        <v>1172</v>
      </c>
      <c r="K2054" s="7" t="s">
        <v>569</v>
      </c>
      <c r="L2054" s="7" t="s">
        <v>106</v>
      </c>
      <c r="M2054" s="7"/>
      <c r="N2054" s="7" t="s">
        <v>1163</v>
      </c>
      <c r="O2054" s="7" t="s">
        <v>1163</v>
      </c>
      <c r="P2054" s="7" t="s">
        <v>109</v>
      </c>
      <c r="Q2054" s="7"/>
      <c r="R2054" s="7" t="s">
        <v>109</v>
      </c>
      <c r="S2054" s="7" t="s">
        <v>110</v>
      </c>
      <c r="T2054" s="7" t="n">
        <v>0.716</v>
      </c>
      <c r="U2054" s="7" t="n">
        <v>1</v>
      </c>
      <c r="V2054" s="7" t="s">
        <v>1156</v>
      </c>
      <c r="W2054" s="7" t="s">
        <v>1200</v>
      </c>
      <c r="X2054" s="7" t="s">
        <v>1201</v>
      </c>
      <c r="Y2054" s="7" t="s">
        <v>1202</v>
      </c>
      <c r="Z2054" s="7"/>
      <c r="AA2054" s="7" t="s">
        <v>1164</v>
      </c>
      <c r="AB2054" s="7" t="s">
        <v>1165</v>
      </c>
      <c r="AC2054" s="7" t="n">
        <v>0</v>
      </c>
      <c r="AD2054" s="7" t="s">
        <v>388</v>
      </c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  <c r="BB2054" s="7"/>
      <c r="BC2054" s="7"/>
      <c r="BD2054" s="7" t="s">
        <v>1203</v>
      </c>
      <c r="BE2054" s="7" t="s">
        <v>575</v>
      </c>
      <c r="BF2054" s="8"/>
      <c r="BG2054" s="8"/>
      <c r="BH2054" s="8"/>
      <c r="BI2054" s="8"/>
      <c r="BJ2054" s="8"/>
      <c r="BK2054" s="8"/>
      <c r="BL2054" s="8"/>
      <c r="BM2054" s="8"/>
      <c r="BN2054" s="8"/>
      <c r="BO2054" s="8"/>
      <c r="BP2054" s="8"/>
      <c r="BQ2054" s="8"/>
      <c r="BR2054" s="8"/>
      <c r="BS2054" s="8"/>
    </row>
    <row r="2055" customFormat="false" ht="15" hidden="false" customHeight="false" outlineLevel="0" collapsed="false">
      <c r="A2055" s="7" t="s">
        <v>13014</v>
      </c>
      <c r="B2055" s="7" t="s">
        <v>13015</v>
      </c>
      <c r="C2055" s="7" t="s">
        <v>13016</v>
      </c>
      <c r="D2055" s="7" t="s">
        <v>1162</v>
      </c>
      <c r="E2055" s="7" t="s">
        <v>82</v>
      </c>
      <c r="F2055" s="7" t="s">
        <v>82</v>
      </c>
      <c r="G2055" s="7" t="s">
        <v>83</v>
      </c>
      <c r="H2055" s="7" t="s">
        <v>1100</v>
      </c>
      <c r="I2055" s="7" t="s">
        <v>158</v>
      </c>
      <c r="J2055" s="7" t="s">
        <v>1172</v>
      </c>
      <c r="K2055" s="7" t="s">
        <v>569</v>
      </c>
      <c r="L2055" s="7" t="s">
        <v>106</v>
      </c>
      <c r="M2055" s="7"/>
      <c r="N2055" s="7" t="s">
        <v>1163</v>
      </c>
      <c r="O2055" s="7" t="s">
        <v>1163</v>
      </c>
      <c r="P2055" s="7" t="s">
        <v>109</v>
      </c>
      <c r="Q2055" s="7"/>
      <c r="R2055" s="7" t="s">
        <v>109</v>
      </c>
      <c r="S2055" s="7" t="s">
        <v>110</v>
      </c>
      <c r="T2055" s="7" t="n">
        <v>0.517</v>
      </c>
      <c r="U2055" s="7" t="n">
        <v>1</v>
      </c>
      <c r="V2055" s="7" t="s">
        <v>1156</v>
      </c>
      <c r="W2055" s="7" t="s">
        <v>1200</v>
      </c>
      <c r="X2055" s="7" t="s">
        <v>1201</v>
      </c>
      <c r="Y2055" s="7" t="s">
        <v>1202</v>
      </c>
      <c r="Z2055" s="7"/>
      <c r="AA2055" s="7" t="s">
        <v>1164</v>
      </c>
      <c r="AB2055" s="7" t="s">
        <v>1165</v>
      </c>
      <c r="AC2055" s="7" t="n">
        <v>0</v>
      </c>
      <c r="AD2055" s="7" t="s">
        <v>388</v>
      </c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/>
      <c r="BA2055" s="7"/>
      <c r="BB2055" s="7"/>
      <c r="BC2055" s="7"/>
      <c r="BD2055" s="7" t="s">
        <v>1203</v>
      </c>
      <c r="BE2055" s="7" t="s">
        <v>575</v>
      </c>
      <c r="BF2055" s="8"/>
      <c r="BG2055" s="8"/>
      <c r="BH2055" s="8"/>
      <c r="BI2055" s="8"/>
      <c r="BJ2055" s="8"/>
      <c r="BK2055" s="8"/>
      <c r="BL2055" s="8"/>
      <c r="BM2055" s="8"/>
      <c r="BN2055" s="8"/>
      <c r="BO2055" s="8"/>
      <c r="BP2055" s="8"/>
      <c r="BQ2055" s="8"/>
      <c r="BR2055" s="8"/>
      <c r="BS2055" s="8"/>
    </row>
    <row r="2056" customFormat="false" ht="15" hidden="false" customHeight="false" outlineLevel="0" collapsed="false">
      <c r="A2056" s="7" t="s">
        <v>13017</v>
      </c>
      <c r="B2056" s="7" t="s">
        <v>13018</v>
      </c>
      <c r="C2056" s="7" t="s">
        <v>13019</v>
      </c>
      <c r="D2056" s="7" t="s">
        <v>1162</v>
      </c>
      <c r="E2056" s="7" t="s">
        <v>82</v>
      </c>
      <c r="F2056" s="7" t="s">
        <v>82</v>
      </c>
      <c r="G2056" s="7" t="s">
        <v>83</v>
      </c>
      <c r="H2056" s="7" t="s">
        <v>1100</v>
      </c>
      <c r="I2056" s="7" t="s">
        <v>158</v>
      </c>
      <c r="J2056" s="7" t="s">
        <v>1172</v>
      </c>
      <c r="K2056" s="7" t="s">
        <v>569</v>
      </c>
      <c r="L2056" s="7" t="s">
        <v>106</v>
      </c>
      <c r="M2056" s="7"/>
      <c r="N2056" s="7" t="s">
        <v>1163</v>
      </c>
      <c r="O2056" s="7" t="s">
        <v>1163</v>
      </c>
      <c r="P2056" s="7" t="s">
        <v>109</v>
      </c>
      <c r="Q2056" s="7"/>
      <c r="R2056" s="7" t="s">
        <v>109</v>
      </c>
      <c r="S2056" s="7" t="s">
        <v>110</v>
      </c>
      <c r="T2056" s="7" t="n">
        <v>0.483</v>
      </c>
      <c r="U2056" s="7" t="n">
        <v>1</v>
      </c>
      <c r="V2056" s="7" t="s">
        <v>1156</v>
      </c>
      <c r="W2056" s="7" t="s">
        <v>1200</v>
      </c>
      <c r="X2056" s="7" t="s">
        <v>1201</v>
      </c>
      <c r="Y2056" s="7" t="s">
        <v>1202</v>
      </c>
      <c r="Z2056" s="7"/>
      <c r="AA2056" s="7" t="s">
        <v>1164</v>
      </c>
      <c r="AB2056" s="7" t="s">
        <v>1165</v>
      </c>
      <c r="AC2056" s="7" t="n">
        <v>0</v>
      </c>
      <c r="AD2056" s="7" t="s">
        <v>388</v>
      </c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  <c r="BB2056" s="7"/>
      <c r="BC2056" s="7"/>
      <c r="BD2056" s="7" t="s">
        <v>1203</v>
      </c>
      <c r="BE2056" s="7" t="s">
        <v>575</v>
      </c>
      <c r="BF2056" s="8"/>
      <c r="BG2056" s="8"/>
      <c r="BH2056" s="8"/>
      <c r="BI2056" s="8"/>
      <c r="BJ2056" s="8"/>
      <c r="BK2056" s="8"/>
      <c r="BL2056" s="8"/>
      <c r="BM2056" s="8"/>
      <c r="BN2056" s="8"/>
      <c r="BO2056" s="8"/>
      <c r="BP2056" s="8"/>
      <c r="BQ2056" s="8"/>
      <c r="BR2056" s="8"/>
      <c r="BS2056" s="8"/>
    </row>
    <row r="2057" customFormat="false" ht="15" hidden="false" customHeight="false" outlineLevel="0" collapsed="false">
      <c r="A2057" s="7" t="s">
        <v>13020</v>
      </c>
      <c r="B2057" s="7" t="s">
        <v>13021</v>
      </c>
      <c r="C2057" s="7" t="s">
        <v>13022</v>
      </c>
      <c r="D2057" s="7" t="s">
        <v>594</v>
      </c>
      <c r="E2057" s="7" t="s">
        <v>101</v>
      </c>
      <c r="F2057" s="7" t="s">
        <v>101</v>
      </c>
      <c r="G2057" s="7"/>
      <c r="H2057" s="7" t="s">
        <v>207</v>
      </c>
      <c r="I2057" s="7" t="s">
        <v>103</v>
      </c>
      <c r="J2057" s="7" t="s">
        <v>1646</v>
      </c>
      <c r="K2057" s="7" t="s">
        <v>476</v>
      </c>
      <c r="L2057" s="7" t="s">
        <v>106</v>
      </c>
      <c r="M2057" s="7"/>
      <c r="N2057" s="7" t="s">
        <v>13023</v>
      </c>
      <c r="O2057" s="7" t="s">
        <v>13023</v>
      </c>
      <c r="P2057" s="7" t="s">
        <v>135</v>
      </c>
      <c r="Q2057" s="7"/>
      <c r="R2057" s="7" t="s">
        <v>109</v>
      </c>
      <c r="S2057" s="7" t="s">
        <v>110</v>
      </c>
      <c r="T2057" s="7" t="n">
        <v>0.377</v>
      </c>
      <c r="U2057" s="7" t="n">
        <v>0</v>
      </c>
      <c r="V2057" s="7"/>
      <c r="W2057" s="7"/>
      <c r="X2057" s="7"/>
      <c r="Y2057" s="7"/>
      <c r="Z2057" s="7"/>
      <c r="AA2057" s="7"/>
      <c r="AB2057" s="7"/>
      <c r="AC2057" s="7" t="n">
        <v>0</v>
      </c>
      <c r="AD2057" s="7" t="s">
        <v>388</v>
      </c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7"/>
      <c r="BC2057" s="7"/>
      <c r="BD2057" s="7"/>
      <c r="BE2057" s="7" t="s">
        <v>127</v>
      </c>
      <c r="BF2057" s="8"/>
      <c r="BG2057" s="8"/>
      <c r="BH2057" s="8"/>
      <c r="BI2057" s="8"/>
      <c r="BJ2057" s="8"/>
      <c r="BK2057" s="8"/>
      <c r="BL2057" s="8"/>
      <c r="BM2057" s="8"/>
      <c r="BN2057" s="8"/>
      <c r="BO2057" s="8"/>
      <c r="BP2057" s="8"/>
      <c r="BQ2057" s="8"/>
      <c r="BR2057" s="8"/>
      <c r="BS2057" s="8"/>
    </row>
    <row r="2058" customFormat="false" ht="15" hidden="false" customHeight="false" outlineLevel="0" collapsed="false">
      <c r="A2058" s="7" t="s">
        <v>13024</v>
      </c>
      <c r="B2058" s="7" t="s">
        <v>13025</v>
      </c>
      <c r="C2058" s="7" t="s">
        <v>7975</v>
      </c>
      <c r="D2058" s="7" t="s">
        <v>1725</v>
      </c>
      <c r="E2058" s="7" t="s">
        <v>101</v>
      </c>
      <c r="F2058" s="7" t="s">
        <v>101</v>
      </c>
      <c r="G2058" s="7"/>
      <c r="H2058" s="7" t="s">
        <v>102</v>
      </c>
      <c r="I2058" s="7" t="s">
        <v>300</v>
      </c>
      <c r="J2058" s="7" t="s">
        <v>493</v>
      </c>
      <c r="K2058" s="7" t="s">
        <v>1147</v>
      </c>
      <c r="L2058" s="7" t="s">
        <v>106</v>
      </c>
      <c r="M2058" s="7"/>
      <c r="N2058" s="7" t="s">
        <v>1727</v>
      </c>
      <c r="O2058" s="7" t="s">
        <v>1727</v>
      </c>
      <c r="P2058" s="7" t="s">
        <v>135</v>
      </c>
      <c r="Q2058" s="7"/>
      <c r="R2058" s="7" t="s">
        <v>109</v>
      </c>
      <c r="S2058" s="7" t="s">
        <v>110</v>
      </c>
      <c r="T2058" s="7" t="n">
        <v>0.444</v>
      </c>
      <c r="U2058" s="7" t="n">
        <v>0</v>
      </c>
      <c r="V2058" s="7"/>
      <c r="W2058" s="7"/>
      <c r="X2058" s="7"/>
      <c r="Y2058" s="7"/>
      <c r="Z2058" s="7"/>
      <c r="AA2058" s="7" t="s">
        <v>572</v>
      </c>
      <c r="AB2058" s="7" t="s">
        <v>573</v>
      </c>
      <c r="AC2058" s="7" t="n">
        <v>0</v>
      </c>
      <c r="AD2058" s="7" t="s">
        <v>388</v>
      </c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7"/>
      <c r="BC2058" s="7"/>
      <c r="BD2058" s="7" t="s">
        <v>13026</v>
      </c>
      <c r="BE2058" s="7" t="s">
        <v>575</v>
      </c>
      <c r="BF2058" s="8"/>
      <c r="BG2058" s="8"/>
      <c r="BH2058" s="8"/>
      <c r="BI2058" s="8"/>
      <c r="BJ2058" s="8"/>
      <c r="BK2058" s="8"/>
      <c r="BL2058" s="8"/>
      <c r="BM2058" s="8"/>
      <c r="BN2058" s="8"/>
      <c r="BO2058" s="8"/>
      <c r="BP2058" s="8"/>
      <c r="BQ2058" s="8"/>
      <c r="BR2058" s="8"/>
      <c r="BS2058" s="8"/>
    </row>
    <row r="2059" customFormat="false" ht="15" hidden="false" customHeight="false" outlineLevel="0" collapsed="false">
      <c r="A2059" s="7" t="s">
        <v>13027</v>
      </c>
      <c r="B2059" s="7" t="s">
        <v>13028</v>
      </c>
      <c r="C2059" s="7" t="s">
        <v>13029</v>
      </c>
      <c r="D2059" s="7" t="s">
        <v>1725</v>
      </c>
      <c r="E2059" s="7" t="s">
        <v>101</v>
      </c>
      <c r="F2059" s="7" t="s">
        <v>101</v>
      </c>
      <c r="G2059" s="7"/>
      <c r="H2059" s="7" t="s">
        <v>102</v>
      </c>
      <c r="I2059" s="7" t="s">
        <v>300</v>
      </c>
      <c r="J2059" s="7" t="s">
        <v>493</v>
      </c>
      <c r="K2059" s="7" t="s">
        <v>1094</v>
      </c>
      <c r="L2059" s="7" t="s">
        <v>106</v>
      </c>
      <c r="M2059" s="7"/>
      <c r="N2059" s="7" t="s">
        <v>13030</v>
      </c>
      <c r="O2059" s="7" t="s">
        <v>13030</v>
      </c>
      <c r="P2059" s="7" t="s">
        <v>135</v>
      </c>
      <c r="Q2059" s="7"/>
      <c r="R2059" s="7" t="s">
        <v>109</v>
      </c>
      <c r="S2059" s="7" t="s">
        <v>110</v>
      </c>
      <c r="T2059" s="7" t="n">
        <v>0.318</v>
      </c>
      <c r="U2059" s="7" t="n">
        <v>0</v>
      </c>
      <c r="V2059" s="7"/>
      <c r="W2059" s="7"/>
      <c r="X2059" s="7"/>
      <c r="Y2059" s="7"/>
      <c r="Z2059" s="7"/>
      <c r="AA2059" s="7" t="s">
        <v>572</v>
      </c>
      <c r="AB2059" s="7" t="s">
        <v>573</v>
      </c>
      <c r="AC2059" s="7" t="n">
        <v>0</v>
      </c>
      <c r="AD2059" s="7" t="s">
        <v>388</v>
      </c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  <c r="BB2059" s="7"/>
      <c r="BC2059" s="7"/>
      <c r="BD2059" s="7" t="s">
        <v>13026</v>
      </c>
      <c r="BE2059" s="7" t="s">
        <v>575</v>
      </c>
      <c r="BF2059" s="8"/>
      <c r="BG2059" s="8"/>
      <c r="BH2059" s="8"/>
      <c r="BI2059" s="8"/>
      <c r="BJ2059" s="8"/>
      <c r="BK2059" s="8"/>
      <c r="BL2059" s="8"/>
      <c r="BM2059" s="8"/>
      <c r="BN2059" s="8"/>
      <c r="BO2059" s="8"/>
      <c r="BP2059" s="8"/>
      <c r="BQ2059" s="8"/>
      <c r="BR2059" s="8"/>
      <c r="BS2059" s="8"/>
    </row>
    <row r="2060" customFormat="false" ht="15" hidden="false" customHeight="false" outlineLevel="0" collapsed="false">
      <c r="A2060" s="7" t="s">
        <v>13031</v>
      </c>
      <c r="B2060" s="7" t="s">
        <v>13032</v>
      </c>
      <c r="C2060" s="7" t="s">
        <v>13033</v>
      </c>
      <c r="D2060" s="7" t="s">
        <v>1725</v>
      </c>
      <c r="E2060" s="7" t="s">
        <v>101</v>
      </c>
      <c r="F2060" s="7" t="s">
        <v>101</v>
      </c>
      <c r="G2060" s="7"/>
      <c r="H2060" s="7" t="s">
        <v>102</v>
      </c>
      <c r="I2060" s="7" t="s">
        <v>300</v>
      </c>
      <c r="J2060" s="7" t="s">
        <v>493</v>
      </c>
      <c r="K2060" s="7" t="s">
        <v>1094</v>
      </c>
      <c r="L2060" s="7" t="s">
        <v>106</v>
      </c>
      <c r="M2060" s="7"/>
      <c r="N2060" s="7" t="s">
        <v>13030</v>
      </c>
      <c r="O2060" s="7" t="s">
        <v>13030</v>
      </c>
      <c r="P2060" s="7" t="s">
        <v>135</v>
      </c>
      <c r="Q2060" s="7"/>
      <c r="R2060" s="7" t="s">
        <v>109</v>
      </c>
      <c r="S2060" s="7" t="s">
        <v>110</v>
      </c>
      <c r="T2060" s="7" t="n">
        <v>0.431</v>
      </c>
      <c r="U2060" s="7" t="n">
        <v>0</v>
      </c>
      <c r="V2060" s="7"/>
      <c r="W2060" s="7"/>
      <c r="X2060" s="7"/>
      <c r="Y2060" s="7"/>
      <c r="Z2060" s="7"/>
      <c r="AA2060" s="7" t="s">
        <v>572</v>
      </c>
      <c r="AB2060" s="7" t="s">
        <v>573</v>
      </c>
      <c r="AC2060" s="7" t="n">
        <v>0</v>
      </c>
      <c r="AD2060" s="7" t="s">
        <v>388</v>
      </c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 t="s">
        <v>13026</v>
      </c>
      <c r="BE2060" s="7" t="s">
        <v>575</v>
      </c>
      <c r="BF2060" s="8"/>
      <c r="BG2060" s="8"/>
      <c r="BH2060" s="8"/>
      <c r="BI2060" s="8"/>
      <c r="BJ2060" s="8"/>
      <c r="BK2060" s="8"/>
      <c r="BL2060" s="8"/>
      <c r="BM2060" s="8"/>
      <c r="BN2060" s="8"/>
      <c r="BO2060" s="8"/>
      <c r="BP2060" s="8"/>
      <c r="BQ2060" s="8"/>
      <c r="BR2060" s="8"/>
      <c r="BS2060" s="8"/>
    </row>
    <row r="2061" customFormat="false" ht="15" hidden="false" customHeight="false" outlineLevel="0" collapsed="false">
      <c r="A2061" s="7" t="s">
        <v>13034</v>
      </c>
      <c r="B2061" s="7" t="s">
        <v>13035</v>
      </c>
      <c r="C2061" s="7" t="s">
        <v>13036</v>
      </c>
      <c r="D2061" s="7" t="s">
        <v>1725</v>
      </c>
      <c r="E2061" s="7" t="s">
        <v>101</v>
      </c>
      <c r="F2061" s="7" t="s">
        <v>101</v>
      </c>
      <c r="G2061" s="7"/>
      <c r="H2061" s="7" t="s">
        <v>102</v>
      </c>
      <c r="I2061" s="7" t="s">
        <v>300</v>
      </c>
      <c r="J2061" s="7" t="s">
        <v>493</v>
      </c>
      <c r="K2061" s="7" t="s">
        <v>1147</v>
      </c>
      <c r="L2061" s="7" t="s">
        <v>106</v>
      </c>
      <c r="M2061" s="7"/>
      <c r="N2061" s="7" t="s">
        <v>13037</v>
      </c>
      <c r="O2061" s="7" t="s">
        <v>13037</v>
      </c>
      <c r="P2061" s="7" t="s">
        <v>84</v>
      </c>
      <c r="Q2061" s="7"/>
      <c r="R2061" s="7" t="s">
        <v>109</v>
      </c>
      <c r="S2061" s="7" t="s">
        <v>110</v>
      </c>
      <c r="T2061" s="7" t="n">
        <v>0.388</v>
      </c>
      <c r="U2061" s="7" t="n">
        <v>3</v>
      </c>
      <c r="V2061" s="7" t="s">
        <v>161</v>
      </c>
      <c r="W2061" s="7" t="s">
        <v>496</v>
      </c>
      <c r="X2061" s="7" t="s">
        <v>497</v>
      </c>
      <c r="Y2061" s="7" t="s">
        <v>13037</v>
      </c>
      <c r="Z2061" s="7"/>
      <c r="AA2061" s="7" t="s">
        <v>572</v>
      </c>
      <c r="AB2061" s="7" t="s">
        <v>573</v>
      </c>
      <c r="AC2061" s="7" t="n">
        <v>0</v>
      </c>
      <c r="AD2061" s="7" t="s">
        <v>388</v>
      </c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7" t="s">
        <v>13038</v>
      </c>
      <c r="BE2061" s="7" t="s">
        <v>575</v>
      </c>
      <c r="BF2061" s="8"/>
      <c r="BG2061" s="8"/>
      <c r="BH2061" s="8"/>
      <c r="BI2061" s="8"/>
      <c r="BJ2061" s="8"/>
      <c r="BK2061" s="8"/>
      <c r="BL2061" s="8"/>
      <c r="BM2061" s="8"/>
      <c r="BN2061" s="8"/>
      <c r="BO2061" s="8"/>
      <c r="BP2061" s="8"/>
      <c r="BQ2061" s="8"/>
      <c r="BR2061" s="8"/>
      <c r="BS2061" s="8"/>
    </row>
    <row r="2062" customFormat="false" ht="15" hidden="false" customHeight="false" outlineLevel="0" collapsed="false">
      <c r="A2062" s="7" t="s">
        <v>13039</v>
      </c>
      <c r="B2062" s="7" t="s">
        <v>13040</v>
      </c>
      <c r="C2062" s="7" t="s">
        <v>13041</v>
      </c>
      <c r="D2062" s="7" t="s">
        <v>1126</v>
      </c>
      <c r="E2062" s="7" t="s">
        <v>101</v>
      </c>
      <c r="F2062" s="7" t="s">
        <v>101</v>
      </c>
      <c r="G2062" s="7"/>
      <c r="H2062" s="7" t="s">
        <v>102</v>
      </c>
      <c r="I2062" s="7" t="s">
        <v>132</v>
      </c>
      <c r="J2062" s="7" t="s">
        <v>1651</v>
      </c>
      <c r="K2062" s="7" t="s">
        <v>1147</v>
      </c>
      <c r="L2062" s="7" t="s">
        <v>106</v>
      </c>
      <c r="M2062" s="7"/>
      <c r="N2062" s="7" t="s">
        <v>1129</v>
      </c>
      <c r="O2062" s="7" t="s">
        <v>1129</v>
      </c>
      <c r="P2062" s="7" t="s">
        <v>135</v>
      </c>
      <c r="Q2062" s="7"/>
      <c r="R2062" s="7" t="s">
        <v>109</v>
      </c>
      <c r="S2062" s="7" t="s">
        <v>110</v>
      </c>
      <c r="T2062" s="7" t="n">
        <v>0.524</v>
      </c>
      <c r="U2062" s="7" t="n">
        <v>0</v>
      </c>
      <c r="V2062" s="7"/>
      <c r="W2062" s="7"/>
      <c r="X2062" s="7"/>
      <c r="Y2062" s="7"/>
      <c r="Z2062" s="7"/>
      <c r="AA2062" s="7" t="s">
        <v>572</v>
      </c>
      <c r="AB2062" s="7" t="s">
        <v>573</v>
      </c>
      <c r="AC2062" s="7" t="n">
        <v>0</v>
      </c>
      <c r="AD2062" s="7" t="s">
        <v>388</v>
      </c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7"/>
      <c r="BC2062" s="7"/>
      <c r="BD2062" s="7"/>
      <c r="BE2062" s="7" t="s">
        <v>1088</v>
      </c>
      <c r="BF2062" s="8"/>
      <c r="BG2062" s="8"/>
      <c r="BH2062" s="8"/>
      <c r="BI2062" s="8"/>
      <c r="BJ2062" s="8"/>
      <c r="BK2062" s="8"/>
      <c r="BL2062" s="8"/>
      <c r="BM2062" s="8"/>
      <c r="BN2062" s="8"/>
      <c r="BO2062" s="8"/>
      <c r="BP2062" s="8"/>
      <c r="BQ2062" s="8"/>
      <c r="BR2062" s="8"/>
      <c r="BS2062" s="8"/>
    </row>
    <row r="2063" customFormat="false" ht="15" hidden="false" customHeight="false" outlineLevel="0" collapsed="false">
      <c r="A2063" s="7" t="s">
        <v>13042</v>
      </c>
      <c r="B2063" s="7" t="s">
        <v>13043</v>
      </c>
      <c r="C2063" s="7" t="s">
        <v>13044</v>
      </c>
      <c r="D2063" s="7" t="s">
        <v>1712</v>
      </c>
      <c r="E2063" s="7" t="s">
        <v>101</v>
      </c>
      <c r="F2063" s="7" t="s">
        <v>101</v>
      </c>
      <c r="G2063" s="7"/>
      <c r="H2063" s="7" t="s">
        <v>102</v>
      </c>
      <c r="I2063" s="7" t="s">
        <v>132</v>
      </c>
      <c r="J2063" s="7" t="s">
        <v>1651</v>
      </c>
      <c r="K2063" s="7" t="s">
        <v>476</v>
      </c>
      <c r="L2063" s="7" t="s">
        <v>106</v>
      </c>
      <c r="M2063" s="7"/>
      <c r="N2063" s="7" t="s">
        <v>13045</v>
      </c>
      <c r="O2063" s="7" t="s">
        <v>13045</v>
      </c>
      <c r="P2063" s="7" t="s">
        <v>135</v>
      </c>
      <c r="Q2063" s="7"/>
      <c r="R2063" s="7" t="s">
        <v>109</v>
      </c>
      <c r="S2063" s="7" t="s">
        <v>110</v>
      </c>
      <c r="T2063" s="7" t="n">
        <v>0.207</v>
      </c>
      <c r="U2063" s="7" t="n">
        <v>0</v>
      </c>
      <c r="V2063" s="7"/>
      <c r="W2063" s="7"/>
      <c r="X2063" s="7"/>
      <c r="Y2063" s="7"/>
      <c r="Z2063" s="7"/>
      <c r="AA2063" s="7"/>
      <c r="AB2063" s="7"/>
      <c r="AC2063" s="7" t="n">
        <v>0</v>
      </c>
      <c r="AD2063" s="7" t="s">
        <v>388</v>
      </c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7"/>
      <c r="BE2063" s="7" t="s">
        <v>127</v>
      </c>
      <c r="BF2063" s="8"/>
      <c r="BG2063" s="8"/>
      <c r="BH2063" s="8"/>
      <c r="BI2063" s="8"/>
      <c r="BJ2063" s="8"/>
      <c r="BK2063" s="8"/>
      <c r="BL2063" s="8"/>
      <c r="BM2063" s="8"/>
      <c r="BN2063" s="8"/>
      <c r="BO2063" s="8"/>
      <c r="BP2063" s="8"/>
      <c r="BQ2063" s="8"/>
      <c r="BR2063" s="8"/>
      <c r="BS2063" s="8"/>
    </row>
    <row r="2064" customFormat="false" ht="15" hidden="false" customHeight="false" outlineLevel="0" collapsed="false">
      <c r="A2064" s="7" t="s">
        <v>13046</v>
      </c>
      <c r="B2064" s="7" t="s">
        <v>13047</v>
      </c>
      <c r="C2064" s="7" t="s">
        <v>13048</v>
      </c>
      <c r="D2064" s="7" t="s">
        <v>671</v>
      </c>
      <c r="E2064" s="7" t="s">
        <v>101</v>
      </c>
      <c r="F2064" s="7" t="s">
        <v>101</v>
      </c>
      <c r="G2064" s="7"/>
      <c r="H2064" s="7" t="s">
        <v>207</v>
      </c>
      <c r="I2064" s="7" t="s">
        <v>132</v>
      </c>
      <c r="J2064" s="7" t="s">
        <v>1651</v>
      </c>
      <c r="K2064" s="7" t="s">
        <v>476</v>
      </c>
      <c r="L2064" s="7" t="s">
        <v>106</v>
      </c>
      <c r="M2064" s="7"/>
      <c r="N2064" s="7" t="s">
        <v>13049</v>
      </c>
      <c r="O2064" s="7"/>
      <c r="P2064" s="7" t="s">
        <v>135</v>
      </c>
      <c r="Q2064" s="7"/>
      <c r="R2064" s="7"/>
      <c r="S2064" s="7"/>
      <c r="T2064" s="7"/>
      <c r="U2064" s="7" t="n">
        <v>0</v>
      </c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7"/>
      <c r="BC2064" s="7"/>
      <c r="BD2064" s="7"/>
      <c r="BE2064" s="7" t="s">
        <v>127</v>
      </c>
      <c r="BF2064" s="8"/>
      <c r="BG2064" s="8"/>
      <c r="BH2064" s="8"/>
      <c r="BI2064" s="8"/>
      <c r="BJ2064" s="8"/>
      <c r="BK2064" s="8"/>
      <c r="BL2064" s="8"/>
      <c r="BM2064" s="8"/>
      <c r="BN2064" s="8"/>
      <c r="BO2064" s="8"/>
      <c r="BP2064" s="8"/>
      <c r="BQ2064" s="8"/>
      <c r="BR2064" s="8"/>
      <c r="BS2064" s="8"/>
    </row>
    <row r="2065" customFormat="false" ht="15" hidden="false" customHeight="false" outlineLevel="0" collapsed="false">
      <c r="A2065" s="7" t="s">
        <v>13050</v>
      </c>
      <c r="B2065" s="7" t="s">
        <v>13051</v>
      </c>
      <c r="C2065" s="7" t="s">
        <v>13052</v>
      </c>
      <c r="D2065" s="7" t="s">
        <v>1374</v>
      </c>
      <c r="E2065" s="7" t="s">
        <v>101</v>
      </c>
      <c r="F2065" s="7" t="s">
        <v>82</v>
      </c>
      <c r="G2065" s="7"/>
      <c r="H2065" s="7" t="s">
        <v>102</v>
      </c>
      <c r="I2065" s="7" t="s">
        <v>1104</v>
      </c>
      <c r="J2065" s="7" t="s">
        <v>568</v>
      </c>
      <c r="K2065" s="7" t="s">
        <v>476</v>
      </c>
      <c r="L2065" s="7" t="s">
        <v>106</v>
      </c>
      <c r="M2065" s="7"/>
      <c r="N2065" s="7" t="s">
        <v>13053</v>
      </c>
      <c r="O2065" s="7" t="s">
        <v>13053</v>
      </c>
      <c r="P2065" s="7" t="s">
        <v>135</v>
      </c>
      <c r="Q2065" s="7"/>
      <c r="R2065" s="7" t="s">
        <v>109</v>
      </c>
      <c r="S2065" s="7" t="s">
        <v>110</v>
      </c>
      <c r="T2065" s="7" t="n">
        <v>0.309</v>
      </c>
      <c r="U2065" s="7" t="n">
        <v>0</v>
      </c>
      <c r="V2065" s="7"/>
      <c r="W2065" s="7"/>
      <c r="X2065" s="7"/>
      <c r="Y2065" s="7"/>
      <c r="Z2065" s="7"/>
      <c r="AA2065" s="7"/>
      <c r="AB2065" s="7"/>
      <c r="AC2065" s="7" t="n">
        <v>0</v>
      </c>
      <c r="AD2065" s="7" t="s">
        <v>388</v>
      </c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 t="s">
        <v>220</v>
      </c>
      <c r="BE2065" s="7" t="s">
        <v>127</v>
      </c>
      <c r="BF2065" s="8"/>
      <c r="BG2065" s="8"/>
      <c r="BH2065" s="8"/>
      <c r="BI2065" s="8"/>
      <c r="BJ2065" s="8"/>
      <c r="BK2065" s="8"/>
      <c r="BL2065" s="8"/>
      <c r="BM2065" s="8"/>
      <c r="BN2065" s="8"/>
      <c r="BO2065" s="8"/>
      <c r="BP2065" s="8"/>
      <c r="BQ2065" s="8"/>
      <c r="BR2065" s="8"/>
      <c r="BS2065" s="8"/>
    </row>
    <row r="2066" customFormat="false" ht="15" hidden="false" customHeight="false" outlineLevel="0" collapsed="false">
      <c r="A2066" s="7" t="s">
        <v>13054</v>
      </c>
      <c r="B2066" s="7" t="s">
        <v>13055</v>
      </c>
      <c r="C2066" s="7" t="s">
        <v>13056</v>
      </c>
      <c r="D2066" s="7" t="s">
        <v>1244</v>
      </c>
      <c r="E2066" s="7" t="s">
        <v>101</v>
      </c>
      <c r="F2066" s="7" t="s">
        <v>101</v>
      </c>
      <c r="G2066" s="7"/>
      <c r="H2066" s="7" t="s">
        <v>102</v>
      </c>
      <c r="I2066" s="7" t="s">
        <v>158</v>
      </c>
      <c r="J2066" s="7" t="s">
        <v>568</v>
      </c>
      <c r="K2066" s="7" t="s">
        <v>476</v>
      </c>
      <c r="L2066" s="7" t="s">
        <v>106</v>
      </c>
      <c r="M2066" s="7"/>
      <c r="N2066" s="7" t="s">
        <v>13057</v>
      </c>
      <c r="O2066" s="7"/>
      <c r="P2066" s="7" t="s">
        <v>135</v>
      </c>
      <c r="Q2066" s="7"/>
      <c r="R2066" s="7" t="s">
        <v>135</v>
      </c>
      <c r="S2066" s="7" t="s">
        <v>136</v>
      </c>
      <c r="T2066" s="7" t="n">
        <v>0.658</v>
      </c>
      <c r="U2066" s="7" t="n">
        <v>0</v>
      </c>
      <c r="V2066" s="7"/>
      <c r="W2066" s="7"/>
      <c r="X2066" s="7"/>
      <c r="Y2066" s="7"/>
      <c r="Z2066" s="7"/>
      <c r="AA2066" s="7"/>
      <c r="AB2066" s="7"/>
      <c r="AC2066" s="7" t="n">
        <v>0</v>
      </c>
      <c r="AD2066" s="7" t="s">
        <v>388</v>
      </c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 t="s">
        <v>1246</v>
      </c>
      <c r="BE2066" s="7" t="s">
        <v>127</v>
      </c>
      <c r="BF2066" s="8"/>
      <c r="BG2066" s="8"/>
      <c r="BH2066" s="8"/>
      <c r="BI2066" s="8"/>
      <c r="BJ2066" s="8"/>
      <c r="BK2066" s="8"/>
      <c r="BL2066" s="8"/>
      <c r="BM2066" s="8"/>
      <c r="BN2066" s="8"/>
      <c r="BO2066" s="8"/>
      <c r="BP2066" s="8"/>
      <c r="BQ2066" s="8"/>
      <c r="BR2066" s="8"/>
      <c r="BS2066" s="8"/>
    </row>
    <row r="2067" customFormat="false" ht="15" hidden="false" customHeight="false" outlineLevel="0" collapsed="false">
      <c r="A2067" s="7" t="s">
        <v>13058</v>
      </c>
      <c r="B2067" s="7" t="s">
        <v>13059</v>
      </c>
      <c r="C2067" s="7" t="s">
        <v>13060</v>
      </c>
      <c r="D2067" s="7" t="s">
        <v>13060</v>
      </c>
      <c r="E2067" s="7"/>
      <c r="F2067" s="7" t="s">
        <v>101</v>
      </c>
      <c r="G2067" s="7"/>
      <c r="H2067" s="7" t="s">
        <v>102</v>
      </c>
      <c r="I2067" s="7" t="s">
        <v>132</v>
      </c>
      <c r="J2067" s="7" t="s">
        <v>568</v>
      </c>
      <c r="K2067" s="7" t="s">
        <v>569</v>
      </c>
      <c r="L2067" s="7" t="s">
        <v>106</v>
      </c>
      <c r="M2067" s="7"/>
      <c r="N2067" s="7" t="s">
        <v>13061</v>
      </c>
      <c r="O2067" s="7"/>
      <c r="P2067" s="7" t="s">
        <v>135</v>
      </c>
      <c r="Q2067" s="7"/>
      <c r="R2067" s="7"/>
      <c r="S2067" s="7"/>
      <c r="T2067" s="7"/>
      <c r="U2067" s="7" t="n">
        <v>0</v>
      </c>
      <c r="V2067" s="7"/>
      <c r="W2067" s="7"/>
      <c r="X2067" s="7"/>
      <c r="Y2067" s="7"/>
      <c r="Z2067" s="7"/>
      <c r="AA2067" s="7" t="s">
        <v>572</v>
      </c>
      <c r="AB2067" s="7" t="s">
        <v>573</v>
      </c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 t="s">
        <v>13062</v>
      </c>
      <c r="BE2067" s="7" t="s">
        <v>1088</v>
      </c>
      <c r="BF2067" s="8"/>
      <c r="BG2067" s="8"/>
      <c r="BH2067" s="8"/>
      <c r="BI2067" s="8"/>
      <c r="BJ2067" s="8"/>
      <c r="BK2067" s="8"/>
      <c r="BL2067" s="8"/>
      <c r="BM2067" s="8"/>
      <c r="BN2067" s="8"/>
      <c r="BO2067" s="8"/>
      <c r="BP2067" s="8"/>
      <c r="BQ2067" s="8"/>
      <c r="BR2067" s="8"/>
      <c r="BS2067" s="8"/>
    </row>
    <row r="2068" customFormat="false" ht="15" hidden="false" customHeight="false" outlineLevel="0" collapsed="false">
      <c r="A2068" s="7" t="s">
        <v>13063</v>
      </c>
      <c r="B2068" s="7" t="s">
        <v>13064</v>
      </c>
      <c r="C2068" s="7" t="s">
        <v>13065</v>
      </c>
      <c r="D2068" s="7" t="s">
        <v>5513</v>
      </c>
      <c r="E2068" s="7" t="s">
        <v>737</v>
      </c>
      <c r="F2068" s="7" t="s">
        <v>737</v>
      </c>
      <c r="G2068" s="7"/>
      <c r="H2068" s="7" t="s">
        <v>207</v>
      </c>
      <c r="I2068" s="7" t="s">
        <v>208</v>
      </c>
      <c r="J2068" s="7" t="s">
        <v>568</v>
      </c>
      <c r="K2068" s="7" t="s">
        <v>569</v>
      </c>
      <c r="L2068" s="7" t="s">
        <v>106</v>
      </c>
      <c r="M2068" s="7"/>
      <c r="N2068" s="7" t="s">
        <v>13066</v>
      </c>
      <c r="O2068" s="7"/>
      <c r="P2068" s="7" t="s">
        <v>135</v>
      </c>
      <c r="Q2068" s="7"/>
      <c r="R2068" s="7" t="s">
        <v>135</v>
      </c>
      <c r="S2068" s="7" t="s">
        <v>136</v>
      </c>
      <c r="T2068" s="7" t="n">
        <v>0.471</v>
      </c>
      <c r="U2068" s="7" t="n">
        <v>0</v>
      </c>
      <c r="V2068" s="7"/>
      <c r="W2068" s="7"/>
      <c r="X2068" s="7"/>
      <c r="Y2068" s="7"/>
      <c r="Z2068" s="7"/>
      <c r="AA2068" s="7" t="s">
        <v>572</v>
      </c>
      <c r="AB2068" s="7" t="s">
        <v>573</v>
      </c>
      <c r="AC2068" s="7" t="n">
        <v>0</v>
      </c>
      <c r="AD2068" s="7" t="s">
        <v>388</v>
      </c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7"/>
      <c r="BC2068" s="7"/>
      <c r="BD2068" s="7" t="s">
        <v>13067</v>
      </c>
      <c r="BE2068" s="7" t="s">
        <v>1088</v>
      </c>
      <c r="BF2068" s="8"/>
      <c r="BG2068" s="8"/>
      <c r="BH2068" s="8"/>
      <c r="BI2068" s="8"/>
      <c r="BJ2068" s="8"/>
      <c r="BK2068" s="8"/>
      <c r="BL2068" s="8"/>
      <c r="BM2068" s="8"/>
      <c r="BN2068" s="8"/>
      <c r="BO2068" s="8"/>
      <c r="BP2068" s="8"/>
      <c r="BQ2068" s="8"/>
      <c r="BR2068" s="8"/>
      <c r="BS2068" s="8"/>
    </row>
    <row r="2069" customFormat="false" ht="15" hidden="false" customHeight="false" outlineLevel="0" collapsed="false">
      <c r="A2069" s="7" t="s">
        <v>13068</v>
      </c>
      <c r="B2069" s="7" t="s">
        <v>13069</v>
      </c>
      <c r="C2069" s="7" t="s">
        <v>13070</v>
      </c>
      <c r="D2069" s="7" t="s">
        <v>13070</v>
      </c>
      <c r="E2069" s="7"/>
      <c r="F2069" s="7" t="s">
        <v>101</v>
      </c>
      <c r="G2069" s="7"/>
      <c r="H2069" s="7" t="s">
        <v>102</v>
      </c>
      <c r="I2069" s="7" t="s">
        <v>132</v>
      </c>
      <c r="J2069" s="7" t="s">
        <v>568</v>
      </c>
      <c r="K2069" s="7" t="s">
        <v>569</v>
      </c>
      <c r="L2069" s="7" t="s">
        <v>106</v>
      </c>
      <c r="M2069" s="7"/>
      <c r="N2069" s="7" t="s">
        <v>13071</v>
      </c>
      <c r="O2069" s="7"/>
      <c r="P2069" s="7" t="s">
        <v>135</v>
      </c>
      <c r="Q2069" s="7"/>
      <c r="R2069" s="7"/>
      <c r="S2069" s="7"/>
      <c r="T2069" s="7"/>
      <c r="U2069" s="7" t="n">
        <v>0</v>
      </c>
      <c r="V2069" s="7"/>
      <c r="W2069" s="7"/>
      <c r="X2069" s="7"/>
      <c r="Y2069" s="7"/>
      <c r="Z2069" s="7"/>
      <c r="AA2069" s="7" t="s">
        <v>572</v>
      </c>
      <c r="AB2069" s="7" t="s">
        <v>573</v>
      </c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 t="s">
        <v>13072</v>
      </c>
      <c r="BE2069" s="7" t="s">
        <v>1252</v>
      </c>
      <c r="BF2069" s="8"/>
      <c r="BG2069" s="8"/>
      <c r="BH2069" s="8"/>
      <c r="BI2069" s="8"/>
      <c r="BJ2069" s="8"/>
      <c r="BK2069" s="8"/>
      <c r="BL2069" s="8"/>
      <c r="BM2069" s="8"/>
      <c r="BN2069" s="8"/>
      <c r="BO2069" s="8"/>
      <c r="BP2069" s="8"/>
      <c r="BQ2069" s="8"/>
      <c r="BR2069" s="8"/>
      <c r="BS2069" s="8"/>
    </row>
    <row r="2070" customFormat="false" ht="15" hidden="false" customHeight="false" outlineLevel="0" collapsed="false">
      <c r="A2070" s="7" t="s">
        <v>13073</v>
      </c>
      <c r="B2070" s="7" t="s">
        <v>13074</v>
      </c>
      <c r="C2070" s="7" t="s">
        <v>13075</v>
      </c>
      <c r="D2070" s="7" t="s">
        <v>13075</v>
      </c>
      <c r="E2070" s="7"/>
      <c r="F2070" s="7" t="s">
        <v>101</v>
      </c>
      <c r="G2070" s="7"/>
      <c r="H2070" s="7" t="s">
        <v>102</v>
      </c>
      <c r="I2070" s="7" t="s">
        <v>132</v>
      </c>
      <c r="J2070" s="7" t="s">
        <v>568</v>
      </c>
      <c r="K2070" s="7" t="s">
        <v>569</v>
      </c>
      <c r="L2070" s="7" t="s">
        <v>106</v>
      </c>
      <c r="M2070" s="7"/>
      <c r="N2070" s="7" t="s">
        <v>13076</v>
      </c>
      <c r="O2070" s="7"/>
      <c r="P2070" s="7" t="s">
        <v>135</v>
      </c>
      <c r="Q2070" s="7"/>
      <c r="R2070" s="7"/>
      <c r="S2070" s="7"/>
      <c r="T2070" s="7"/>
      <c r="U2070" s="7" t="n">
        <v>0</v>
      </c>
      <c r="V2070" s="7"/>
      <c r="W2070" s="7"/>
      <c r="X2070" s="7"/>
      <c r="Y2070" s="7"/>
      <c r="Z2070" s="7"/>
      <c r="AA2070" s="7" t="s">
        <v>572</v>
      </c>
      <c r="AB2070" s="7" t="s">
        <v>573</v>
      </c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 t="s">
        <v>13077</v>
      </c>
      <c r="BE2070" s="7" t="s">
        <v>1088</v>
      </c>
      <c r="BF2070" s="8"/>
      <c r="BG2070" s="8"/>
      <c r="BH2070" s="8"/>
      <c r="BI2070" s="8"/>
      <c r="BJ2070" s="8"/>
      <c r="BK2070" s="8"/>
      <c r="BL2070" s="8"/>
      <c r="BM2070" s="8"/>
      <c r="BN2070" s="8"/>
      <c r="BO2070" s="8"/>
      <c r="BP2070" s="8"/>
      <c r="BQ2070" s="8"/>
      <c r="BR2070" s="8"/>
      <c r="BS2070" s="8"/>
    </row>
    <row r="2071" customFormat="false" ht="15" hidden="false" customHeight="false" outlineLevel="0" collapsed="false">
      <c r="A2071" s="7" t="s">
        <v>13078</v>
      </c>
      <c r="B2071" s="7" t="s">
        <v>13079</v>
      </c>
      <c r="C2071" s="7" t="s">
        <v>13080</v>
      </c>
      <c r="D2071" s="7" t="s">
        <v>671</v>
      </c>
      <c r="E2071" s="7" t="s">
        <v>101</v>
      </c>
      <c r="F2071" s="7" t="s">
        <v>101</v>
      </c>
      <c r="G2071" s="7"/>
      <c r="H2071" s="7" t="s">
        <v>207</v>
      </c>
      <c r="I2071" s="7" t="s">
        <v>132</v>
      </c>
      <c r="J2071" s="7" t="s">
        <v>568</v>
      </c>
      <c r="K2071" s="7" t="s">
        <v>476</v>
      </c>
      <c r="L2071" s="7" t="s">
        <v>106</v>
      </c>
      <c r="M2071" s="7"/>
      <c r="N2071" s="7" t="s">
        <v>13081</v>
      </c>
      <c r="O2071" s="7"/>
      <c r="P2071" s="7" t="s">
        <v>135</v>
      </c>
      <c r="Q2071" s="7"/>
      <c r="R2071" s="7"/>
      <c r="S2071" s="7"/>
      <c r="T2071" s="7"/>
      <c r="U2071" s="7" t="n">
        <v>0</v>
      </c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7"/>
      <c r="BE2071" s="7" t="s">
        <v>127</v>
      </c>
      <c r="BF2071" s="8"/>
      <c r="BG2071" s="8"/>
      <c r="BH2071" s="8"/>
      <c r="BI2071" s="8"/>
      <c r="BJ2071" s="8"/>
      <c r="BK2071" s="8"/>
      <c r="BL2071" s="8"/>
      <c r="BM2071" s="8"/>
      <c r="BN2071" s="8"/>
      <c r="BO2071" s="8"/>
      <c r="BP2071" s="8"/>
      <c r="BQ2071" s="8"/>
      <c r="BR2071" s="8"/>
      <c r="BS2071" s="8"/>
    </row>
    <row r="2072" customFormat="false" ht="15" hidden="false" customHeight="false" outlineLevel="0" collapsed="false">
      <c r="A2072" s="7" t="s">
        <v>13082</v>
      </c>
      <c r="B2072" s="7" t="s">
        <v>13083</v>
      </c>
      <c r="C2072" s="7" t="s">
        <v>13084</v>
      </c>
      <c r="D2072" s="7" t="s">
        <v>12870</v>
      </c>
      <c r="E2072" s="7" t="s">
        <v>101</v>
      </c>
      <c r="F2072" s="7" t="s">
        <v>82</v>
      </c>
      <c r="G2072" s="7"/>
      <c r="H2072" s="7" t="s">
        <v>102</v>
      </c>
      <c r="I2072" s="7" t="s">
        <v>300</v>
      </c>
      <c r="J2072" s="7" t="s">
        <v>1105</v>
      </c>
      <c r="K2072" s="7" t="s">
        <v>476</v>
      </c>
      <c r="L2072" s="7" t="s">
        <v>106</v>
      </c>
      <c r="M2072" s="7"/>
      <c r="N2072" s="7" t="s">
        <v>13085</v>
      </c>
      <c r="O2072" s="7" t="s">
        <v>13085</v>
      </c>
      <c r="P2072" s="7" t="s">
        <v>135</v>
      </c>
      <c r="Q2072" s="7"/>
      <c r="R2072" s="7" t="s">
        <v>109</v>
      </c>
      <c r="S2072" s="7" t="s">
        <v>110</v>
      </c>
      <c r="T2072" s="7" t="n">
        <v>0.797</v>
      </c>
      <c r="U2072" s="7" t="n">
        <v>0</v>
      </c>
      <c r="V2072" s="7"/>
      <c r="W2072" s="7"/>
      <c r="X2072" s="7"/>
      <c r="Y2072" s="7"/>
      <c r="Z2072" s="7"/>
      <c r="AA2072" s="7"/>
      <c r="AB2072" s="7"/>
      <c r="AC2072" s="7" t="n">
        <v>0</v>
      </c>
      <c r="AD2072" s="7" t="s">
        <v>388</v>
      </c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7"/>
      <c r="BC2072" s="7"/>
      <c r="BD2072" s="7" t="s">
        <v>220</v>
      </c>
      <c r="BE2072" s="7" t="s">
        <v>127</v>
      </c>
      <c r="BF2072" s="8"/>
      <c r="BG2072" s="8"/>
      <c r="BH2072" s="8"/>
      <c r="BI2072" s="8"/>
      <c r="BJ2072" s="8"/>
      <c r="BK2072" s="8"/>
      <c r="BL2072" s="8"/>
      <c r="BM2072" s="8"/>
      <c r="BN2072" s="8"/>
      <c r="BO2072" s="8"/>
      <c r="BP2072" s="8"/>
      <c r="BQ2072" s="8"/>
      <c r="BR2072" s="8"/>
      <c r="BS2072" s="8"/>
    </row>
    <row r="2073" customFormat="false" ht="15" hidden="false" customHeight="false" outlineLevel="0" collapsed="false">
      <c r="A2073" s="7" t="s">
        <v>13086</v>
      </c>
      <c r="B2073" s="7" t="s">
        <v>13087</v>
      </c>
      <c r="C2073" s="7" t="s">
        <v>13088</v>
      </c>
      <c r="D2073" s="7" t="s">
        <v>1092</v>
      </c>
      <c r="E2073" s="7"/>
      <c r="F2073" s="7" t="s">
        <v>101</v>
      </c>
      <c r="G2073" s="7"/>
      <c r="H2073" s="7" t="s">
        <v>102</v>
      </c>
      <c r="I2073" s="7" t="s">
        <v>1104</v>
      </c>
      <c r="J2073" s="7" t="s">
        <v>1105</v>
      </c>
      <c r="K2073" s="7" t="s">
        <v>1094</v>
      </c>
      <c r="L2073" s="7" t="s">
        <v>1106</v>
      </c>
      <c r="M2073" s="7"/>
      <c r="N2073" s="7" t="s">
        <v>1095</v>
      </c>
      <c r="O2073" s="7" t="s">
        <v>1095</v>
      </c>
      <c r="P2073" s="7" t="s">
        <v>135</v>
      </c>
      <c r="Q2073" s="7"/>
      <c r="R2073" s="7" t="s">
        <v>109</v>
      </c>
      <c r="S2073" s="7" t="s">
        <v>110</v>
      </c>
      <c r="T2073" s="7" t="n">
        <v>0.5</v>
      </c>
      <c r="U2073" s="7" t="n">
        <v>0</v>
      </c>
      <c r="V2073" s="7"/>
      <c r="W2073" s="7"/>
      <c r="X2073" s="7"/>
      <c r="Y2073" s="7"/>
      <c r="Z2073" s="7"/>
      <c r="AA2073" s="7" t="s">
        <v>572</v>
      </c>
      <c r="AB2073" s="7" t="s">
        <v>573</v>
      </c>
      <c r="AC2073" s="7" t="n">
        <v>0</v>
      </c>
      <c r="AD2073" s="7" t="s">
        <v>388</v>
      </c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7"/>
      <c r="BC2073" s="7"/>
      <c r="BD2073" s="7" t="s">
        <v>1310</v>
      </c>
      <c r="BE2073" s="7" t="s">
        <v>575</v>
      </c>
      <c r="BF2073" s="8"/>
      <c r="BG2073" s="8"/>
      <c r="BH2073" s="8"/>
      <c r="BI2073" s="8"/>
      <c r="BJ2073" s="8"/>
      <c r="BK2073" s="8"/>
      <c r="BL2073" s="8"/>
      <c r="BM2073" s="8"/>
      <c r="BN2073" s="8"/>
      <c r="BO2073" s="8"/>
      <c r="BP2073" s="8"/>
      <c r="BQ2073" s="8"/>
      <c r="BR2073" s="8"/>
      <c r="BS2073" s="8"/>
    </row>
    <row r="2074" customFormat="false" ht="15" hidden="false" customHeight="false" outlineLevel="0" collapsed="false">
      <c r="A2074" s="7" t="s">
        <v>13089</v>
      </c>
      <c r="B2074" s="7" t="s">
        <v>13090</v>
      </c>
      <c r="C2074" s="7" t="s">
        <v>13091</v>
      </c>
      <c r="D2074" s="7" t="s">
        <v>1092</v>
      </c>
      <c r="E2074" s="7"/>
      <c r="F2074" s="7" t="s">
        <v>101</v>
      </c>
      <c r="G2074" s="7"/>
      <c r="H2074" s="7" t="s">
        <v>102</v>
      </c>
      <c r="I2074" s="7" t="s">
        <v>1104</v>
      </c>
      <c r="J2074" s="7" t="s">
        <v>1105</v>
      </c>
      <c r="K2074" s="7" t="s">
        <v>1094</v>
      </c>
      <c r="L2074" s="7" t="s">
        <v>1106</v>
      </c>
      <c r="M2074" s="7"/>
      <c r="N2074" s="7" t="s">
        <v>1095</v>
      </c>
      <c r="O2074" s="7"/>
      <c r="P2074" s="7" t="s">
        <v>135</v>
      </c>
      <c r="Q2074" s="7"/>
      <c r="R2074" s="7"/>
      <c r="S2074" s="7"/>
      <c r="T2074" s="7"/>
      <c r="U2074" s="7" t="n">
        <v>0</v>
      </c>
      <c r="V2074" s="7"/>
      <c r="W2074" s="7"/>
      <c r="X2074" s="7"/>
      <c r="Y2074" s="7"/>
      <c r="Z2074" s="7"/>
      <c r="AA2074" s="7" t="s">
        <v>572</v>
      </c>
      <c r="AB2074" s="7" t="s">
        <v>573</v>
      </c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 t="s">
        <v>1310</v>
      </c>
      <c r="BE2074" s="7" t="s">
        <v>575</v>
      </c>
      <c r="BF2074" s="8"/>
      <c r="BG2074" s="8"/>
      <c r="BH2074" s="8"/>
      <c r="BI2074" s="8"/>
      <c r="BJ2074" s="8"/>
      <c r="BK2074" s="8"/>
      <c r="BL2074" s="8"/>
      <c r="BM2074" s="8"/>
      <c r="BN2074" s="8"/>
      <c r="BO2074" s="8"/>
      <c r="BP2074" s="8"/>
      <c r="BQ2074" s="8"/>
      <c r="BR2074" s="8"/>
      <c r="BS2074" s="8"/>
    </row>
    <row r="2075" customFormat="false" ht="15" hidden="false" customHeight="false" outlineLevel="0" collapsed="false">
      <c r="A2075" s="7" t="s">
        <v>13092</v>
      </c>
      <c r="B2075" s="7" t="s">
        <v>13093</v>
      </c>
      <c r="C2075" s="7" t="s">
        <v>13094</v>
      </c>
      <c r="D2075" s="7" t="s">
        <v>13095</v>
      </c>
      <c r="E2075" s="7"/>
      <c r="F2075" s="7" t="s">
        <v>156</v>
      </c>
      <c r="G2075" s="7"/>
      <c r="H2075" s="7" t="s">
        <v>157</v>
      </c>
      <c r="I2075" s="7" t="s">
        <v>132</v>
      </c>
      <c r="J2075" s="7" t="s">
        <v>159</v>
      </c>
      <c r="K2075" s="7" t="s">
        <v>1078</v>
      </c>
      <c r="L2075" s="7" t="s">
        <v>106</v>
      </c>
      <c r="M2075" s="7"/>
      <c r="N2075" s="7" t="s">
        <v>13096</v>
      </c>
      <c r="O2075" s="7"/>
      <c r="P2075" s="7" t="s">
        <v>135</v>
      </c>
      <c r="Q2075" s="7"/>
      <c r="R2075" s="7" t="s">
        <v>135</v>
      </c>
      <c r="S2075" s="7" t="s">
        <v>136</v>
      </c>
      <c r="T2075" s="7" t="n">
        <v>0.336</v>
      </c>
      <c r="U2075" s="7" t="n">
        <v>0</v>
      </c>
      <c r="V2075" s="7"/>
      <c r="W2075" s="7"/>
      <c r="X2075" s="7"/>
      <c r="Y2075" s="7"/>
      <c r="Z2075" s="7"/>
      <c r="AA2075" s="7" t="s">
        <v>572</v>
      </c>
      <c r="AB2075" s="7" t="s">
        <v>573</v>
      </c>
      <c r="AC2075" s="7" t="n">
        <v>11</v>
      </c>
      <c r="AD2075" s="7" t="s">
        <v>335</v>
      </c>
      <c r="AE2075" s="7" t="s">
        <v>166</v>
      </c>
      <c r="AF2075" s="7" t="s">
        <v>13097</v>
      </c>
      <c r="AG2075" s="7" t="s">
        <v>115</v>
      </c>
      <c r="AH2075" s="7"/>
      <c r="AI2075" s="7"/>
      <c r="AJ2075" s="7"/>
      <c r="AK2075" s="7" t="s">
        <v>115</v>
      </c>
      <c r="AL2075" s="7"/>
      <c r="AM2075" s="7" t="s">
        <v>166</v>
      </c>
      <c r="AN2075" s="7" t="s">
        <v>13098</v>
      </c>
      <c r="AO2075" s="7" t="s">
        <v>166</v>
      </c>
      <c r="AP2075" s="7" t="s">
        <v>13099</v>
      </c>
      <c r="AQ2075" s="7" t="s">
        <v>166</v>
      </c>
      <c r="AR2075" s="7" t="s">
        <v>13100</v>
      </c>
      <c r="AS2075" s="7" t="s">
        <v>166</v>
      </c>
      <c r="AT2075" s="7" t="s">
        <v>13101</v>
      </c>
      <c r="AU2075" s="7" t="s">
        <v>166</v>
      </c>
      <c r="AV2075" s="7" t="s">
        <v>13102</v>
      </c>
      <c r="AW2075" s="7" t="s">
        <v>166</v>
      </c>
      <c r="AX2075" s="7" t="s">
        <v>13103</v>
      </c>
      <c r="AY2075" s="7" t="s">
        <v>166</v>
      </c>
      <c r="AZ2075" s="7" t="s">
        <v>13104</v>
      </c>
      <c r="BA2075" s="7" t="s">
        <v>166</v>
      </c>
      <c r="BB2075" s="7" t="s">
        <v>13105</v>
      </c>
      <c r="BC2075" s="7" t="s">
        <v>707</v>
      </c>
      <c r="BD2075" s="7" t="s">
        <v>13106</v>
      </c>
      <c r="BE2075" s="7" t="s">
        <v>1088</v>
      </c>
      <c r="BF2075" s="8"/>
      <c r="BG2075" s="8"/>
      <c r="BH2075" s="8"/>
      <c r="BI2075" s="8"/>
      <c r="BJ2075" s="8"/>
      <c r="BK2075" s="8"/>
      <c r="BL2075" s="8"/>
      <c r="BM2075" s="8"/>
      <c r="BN2075" s="8"/>
      <c r="BO2075" s="8"/>
      <c r="BP2075" s="8"/>
      <c r="BQ2075" s="8"/>
      <c r="BR2075" s="8"/>
      <c r="BS2075" s="8"/>
    </row>
    <row r="2076" customFormat="false" ht="15" hidden="false" customHeight="false" outlineLevel="0" collapsed="false">
      <c r="A2076" s="7" t="s">
        <v>13107</v>
      </c>
      <c r="B2076" s="7" t="s">
        <v>13108</v>
      </c>
      <c r="C2076" s="7" t="s">
        <v>13109</v>
      </c>
      <c r="D2076" s="7" t="s">
        <v>13110</v>
      </c>
      <c r="E2076" s="7"/>
      <c r="F2076" s="7" t="s">
        <v>156</v>
      </c>
      <c r="G2076" s="7"/>
      <c r="H2076" s="7" t="s">
        <v>157</v>
      </c>
      <c r="I2076" s="7" t="s">
        <v>132</v>
      </c>
      <c r="J2076" s="7" t="s">
        <v>159</v>
      </c>
      <c r="K2076" s="7" t="s">
        <v>1078</v>
      </c>
      <c r="L2076" s="7" t="s">
        <v>106</v>
      </c>
      <c r="M2076" s="7"/>
      <c r="N2076" s="7" t="s">
        <v>13111</v>
      </c>
      <c r="O2076" s="7"/>
      <c r="P2076" s="7" t="s">
        <v>135</v>
      </c>
      <c r="Q2076" s="7"/>
      <c r="R2076" s="7" t="s">
        <v>135</v>
      </c>
      <c r="S2076" s="7" t="s">
        <v>136</v>
      </c>
      <c r="T2076" s="7" t="n">
        <v>0.438</v>
      </c>
      <c r="U2076" s="7" t="n">
        <v>0</v>
      </c>
      <c r="V2076" s="7"/>
      <c r="W2076" s="7"/>
      <c r="X2076" s="7"/>
      <c r="Y2076" s="7"/>
      <c r="Z2076" s="7"/>
      <c r="AA2076" s="7" t="s">
        <v>572</v>
      </c>
      <c r="AB2076" s="7" t="s">
        <v>573</v>
      </c>
      <c r="AC2076" s="7" t="n">
        <v>12</v>
      </c>
      <c r="AD2076" s="7"/>
      <c r="AE2076" s="7" t="s">
        <v>115</v>
      </c>
      <c r="AF2076" s="7"/>
      <c r="AG2076" s="7" t="s">
        <v>115</v>
      </c>
      <c r="AH2076" s="7"/>
      <c r="AI2076" s="7" t="s">
        <v>115</v>
      </c>
      <c r="AJ2076" s="7"/>
      <c r="AK2076" s="7" t="s">
        <v>115</v>
      </c>
      <c r="AL2076" s="7"/>
      <c r="AM2076" s="7" t="s">
        <v>115</v>
      </c>
      <c r="AN2076" s="7"/>
      <c r="AO2076" s="7" t="s">
        <v>166</v>
      </c>
      <c r="AP2076" s="7" t="s">
        <v>13110</v>
      </c>
      <c r="AQ2076" s="7" t="s">
        <v>166</v>
      </c>
      <c r="AR2076" s="7" t="s">
        <v>13112</v>
      </c>
      <c r="AS2076" s="7" t="s">
        <v>166</v>
      </c>
      <c r="AT2076" s="7" t="s">
        <v>13101</v>
      </c>
      <c r="AU2076" s="7" t="s">
        <v>115</v>
      </c>
      <c r="AV2076" s="7"/>
      <c r="AW2076" s="7" t="s">
        <v>115</v>
      </c>
      <c r="AX2076" s="7"/>
      <c r="AY2076" s="7" t="s">
        <v>115</v>
      </c>
      <c r="AZ2076" s="7"/>
      <c r="BA2076" s="7" t="s">
        <v>115</v>
      </c>
      <c r="BB2076" s="7"/>
      <c r="BC2076" s="7" t="s">
        <v>178</v>
      </c>
      <c r="BD2076" s="7" t="s">
        <v>13113</v>
      </c>
      <c r="BE2076" s="7" t="s">
        <v>1088</v>
      </c>
      <c r="BF2076" s="8"/>
      <c r="BG2076" s="8"/>
      <c r="BH2076" s="8"/>
      <c r="BI2076" s="8"/>
      <c r="BJ2076" s="8"/>
      <c r="BK2076" s="8"/>
      <c r="BL2076" s="8"/>
      <c r="BM2076" s="8"/>
      <c r="BN2076" s="8"/>
      <c r="BO2076" s="8"/>
      <c r="BP2076" s="8"/>
      <c r="BQ2076" s="8"/>
      <c r="BR2076" s="8"/>
      <c r="BS2076" s="8"/>
    </row>
    <row r="2077" customFormat="false" ht="15" hidden="false" customHeight="false" outlineLevel="0" collapsed="false">
      <c r="A2077" s="7" t="s">
        <v>13114</v>
      </c>
      <c r="B2077" s="7" t="s">
        <v>13115</v>
      </c>
      <c r="C2077" s="7" t="s">
        <v>13116</v>
      </c>
      <c r="D2077" s="7" t="s">
        <v>13116</v>
      </c>
      <c r="E2077" s="7"/>
      <c r="F2077" s="7" t="s">
        <v>156</v>
      </c>
      <c r="G2077" s="7"/>
      <c r="H2077" s="7" t="s">
        <v>157</v>
      </c>
      <c r="I2077" s="7" t="s">
        <v>300</v>
      </c>
      <c r="J2077" s="7" t="s">
        <v>159</v>
      </c>
      <c r="K2077" s="7" t="s">
        <v>1078</v>
      </c>
      <c r="L2077" s="7" t="s">
        <v>106</v>
      </c>
      <c r="M2077" s="7"/>
      <c r="N2077" s="7" t="s">
        <v>13117</v>
      </c>
      <c r="O2077" s="7"/>
      <c r="P2077" s="7" t="s">
        <v>109</v>
      </c>
      <c r="Q2077" s="7"/>
      <c r="R2077" s="7" t="s">
        <v>135</v>
      </c>
      <c r="S2077" s="7" t="s">
        <v>136</v>
      </c>
      <c r="T2077" s="7" t="n">
        <v>0.601</v>
      </c>
      <c r="U2077" s="7" t="n">
        <v>1</v>
      </c>
      <c r="V2077" s="7" t="s">
        <v>1156</v>
      </c>
      <c r="W2077" s="7"/>
      <c r="X2077" s="7"/>
      <c r="Y2077" s="7" t="s">
        <v>13118</v>
      </c>
      <c r="Z2077" s="7"/>
      <c r="AA2077" s="7" t="s">
        <v>572</v>
      </c>
      <c r="AB2077" s="7" t="s">
        <v>573</v>
      </c>
      <c r="AC2077" s="7" t="n">
        <v>10</v>
      </c>
      <c r="AD2077" s="7" t="s">
        <v>13119</v>
      </c>
      <c r="AE2077" s="7" t="s">
        <v>166</v>
      </c>
      <c r="AF2077" s="7" t="s">
        <v>13120</v>
      </c>
      <c r="AG2077" s="7" t="s">
        <v>115</v>
      </c>
      <c r="AH2077" s="7"/>
      <c r="AI2077" s="7" t="s">
        <v>166</v>
      </c>
      <c r="AJ2077" s="7" t="s">
        <v>13121</v>
      </c>
      <c r="AK2077" s="7" t="s">
        <v>115</v>
      </c>
      <c r="AL2077" s="7"/>
      <c r="AM2077" s="7"/>
      <c r="AN2077" s="7"/>
      <c r="AO2077" s="7" t="s">
        <v>166</v>
      </c>
      <c r="AP2077" s="7" t="s">
        <v>13116</v>
      </c>
      <c r="AQ2077" s="7" t="s">
        <v>166</v>
      </c>
      <c r="AR2077" s="7" t="s">
        <v>13122</v>
      </c>
      <c r="AS2077" s="7" t="s">
        <v>166</v>
      </c>
      <c r="AT2077" s="7" t="s">
        <v>13123</v>
      </c>
      <c r="AU2077" s="7" t="s">
        <v>166</v>
      </c>
      <c r="AV2077" s="7" t="s">
        <v>13124</v>
      </c>
      <c r="AW2077" s="7"/>
      <c r="AX2077" s="7"/>
      <c r="AY2077" s="7" t="s">
        <v>166</v>
      </c>
      <c r="AZ2077" s="7" t="s">
        <v>13125</v>
      </c>
      <c r="BA2077" s="7" t="s">
        <v>166</v>
      </c>
      <c r="BB2077" s="7" t="s">
        <v>13126</v>
      </c>
      <c r="BC2077" s="7" t="s">
        <v>707</v>
      </c>
      <c r="BD2077" s="7" t="s">
        <v>13127</v>
      </c>
      <c r="BE2077" s="7" t="s">
        <v>1088</v>
      </c>
      <c r="BF2077" s="8"/>
      <c r="BG2077" s="8"/>
      <c r="BH2077" s="8"/>
      <c r="BI2077" s="8"/>
      <c r="BJ2077" s="8"/>
      <c r="BK2077" s="8"/>
      <c r="BL2077" s="8"/>
      <c r="BM2077" s="8"/>
      <c r="BN2077" s="8"/>
      <c r="BO2077" s="8"/>
      <c r="BP2077" s="8"/>
      <c r="BQ2077" s="8"/>
      <c r="BR2077" s="8"/>
      <c r="BS2077" s="8"/>
    </row>
    <row r="2078" customFormat="false" ht="15" hidden="false" customHeight="false" outlineLevel="0" collapsed="false">
      <c r="A2078" s="7" t="s">
        <v>13128</v>
      </c>
      <c r="B2078" s="7" t="s">
        <v>13129</v>
      </c>
      <c r="C2078" s="7" t="s">
        <v>13130</v>
      </c>
      <c r="D2078" s="7" t="s">
        <v>13130</v>
      </c>
      <c r="E2078" s="7"/>
      <c r="F2078" s="7" t="s">
        <v>156</v>
      </c>
      <c r="G2078" s="7"/>
      <c r="H2078" s="7" t="s">
        <v>157</v>
      </c>
      <c r="I2078" s="7" t="s">
        <v>132</v>
      </c>
      <c r="J2078" s="7" t="s">
        <v>159</v>
      </c>
      <c r="K2078" s="7" t="s">
        <v>1078</v>
      </c>
      <c r="L2078" s="7" t="s">
        <v>106</v>
      </c>
      <c r="M2078" s="7"/>
      <c r="N2078" s="7" t="s">
        <v>13131</v>
      </c>
      <c r="O2078" s="7"/>
      <c r="P2078" s="7" t="s">
        <v>135</v>
      </c>
      <c r="Q2078" s="7"/>
      <c r="R2078" s="7" t="s">
        <v>135</v>
      </c>
      <c r="S2078" s="7" t="s">
        <v>136</v>
      </c>
      <c r="T2078" s="7" t="n">
        <v>0.352</v>
      </c>
      <c r="U2078" s="7" t="n">
        <v>0</v>
      </c>
      <c r="V2078" s="7"/>
      <c r="W2078" s="7"/>
      <c r="X2078" s="7"/>
      <c r="Y2078" s="7"/>
      <c r="Z2078" s="7"/>
      <c r="AA2078" s="7" t="s">
        <v>572</v>
      </c>
      <c r="AB2078" s="7" t="s">
        <v>573</v>
      </c>
      <c r="AC2078" s="7" t="n">
        <v>9</v>
      </c>
      <c r="AD2078" s="7" t="s">
        <v>13132</v>
      </c>
      <c r="AE2078" s="7" t="s">
        <v>166</v>
      </c>
      <c r="AF2078" s="7" t="s">
        <v>13133</v>
      </c>
      <c r="AG2078" s="7" t="s">
        <v>166</v>
      </c>
      <c r="AH2078" s="7" t="s">
        <v>13134</v>
      </c>
      <c r="AI2078" s="7"/>
      <c r="AJ2078" s="7"/>
      <c r="AK2078" s="7" t="s">
        <v>115</v>
      </c>
      <c r="AL2078" s="7"/>
      <c r="AM2078" s="7"/>
      <c r="AN2078" s="7"/>
      <c r="AO2078" s="7" t="s">
        <v>166</v>
      </c>
      <c r="AP2078" s="7" t="s">
        <v>13130</v>
      </c>
      <c r="AQ2078" s="7" t="s">
        <v>166</v>
      </c>
      <c r="AR2078" s="7" t="s">
        <v>13135</v>
      </c>
      <c r="AS2078" s="7" t="s">
        <v>166</v>
      </c>
      <c r="AT2078" s="7" t="s">
        <v>1331</v>
      </c>
      <c r="AU2078" s="7" t="s">
        <v>166</v>
      </c>
      <c r="AV2078" s="7" t="s">
        <v>13136</v>
      </c>
      <c r="AW2078" s="7" t="s">
        <v>166</v>
      </c>
      <c r="AX2078" s="7" t="s">
        <v>13137</v>
      </c>
      <c r="AY2078" s="7"/>
      <c r="AZ2078" s="7"/>
      <c r="BA2078" s="7" t="s">
        <v>166</v>
      </c>
      <c r="BB2078" s="7" t="s">
        <v>13138</v>
      </c>
      <c r="BC2078" s="7" t="s">
        <v>707</v>
      </c>
      <c r="BD2078" s="7" t="s">
        <v>13139</v>
      </c>
      <c r="BE2078" s="7" t="s">
        <v>1088</v>
      </c>
      <c r="BF2078" s="8"/>
      <c r="BG2078" s="8"/>
      <c r="BH2078" s="8"/>
      <c r="BI2078" s="8"/>
      <c r="BJ2078" s="8"/>
      <c r="BK2078" s="8"/>
      <c r="BL2078" s="8"/>
      <c r="BM2078" s="8"/>
      <c r="BN2078" s="8"/>
      <c r="BO2078" s="8"/>
      <c r="BP2078" s="8"/>
      <c r="BQ2078" s="8"/>
      <c r="BR2078" s="8"/>
      <c r="BS2078" s="8"/>
    </row>
    <row r="2079" customFormat="false" ht="15" hidden="false" customHeight="false" outlineLevel="0" collapsed="false">
      <c r="A2079" s="7" t="s">
        <v>13140</v>
      </c>
      <c r="B2079" s="7" t="s">
        <v>13141</v>
      </c>
      <c r="C2079" s="7" t="s">
        <v>13142</v>
      </c>
      <c r="D2079" s="7" t="s">
        <v>13143</v>
      </c>
      <c r="E2079" s="7"/>
      <c r="F2079" s="7" t="s">
        <v>156</v>
      </c>
      <c r="G2079" s="7"/>
      <c r="H2079" s="7" t="s">
        <v>157</v>
      </c>
      <c r="I2079" s="7" t="s">
        <v>132</v>
      </c>
      <c r="J2079" s="7" t="s">
        <v>159</v>
      </c>
      <c r="K2079" s="7" t="s">
        <v>1078</v>
      </c>
      <c r="L2079" s="7" t="s">
        <v>106</v>
      </c>
      <c r="M2079" s="7"/>
      <c r="N2079" s="7" t="s">
        <v>13144</v>
      </c>
      <c r="O2079" s="7"/>
      <c r="P2079" s="7" t="s">
        <v>84</v>
      </c>
      <c r="Q2079" s="7"/>
      <c r="R2079" s="7" t="s">
        <v>135</v>
      </c>
      <c r="S2079" s="7" t="s">
        <v>136</v>
      </c>
      <c r="T2079" s="7" t="n">
        <v>0.353</v>
      </c>
      <c r="U2079" s="7" t="n">
        <v>2</v>
      </c>
      <c r="V2079" s="7" t="s">
        <v>111</v>
      </c>
      <c r="W2079" s="7" t="s">
        <v>980</v>
      </c>
      <c r="X2079" s="7" t="s">
        <v>1819</v>
      </c>
      <c r="Y2079" s="7" t="s">
        <v>13145</v>
      </c>
      <c r="Z2079" s="7"/>
      <c r="AA2079" s="7" t="s">
        <v>572</v>
      </c>
      <c r="AB2079" s="7" t="s">
        <v>573</v>
      </c>
      <c r="AC2079" s="7" t="n">
        <v>11</v>
      </c>
      <c r="AD2079" s="7" t="s">
        <v>165</v>
      </c>
      <c r="AE2079" s="7" t="s">
        <v>166</v>
      </c>
      <c r="AF2079" s="7" t="s">
        <v>13146</v>
      </c>
      <c r="AG2079" s="7" t="s">
        <v>166</v>
      </c>
      <c r="AH2079" s="7" t="s">
        <v>13147</v>
      </c>
      <c r="AI2079" s="7" t="s">
        <v>166</v>
      </c>
      <c r="AJ2079" s="7" t="s">
        <v>13148</v>
      </c>
      <c r="AK2079" s="7"/>
      <c r="AL2079" s="7"/>
      <c r="AM2079" s="7" t="s">
        <v>166</v>
      </c>
      <c r="AN2079" s="7" t="s">
        <v>13149</v>
      </c>
      <c r="AO2079" s="7" t="s">
        <v>166</v>
      </c>
      <c r="AP2079" s="7" t="s">
        <v>13150</v>
      </c>
      <c r="AQ2079" s="7" t="s">
        <v>166</v>
      </c>
      <c r="AR2079" s="7" t="s">
        <v>13151</v>
      </c>
      <c r="AS2079" s="7" t="s">
        <v>166</v>
      </c>
      <c r="AT2079" s="7" t="s">
        <v>13152</v>
      </c>
      <c r="AU2079" s="7" t="s">
        <v>166</v>
      </c>
      <c r="AV2079" s="7" t="s">
        <v>13153</v>
      </c>
      <c r="AW2079" s="7" t="s">
        <v>166</v>
      </c>
      <c r="AX2079" s="7" t="s">
        <v>13154</v>
      </c>
      <c r="AY2079" s="7" t="s">
        <v>166</v>
      </c>
      <c r="AZ2079" s="7" t="s">
        <v>13155</v>
      </c>
      <c r="BA2079" s="7" t="s">
        <v>166</v>
      </c>
      <c r="BB2079" s="7" t="s">
        <v>13156</v>
      </c>
      <c r="BC2079" s="7" t="s">
        <v>707</v>
      </c>
      <c r="BD2079" s="7" t="s">
        <v>13157</v>
      </c>
      <c r="BE2079" s="7" t="s">
        <v>1088</v>
      </c>
      <c r="BF2079" s="8"/>
      <c r="BG2079" s="8"/>
      <c r="BH2079" s="8"/>
      <c r="BI2079" s="8"/>
      <c r="BJ2079" s="8"/>
      <c r="BK2079" s="8"/>
      <c r="BL2079" s="8"/>
      <c r="BM2079" s="8"/>
      <c r="BN2079" s="8"/>
      <c r="BO2079" s="8"/>
      <c r="BP2079" s="8"/>
      <c r="BQ2079" s="8"/>
      <c r="BR2079" s="8"/>
      <c r="BS2079" s="8"/>
    </row>
    <row r="2080" customFormat="false" ht="15" hidden="false" customHeight="false" outlineLevel="0" collapsed="false">
      <c r="A2080" s="7" t="s">
        <v>13158</v>
      </c>
      <c r="B2080" s="7" t="s">
        <v>13159</v>
      </c>
      <c r="C2080" s="7" t="s">
        <v>13160</v>
      </c>
      <c r="D2080" s="7" t="s">
        <v>13160</v>
      </c>
      <c r="E2080" s="7"/>
      <c r="F2080" s="7" t="s">
        <v>156</v>
      </c>
      <c r="G2080" s="7"/>
      <c r="H2080" s="7" t="s">
        <v>157</v>
      </c>
      <c r="I2080" s="7" t="s">
        <v>132</v>
      </c>
      <c r="J2080" s="7" t="s">
        <v>159</v>
      </c>
      <c r="K2080" s="7" t="s">
        <v>1078</v>
      </c>
      <c r="L2080" s="7" t="s">
        <v>106</v>
      </c>
      <c r="M2080" s="7"/>
      <c r="N2080" s="7" t="s">
        <v>13161</v>
      </c>
      <c r="O2080" s="7"/>
      <c r="P2080" s="7" t="s">
        <v>135</v>
      </c>
      <c r="Q2080" s="7"/>
      <c r="R2080" s="7" t="s">
        <v>135</v>
      </c>
      <c r="S2080" s="7" t="s">
        <v>136</v>
      </c>
      <c r="T2080" s="7" t="n">
        <v>0.375</v>
      </c>
      <c r="U2080" s="7" t="n">
        <v>0</v>
      </c>
      <c r="V2080" s="7"/>
      <c r="W2080" s="7"/>
      <c r="X2080" s="7"/>
      <c r="Y2080" s="7"/>
      <c r="Z2080" s="7"/>
      <c r="AA2080" s="7" t="s">
        <v>572</v>
      </c>
      <c r="AB2080" s="7" t="s">
        <v>573</v>
      </c>
      <c r="AC2080" s="7" t="n">
        <v>10</v>
      </c>
      <c r="AD2080" s="7" t="s">
        <v>1698</v>
      </c>
      <c r="AE2080" s="7" t="s">
        <v>166</v>
      </c>
      <c r="AF2080" s="7" t="s">
        <v>13162</v>
      </c>
      <c r="AG2080" s="7" t="s">
        <v>115</v>
      </c>
      <c r="AH2080" s="7"/>
      <c r="AI2080" s="7" t="s">
        <v>115</v>
      </c>
      <c r="AJ2080" s="7"/>
      <c r="AK2080" s="7" t="s">
        <v>115</v>
      </c>
      <c r="AL2080" s="7"/>
      <c r="AM2080" s="7"/>
      <c r="AN2080" s="7"/>
      <c r="AO2080" s="7" t="s">
        <v>166</v>
      </c>
      <c r="AP2080" s="7" t="s">
        <v>13160</v>
      </c>
      <c r="AQ2080" s="7" t="s">
        <v>166</v>
      </c>
      <c r="AR2080" s="7" t="s">
        <v>13163</v>
      </c>
      <c r="AS2080" s="7" t="s">
        <v>166</v>
      </c>
      <c r="AT2080" s="7" t="s">
        <v>1331</v>
      </c>
      <c r="AU2080" s="7" t="s">
        <v>166</v>
      </c>
      <c r="AV2080" s="7" t="s">
        <v>13164</v>
      </c>
      <c r="AW2080" s="7" t="s">
        <v>115</v>
      </c>
      <c r="AX2080" s="7"/>
      <c r="AY2080" s="7"/>
      <c r="AZ2080" s="7"/>
      <c r="BA2080" s="7" t="s">
        <v>166</v>
      </c>
      <c r="BB2080" s="7" t="s">
        <v>13165</v>
      </c>
      <c r="BC2080" s="7" t="s">
        <v>707</v>
      </c>
      <c r="BD2080" s="7" t="s">
        <v>13166</v>
      </c>
      <c r="BE2080" s="7" t="s">
        <v>1088</v>
      </c>
      <c r="BF2080" s="8"/>
      <c r="BG2080" s="8"/>
      <c r="BH2080" s="8"/>
      <c r="BI2080" s="8"/>
      <c r="BJ2080" s="8"/>
      <c r="BK2080" s="8"/>
      <c r="BL2080" s="8"/>
      <c r="BM2080" s="8"/>
      <c r="BN2080" s="8"/>
      <c r="BO2080" s="8"/>
      <c r="BP2080" s="8"/>
      <c r="BQ2080" s="8"/>
      <c r="BR2080" s="8"/>
      <c r="BS2080" s="8"/>
    </row>
    <row r="2081" customFormat="false" ht="15" hidden="false" customHeight="false" outlineLevel="0" collapsed="false">
      <c r="A2081" s="7" t="s">
        <v>13167</v>
      </c>
      <c r="B2081" s="7" t="s">
        <v>13168</v>
      </c>
      <c r="C2081" s="7" t="s">
        <v>13169</v>
      </c>
      <c r="D2081" s="7" t="s">
        <v>13169</v>
      </c>
      <c r="E2081" s="7"/>
      <c r="F2081" s="7" t="s">
        <v>156</v>
      </c>
      <c r="G2081" s="7"/>
      <c r="H2081" s="7" t="s">
        <v>157</v>
      </c>
      <c r="I2081" s="7" t="s">
        <v>132</v>
      </c>
      <c r="J2081" s="7" t="s">
        <v>159</v>
      </c>
      <c r="K2081" s="7" t="s">
        <v>1078</v>
      </c>
      <c r="L2081" s="7" t="s">
        <v>106</v>
      </c>
      <c r="M2081" s="7"/>
      <c r="N2081" s="7" t="s">
        <v>13170</v>
      </c>
      <c r="O2081" s="7"/>
      <c r="P2081" s="7" t="s">
        <v>135</v>
      </c>
      <c r="Q2081" s="7"/>
      <c r="R2081" s="7" t="s">
        <v>135</v>
      </c>
      <c r="S2081" s="7" t="s">
        <v>136</v>
      </c>
      <c r="T2081" s="7" t="n">
        <v>0.272</v>
      </c>
      <c r="U2081" s="7" t="n">
        <v>0</v>
      </c>
      <c r="V2081" s="7"/>
      <c r="W2081" s="7"/>
      <c r="X2081" s="7"/>
      <c r="Y2081" s="7"/>
      <c r="Z2081" s="7"/>
      <c r="AA2081" s="7" t="s">
        <v>572</v>
      </c>
      <c r="AB2081" s="7" t="s">
        <v>573</v>
      </c>
      <c r="AC2081" s="7" t="n">
        <v>11</v>
      </c>
      <c r="AD2081" s="7" t="s">
        <v>13171</v>
      </c>
      <c r="AE2081" s="7" t="s">
        <v>115</v>
      </c>
      <c r="AF2081" s="7"/>
      <c r="AG2081" s="7" t="s">
        <v>115</v>
      </c>
      <c r="AH2081" s="7"/>
      <c r="AI2081" s="7" t="s">
        <v>115</v>
      </c>
      <c r="AJ2081" s="7"/>
      <c r="AK2081" s="7" t="s">
        <v>115</v>
      </c>
      <c r="AL2081" s="7"/>
      <c r="AM2081" s="7" t="s">
        <v>115</v>
      </c>
      <c r="AN2081" s="7"/>
      <c r="AO2081" s="7"/>
      <c r="AP2081" s="7"/>
      <c r="AQ2081" s="7" t="s">
        <v>115</v>
      </c>
      <c r="AR2081" s="7"/>
      <c r="AS2081" s="7" t="s">
        <v>115</v>
      </c>
      <c r="AT2081" s="7"/>
      <c r="AU2081" s="7" t="s">
        <v>115</v>
      </c>
      <c r="AV2081" s="7"/>
      <c r="AW2081" s="7" t="s">
        <v>115</v>
      </c>
      <c r="AX2081" s="7"/>
      <c r="AY2081" s="7" t="s">
        <v>115</v>
      </c>
      <c r="AZ2081" s="7"/>
      <c r="BA2081" s="7" t="s">
        <v>115</v>
      </c>
      <c r="BB2081" s="7"/>
      <c r="BC2081" s="7" t="s">
        <v>178</v>
      </c>
      <c r="BD2081" s="7" t="s">
        <v>13172</v>
      </c>
      <c r="BE2081" s="7" t="s">
        <v>1252</v>
      </c>
      <c r="BF2081" s="8"/>
      <c r="BG2081" s="8"/>
      <c r="BH2081" s="8"/>
      <c r="BI2081" s="8"/>
      <c r="BJ2081" s="8"/>
      <c r="BK2081" s="8"/>
      <c r="BL2081" s="8"/>
      <c r="BM2081" s="8"/>
      <c r="BN2081" s="8"/>
      <c r="BO2081" s="8"/>
      <c r="BP2081" s="8"/>
      <c r="BQ2081" s="8"/>
      <c r="BR2081" s="8"/>
      <c r="BS2081" s="8"/>
    </row>
    <row r="2082" customFormat="false" ht="15" hidden="false" customHeight="false" outlineLevel="0" collapsed="false">
      <c r="A2082" s="7" t="s">
        <v>13173</v>
      </c>
      <c r="B2082" s="7" t="s">
        <v>13174</v>
      </c>
      <c r="C2082" s="7" t="s">
        <v>13175</v>
      </c>
      <c r="D2082" s="7" t="s">
        <v>13175</v>
      </c>
      <c r="E2082" s="7"/>
      <c r="F2082" s="7" t="s">
        <v>156</v>
      </c>
      <c r="G2082" s="7"/>
      <c r="H2082" s="7" t="s">
        <v>157</v>
      </c>
      <c r="I2082" s="7" t="s">
        <v>132</v>
      </c>
      <c r="J2082" s="7" t="s">
        <v>159</v>
      </c>
      <c r="K2082" s="7" t="s">
        <v>1078</v>
      </c>
      <c r="L2082" s="7" t="s">
        <v>106</v>
      </c>
      <c r="M2082" s="7"/>
      <c r="N2082" s="7" t="s">
        <v>13176</v>
      </c>
      <c r="O2082" s="7"/>
      <c r="P2082" s="7" t="s">
        <v>135</v>
      </c>
      <c r="Q2082" s="7"/>
      <c r="R2082" s="7" t="s">
        <v>135</v>
      </c>
      <c r="S2082" s="7" t="s">
        <v>136</v>
      </c>
      <c r="T2082" s="7" t="n">
        <v>0.321</v>
      </c>
      <c r="U2082" s="7" t="n">
        <v>0</v>
      </c>
      <c r="V2082" s="7"/>
      <c r="W2082" s="7"/>
      <c r="X2082" s="7"/>
      <c r="Y2082" s="7"/>
      <c r="Z2082" s="7"/>
      <c r="AA2082" s="7" t="s">
        <v>572</v>
      </c>
      <c r="AB2082" s="7" t="s">
        <v>573</v>
      </c>
      <c r="AC2082" s="7" t="n">
        <v>11</v>
      </c>
      <c r="AD2082" s="7" t="s">
        <v>4295</v>
      </c>
      <c r="AE2082" s="7" t="s">
        <v>166</v>
      </c>
      <c r="AF2082" s="7" t="s">
        <v>13177</v>
      </c>
      <c r="AG2082" s="7" t="s">
        <v>115</v>
      </c>
      <c r="AH2082" s="7"/>
      <c r="AI2082" s="7" t="s">
        <v>115</v>
      </c>
      <c r="AJ2082" s="7"/>
      <c r="AK2082" s="7" t="s">
        <v>115</v>
      </c>
      <c r="AL2082" s="7"/>
      <c r="AM2082" s="7"/>
      <c r="AN2082" s="7"/>
      <c r="AO2082" s="7" t="s">
        <v>166</v>
      </c>
      <c r="AP2082" s="7" t="s">
        <v>13178</v>
      </c>
      <c r="AQ2082" s="7" t="s">
        <v>166</v>
      </c>
      <c r="AR2082" s="7" t="s">
        <v>13179</v>
      </c>
      <c r="AS2082" s="7" t="s">
        <v>166</v>
      </c>
      <c r="AT2082" s="7" t="s">
        <v>1331</v>
      </c>
      <c r="AU2082" s="7" t="s">
        <v>166</v>
      </c>
      <c r="AV2082" s="7" t="s">
        <v>13180</v>
      </c>
      <c r="AW2082" s="7" t="s">
        <v>115</v>
      </c>
      <c r="AX2082" s="7"/>
      <c r="AY2082" s="7" t="s">
        <v>166</v>
      </c>
      <c r="AZ2082" s="7" t="s">
        <v>13181</v>
      </c>
      <c r="BA2082" s="7" t="s">
        <v>166</v>
      </c>
      <c r="BB2082" s="7" t="s">
        <v>13182</v>
      </c>
      <c r="BC2082" s="7" t="s">
        <v>178</v>
      </c>
      <c r="BD2082" s="7" t="s">
        <v>13183</v>
      </c>
      <c r="BE2082" s="7" t="s">
        <v>1088</v>
      </c>
      <c r="BF2082" s="8"/>
      <c r="BG2082" s="8"/>
      <c r="BH2082" s="8"/>
      <c r="BI2082" s="8"/>
      <c r="BJ2082" s="8"/>
      <c r="BK2082" s="8"/>
      <c r="BL2082" s="8"/>
      <c r="BM2082" s="8"/>
      <c r="BN2082" s="8"/>
      <c r="BO2082" s="8"/>
      <c r="BP2082" s="8"/>
      <c r="BQ2082" s="8"/>
      <c r="BR2082" s="8"/>
      <c r="BS2082" s="8"/>
    </row>
    <row r="2083" customFormat="false" ht="15" hidden="false" customHeight="false" outlineLevel="0" collapsed="false">
      <c r="A2083" s="7" t="s">
        <v>13184</v>
      </c>
      <c r="B2083" s="7" t="s">
        <v>13185</v>
      </c>
      <c r="C2083" s="7" t="s">
        <v>13186</v>
      </c>
      <c r="D2083" s="7" t="s">
        <v>13186</v>
      </c>
      <c r="E2083" s="7"/>
      <c r="F2083" s="7" t="s">
        <v>156</v>
      </c>
      <c r="G2083" s="7"/>
      <c r="H2083" s="7" t="s">
        <v>157</v>
      </c>
      <c r="I2083" s="7" t="s">
        <v>132</v>
      </c>
      <c r="J2083" s="7" t="s">
        <v>159</v>
      </c>
      <c r="K2083" s="7" t="s">
        <v>1078</v>
      </c>
      <c r="L2083" s="7" t="s">
        <v>106</v>
      </c>
      <c r="M2083" s="7"/>
      <c r="N2083" s="7" t="s">
        <v>13187</v>
      </c>
      <c r="O2083" s="7"/>
      <c r="P2083" s="7" t="s">
        <v>135</v>
      </c>
      <c r="Q2083" s="7"/>
      <c r="R2083" s="7" t="s">
        <v>135</v>
      </c>
      <c r="S2083" s="7" t="s">
        <v>136</v>
      </c>
      <c r="T2083" s="7" t="n">
        <v>0.325</v>
      </c>
      <c r="U2083" s="7" t="n">
        <v>0</v>
      </c>
      <c r="V2083" s="7"/>
      <c r="W2083" s="7"/>
      <c r="X2083" s="7"/>
      <c r="Y2083" s="7"/>
      <c r="Z2083" s="7"/>
      <c r="AA2083" s="7" t="s">
        <v>572</v>
      </c>
      <c r="AB2083" s="7" t="s">
        <v>573</v>
      </c>
      <c r="AC2083" s="7" t="n">
        <v>6</v>
      </c>
      <c r="AD2083" s="7" t="s">
        <v>13188</v>
      </c>
      <c r="AE2083" s="7" t="s">
        <v>166</v>
      </c>
      <c r="AF2083" s="7" t="s">
        <v>13189</v>
      </c>
      <c r="AG2083" s="7" t="s">
        <v>166</v>
      </c>
      <c r="AH2083" s="7" t="s">
        <v>13190</v>
      </c>
      <c r="AI2083" s="7"/>
      <c r="AJ2083" s="7"/>
      <c r="AK2083" s="7" t="s">
        <v>115</v>
      </c>
      <c r="AL2083" s="7"/>
      <c r="AM2083" s="7"/>
      <c r="AN2083" s="7"/>
      <c r="AO2083" s="7" t="s">
        <v>166</v>
      </c>
      <c r="AP2083" s="7" t="s">
        <v>13186</v>
      </c>
      <c r="AQ2083" s="7" t="s">
        <v>166</v>
      </c>
      <c r="AR2083" s="7" t="s">
        <v>13191</v>
      </c>
      <c r="AS2083" s="7" t="s">
        <v>166</v>
      </c>
      <c r="AT2083" s="7" t="s">
        <v>1331</v>
      </c>
      <c r="AU2083" s="7"/>
      <c r="AV2083" s="7"/>
      <c r="AW2083" s="7"/>
      <c r="AX2083" s="7"/>
      <c r="AY2083" s="7"/>
      <c r="AZ2083" s="7"/>
      <c r="BA2083" s="7"/>
      <c r="BB2083" s="7"/>
      <c r="BC2083" s="7" t="s">
        <v>707</v>
      </c>
      <c r="BD2083" s="7" t="s">
        <v>13192</v>
      </c>
      <c r="BE2083" s="7" t="s">
        <v>1088</v>
      </c>
      <c r="BF2083" s="8"/>
      <c r="BG2083" s="8"/>
      <c r="BH2083" s="8"/>
      <c r="BI2083" s="8"/>
      <c r="BJ2083" s="8"/>
      <c r="BK2083" s="8"/>
      <c r="BL2083" s="8"/>
      <c r="BM2083" s="8"/>
      <c r="BN2083" s="8"/>
      <c r="BO2083" s="8"/>
      <c r="BP2083" s="8"/>
      <c r="BQ2083" s="8"/>
      <c r="BR2083" s="8"/>
      <c r="BS2083" s="8"/>
    </row>
    <row r="2084" customFormat="false" ht="15" hidden="false" customHeight="false" outlineLevel="0" collapsed="false">
      <c r="A2084" s="7" t="s">
        <v>13193</v>
      </c>
      <c r="B2084" s="7" t="s">
        <v>13194</v>
      </c>
      <c r="C2084" s="7" t="s">
        <v>13195</v>
      </c>
      <c r="D2084" s="7" t="s">
        <v>13196</v>
      </c>
      <c r="E2084" s="7"/>
      <c r="F2084" s="7" t="s">
        <v>156</v>
      </c>
      <c r="G2084" s="7"/>
      <c r="H2084" s="7" t="s">
        <v>157</v>
      </c>
      <c r="I2084" s="7" t="s">
        <v>132</v>
      </c>
      <c r="J2084" s="7" t="s">
        <v>159</v>
      </c>
      <c r="K2084" s="7" t="s">
        <v>1078</v>
      </c>
      <c r="L2084" s="7" t="s">
        <v>106</v>
      </c>
      <c r="M2084" s="7"/>
      <c r="N2084" s="7" t="s">
        <v>13197</v>
      </c>
      <c r="O2084" s="7"/>
      <c r="P2084" s="7" t="s">
        <v>84</v>
      </c>
      <c r="Q2084" s="7"/>
      <c r="R2084" s="7" t="s">
        <v>135</v>
      </c>
      <c r="S2084" s="7" t="s">
        <v>136</v>
      </c>
      <c r="T2084" s="7" t="n">
        <v>0.569</v>
      </c>
      <c r="U2084" s="7" t="n">
        <v>2</v>
      </c>
      <c r="V2084" s="7" t="s">
        <v>111</v>
      </c>
      <c r="W2084" s="7" t="s">
        <v>980</v>
      </c>
      <c r="X2084" s="7" t="s">
        <v>1819</v>
      </c>
      <c r="Y2084" s="7" t="s">
        <v>13145</v>
      </c>
      <c r="Z2084" s="7"/>
      <c r="AA2084" s="7" t="s">
        <v>572</v>
      </c>
      <c r="AB2084" s="7" t="s">
        <v>573</v>
      </c>
      <c r="AC2084" s="7" t="n">
        <v>11</v>
      </c>
      <c r="AD2084" s="7" t="s">
        <v>165</v>
      </c>
      <c r="AE2084" s="7" t="s">
        <v>166</v>
      </c>
      <c r="AF2084" s="7" t="s">
        <v>13146</v>
      </c>
      <c r="AG2084" s="7" t="s">
        <v>166</v>
      </c>
      <c r="AH2084" s="7" t="s">
        <v>13147</v>
      </c>
      <c r="AI2084" s="7" t="s">
        <v>166</v>
      </c>
      <c r="AJ2084" s="7" t="s">
        <v>13148</v>
      </c>
      <c r="AK2084" s="7"/>
      <c r="AL2084" s="7"/>
      <c r="AM2084" s="7" t="s">
        <v>166</v>
      </c>
      <c r="AN2084" s="7" t="s">
        <v>13149</v>
      </c>
      <c r="AO2084" s="7" t="s">
        <v>166</v>
      </c>
      <c r="AP2084" s="7" t="s">
        <v>13150</v>
      </c>
      <c r="AQ2084" s="7" t="s">
        <v>166</v>
      </c>
      <c r="AR2084" s="7" t="s">
        <v>13151</v>
      </c>
      <c r="AS2084" s="7" t="s">
        <v>166</v>
      </c>
      <c r="AT2084" s="7" t="s">
        <v>13152</v>
      </c>
      <c r="AU2084" s="7" t="s">
        <v>166</v>
      </c>
      <c r="AV2084" s="7" t="s">
        <v>13153</v>
      </c>
      <c r="AW2084" s="7" t="s">
        <v>166</v>
      </c>
      <c r="AX2084" s="7" t="s">
        <v>13154</v>
      </c>
      <c r="AY2084" s="7" t="s">
        <v>166</v>
      </c>
      <c r="AZ2084" s="7" t="s">
        <v>13155</v>
      </c>
      <c r="BA2084" s="7" t="s">
        <v>166</v>
      </c>
      <c r="BB2084" s="7" t="s">
        <v>13156</v>
      </c>
      <c r="BC2084" s="7" t="s">
        <v>707</v>
      </c>
      <c r="BD2084" s="7" t="s">
        <v>13198</v>
      </c>
      <c r="BE2084" s="7" t="s">
        <v>1252</v>
      </c>
      <c r="BF2084" s="8"/>
      <c r="BG2084" s="8"/>
      <c r="BH2084" s="8"/>
      <c r="BI2084" s="8"/>
      <c r="BJ2084" s="8"/>
      <c r="BK2084" s="8"/>
      <c r="BL2084" s="8"/>
      <c r="BM2084" s="8"/>
      <c r="BN2084" s="8"/>
      <c r="BO2084" s="8"/>
      <c r="BP2084" s="8"/>
      <c r="BQ2084" s="8"/>
      <c r="BR2084" s="8"/>
      <c r="BS2084" s="8"/>
    </row>
    <row r="2085" customFormat="false" ht="15" hidden="false" customHeight="false" outlineLevel="0" collapsed="false">
      <c r="A2085" s="7" t="s">
        <v>13199</v>
      </c>
      <c r="B2085" s="7" t="s">
        <v>13200</v>
      </c>
      <c r="C2085" s="7" t="s">
        <v>13201</v>
      </c>
      <c r="D2085" s="7" t="s">
        <v>13201</v>
      </c>
      <c r="E2085" s="7"/>
      <c r="F2085" s="7" t="s">
        <v>156</v>
      </c>
      <c r="G2085" s="7"/>
      <c r="H2085" s="7" t="s">
        <v>157</v>
      </c>
      <c r="I2085" s="7" t="s">
        <v>132</v>
      </c>
      <c r="J2085" s="7" t="s">
        <v>159</v>
      </c>
      <c r="K2085" s="7" t="s">
        <v>1078</v>
      </c>
      <c r="L2085" s="7" t="s">
        <v>106</v>
      </c>
      <c r="M2085" s="7"/>
      <c r="N2085" s="7" t="s">
        <v>13202</v>
      </c>
      <c r="O2085" s="7"/>
      <c r="P2085" s="7" t="s">
        <v>135</v>
      </c>
      <c r="Q2085" s="7"/>
      <c r="R2085" s="7" t="s">
        <v>135</v>
      </c>
      <c r="S2085" s="7" t="s">
        <v>136</v>
      </c>
      <c r="T2085" s="7" t="n">
        <v>0.384</v>
      </c>
      <c r="U2085" s="7" t="n">
        <v>0</v>
      </c>
      <c r="V2085" s="7"/>
      <c r="W2085" s="7"/>
      <c r="X2085" s="7"/>
      <c r="Y2085" s="7"/>
      <c r="Z2085" s="7"/>
      <c r="AA2085" s="7" t="s">
        <v>572</v>
      </c>
      <c r="AB2085" s="7" t="s">
        <v>573</v>
      </c>
      <c r="AC2085" s="7" t="n">
        <v>9</v>
      </c>
      <c r="AD2085" s="7" t="s">
        <v>13203</v>
      </c>
      <c r="AE2085" s="7" t="s">
        <v>166</v>
      </c>
      <c r="AF2085" s="7" t="s">
        <v>13204</v>
      </c>
      <c r="AG2085" s="7" t="s">
        <v>115</v>
      </c>
      <c r="AH2085" s="7"/>
      <c r="AI2085" s="7" t="s">
        <v>115</v>
      </c>
      <c r="AJ2085" s="7"/>
      <c r="AK2085" s="7" t="s">
        <v>115</v>
      </c>
      <c r="AL2085" s="7"/>
      <c r="AM2085" s="7"/>
      <c r="AN2085" s="7"/>
      <c r="AO2085" s="7" t="s">
        <v>166</v>
      </c>
      <c r="AP2085" s="7" t="s">
        <v>13201</v>
      </c>
      <c r="AQ2085" s="7"/>
      <c r="AR2085" s="7"/>
      <c r="AS2085" s="7" t="s">
        <v>166</v>
      </c>
      <c r="AT2085" s="7" t="s">
        <v>1331</v>
      </c>
      <c r="AU2085" s="7" t="s">
        <v>166</v>
      </c>
      <c r="AV2085" s="7" t="s">
        <v>13205</v>
      </c>
      <c r="AW2085" s="7" t="s">
        <v>115</v>
      </c>
      <c r="AX2085" s="7"/>
      <c r="AY2085" s="7"/>
      <c r="AZ2085" s="7"/>
      <c r="BA2085" s="7" t="s">
        <v>166</v>
      </c>
      <c r="BB2085" s="7" t="s">
        <v>13206</v>
      </c>
      <c r="BC2085" s="7" t="s">
        <v>178</v>
      </c>
      <c r="BD2085" s="7" t="s">
        <v>13207</v>
      </c>
      <c r="BE2085" s="7" t="s">
        <v>1088</v>
      </c>
      <c r="BF2085" s="8"/>
      <c r="BG2085" s="8"/>
      <c r="BH2085" s="8"/>
      <c r="BI2085" s="8"/>
      <c r="BJ2085" s="8"/>
      <c r="BK2085" s="8"/>
      <c r="BL2085" s="8"/>
      <c r="BM2085" s="8"/>
      <c r="BN2085" s="8"/>
      <c r="BO2085" s="8"/>
      <c r="BP2085" s="8"/>
      <c r="BQ2085" s="8"/>
      <c r="BR2085" s="8"/>
      <c r="BS2085" s="8"/>
    </row>
    <row r="2086" customFormat="false" ht="15" hidden="false" customHeight="false" outlineLevel="0" collapsed="false">
      <c r="A2086" s="7" t="s">
        <v>13208</v>
      </c>
      <c r="B2086" s="7" t="s">
        <v>13209</v>
      </c>
      <c r="C2086" s="7" t="s">
        <v>13210</v>
      </c>
      <c r="D2086" s="7" t="s">
        <v>13210</v>
      </c>
      <c r="E2086" s="7"/>
      <c r="F2086" s="7" t="s">
        <v>156</v>
      </c>
      <c r="G2086" s="7"/>
      <c r="H2086" s="7" t="s">
        <v>157</v>
      </c>
      <c r="I2086" s="7" t="s">
        <v>132</v>
      </c>
      <c r="J2086" s="7" t="s">
        <v>159</v>
      </c>
      <c r="K2086" s="7" t="s">
        <v>1078</v>
      </c>
      <c r="L2086" s="7" t="s">
        <v>106</v>
      </c>
      <c r="M2086" s="7"/>
      <c r="N2086" s="7" t="s">
        <v>13211</v>
      </c>
      <c r="O2086" s="7"/>
      <c r="P2086" s="7" t="s">
        <v>135</v>
      </c>
      <c r="Q2086" s="7"/>
      <c r="R2086" s="7" t="s">
        <v>135</v>
      </c>
      <c r="S2086" s="7" t="s">
        <v>136</v>
      </c>
      <c r="T2086" s="7" t="n">
        <v>0.323</v>
      </c>
      <c r="U2086" s="7" t="n">
        <v>0</v>
      </c>
      <c r="V2086" s="7"/>
      <c r="W2086" s="7"/>
      <c r="X2086" s="7"/>
      <c r="Y2086" s="7"/>
      <c r="Z2086" s="7"/>
      <c r="AA2086" s="7" t="s">
        <v>572</v>
      </c>
      <c r="AB2086" s="7" t="s">
        <v>573</v>
      </c>
      <c r="AC2086" s="7" t="n">
        <v>7</v>
      </c>
      <c r="AD2086" s="7" t="s">
        <v>13212</v>
      </c>
      <c r="AE2086" s="7" t="s">
        <v>166</v>
      </c>
      <c r="AF2086" s="7" t="s">
        <v>13213</v>
      </c>
      <c r="AG2086" s="7" t="s">
        <v>115</v>
      </c>
      <c r="AH2086" s="7"/>
      <c r="AI2086" s="7"/>
      <c r="AJ2086" s="7"/>
      <c r="AK2086" s="7" t="s">
        <v>115</v>
      </c>
      <c r="AL2086" s="7"/>
      <c r="AM2086" s="7"/>
      <c r="AN2086" s="7"/>
      <c r="AO2086" s="7" t="s">
        <v>166</v>
      </c>
      <c r="AP2086" s="7" t="s">
        <v>13210</v>
      </c>
      <c r="AQ2086" s="7"/>
      <c r="AR2086" s="7"/>
      <c r="AS2086" s="7" t="s">
        <v>166</v>
      </c>
      <c r="AT2086" s="7" t="s">
        <v>1331</v>
      </c>
      <c r="AU2086" s="7" t="s">
        <v>166</v>
      </c>
      <c r="AV2086" s="7" t="s">
        <v>13214</v>
      </c>
      <c r="AW2086" s="7"/>
      <c r="AX2086" s="7"/>
      <c r="AY2086" s="7"/>
      <c r="AZ2086" s="7"/>
      <c r="BA2086" s="7" t="s">
        <v>166</v>
      </c>
      <c r="BB2086" s="7" t="s">
        <v>13215</v>
      </c>
      <c r="BC2086" s="7" t="s">
        <v>707</v>
      </c>
      <c r="BD2086" s="7" t="s">
        <v>13216</v>
      </c>
      <c r="BE2086" s="7" t="s">
        <v>1088</v>
      </c>
      <c r="BF2086" s="8"/>
      <c r="BG2086" s="8"/>
      <c r="BH2086" s="8"/>
      <c r="BI2086" s="8"/>
      <c r="BJ2086" s="8"/>
      <c r="BK2086" s="8"/>
      <c r="BL2086" s="8"/>
      <c r="BM2086" s="8"/>
      <c r="BN2086" s="8"/>
      <c r="BO2086" s="8"/>
      <c r="BP2086" s="8"/>
      <c r="BQ2086" s="8"/>
      <c r="BR2086" s="8"/>
      <c r="BS2086" s="8"/>
    </row>
    <row r="2087" customFormat="false" ht="15" hidden="false" customHeight="false" outlineLevel="0" collapsed="false">
      <c r="A2087" s="7" t="s">
        <v>13217</v>
      </c>
      <c r="B2087" s="7" t="s">
        <v>13218</v>
      </c>
      <c r="C2087" s="7" t="s">
        <v>13219</v>
      </c>
      <c r="D2087" s="7" t="s">
        <v>13220</v>
      </c>
      <c r="E2087" s="7"/>
      <c r="F2087" s="7" t="s">
        <v>156</v>
      </c>
      <c r="G2087" s="7"/>
      <c r="H2087" s="7" t="s">
        <v>157</v>
      </c>
      <c r="I2087" s="7" t="s">
        <v>158</v>
      </c>
      <c r="J2087" s="7" t="s">
        <v>159</v>
      </c>
      <c r="K2087" s="7" t="s">
        <v>1078</v>
      </c>
      <c r="L2087" s="7" t="s">
        <v>106</v>
      </c>
      <c r="M2087" s="7"/>
      <c r="N2087" s="7" t="s">
        <v>13221</v>
      </c>
      <c r="O2087" s="7"/>
      <c r="P2087" s="7" t="s">
        <v>84</v>
      </c>
      <c r="Q2087" s="7"/>
      <c r="R2087" s="7" t="s">
        <v>135</v>
      </c>
      <c r="S2087" s="7" t="s">
        <v>136</v>
      </c>
      <c r="T2087" s="7" t="n">
        <v>0.434</v>
      </c>
      <c r="U2087" s="7" t="n">
        <v>3</v>
      </c>
      <c r="V2087" s="7" t="s">
        <v>161</v>
      </c>
      <c r="W2087" s="7" t="s">
        <v>13222</v>
      </c>
      <c r="X2087" s="7" t="s">
        <v>9191</v>
      </c>
      <c r="Y2087" s="7" t="s">
        <v>13223</v>
      </c>
      <c r="Z2087" s="7"/>
      <c r="AA2087" s="7" t="s">
        <v>572</v>
      </c>
      <c r="AB2087" s="7" t="s">
        <v>573</v>
      </c>
      <c r="AC2087" s="7" t="n">
        <v>12</v>
      </c>
      <c r="AD2087" s="7"/>
      <c r="AE2087" s="7" t="s">
        <v>166</v>
      </c>
      <c r="AF2087" s="7" t="s">
        <v>13224</v>
      </c>
      <c r="AG2087" s="7" t="s">
        <v>166</v>
      </c>
      <c r="AH2087" s="7" t="s">
        <v>13225</v>
      </c>
      <c r="AI2087" s="7" t="s">
        <v>166</v>
      </c>
      <c r="AJ2087" s="7" t="s">
        <v>13226</v>
      </c>
      <c r="AK2087" s="7" t="s">
        <v>115</v>
      </c>
      <c r="AL2087" s="7"/>
      <c r="AM2087" s="7" t="s">
        <v>166</v>
      </c>
      <c r="AN2087" s="7" t="s">
        <v>13227</v>
      </c>
      <c r="AO2087" s="7" t="s">
        <v>166</v>
      </c>
      <c r="AP2087" s="7" t="s">
        <v>13228</v>
      </c>
      <c r="AQ2087" s="7" t="s">
        <v>166</v>
      </c>
      <c r="AR2087" s="7" t="s">
        <v>13229</v>
      </c>
      <c r="AS2087" s="7" t="s">
        <v>166</v>
      </c>
      <c r="AT2087" s="7" t="s">
        <v>13230</v>
      </c>
      <c r="AU2087" s="7" t="s">
        <v>166</v>
      </c>
      <c r="AV2087" s="7" t="s">
        <v>13231</v>
      </c>
      <c r="AW2087" s="7" t="s">
        <v>166</v>
      </c>
      <c r="AX2087" s="7" t="s">
        <v>13232</v>
      </c>
      <c r="AY2087" s="7" t="s">
        <v>166</v>
      </c>
      <c r="AZ2087" s="7" t="s">
        <v>13233</v>
      </c>
      <c r="BA2087" s="7" t="s">
        <v>166</v>
      </c>
      <c r="BB2087" s="7" t="s">
        <v>13234</v>
      </c>
      <c r="BC2087" s="7" t="s">
        <v>707</v>
      </c>
      <c r="BD2087" s="7" t="s">
        <v>13235</v>
      </c>
      <c r="BE2087" s="7" t="s">
        <v>1252</v>
      </c>
      <c r="BF2087" s="8"/>
      <c r="BG2087" s="8"/>
      <c r="BH2087" s="8"/>
      <c r="BI2087" s="8"/>
      <c r="BJ2087" s="8"/>
      <c r="BK2087" s="8"/>
      <c r="BL2087" s="8"/>
      <c r="BM2087" s="8"/>
      <c r="BN2087" s="8"/>
      <c r="BO2087" s="8"/>
      <c r="BP2087" s="8"/>
      <c r="BQ2087" s="8"/>
      <c r="BR2087" s="8"/>
      <c r="BS2087" s="8"/>
    </row>
    <row r="2088" customFormat="false" ht="15" hidden="false" customHeight="false" outlineLevel="0" collapsed="false">
      <c r="A2088" s="7" t="s">
        <v>13236</v>
      </c>
      <c r="B2088" s="7" t="s">
        <v>13237</v>
      </c>
      <c r="C2088" s="7" t="s">
        <v>13238</v>
      </c>
      <c r="D2088" s="7" t="s">
        <v>13239</v>
      </c>
      <c r="E2088" s="7"/>
      <c r="F2088" s="7" t="s">
        <v>156</v>
      </c>
      <c r="G2088" s="7"/>
      <c r="H2088" s="7" t="s">
        <v>157</v>
      </c>
      <c r="I2088" s="7" t="s">
        <v>132</v>
      </c>
      <c r="J2088" s="7" t="s">
        <v>159</v>
      </c>
      <c r="K2088" s="7" t="s">
        <v>1078</v>
      </c>
      <c r="L2088" s="7" t="s">
        <v>106</v>
      </c>
      <c r="M2088" s="7"/>
      <c r="N2088" s="7" t="s">
        <v>13240</v>
      </c>
      <c r="O2088" s="7"/>
      <c r="P2088" s="7" t="s">
        <v>135</v>
      </c>
      <c r="Q2088" s="7"/>
      <c r="R2088" s="7" t="s">
        <v>135</v>
      </c>
      <c r="S2088" s="7" t="s">
        <v>136</v>
      </c>
      <c r="T2088" s="7" t="n">
        <v>0.33</v>
      </c>
      <c r="U2088" s="7" t="n">
        <v>0</v>
      </c>
      <c r="V2088" s="7"/>
      <c r="W2088" s="7"/>
      <c r="X2088" s="7"/>
      <c r="Y2088" s="7"/>
      <c r="Z2088" s="7"/>
      <c r="AA2088" s="7" t="s">
        <v>572</v>
      </c>
      <c r="AB2088" s="7" t="s">
        <v>573</v>
      </c>
      <c r="AC2088" s="7" t="n">
        <v>7</v>
      </c>
      <c r="AD2088" s="7" t="s">
        <v>7578</v>
      </c>
      <c r="AE2088" s="7" t="s">
        <v>166</v>
      </c>
      <c r="AF2088" s="7" t="s">
        <v>13241</v>
      </c>
      <c r="AG2088" s="7" t="s">
        <v>166</v>
      </c>
      <c r="AH2088" s="7" t="s">
        <v>13242</v>
      </c>
      <c r="AI2088" s="7"/>
      <c r="AJ2088" s="7"/>
      <c r="AK2088" s="7"/>
      <c r="AL2088" s="7"/>
      <c r="AM2088" s="7"/>
      <c r="AN2088" s="7"/>
      <c r="AO2088" s="7" t="s">
        <v>166</v>
      </c>
      <c r="AP2088" s="7" t="s">
        <v>13239</v>
      </c>
      <c r="AQ2088" s="7" t="s">
        <v>166</v>
      </c>
      <c r="AR2088" s="7" t="s">
        <v>102</v>
      </c>
      <c r="AS2088" s="7" t="s">
        <v>166</v>
      </c>
      <c r="AT2088" s="7" t="s">
        <v>13243</v>
      </c>
      <c r="AU2088" s="7" t="s">
        <v>166</v>
      </c>
      <c r="AV2088" s="7" t="s">
        <v>13244</v>
      </c>
      <c r="AW2088" s="7"/>
      <c r="AX2088" s="7"/>
      <c r="AY2088" s="7" t="s">
        <v>166</v>
      </c>
      <c r="AZ2088" s="7" t="s">
        <v>13245</v>
      </c>
      <c r="BA2088" s="7"/>
      <c r="BB2088" s="7"/>
      <c r="BC2088" s="7" t="s">
        <v>707</v>
      </c>
      <c r="BD2088" s="7" t="s">
        <v>13246</v>
      </c>
      <c r="BE2088" s="7" t="s">
        <v>1088</v>
      </c>
      <c r="BF2088" s="8"/>
      <c r="BG2088" s="8"/>
      <c r="BH2088" s="8"/>
      <c r="BI2088" s="8"/>
      <c r="BJ2088" s="8"/>
      <c r="BK2088" s="8"/>
      <c r="BL2088" s="8"/>
      <c r="BM2088" s="8"/>
      <c r="BN2088" s="8"/>
      <c r="BO2088" s="8"/>
      <c r="BP2088" s="8"/>
      <c r="BQ2088" s="8"/>
      <c r="BR2088" s="8"/>
      <c r="BS2088" s="8"/>
    </row>
    <row r="2089" customFormat="false" ht="15" hidden="false" customHeight="false" outlineLevel="0" collapsed="false">
      <c r="A2089" s="7" t="s">
        <v>13247</v>
      </c>
      <c r="B2089" s="7" t="s">
        <v>13248</v>
      </c>
      <c r="C2089" s="7" t="s">
        <v>13249</v>
      </c>
      <c r="D2089" s="7" t="s">
        <v>13250</v>
      </c>
      <c r="E2089" s="7"/>
      <c r="F2089" s="7" t="s">
        <v>156</v>
      </c>
      <c r="G2089" s="7"/>
      <c r="H2089" s="7" t="s">
        <v>157</v>
      </c>
      <c r="I2089" s="7" t="s">
        <v>132</v>
      </c>
      <c r="J2089" s="7" t="s">
        <v>159</v>
      </c>
      <c r="K2089" s="7" t="s">
        <v>1078</v>
      </c>
      <c r="L2089" s="7" t="s">
        <v>106</v>
      </c>
      <c r="M2089" s="7"/>
      <c r="N2089" s="7" t="s">
        <v>13251</v>
      </c>
      <c r="O2089" s="7"/>
      <c r="P2089" s="7" t="s">
        <v>135</v>
      </c>
      <c r="Q2089" s="7"/>
      <c r="R2089" s="7" t="s">
        <v>135</v>
      </c>
      <c r="S2089" s="7" t="s">
        <v>136</v>
      </c>
      <c r="T2089" s="7" t="n">
        <v>0.359</v>
      </c>
      <c r="U2089" s="7" t="n">
        <v>0</v>
      </c>
      <c r="V2089" s="7"/>
      <c r="W2089" s="7"/>
      <c r="X2089" s="7"/>
      <c r="Y2089" s="7"/>
      <c r="Z2089" s="7"/>
      <c r="AA2089" s="7" t="s">
        <v>572</v>
      </c>
      <c r="AB2089" s="7" t="s">
        <v>573</v>
      </c>
      <c r="AC2089" s="7" t="n">
        <v>12</v>
      </c>
      <c r="AD2089" s="7"/>
      <c r="AE2089" s="7" t="s">
        <v>115</v>
      </c>
      <c r="AF2089" s="7"/>
      <c r="AG2089" s="7" t="s">
        <v>115</v>
      </c>
      <c r="AH2089" s="7"/>
      <c r="AI2089" s="7" t="s">
        <v>115</v>
      </c>
      <c r="AJ2089" s="7"/>
      <c r="AK2089" s="7" t="s">
        <v>115</v>
      </c>
      <c r="AL2089" s="7"/>
      <c r="AM2089" s="7" t="s">
        <v>115</v>
      </c>
      <c r="AN2089" s="7"/>
      <c r="AO2089" s="7" t="s">
        <v>166</v>
      </c>
      <c r="AP2089" s="7" t="s">
        <v>13250</v>
      </c>
      <c r="AQ2089" s="7" t="s">
        <v>115</v>
      </c>
      <c r="AR2089" s="7"/>
      <c r="AS2089" s="7" t="s">
        <v>166</v>
      </c>
      <c r="AT2089" s="7" t="s">
        <v>13252</v>
      </c>
      <c r="AU2089" s="7" t="s">
        <v>115</v>
      </c>
      <c r="AV2089" s="7"/>
      <c r="AW2089" s="7" t="s">
        <v>115</v>
      </c>
      <c r="AX2089" s="7"/>
      <c r="AY2089" s="7" t="s">
        <v>115</v>
      </c>
      <c r="AZ2089" s="7"/>
      <c r="BA2089" s="7" t="s">
        <v>115</v>
      </c>
      <c r="BB2089" s="7"/>
      <c r="BC2089" s="7" t="s">
        <v>178</v>
      </c>
      <c r="BD2089" s="7" t="s">
        <v>13253</v>
      </c>
      <c r="BE2089" s="7" t="s">
        <v>1088</v>
      </c>
      <c r="BF2089" s="8"/>
      <c r="BG2089" s="8"/>
      <c r="BH2089" s="8"/>
      <c r="BI2089" s="8"/>
      <c r="BJ2089" s="8"/>
      <c r="BK2089" s="8"/>
      <c r="BL2089" s="8"/>
      <c r="BM2089" s="8"/>
      <c r="BN2089" s="8"/>
      <c r="BO2089" s="8"/>
      <c r="BP2089" s="8"/>
      <c r="BQ2089" s="8"/>
      <c r="BR2089" s="8"/>
      <c r="BS2089" s="8"/>
    </row>
    <row r="2090" customFormat="false" ht="15" hidden="false" customHeight="false" outlineLevel="0" collapsed="false">
      <c r="A2090" s="7" t="s">
        <v>13254</v>
      </c>
      <c r="B2090" s="7" t="s">
        <v>13255</v>
      </c>
      <c r="C2090" s="7" t="s">
        <v>13256</v>
      </c>
      <c r="D2090" s="7" t="s">
        <v>13257</v>
      </c>
      <c r="E2090" s="7"/>
      <c r="F2090" s="7" t="s">
        <v>156</v>
      </c>
      <c r="G2090" s="7"/>
      <c r="H2090" s="7" t="s">
        <v>157</v>
      </c>
      <c r="I2090" s="7" t="s">
        <v>132</v>
      </c>
      <c r="J2090" s="7" t="s">
        <v>159</v>
      </c>
      <c r="K2090" s="7" t="s">
        <v>1078</v>
      </c>
      <c r="L2090" s="7" t="s">
        <v>106</v>
      </c>
      <c r="M2090" s="7"/>
      <c r="N2090" s="7" t="s">
        <v>13258</v>
      </c>
      <c r="O2090" s="7"/>
      <c r="P2090" s="7" t="s">
        <v>135</v>
      </c>
      <c r="Q2090" s="7"/>
      <c r="R2090" s="7" t="s">
        <v>135</v>
      </c>
      <c r="S2090" s="7" t="s">
        <v>136</v>
      </c>
      <c r="T2090" s="7" t="n">
        <v>0.3</v>
      </c>
      <c r="U2090" s="7" t="n">
        <v>0</v>
      </c>
      <c r="V2090" s="7"/>
      <c r="W2090" s="7"/>
      <c r="X2090" s="7"/>
      <c r="Y2090" s="7"/>
      <c r="Z2090" s="7"/>
      <c r="AA2090" s="7" t="s">
        <v>572</v>
      </c>
      <c r="AB2090" s="7" t="s">
        <v>573</v>
      </c>
      <c r="AC2090" s="7" t="n">
        <v>12</v>
      </c>
      <c r="AD2090" s="7"/>
      <c r="AE2090" s="7" t="s">
        <v>166</v>
      </c>
      <c r="AF2090" s="7" t="s">
        <v>13259</v>
      </c>
      <c r="AG2090" s="7" t="s">
        <v>115</v>
      </c>
      <c r="AH2090" s="7"/>
      <c r="AI2090" s="7" t="s">
        <v>115</v>
      </c>
      <c r="AJ2090" s="7"/>
      <c r="AK2090" s="7" t="s">
        <v>115</v>
      </c>
      <c r="AL2090" s="7"/>
      <c r="AM2090" s="7" t="s">
        <v>166</v>
      </c>
      <c r="AN2090" s="7" t="s">
        <v>13260</v>
      </c>
      <c r="AO2090" s="7" t="s">
        <v>166</v>
      </c>
      <c r="AP2090" s="7" t="s">
        <v>13261</v>
      </c>
      <c r="AQ2090" s="7" t="s">
        <v>166</v>
      </c>
      <c r="AR2090" s="7" t="s">
        <v>13262</v>
      </c>
      <c r="AS2090" s="7" t="s">
        <v>166</v>
      </c>
      <c r="AT2090" s="7" t="s">
        <v>2535</v>
      </c>
      <c r="AU2090" s="7" t="s">
        <v>166</v>
      </c>
      <c r="AV2090" s="7" t="s">
        <v>13263</v>
      </c>
      <c r="AW2090" s="7" t="s">
        <v>166</v>
      </c>
      <c r="AX2090" s="7" t="s">
        <v>13264</v>
      </c>
      <c r="AY2090" s="7" t="s">
        <v>166</v>
      </c>
      <c r="AZ2090" s="7" t="s">
        <v>13265</v>
      </c>
      <c r="BA2090" s="7" t="s">
        <v>166</v>
      </c>
      <c r="BB2090" s="7" t="s">
        <v>13266</v>
      </c>
      <c r="BC2090" s="7" t="s">
        <v>707</v>
      </c>
      <c r="BD2090" s="7" t="s">
        <v>13267</v>
      </c>
      <c r="BE2090" s="7" t="s">
        <v>1088</v>
      </c>
      <c r="BF2090" s="8"/>
      <c r="BG2090" s="8"/>
      <c r="BH2090" s="8"/>
      <c r="BI2090" s="8"/>
      <c r="BJ2090" s="8"/>
      <c r="BK2090" s="8"/>
      <c r="BL2090" s="8"/>
      <c r="BM2090" s="8"/>
      <c r="BN2090" s="8"/>
      <c r="BO2090" s="8"/>
      <c r="BP2090" s="8"/>
      <c r="BQ2090" s="8"/>
      <c r="BR2090" s="8"/>
      <c r="BS2090" s="8"/>
    </row>
    <row r="2091" customFormat="false" ht="15" hidden="false" customHeight="false" outlineLevel="0" collapsed="false">
      <c r="A2091" s="7" t="s">
        <v>13268</v>
      </c>
      <c r="B2091" s="7" t="s">
        <v>13269</v>
      </c>
      <c r="C2091" s="7" t="s">
        <v>13270</v>
      </c>
      <c r="D2091" s="7" t="s">
        <v>13271</v>
      </c>
      <c r="E2091" s="7"/>
      <c r="F2091" s="7" t="s">
        <v>156</v>
      </c>
      <c r="G2091" s="7"/>
      <c r="H2091" s="7" t="s">
        <v>157</v>
      </c>
      <c r="I2091" s="7" t="s">
        <v>132</v>
      </c>
      <c r="J2091" s="7" t="s">
        <v>159</v>
      </c>
      <c r="K2091" s="7" t="s">
        <v>1078</v>
      </c>
      <c r="L2091" s="7" t="s">
        <v>106</v>
      </c>
      <c r="M2091" s="7"/>
      <c r="N2091" s="7" t="s">
        <v>13272</v>
      </c>
      <c r="O2091" s="7"/>
      <c r="P2091" s="7" t="s">
        <v>135</v>
      </c>
      <c r="Q2091" s="7"/>
      <c r="R2091" s="7" t="s">
        <v>135</v>
      </c>
      <c r="S2091" s="7" t="s">
        <v>136</v>
      </c>
      <c r="T2091" s="7" t="n">
        <v>0.323</v>
      </c>
      <c r="U2091" s="7" t="n">
        <v>0</v>
      </c>
      <c r="V2091" s="7"/>
      <c r="W2091" s="7"/>
      <c r="X2091" s="7"/>
      <c r="Y2091" s="7"/>
      <c r="Z2091" s="7"/>
      <c r="AA2091" s="7" t="s">
        <v>572</v>
      </c>
      <c r="AB2091" s="7" t="s">
        <v>573</v>
      </c>
      <c r="AC2091" s="7" t="n">
        <v>7</v>
      </c>
      <c r="AD2091" s="7" t="s">
        <v>1538</v>
      </c>
      <c r="AE2091" s="7" t="s">
        <v>166</v>
      </c>
      <c r="AF2091" s="7" t="s">
        <v>13273</v>
      </c>
      <c r="AG2091" s="7"/>
      <c r="AH2091" s="7"/>
      <c r="AI2091" s="7"/>
      <c r="AJ2091" s="7"/>
      <c r="AK2091" s="7"/>
      <c r="AL2091" s="7"/>
      <c r="AM2091" s="7"/>
      <c r="AN2091" s="7"/>
      <c r="AO2091" s="7" t="s">
        <v>166</v>
      </c>
      <c r="AP2091" s="7" t="s">
        <v>13274</v>
      </c>
      <c r="AQ2091" s="7" t="s">
        <v>166</v>
      </c>
      <c r="AR2091" s="7" t="s">
        <v>13275</v>
      </c>
      <c r="AS2091" s="7" t="s">
        <v>166</v>
      </c>
      <c r="AT2091" s="7" t="s">
        <v>2535</v>
      </c>
      <c r="AU2091" s="7" t="s">
        <v>166</v>
      </c>
      <c r="AV2091" s="7" t="s">
        <v>13276</v>
      </c>
      <c r="AW2091" s="7" t="s">
        <v>166</v>
      </c>
      <c r="AX2091" s="7" t="s">
        <v>13277</v>
      </c>
      <c r="AY2091" s="7" t="s">
        <v>166</v>
      </c>
      <c r="AZ2091" s="7" t="s">
        <v>13278</v>
      </c>
      <c r="BA2091" s="7"/>
      <c r="BB2091" s="7"/>
      <c r="BC2091" s="7" t="s">
        <v>707</v>
      </c>
      <c r="BD2091" s="7" t="s">
        <v>13279</v>
      </c>
      <c r="BE2091" s="7" t="s">
        <v>1088</v>
      </c>
      <c r="BF2091" s="8"/>
      <c r="BG2091" s="8"/>
      <c r="BH2091" s="8"/>
      <c r="BI2091" s="8"/>
      <c r="BJ2091" s="8"/>
      <c r="BK2091" s="8"/>
      <c r="BL2091" s="8"/>
      <c r="BM2091" s="8"/>
      <c r="BN2091" s="8"/>
      <c r="BO2091" s="8"/>
      <c r="BP2091" s="8"/>
      <c r="BQ2091" s="8"/>
      <c r="BR2091" s="8"/>
      <c r="BS2091" s="8"/>
    </row>
    <row r="2092" customFormat="false" ht="15" hidden="false" customHeight="false" outlineLevel="0" collapsed="false">
      <c r="A2092" s="7" t="s">
        <v>13280</v>
      </c>
      <c r="B2092" s="7" t="s">
        <v>13281</v>
      </c>
      <c r="C2092" s="7" t="s">
        <v>1341</v>
      </c>
      <c r="D2092" s="7" t="s">
        <v>1339</v>
      </c>
      <c r="E2092" s="7" t="s">
        <v>101</v>
      </c>
      <c r="F2092" s="7" t="s">
        <v>101</v>
      </c>
      <c r="G2092" s="7"/>
      <c r="H2092" s="7" t="s">
        <v>102</v>
      </c>
      <c r="I2092" s="7" t="s">
        <v>158</v>
      </c>
      <c r="J2092" s="7" t="s">
        <v>1341</v>
      </c>
      <c r="K2092" s="7" t="s">
        <v>476</v>
      </c>
      <c r="L2092" s="7" t="s">
        <v>106</v>
      </c>
      <c r="M2092" s="7"/>
      <c r="N2092" s="7" t="s">
        <v>13282</v>
      </c>
      <c r="O2092" s="7" t="s">
        <v>13282</v>
      </c>
      <c r="P2092" s="7" t="s">
        <v>135</v>
      </c>
      <c r="Q2092" s="7"/>
      <c r="R2092" s="7" t="s">
        <v>109</v>
      </c>
      <c r="S2092" s="7" t="s">
        <v>110</v>
      </c>
      <c r="T2092" s="7" t="n">
        <v>0.362</v>
      </c>
      <c r="U2092" s="7" t="n">
        <v>1</v>
      </c>
      <c r="V2092" s="7" t="s">
        <v>90</v>
      </c>
      <c r="W2092" s="7" t="s">
        <v>13283</v>
      </c>
      <c r="X2092" s="7" t="s">
        <v>924</v>
      </c>
      <c r="Y2092" s="7" t="s">
        <v>7876</v>
      </c>
      <c r="Z2092" s="7"/>
      <c r="AA2092" s="7"/>
      <c r="AB2092" s="7"/>
      <c r="AC2092" s="7" t="n">
        <v>0</v>
      </c>
      <c r="AD2092" s="7" t="s">
        <v>388</v>
      </c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7"/>
      <c r="BC2092" s="7"/>
      <c r="BD2092" s="7" t="s">
        <v>13284</v>
      </c>
      <c r="BE2092" s="7" t="s">
        <v>127</v>
      </c>
      <c r="BF2092" s="8"/>
      <c r="BG2092" s="8"/>
      <c r="BH2092" s="8"/>
      <c r="BI2092" s="8"/>
      <c r="BJ2092" s="8"/>
      <c r="BK2092" s="8"/>
      <c r="BL2092" s="8"/>
      <c r="BM2092" s="8"/>
      <c r="BN2092" s="8"/>
      <c r="BO2092" s="8"/>
      <c r="BP2092" s="8"/>
      <c r="BQ2092" s="8"/>
      <c r="BR2092" s="8"/>
      <c r="BS2092" s="8"/>
    </row>
    <row r="2093" customFormat="false" ht="15" hidden="false" customHeight="false" outlineLevel="0" collapsed="false">
      <c r="A2093" s="7" t="s">
        <v>13285</v>
      </c>
      <c r="B2093" s="7" t="s">
        <v>13286</v>
      </c>
      <c r="C2093" s="7" t="s">
        <v>13287</v>
      </c>
      <c r="D2093" s="7" t="s">
        <v>1353</v>
      </c>
      <c r="E2093" s="7" t="s">
        <v>101</v>
      </c>
      <c r="F2093" s="7" t="s">
        <v>101</v>
      </c>
      <c r="G2093" s="7"/>
      <c r="H2093" s="7" t="s">
        <v>102</v>
      </c>
      <c r="I2093" s="7" t="s">
        <v>1140</v>
      </c>
      <c r="J2093" s="7" t="s">
        <v>1354</v>
      </c>
      <c r="K2093" s="7" t="s">
        <v>1111</v>
      </c>
      <c r="L2093" s="7" t="s">
        <v>106</v>
      </c>
      <c r="M2093" s="7"/>
      <c r="N2093" s="7" t="s">
        <v>1355</v>
      </c>
      <c r="O2093" s="7" t="s">
        <v>1355</v>
      </c>
      <c r="P2093" s="7" t="s">
        <v>135</v>
      </c>
      <c r="Q2093" s="7"/>
      <c r="R2093" s="7" t="s">
        <v>109</v>
      </c>
      <c r="S2093" s="7" t="s">
        <v>110</v>
      </c>
      <c r="T2093" s="7" t="n">
        <v>0.486</v>
      </c>
      <c r="U2093" s="7" t="n">
        <v>0</v>
      </c>
      <c r="V2093" s="7"/>
      <c r="W2093" s="7"/>
      <c r="X2093" s="7"/>
      <c r="Y2093" s="7"/>
      <c r="Z2093" s="7"/>
      <c r="AA2093" s="7" t="s">
        <v>572</v>
      </c>
      <c r="AB2093" s="7" t="s">
        <v>573</v>
      </c>
      <c r="AC2093" s="7" t="n">
        <v>0</v>
      </c>
      <c r="AD2093" s="7" t="s">
        <v>388</v>
      </c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7"/>
      <c r="BC2093" s="7"/>
      <c r="BD2093" s="7" t="s">
        <v>1356</v>
      </c>
      <c r="BE2093" s="7" t="s">
        <v>1088</v>
      </c>
      <c r="BF2093" s="8"/>
      <c r="BG2093" s="8"/>
      <c r="BH2093" s="8"/>
      <c r="BI2093" s="8"/>
      <c r="BJ2093" s="8"/>
      <c r="BK2093" s="8"/>
      <c r="BL2093" s="8"/>
      <c r="BM2093" s="8"/>
      <c r="BN2093" s="8"/>
      <c r="BO2093" s="8"/>
      <c r="BP2093" s="8"/>
      <c r="BQ2093" s="8"/>
      <c r="BR2093" s="8"/>
      <c r="BS2093" s="8"/>
    </row>
    <row r="2094" customFormat="false" ht="15" hidden="false" customHeight="false" outlineLevel="0" collapsed="false">
      <c r="A2094" s="7" t="s">
        <v>13288</v>
      </c>
      <c r="B2094" s="7" t="s">
        <v>13289</v>
      </c>
      <c r="C2094" s="7" t="s">
        <v>13290</v>
      </c>
      <c r="D2094" s="7" t="s">
        <v>1353</v>
      </c>
      <c r="E2094" s="7" t="s">
        <v>101</v>
      </c>
      <c r="F2094" s="7" t="s">
        <v>101</v>
      </c>
      <c r="G2094" s="7"/>
      <c r="H2094" s="7" t="s">
        <v>102</v>
      </c>
      <c r="I2094" s="7" t="s">
        <v>1140</v>
      </c>
      <c r="J2094" s="7" t="s">
        <v>1354</v>
      </c>
      <c r="K2094" s="7" t="s">
        <v>1111</v>
      </c>
      <c r="L2094" s="7" t="s">
        <v>106</v>
      </c>
      <c r="M2094" s="7"/>
      <c r="N2094" s="7" t="s">
        <v>1355</v>
      </c>
      <c r="O2094" s="7" t="s">
        <v>1355</v>
      </c>
      <c r="P2094" s="7" t="s">
        <v>135</v>
      </c>
      <c r="Q2094" s="7"/>
      <c r="R2094" s="7" t="s">
        <v>109</v>
      </c>
      <c r="S2094" s="7" t="s">
        <v>110</v>
      </c>
      <c r="T2094" s="7" t="n">
        <v>0.457</v>
      </c>
      <c r="U2094" s="7" t="n">
        <v>0</v>
      </c>
      <c r="V2094" s="7"/>
      <c r="W2094" s="7"/>
      <c r="X2094" s="7"/>
      <c r="Y2094" s="7"/>
      <c r="Z2094" s="7"/>
      <c r="AA2094" s="7" t="s">
        <v>572</v>
      </c>
      <c r="AB2094" s="7" t="s">
        <v>573</v>
      </c>
      <c r="AC2094" s="7" t="n">
        <v>0</v>
      </c>
      <c r="AD2094" s="7" t="s">
        <v>388</v>
      </c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  <c r="BB2094" s="7"/>
      <c r="BC2094" s="7"/>
      <c r="BD2094" s="7" t="s">
        <v>1356</v>
      </c>
      <c r="BE2094" s="7" t="s">
        <v>1088</v>
      </c>
      <c r="BF2094" s="8"/>
      <c r="BG2094" s="8"/>
      <c r="BH2094" s="8"/>
      <c r="BI2094" s="8"/>
      <c r="BJ2094" s="8"/>
      <c r="BK2094" s="8"/>
      <c r="BL2094" s="8"/>
      <c r="BM2094" s="8"/>
      <c r="BN2094" s="8"/>
      <c r="BO2094" s="8"/>
      <c r="BP2094" s="8"/>
      <c r="BQ2094" s="8"/>
      <c r="BR2094" s="8"/>
      <c r="BS2094" s="8"/>
    </row>
    <row r="2095" customFormat="false" ht="15" hidden="false" customHeight="false" outlineLevel="0" collapsed="false">
      <c r="A2095" s="7" t="s">
        <v>13291</v>
      </c>
      <c r="B2095" s="7" t="s">
        <v>13292</v>
      </c>
      <c r="C2095" s="7" t="s">
        <v>13293</v>
      </c>
      <c r="D2095" s="7" t="s">
        <v>1353</v>
      </c>
      <c r="E2095" s="7" t="s">
        <v>101</v>
      </c>
      <c r="F2095" s="7" t="s">
        <v>101</v>
      </c>
      <c r="G2095" s="7"/>
      <c r="H2095" s="7" t="s">
        <v>102</v>
      </c>
      <c r="I2095" s="7" t="s">
        <v>1140</v>
      </c>
      <c r="J2095" s="7" t="s">
        <v>1354</v>
      </c>
      <c r="K2095" s="7" t="s">
        <v>1111</v>
      </c>
      <c r="L2095" s="7" t="s">
        <v>106</v>
      </c>
      <c r="M2095" s="7"/>
      <c r="N2095" s="7" t="s">
        <v>1355</v>
      </c>
      <c r="O2095" s="7" t="s">
        <v>1355</v>
      </c>
      <c r="P2095" s="7" t="s">
        <v>135</v>
      </c>
      <c r="Q2095" s="7"/>
      <c r="R2095" s="7" t="s">
        <v>109</v>
      </c>
      <c r="S2095" s="7" t="s">
        <v>110</v>
      </c>
      <c r="T2095" s="7" t="n">
        <v>0.352</v>
      </c>
      <c r="U2095" s="7" t="n">
        <v>0</v>
      </c>
      <c r="V2095" s="7"/>
      <c r="W2095" s="7"/>
      <c r="X2095" s="7"/>
      <c r="Y2095" s="7"/>
      <c r="Z2095" s="7"/>
      <c r="AA2095" s="7" t="s">
        <v>572</v>
      </c>
      <c r="AB2095" s="7" t="s">
        <v>573</v>
      </c>
      <c r="AC2095" s="7" t="n">
        <v>0</v>
      </c>
      <c r="AD2095" s="7" t="s">
        <v>388</v>
      </c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  <c r="BB2095" s="7"/>
      <c r="BC2095" s="7"/>
      <c r="BD2095" s="7" t="s">
        <v>1356</v>
      </c>
      <c r="BE2095" s="7" t="s">
        <v>1088</v>
      </c>
      <c r="BF2095" s="8"/>
      <c r="BG2095" s="8"/>
      <c r="BH2095" s="8"/>
      <c r="BI2095" s="8"/>
      <c r="BJ2095" s="8"/>
      <c r="BK2095" s="8"/>
      <c r="BL2095" s="8"/>
      <c r="BM2095" s="8"/>
      <c r="BN2095" s="8"/>
      <c r="BO2095" s="8"/>
      <c r="BP2095" s="8"/>
      <c r="BQ2095" s="8"/>
      <c r="BR2095" s="8"/>
      <c r="BS2095" s="8"/>
    </row>
    <row r="2096" customFormat="false" ht="15" hidden="false" customHeight="false" outlineLevel="0" collapsed="false">
      <c r="A2096" s="7" t="s">
        <v>13294</v>
      </c>
      <c r="B2096" s="7" t="s">
        <v>13295</v>
      </c>
      <c r="C2096" s="7" t="s">
        <v>13296</v>
      </c>
      <c r="D2096" s="7" t="s">
        <v>1126</v>
      </c>
      <c r="E2096" s="7" t="s">
        <v>101</v>
      </c>
      <c r="F2096" s="7" t="s">
        <v>101</v>
      </c>
      <c r="G2096" s="7"/>
      <c r="H2096" s="7" t="s">
        <v>102</v>
      </c>
      <c r="I2096" s="7" t="s">
        <v>132</v>
      </c>
      <c r="J2096" s="7" t="s">
        <v>1127</v>
      </c>
      <c r="K2096" s="7" t="s">
        <v>1147</v>
      </c>
      <c r="L2096" s="7" t="s">
        <v>106</v>
      </c>
      <c r="M2096" s="7"/>
      <c r="N2096" s="7" t="s">
        <v>1129</v>
      </c>
      <c r="O2096" s="7" t="s">
        <v>1129</v>
      </c>
      <c r="P2096" s="7" t="s">
        <v>135</v>
      </c>
      <c r="Q2096" s="7"/>
      <c r="R2096" s="7" t="s">
        <v>109</v>
      </c>
      <c r="S2096" s="7" t="s">
        <v>110</v>
      </c>
      <c r="T2096" s="7" t="n">
        <v>0.496</v>
      </c>
      <c r="U2096" s="7" t="n">
        <v>0</v>
      </c>
      <c r="V2096" s="7"/>
      <c r="W2096" s="7"/>
      <c r="X2096" s="7"/>
      <c r="Y2096" s="7"/>
      <c r="Z2096" s="7"/>
      <c r="AA2096" s="7" t="s">
        <v>572</v>
      </c>
      <c r="AB2096" s="7" t="s">
        <v>573</v>
      </c>
      <c r="AC2096" s="7" t="n">
        <v>0</v>
      </c>
      <c r="AD2096" s="7" t="s">
        <v>388</v>
      </c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7"/>
      <c r="BC2096" s="7"/>
      <c r="BD2096" s="7"/>
      <c r="BE2096" s="7" t="s">
        <v>1088</v>
      </c>
      <c r="BF2096" s="8"/>
      <c r="BG2096" s="8"/>
      <c r="BH2096" s="8"/>
      <c r="BI2096" s="8"/>
      <c r="BJ2096" s="8"/>
      <c r="BK2096" s="8"/>
      <c r="BL2096" s="8"/>
      <c r="BM2096" s="8"/>
      <c r="BN2096" s="8"/>
      <c r="BO2096" s="8"/>
      <c r="BP2096" s="8"/>
      <c r="BQ2096" s="8"/>
      <c r="BR2096" s="8"/>
      <c r="BS2096" s="8"/>
    </row>
    <row r="2097" customFormat="false" ht="15" hidden="false" customHeight="false" outlineLevel="0" collapsed="false">
      <c r="A2097" s="7" t="s">
        <v>13297</v>
      </c>
      <c r="B2097" s="7" t="s">
        <v>13298</v>
      </c>
      <c r="C2097" s="7" t="s">
        <v>13299</v>
      </c>
      <c r="D2097" s="7" t="s">
        <v>1138</v>
      </c>
      <c r="E2097" s="7" t="s">
        <v>82</v>
      </c>
      <c r="F2097" s="7" t="s">
        <v>82</v>
      </c>
      <c r="G2097" s="7"/>
      <c r="H2097" s="7" t="s">
        <v>207</v>
      </c>
      <c r="I2097" s="7" t="s">
        <v>1140</v>
      </c>
      <c r="J2097" s="7" t="s">
        <v>475</v>
      </c>
      <c r="K2097" s="7" t="s">
        <v>476</v>
      </c>
      <c r="L2097" s="7" t="s">
        <v>106</v>
      </c>
      <c r="M2097" s="7"/>
      <c r="N2097" s="7" t="s">
        <v>13300</v>
      </c>
      <c r="O2097" s="7" t="s">
        <v>13300</v>
      </c>
      <c r="P2097" s="7" t="s">
        <v>135</v>
      </c>
      <c r="Q2097" s="7"/>
      <c r="R2097" s="7" t="s">
        <v>109</v>
      </c>
      <c r="S2097" s="7" t="s">
        <v>110</v>
      </c>
      <c r="T2097" s="7" t="n">
        <v>0.411</v>
      </c>
      <c r="U2097" s="7" t="n">
        <v>0</v>
      </c>
      <c r="V2097" s="7"/>
      <c r="W2097" s="7"/>
      <c r="X2097" s="7"/>
      <c r="Y2097" s="7"/>
      <c r="Z2097" s="7"/>
      <c r="AA2097" s="7"/>
      <c r="AB2097" s="7"/>
      <c r="AC2097" s="7" t="n">
        <v>0</v>
      </c>
      <c r="AD2097" s="7" t="s">
        <v>388</v>
      </c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7"/>
      <c r="BC2097" s="7"/>
      <c r="BD2097" s="7" t="s">
        <v>220</v>
      </c>
      <c r="BE2097" s="7" t="s">
        <v>127</v>
      </c>
      <c r="BF2097" s="8"/>
      <c r="BG2097" s="8"/>
      <c r="BH2097" s="8"/>
      <c r="BI2097" s="8"/>
      <c r="BJ2097" s="8"/>
      <c r="BK2097" s="8"/>
      <c r="BL2097" s="8"/>
      <c r="BM2097" s="8"/>
      <c r="BN2097" s="8"/>
      <c r="BO2097" s="8"/>
      <c r="BP2097" s="8"/>
      <c r="BQ2097" s="8"/>
      <c r="BR2097" s="8"/>
      <c r="BS2097" s="8"/>
    </row>
    <row r="2098" customFormat="false" ht="15" hidden="false" customHeight="false" outlineLevel="0" collapsed="false">
      <c r="A2098" s="7" t="s">
        <v>13301</v>
      </c>
      <c r="B2098" s="7" t="s">
        <v>13302</v>
      </c>
      <c r="C2098" s="7" t="s">
        <v>13303</v>
      </c>
      <c r="D2098" s="7" t="s">
        <v>12814</v>
      </c>
      <c r="E2098" s="7" t="s">
        <v>82</v>
      </c>
      <c r="F2098" s="7" t="s">
        <v>82</v>
      </c>
      <c r="G2098" s="7"/>
      <c r="H2098" s="7" t="s">
        <v>207</v>
      </c>
      <c r="I2098" s="7" t="s">
        <v>103</v>
      </c>
      <c r="J2098" s="7" t="s">
        <v>475</v>
      </c>
      <c r="K2098" s="7" t="s">
        <v>476</v>
      </c>
      <c r="L2098" s="7" t="s">
        <v>106</v>
      </c>
      <c r="M2098" s="7"/>
      <c r="N2098" s="7" t="s">
        <v>13304</v>
      </c>
      <c r="O2098" s="7" t="s">
        <v>13304</v>
      </c>
      <c r="P2098" s="7" t="s">
        <v>135</v>
      </c>
      <c r="Q2098" s="7"/>
      <c r="R2098" s="7" t="s">
        <v>109</v>
      </c>
      <c r="S2098" s="7" t="s">
        <v>110</v>
      </c>
      <c r="T2098" s="7" t="n">
        <v>0.382</v>
      </c>
      <c r="U2098" s="7" t="n">
        <v>0</v>
      </c>
      <c r="V2098" s="7"/>
      <c r="W2098" s="7"/>
      <c r="X2098" s="7"/>
      <c r="Y2098" s="7"/>
      <c r="Z2098" s="7"/>
      <c r="AA2098" s="7"/>
      <c r="AB2098" s="7"/>
      <c r="AC2098" s="7" t="n">
        <v>0</v>
      </c>
      <c r="AD2098" s="7" t="s">
        <v>388</v>
      </c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  <c r="BB2098" s="7"/>
      <c r="BC2098" s="7"/>
      <c r="BD2098" s="7" t="s">
        <v>1606</v>
      </c>
      <c r="BE2098" s="7" t="s">
        <v>127</v>
      </c>
      <c r="BF2098" s="8"/>
      <c r="BG2098" s="8"/>
      <c r="BH2098" s="8"/>
      <c r="BI2098" s="8"/>
      <c r="BJ2098" s="8"/>
      <c r="BK2098" s="8"/>
      <c r="BL2098" s="8"/>
      <c r="BM2098" s="8"/>
      <c r="BN2098" s="8"/>
      <c r="BO2098" s="8"/>
      <c r="BP2098" s="8"/>
      <c r="BQ2098" s="8"/>
      <c r="BR2098" s="8"/>
      <c r="BS2098" s="8"/>
    </row>
    <row r="2099" customFormat="false" ht="15" hidden="false" customHeight="false" outlineLevel="0" collapsed="false">
      <c r="A2099" s="7" t="s">
        <v>13305</v>
      </c>
      <c r="B2099" s="7" t="s">
        <v>13306</v>
      </c>
      <c r="C2099" s="7" t="s">
        <v>13307</v>
      </c>
      <c r="D2099" s="7" t="s">
        <v>13307</v>
      </c>
      <c r="E2099" s="7"/>
      <c r="F2099" s="7" t="s">
        <v>156</v>
      </c>
      <c r="G2099" s="7"/>
      <c r="H2099" s="7" t="s">
        <v>157</v>
      </c>
      <c r="I2099" s="7" t="s">
        <v>132</v>
      </c>
      <c r="J2099" s="7" t="s">
        <v>159</v>
      </c>
      <c r="K2099" s="7" t="s">
        <v>1078</v>
      </c>
      <c r="L2099" s="7" t="s">
        <v>106</v>
      </c>
      <c r="M2099" s="7"/>
      <c r="N2099" s="7" t="s">
        <v>13308</v>
      </c>
      <c r="O2099" s="7"/>
      <c r="P2099" s="7" t="s">
        <v>135</v>
      </c>
      <c r="Q2099" s="7"/>
      <c r="R2099" s="7" t="s">
        <v>135</v>
      </c>
      <c r="S2099" s="7" t="s">
        <v>136</v>
      </c>
      <c r="T2099" s="7" t="n">
        <v>0.634</v>
      </c>
      <c r="U2099" s="7" t="n">
        <v>0</v>
      </c>
      <c r="V2099" s="7"/>
      <c r="W2099" s="7"/>
      <c r="X2099" s="7"/>
      <c r="Y2099" s="7"/>
      <c r="Z2099" s="7"/>
      <c r="AA2099" s="7" t="s">
        <v>572</v>
      </c>
      <c r="AB2099" s="7" t="s">
        <v>573</v>
      </c>
      <c r="AC2099" s="7" t="n">
        <v>11</v>
      </c>
      <c r="AD2099" s="7" t="s">
        <v>4295</v>
      </c>
      <c r="AE2099" s="7" t="s">
        <v>166</v>
      </c>
      <c r="AF2099" s="7" t="s">
        <v>13309</v>
      </c>
      <c r="AG2099" s="7" t="s">
        <v>115</v>
      </c>
      <c r="AH2099" s="7"/>
      <c r="AI2099" s="7" t="s">
        <v>115</v>
      </c>
      <c r="AJ2099" s="7"/>
      <c r="AK2099" s="7" t="s">
        <v>115</v>
      </c>
      <c r="AL2099" s="7"/>
      <c r="AM2099" s="7"/>
      <c r="AN2099" s="7"/>
      <c r="AO2099" s="7" t="s">
        <v>166</v>
      </c>
      <c r="AP2099" s="7" t="s">
        <v>13307</v>
      </c>
      <c r="AQ2099" s="7" t="s">
        <v>166</v>
      </c>
      <c r="AR2099" s="7" t="s">
        <v>13310</v>
      </c>
      <c r="AS2099" s="7" t="s">
        <v>166</v>
      </c>
      <c r="AT2099" s="7" t="s">
        <v>1331</v>
      </c>
      <c r="AU2099" s="7" t="s">
        <v>166</v>
      </c>
      <c r="AV2099" s="7" t="s">
        <v>13311</v>
      </c>
      <c r="AW2099" s="7" t="s">
        <v>115</v>
      </c>
      <c r="AX2099" s="7"/>
      <c r="AY2099" s="7" t="s">
        <v>166</v>
      </c>
      <c r="AZ2099" s="7" t="s">
        <v>13312</v>
      </c>
      <c r="BA2099" s="7" t="s">
        <v>166</v>
      </c>
      <c r="BB2099" s="7" t="s">
        <v>13313</v>
      </c>
      <c r="BC2099" s="7" t="s">
        <v>178</v>
      </c>
      <c r="BD2099" s="7" t="s">
        <v>13314</v>
      </c>
      <c r="BE2099" s="7" t="s">
        <v>1088</v>
      </c>
      <c r="BF2099" s="8"/>
      <c r="BG2099" s="8"/>
      <c r="BH2099" s="8"/>
      <c r="BI2099" s="8"/>
      <c r="BJ2099" s="8"/>
      <c r="BK2099" s="8"/>
      <c r="BL2099" s="8"/>
      <c r="BM2099" s="8"/>
      <c r="BN2099" s="8"/>
      <c r="BO2099" s="8"/>
      <c r="BP2099" s="8"/>
      <c r="BQ2099" s="8"/>
      <c r="BR2099" s="8"/>
      <c r="BS2099" s="8"/>
    </row>
    <row r="2100" customFormat="false" ht="15" hidden="false" customHeight="false" outlineLevel="0" collapsed="false">
      <c r="A2100" s="7" t="s">
        <v>13315</v>
      </c>
      <c r="B2100" s="7" t="s">
        <v>13316</v>
      </c>
      <c r="C2100" s="7" t="s">
        <v>13317</v>
      </c>
      <c r="D2100" s="7" t="s">
        <v>13318</v>
      </c>
      <c r="E2100" s="7" t="s">
        <v>82</v>
      </c>
      <c r="F2100" s="7" t="s">
        <v>82</v>
      </c>
      <c r="G2100" s="7"/>
      <c r="H2100" s="7" t="s">
        <v>1100</v>
      </c>
      <c r="I2100" s="7" t="s">
        <v>208</v>
      </c>
      <c r="J2100" s="7" t="s">
        <v>475</v>
      </c>
      <c r="K2100" s="7" t="s">
        <v>476</v>
      </c>
      <c r="L2100" s="7" t="s">
        <v>106</v>
      </c>
      <c r="M2100" s="7" t="s">
        <v>2503</v>
      </c>
      <c r="N2100" s="7" t="s">
        <v>13319</v>
      </c>
      <c r="O2100" s="7" t="s">
        <v>13319</v>
      </c>
      <c r="P2100" s="7" t="s">
        <v>135</v>
      </c>
      <c r="Q2100" s="7"/>
      <c r="R2100" s="7" t="s">
        <v>109</v>
      </c>
      <c r="S2100" s="7" t="s">
        <v>110</v>
      </c>
      <c r="T2100" s="7" t="n">
        <v>0.357</v>
      </c>
      <c r="U2100" s="7" t="n">
        <v>0</v>
      </c>
      <c r="V2100" s="7"/>
      <c r="W2100" s="7"/>
      <c r="X2100" s="7"/>
      <c r="Y2100" s="7"/>
      <c r="Z2100" s="7"/>
      <c r="AA2100" s="7"/>
      <c r="AB2100" s="7"/>
      <c r="AC2100" s="7" t="n">
        <v>0</v>
      </c>
      <c r="AD2100" s="7" t="s">
        <v>388</v>
      </c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  <c r="BB2100" s="7"/>
      <c r="BC2100" s="7" t="s">
        <v>219</v>
      </c>
      <c r="BD2100" s="7" t="s">
        <v>1606</v>
      </c>
      <c r="BE2100" s="7" t="s">
        <v>127</v>
      </c>
      <c r="BF2100" s="8"/>
      <c r="BG2100" s="8"/>
      <c r="BH2100" s="8"/>
      <c r="BI2100" s="8"/>
      <c r="BJ2100" s="8"/>
      <c r="BK2100" s="8"/>
      <c r="BL2100" s="8"/>
      <c r="BM2100" s="8"/>
      <c r="BN2100" s="8"/>
      <c r="BO2100" s="8"/>
      <c r="BP2100" s="8"/>
      <c r="BQ2100" s="8"/>
      <c r="BR2100" s="8"/>
      <c r="BS2100" s="8"/>
    </row>
    <row r="2101" customFormat="false" ht="15" hidden="false" customHeight="false" outlineLevel="0" collapsed="false">
      <c r="A2101" s="7" t="s">
        <v>13320</v>
      </c>
      <c r="B2101" s="7" t="s">
        <v>13321</v>
      </c>
      <c r="C2101" s="7" t="s">
        <v>13322</v>
      </c>
      <c r="D2101" s="7" t="s">
        <v>4165</v>
      </c>
      <c r="E2101" s="7" t="s">
        <v>82</v>
      </c>
      <c r="F2101" s="7" t="s">
        <v>82</v>
      </c>
      <c r="G2101" s="7" t="s">
        <v>13323</v>
      </c>
      <c r="H2101" s="7" t="s">
        <v>1100</v>
      </c>
      <c r="I2101" s="7" t="s">
        <v>158</v>
      </c>
      <c r="J2101" s="7" t="s">
        <v>475</v>
      </c>
      <c r="K2101" s="7" t="s">
        <v>476</v>
      </c>
      <c r="L2101" s="7" t="s">
        <v>106</v>
      </c>
      <c r="M2101" s="7"/>
      <c r="N2101" s="7" t="s">
        <v>8016</v>
      </c>
      <c r="O2101" s="7" t="s">
        <v>8016</v>
      </c>
      <c r="P2101" s="7" t="s">
        <v>135</v>
      </c>
      <c r="Q2101" s="7"/>
      <c r="R2101" s="7" t="s">
        <v>109</v>
      </c>
      <c r="S2101" s="7" t="s">
        <v>110</v>
      </c>
      <c r="T2101" s="7" t="n">
        <v>0.272</v>
      </c>
      <c r="U2101" s="7" t="n">
        <v>0</v>
      </c>
      <c r="V2101" s="7"/>
      <c r="W2101" s="7"/>
      <c r="X2101" s="7"/>
      <c r="Y2101" s="7"/>
      <c r="Z2101" s="7"/>
      <c r="AA2101" s="7"/>
      <c r="AB2101" s="7"/>
      <c r="AC2101" s="7" t="n">
        <v>0</v>
      </c>
      <c r="AD2101" s="7" t="s">
        <v>388</v>
      </c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7"/>
      <c r="BC2101" s="7"/>
      <c r="BD2101" s="7" t="s">
        <v>220</v>
      </c>
      <c r="BE2101" s="7" t="s">
        <v>127</v>
      </c>
      <c r="BF2101" s="8"/>
      <c r="BG2101" s="8"/>
      <c r="BH2101" s="8"/>
      <c r="BI2101" s="8"/>
      <c r="BJ2101" s="8"/>
      <c r="BK2101" s="8"/>
      <c r="BL2101" s="8"/>
      <c r="BM2101" s="8"/>
      <c r="BN2101" s="8"/>
      <c r="BO2101" s="8"/>
      <c r="BP2101" s="8"/>
      <c r="BQ2101" s="8"/>
      <c r="BR2101" s="8"/>
      <c r="BS2101" s="8"/>
    </row>
    <row r="2102" customFormat="false" ht="15" hidden="false" customHeight="false" outlineLevel="0" collapsed="false">
      <c r="A2102" s="7" t="s">
        <v>13324</v>
      </c>
      <c r="B2102" s="7" t="s">
        <v>13325</v>
      </c>
      <c r="C2102" s="7" t="s">
        <v>5407</v>
      </c>
      <c r="D2102" s="7" t="s">
        <v>4180</v>
      </c>
      <c r="E2102" s="7" t="s">
        <v>82</v>
      </c>
      <c r="F2102" s="7" t="s">
        <v>82</v>
      </c>
      <c r="G2102" s="7" t="s">
        <v>13326</v>
      </c>
      <c r="H2102" s="7" t="s">
        <v>1100</v>
      </c>
      <c r="I2102" s="7" t="s">
        <v>158</v>
      </c>
      <c r="J2102" s="7" t="s">
        <v>475</v>
      </c>
      <c r="K2102" s="7" t="s">
        <v>476</v>
      </c>
      <c r="L2102" s="7" t="s">
        <v>106</v>
      </c>
      <c r="M2102" s="7"/>
      <c r="N2102" s="7" t="s">
        <v>5410</v>
      </c>
      <c r="O2102" s="7" t="s">
        <v>5410</v>
      </c>
      <c r="P2102" s="7" t="s">
        <v>135</v>
      </c>
      <c r="Q2102" s="7"/>
      <c r="R2102" s="7" t="s">
        <v>109</v>
      </c>
      <c r="S2102" s="7" t="s">
        <v>110</v>
      </c>
      <c r="T2102" s="7" t="n">
        <v>0.409</v>
      </c>
      <c r="U2102" s="7" t="n">
        <v>0</v>
      </c>
      <c r="V2102" s="7"/>
      <c r="W2102" s="7"/>
      <c r="X2102" s="7"/>
      <c r="Y2102" s="7"/>
      <c r="Z2102" s="7" t="s">
        <v>5411</v>
      </c>
      <c r="AA2102" s="7"/>
      <c r="AB2102" s="7"/>
      <c r="AC2102" s="7" t="n">
        <v>0</v>
      </c>
      <c r="AD2102" s="7" t="s">
        <v>388</v>
      </c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  <c r="BB2102" s="7"/>
      <c r="BC2102" s="7"/>
      <c r="BD2102" s="7" t="s">
        <v>220</v>
      </c>
      <c r="BE2102" s="7" t="s">
        <v>590</v>
      </c>
      <c r="BF2102" s="8"/>
      <c r="BG2102" s="8"/>
      <c r="BH2102" s="8"/>
      <c r="BI2102" s="8"/>
      <c r="BJ2102" s="8"/>
      <c r="BK2102" s="8"/>
      <c r="BL2102" s="8"/>
      <c r="BM2102" s="8"/>
      <c r="BN2102" s="8"/>
      <c r="BO2102" s="8"/>
      <c r="BP2102" s="8"/>
      <c r="BQ2102" s="8"/>
      <c r="BR2102" s="8"/>
      <c r="BS2102" s="8"/>
    </row>
    <row r="2103" customFormat="false" ht="15" hidden="false" customHeight="false" outlineLevel="0" collapsed="false">
      <c r="A2103" s="7" t="s">
        <v>13327</v>
      </c>
      <c r="B2103" s="7" t="s">
        <v>13328</v>
      </c>
      <c r="C2103" s="7" t="s">
        <v>13329</v>
      </c>
      <c r="D2103" s="7" t="s">
        <v>1725</v>
      </c>
      <c r="E2103" s="7" t="s">
        <v>101</v>
      </c>
      <c r="F2103" s="7" t="s">
        <v>101</v>
      </c>
      <c r="G2103" s="7"/>
      <c r="H2103" s="7" t="s">
        <v>102</v>
      </c>
      <c r="I2103" s="7" t="s">
        <v>132</v>
      </c>
      <c r="J2103" s="7" t="s">
        <v>475</v>
      </c>
      <c r="K2103" s="7" t="s">
        <v>1147</v>
      </c>
      <c r="L2103" s="7" t="s">
        <v>106</v>
      </c>
      <c r="M2103" s="7"/>
      <c r="N2103" s="7" t="s">
        <v>1727</v>
      </c>
      <c r="O2103" s="7" t="s">
        <v>1727</v>
      </c>
      <c r="P2103" s="7" t="s">
        <v>135</v>
      </c>
      <c r="Q2103" s="7"/>
      <c r="R2103" s="7" t="s">
        <v>109</v>
      </c>
      <c r="S2103" s="7" t="s">
        <v>110</v>
      </c>
      <c r="T2103" s="7" t="n">
        <v>0.4</v>
      </c>
      <c r="U2103" s="7" t="n">
        <v>0</v>
      </c>
      <c r="V2103" s="7"/>
      <c r="W2103" s="7"/>
      <c r="X2103" s="7"/>
      <c r="Y2103" s="7"/>
      <c r="Z2103" s="7"/>
      <c r="AA2103" s="7" t="s">
        <v>572</v>
      </c>
      <c r="AB2103" s="7" t="s">
        <v>573</v>
      </c>
      <c r="AC2103" s="7" t="n">
        <v>0</v>
      </c>
      <c r="AD2103" s="7" t="s">
        <v>388</v>
      </c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/>
      <c r="BA2103" s="7"/>
      <c r="BB2103" s="7"/>
      <c r="BC2103" s="7"/>
      <c r="BD2103" s="7"/>
      <c r="BE2103" s="7" t="s">
        <v>1088</v>
      </c>
      <c r="BF2103" s="8"/>
      <c r="BG2103" s="8"/>
      <c r="BH2103" s="8"/>
      <c r="BI2103" s="8"/>
      <c r="BJ2103" s="8"/>
      <c r="BK2103" s="8"/>
      <c r="BL2103" s="8"/>
      <c r="BM2103" s="8"/>
      <c r="BN2103" s="8"/>
      <c r="BO2103" s="8"/>
      <c r="BP2103" s="8"/>
      <c r="BQ2103" s="8"/>
      <c r="BR2103" s="8"/>
      <c r="BS2103" s="8"/>
    </row>
    <row r="2104" customFormat="false" ht="15" hidden="false" customHeight="false" outlineLevel="0" collapsed="false">
      <c r="A2104" s="7" t="s">
        <v>13330</v>
      </c>
      <c r="B2104" s="7" t="s">
        <v>13331</v>
      </c>
      <c r="C2104" s="7" t="s">
        <v>13332</v>
      </c>
      <c r="D2104" s="7" t="s">
        <v>13333</v>
      </c>
      <c r="E2104" s="7" t="s">
        <v>101</v>
      </c>
      <c r="F2104" s="7" t="s">
        <v>101</v>
      </c>
      <c r="G2104" s="7"/>
      <c r="H2104" s="7" t="s">
        <v>102</v>
      </c>
      <c r="I2104" s="7" t="s">
        <v>158</v>
      </c>
      <c r="J2104" s="7" t="s">
        <v>475</v>
      </c>
      <c r="K2104" s="7" t="s">
        <v>476</v>
      </c>
      <c r="L2104" s="7" t="s">
        <v>106</v>
      </c>
      <c r="M2104" s="7"/>
      <c r="N2104" s="7" t="s">
        <v>13334</v>
      </c>
      <c r="O2104" s="7" t="s">
        <v>13334</v>
      </c>
      <c r="P2104" s="7" t="s">
        <v>135</v>
      </c>
      <c r="Q2104" s="7"/>
      <c r="R2104" s="7" t="s">
        <v>109</v>
      </c>
      <c r="S2104" s="7" t="s">
        <v>110</v>
      </c>
      <c r="T2104" s="7" t="n">
        <v>0.263</v>
      </c>
      <c r="U2104" s="7" t="n">
        <v>0</v>
      </c>
      <c r="V2104" s="7"/>
      <c r="W2104" s="7"/>
      <c r="X2104" s="7"/>
      <c r="Y2104" s="7"/>
      <c r="Z2104" s="7"/>
      <c r="AA2104" s="7"/>
      <c r="AB2104" s="7"/>
      <c r="AC2104" s="7" t="n">
        <v>0</v>
      </c>
      <c r="AD2104" s="7" t="s">
        <v>388</v>
      </c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 t="s">
        <v>1343</v>
      </c>
      <c r="BE2104" s="7" t="s">
        <v>127</v>
      </c>
      <c r="BF2104" s="8"/>
      <c r="BG2104" s="8"/>
      <c r="BH2104" s="8"/>
      <c r="BI2104" s="8"/>
      <c r="BJ2104" s="8"/>
      <c r="BK2104" s="8"/>
      <c r="BL2104" s="8"/>
      <c r="BM2104" s="8"/>
      <c r="BN2104" s="8"/>
      <c r="BO2104" s="8"/>
      <c r="BP2104" s="8"/>
      <c r="BQ2104" s="8"/>
      <c r="BR2104" s="8"/>
      <c r="BS2104" s="8"/>
    </row>
    <row r="2105" customFormat="false" ht="15" hidden="false" customHeight="false" outlineLevel="0" collapsed="false">
      <c r="A2105" s="7" t="s">
        <v>13335</v>
      </c>
      <c r="B2105" s="7" t="s">
        <v>13336</v>
      </c>
      <c r="C2105" s="7" t="s">
        <v>13337</v>
      </c>
      <c r="D2105" s="7" t="s">
        <v>1374</v>
      </c>
      <c r="E2105" s="7" t="s">
        <v>101</v>
      </c>
      <c r="F2105" s="7" t="s">
        <v>82</v>
      </c>
      <c r="G2105" s="7"/>
      <c r="H2105" s="7" t="s">
        <v>102</v>
      </c>
      <c r="I2105" s="7" t="s">
        <v>1104</v>
      </c>
      <c r="J2105" s="7" t="s">
        <v>475</v>
      </c>
      <c r="K2105" s="7" t="s">
        <v>476</v>
      </c>
      <c r="L2105" s="7" t="s">
        <v>106</v>
      </c>
      <c r="M2105" s="7"/>
      <c r="N2105" s="7" t="s">
        <v>13338</v>
      </c>
      <c r="O2105" s="7" t="s">
        <v>13338</v>
      </c>
      <c r="P2105" s="7" t="s">
        <v>135</v>
      </c>
      <c r="Q2105" s="7"/>
      <c r="R2105" s="7" t="s">
        <v>109</v>
      </c>
      <c r="S2105" s="7" t="s">
        <v>110</v>
      </c>
      <c r="T2105" s="7" t="n">
        <v>0.234</v>
      </c>
      <c r="U2105" s="7" t="n">
        <v>0</v>
      </c>
      <c r="V2105" s="7"/>
      <c r="W2105" s="7"/>
      <c r="X2105" s="7"/>
      <c r="Y2105" s="7"/>
      <c r="Z2105" s="7"/>
      <c r="AA2105" s="7"/>
      <c r="AB2105" s="7"/>
      <c r="AC2105" s="7" t="n">
        <v>0</v>
      </c>
      <c r="AD2105" s="7" t="s">
        <v>388</v>
      </c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/>
      <c r="BA2105" s="7"/>
      <c r="BB2105" s="7"/>
      <c r="BC2105" s="7"/>
      <c r="BD2105" s="7" t="s">
        <v>1606</v>
      </c>
      <c r="BE2105" s="7" t="s">
        <v>127</v>
      </c>
      <c r="BF2105" s="8"/>
      <c r="BG2105" s="8"/>
      <c r="BH2105" s="8"/>
      <c r="BI2105" s="8"/>
      <c r="BJ2105" s="8"/>
      <c r="BK2105" s="8"/>
      <c r="BL2105" s="8"/>
      <c r="BM2105" s="8"/>
      <c r="BN2105" s="8"/>
      <c r="BO2105" s="8"/>
      <c r="BP2105" s="8"/>
      <c r="BQ2105" s="8"/>
      <c r="BR2105" s="8"/>
      <c r="BS2105" s="8"/>
    </row>
    <row r="2106" customFormat="false" ht="15" hidden="false" customHeight="false" outlineLevel="0" collapsed="false">
      <c r="A2106" s="7" t="s">
        <v>13339</v>
      </c>
      <c r="B2106" s="7" t="s">
        <v>13340</v>
      </c>
      <c r="C2106" s="7" t="s">
        <v>13341</v>
      </c>
      <c r="D2106" s="7" t="s">
        <v>1620</v>
      </c>
      <c r="E2106" s="7" t="s">
        <v>101</v>
      </c>
      <c r="F2106" s="7" t="s">
        <v>82</v>
      </c>
      <c r="G2106" s="7"/>
      <c r="H2106" s="7" t="s">
        <v>102</v>
      </c>
      <c r="I2106" s="7" t="s">
        <v>374</v>
      </c>
      <c r="J2106" s="7" t="s">
        <v>475</v>
      </c>
      <c r="K2106" s="7" t="s">
        <v>476</v>
      </c>
      <c r="L2106" s="7" t="s">
        <v>106</v>
      </c>
      <c r="M2106" s="7"/>
      <c r="N2106" s="7" t="s">
        <v>13342</v>
      </c>
      <c r="O2106" s="7" t="s">
        <v>13342</v>
      </c>
      <c r="P2106" s="7" t="s">
        <v>135</v>
      </c>
      <c r="Q2106" s="7"/>
      <c r="R2106" s="7" t="s">
        <v>109</v>
      </c>
      <c r="S2106" s="7" t="s">
        <v>110</v>
      </c>
      <c r="T2106" s="7" t="n">
        <v>0.325</v>
      </c>
      <c r="U2106" s="7" t="n">
        <v>0</v>
      </c>
      <c r="V2106" s="7"/>
      <c r="W2106" s="7"/>
      <c r="X2106" s="7"/>
      <c r="Y2106" s="7"/>
      <c r="Z2106" s="7"/>
      <c r="AA2106" s="7"/>
      <c r="AB2106" s="7"/>
      <c r="AC2106" s="7" t="n">
        <v>0</v>
      </c>
      <c r="AD2106" s="7" t="s">
        <v>388</v>
      </c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7" t="s">
        <v>1606</v>
      </c>
      <c r="BE2106" s="7" t="s">
        <v>127</v>
      </c>
      <c r="BF2106" s="8"/>
      <c r="BG2106" s="8"/>
      <c r="BH2106" s="8"/>
      <c r="BI2106" s="8"/>
      <c r="BJ2106" s="8"/>
      <c r="BK2106" s="8"/>
      <c r="BL2106" s="8"/>
      <c r="BM2106" s="8"/>
      <c r="BN2106" s="8"/>
      <c r="BO2106" s="8"/>
      <c r="BP2106" s="8"/>
      <c r="BQ2106" s="8"/>
      <c r="BR2106" s="8"/>
      <c r="BS2106" s="8"/>
    </row>
    <row r="2107" customFormat="false" ht="15" hidden="false" customHeight="false" outlineLevel="0" collapsed="false">
      <c r="A2107" s="7" t="s">
        <v>13343</v>
      </c>
      <c r="B2107" s="7" t="s">
        <v>13344</v>
      </c>
      <c r="C2107" s="7" t="s">
        <v>13345</v>
      </c>
      <c r="D2107" s="7" t="s">
        <v>13094</v>
      </c>
      <c r="E2107" s="7" t="s">
        <v>101</v>
      </c>
      <c r="F2107" s="7" t="s">
        <v>156</v>
      </c>
      <c r="G2107" s="7"/>
      <c r="H2107" s="7" t="s">
        <v>157</v>
      </c>
      <c r="I2107" s="7" t="s">
        <v>132</v>
      </c>
      <c r="J2107" s="7" t="s">
        <v>159</v>
      </c>
      <c r="K2107" s="7" t="s">
        <v>476</v>
      </c>
      <c r="L2107" s="7" t="s">
        <v>106</v>
      </c>
      <c r="M2107" s="7"/>
      <c r="N2107" s="7" t="s">
        <v>13346</v>
      </c>
      <c r="O2107" s="7"/>
      <c r="P2107" s="7" t="s">
        <v>135</v>
      </c>
      <c r="Q2107" s="7"/>
      <c r="R2107" s="7" t="s">
        <v>135</v>
      </c>
      <c r="S2107" s="7" t="s">
        <v>136</v>
      </c>
      <c r="T2107" s="7" t="n">
        <v>0.509</v>
      </c>
      <c r="U2107" s="7" t="n">
        <v>0</v>
      </c>
      <c r="V2107" s="7"/>
      <c r="W2107" s="7"/>
      <c r="X2107" s="7"/>
      <c r="Y2107" s="7"/>
      <c r="Z2107" s="7"/>
      <c r="AA2107" s="7"/>
      <c r="AB2107" s="7"/>
      <c r="AC2107" s="7" t="n">
        <v>0</v>
      </c>
      <c r="AD2107" s="7" t="s">
        <v>388</v>
      </c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  <c r="AZ2107" s="7"/>
      <c r="BA2107" s="7"/>
      <c r="BB2107" s="7"/>
      <c r="BC2107" s="7"/>
      <c r="BD2107" s="7"/>
      <c r="BE2107" s="7" t="s">
        <v>127</v>
      </c>
      <c r="BF2107" s="8"/>
      <c r="BG2107" s="8"/>
      <c r="BH2107" s="8"/>
      <c r="BI2107" s="8"/>
      <c r="BJ2107" s="8"/>
      <c r="BK2107" s="8"/>
      <c r="BL2107" s="8"/>
      <c r="BM2107" s="8"/>
      <c r="BN2107" s="8"/>
      <c r="BO2107" s="8"/>
      <c r="BP2107" s="8"/>
      <c r="BQ2107" s="8"/>
      <c r="BR2107" s="8"/>
      <c r="BS2107" s="8"/>
    </row>
    <row r="2108" customFormat="false" ht="15" hidden="false" customHeight="false" outlineLevel="0" collapsed="false">
      <c r="A2108" s="7" t="s">
        <v>13347</v>
      </c>
      <c r="B2108" s="7" t="s">
        <v>13348</v>
      </c>
      <c r="C2108" s="7" t="s">
        <v>13349</v>
      </c>
      <c r="D2108" s="7" t="s">
        <v>1921</v>
      </c>
      <c r="E2108" s="7" t="s">
        <v>101</v>
      </c>
      <c r="F2108" s="7" t="s">
        <v>82</v>
      </c>
      <c r="G2108" s="7"/>
      <c r="H2108" s="7" t="s">
        <v>102</v>
      </c>
      <c r="I2108" s="7" t="s">
        <v>158</v>
      </c>
      <c r="J2108" s="7" t="s">
        <v>475</v>
      </c>
      <c r="K2108" s="7" t="s">
        <v>476</v>
      </c>
      <c r="L2108" s="7" t="s">
        <v>106</v>
      </c>
      <c r="M2108" s="7"/>
      <c r="N2108" s="7" t="s">
        <v>13350</v>
      </c>
      <c r="O2108" s="7" t="s">
        <v>13350</v>
      </c>
      <c r="P2108" s="7" t="s">
        <v>84</v>
      </c>
      <c r="Q2108" s="7"/>
      <c r="R2108" s="7" t="s">
        <v>109</v>
      </c>
      <c r="S2108" s="7" t="s">
        <v>110</v>
      </c>
      <c r="T2108" s="7" t="n">
        <v>0.408</v>
      </c>
      <c r="U2108" s="7" t="n">
        <v>2</v>
      </c>
      <c r="V2108" s="7" t="s">
        <v>1112</v>
      </c>
      <c r="W2108" s="7" t="s">
        <v>9281</v>
      </c>
      <c r="X2108" s="7"/>
      <c r="Y2108" s="7" t="s">
        <v>9280</v>
      </c>
      <c r="Z2108" s="7"/>
      <c r="AA2108" s="7"/>
      <c r="AB2108" s="7"/>
      <c r="AC2108" s="7" t="n">
        <v>0</v>
      </c>
      <c r="AD2108" s="7" t="s">
        <v>388</v>
      </c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7"/>
      <c r="BA2108" s="7"/>
      <c r="BB2108" s="7"/>
      <c r="BC2108" s="7"/>
      <c r="BD2108" s="7" t="s">
        <v>2135</v>
      </c>
      <c r="BE2108" s="7" t="s">
        <v>127</v>
      </c>
      <c r="BF2108" s="8"/>
      <c r="BG2108" s="8"/>
      <c r="BH2108" s="8"/>
      <c r="BI2108" s="8"/>
      <c r="BJ2108" s="8"/>
      <c r="BK2108" s="8"/>
      <c r="BL2108" s="8"/>
      <c r="BM2108" s="8"/>
      <c r="BN2108" s="8"/>
      <c r="BO2108" s="8"/>
      <c r="BP2108" s="8"/>
      <c r="BQ2108" s="8"/>
      <c r="BR2108" s="8"/>
      <c r="BS2108" s="8"/>
    </row>
    <row r="2109" customFormat="false" ht="15" hidden="false" customHeight="false" outlineLevel="0" collapsed="false">
      <c r="A2109" s="7" t="s">
        <v>13351</v>
      </c>
      <c r="B2109" s="7" t="s">
        <v>13352</v>
      </c>
      <c r="C2109" s="7" t="s">
        <v>13353</v>
      </c>
      <c r="D2109" s="7" t="s">
        <v>1138</v>
      </c>
      <c r="E2109" s="7" t="s">
        <v>101</v>
      </c>
      <c r="F2109" s="7" t="s">
        <v>82</v>
      </c>
      <c r="G2109" s="7" t="s">
        <v>13354</v>
      </c>
      <c r="H2109" s="7" t="s">
        <v>102</v>
      </c>
      <c r="I2109" s="7" t="s">
        <v>1140</v>
      </c>
      <c r="J2109" s="7" t="s">
        <v>475</v>
      </c>
      <c r="K2109" s="7" t="s">
        <v>476</v>
      </c>
      <c r="L2109" s="7" t="s">
        <v>2470</v>
      </c>
      <c r="M2109" s="7"/>
      <c r="N2109" s="7" t="s">
        <v>13355</v>
      </c>
      <c r="O2109" s="7" t="s">
        <v>13355</v>
      </c>
      <c r="P2109" s="7" t="s">
        <v>109</v>
      </c>
      <c r="Q2109" s="7"/>
      <c r="R2109" s="7" t="s">
        <v>109</v>
      </c>
      <c r="S2109" s="7" t="s">
        <v>110</v>
      </c>
      <c r="T2109" s="7" t="n">
        <v>0.366</v>
      </c>
      <c r="U2109" s="7" t="n">
        <v>1</v>
      </c>
      <c r="V2109" s="7" t="s">
        <v>86</v>
      </c>
      <c r="W2109" s="7" t="s">
        <v>13356</v>
      </c>
      <c r="X2109" s="7"/>
      <c r="Y2109" s="7" t="s">
        <v>13357</v>
      </c>
      <c r="Z2109" s="7"/>
      <c r="AA2109" s="7"/>
      <c r="AB2109" s="7"/>
      <c r="AC2109" s="7" t="n">
        <v>0</v>
      </c>
      <c r="AD2109" s="7" t="s">
        <v>388</v>
      </c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  <c r="BB2109" s="7"/>
      <c r="BC2109" s="7"/>
      <c r="BD2109" s="7" t="s">
        <v>13358</v>
      </c>
      <c r="BE2109" s="7" t="s">
        <v>127</v>
      </c>
      <c r="BF2109" s="8"/>
      <c r="BG2109" s="8"/>
      <c r="BH2109" s="8"/>
      <c r="BI2109" s="8"/>
      <c r="BJ2109" s="8"/>
      <c r="BK2109" s="8"/>
      <c r="BL2109" s="8"/>
      <c r="BM2109" s="8"/>
      <c r="BN2109" s="8"/>
      <c r="BO2109" s="8"/>
      <c r="BP2109" s="8"/>
      <c r="BQ2109" s="8"/>
      <c r="BR2109" s="8"/>
      <c r="BS2109" s="8"/>
    </row>
    <row r="2110" customFormat="false" ht="15" hidden="false" customHeight="false" outlineLevel="0" collapsed="false">
      <c r="A2110" s="7" t="s">
        <v>13359</v>
      </c>
      <c r="B2110" s="7" t="s">
        <v>13360</v>
      </c>
      <c r="C2110" s="7" t="s">
        <v>13361</v>
      </c>
      <c r="D2110" s="7" t="s">
        <v>1660</v>
      </c>
      <c r="E2110" s="7" t="s">
        <v>101</v>
      </c>
      <c r="F2110" s="7" t="s">
        <v>101</v>
      </c>
      <c r="G2110" s="7"/>
      <c r="H2110" s="7" t="s">
        <v>102</v>
      </c>
      <c r="I2110" s="7" t="s">
        <v>132</v>
      </c>
      <c r="J2110" s="7" t="s">
        <v>475</v>
      </c>
      <c r="K2110" s="7" t="s">
        <v>476</v>
      </c>
      <c r="L2110" s="7" t="s">
        <v>106</v>
      </c>
      <c r="M2110" s="7"/>
      <c r="N2110" s="7" t="s">
        <v>13362</v>
      </c>
      <c r="O2110" s="7"/>
      <c r="P2110" s="7" t="s">
        <v>135</v>
      </c>
      <c r="Q2110" s="7"/>
      <c r="R2110" s="7" t="s">
        <v>135</v>
      </c>
      <c r="S2110" s="7" t="s">
        <v>136</v>
      </c>
      <c r="T2110" s="7" t="n">
        <v>0.469</v>
      </c>
      <c r="U2110" s="7" t="n">
        <v>0</v>
      </c>
      <c r="V2110" s="7"/>
      <c r="W2110" s="7"/>
      <c r="X2110" s="7"/>
      <c r="Y2110" s="7"/>
      <c r="Z2110" s="7"/>
      <c r="AA2110" s="7"/>
      <c r="AB2110" s="7"/>
      <c r="AC2110" s="7" t="n">
        <v>0</v>
      </c>
      <c r="AD2110" s="7" t="s">
        <v>388</v>
      </c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  <c r="BB2110" s="7"/>
      <c r="BC2110" s="7"/>
      <c r="BD2110" s="7" t="s">
        <v>1662</v>
      </c>
      <c r="BE2110" s="7" t="s">
        <v>127</v>
      </c>
      <c r="BF2110" s="8"/>
      <c r="BG2110" s="8"/>
      <c r="BH2110" s="8"/>
      <c r="BI2110" s="8"/>
      <c r="BJ2110" s="8"/>
      <c r="BK2110" s="8"/>
      <c r="BL2110" s="8"/>
      <c r="BM2110" s="8"/>
      <c r="BN2110" s="8"/>
      <c r="BO2110" s="8"/>
      <c r="BP2110" s="8"/>
      <c r="BQ2110" s="8"/>
      <c r="BR2110" s="8"/>
      <c r="BS2110" s="8"/>
    </row>
    <row r="2111" customFormat="false" ht="15" hidden="false" customHeight="false" outlineLevel="0" collapsed="false">
      <c r="A2111" s="7" t="s">
        <v>13363</v>
      </c>
      <c r="B2111" s="7" t="s">
        <v>13364</v>
      </c>
      <c r="C2111" s="7" t="s">
        <v>13365</v>
      </c>
      <c r="D2111" s="7" t="s">
        <v>1725</v>
      </c>
      <c r="E2111" s="7" t="s">
        <v>101</v>
      </c>
      <c r="F2111" s="7" t="s">
        <v>101</v>
      </c>
      <c r="G2111" s="7"/>
      <c r="H2111" s="7" t="s">
        <v>102</v>
      </c>
      <c r="I2111" s="7" t="s">
        <v>374</v>
      </c>
      <c r="J2111" s="7" t="s">
        <v>475</v>
      </c>
      <c r="K2111" s="7" t="s">
        <v>1147</v>
      </c>
      <c r="L2111" s="7" t="s">
        <v>106</v>
      </c>
      <c r="M2111" s="7"/>
      <c r="N2111" s="7" t="s">
        <v>1727</v>
      </c>
      <c r="O2111" s="7" t="s">
        <v>1727</v>
      </c>
      <c r="P2111" s="7" t="s">
        <v>135</v>
      </c>
      <c r="Q2111" s="7"/>
      <c r="R2111" s="7" t="s">
        <v>109</v>
      </c>
      <c r="S2111" s="7" t="s">
        <v>110</v>
      </c>
      <c r="T2111" s="7" t="n">
        <v>0.426</v>
      </c>
      <c r="U2111" s="7" t="n">
        <v>0</v>
      </c>
      <c r="V2111" s="7"/>
      <c r="W2111" s="7"/>
      <c r="X2111" s="7"/>
      <c r="Y2111" s="7"/>
      <c r="Z2111" s="7"/>
      <c r="AA2111" s="7" t="s">
        <v>572</v>
      </c>
      <c r="AB2111" s="7" t="s">
        <v>573</v>
      </c>
      <c r="AC2111" s="7" t="n">
        <v>0</v>
      </c>
      <c r="AD2111" s="7" t="s">
        <v>388</v>
      </c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  <c r="BB2111" s="7"/>
      <c r="BC2111" s="7"/>
      <c r="BD2111" s="7"/>
      <c r="BE2111" s="7" t="s">
        <v>1088</v>
      </c>
      <c r="BF2111" s="8"/>
      <c r="BG2111" s="8"/>
      <c r="BH2111" s="8"/>
      <c r="BI2111" s="8"/>
      <c r="BJ2111" s="8"/>
      <c r="BK2111" s="8"/>
      <c r="BL2111" s="8"/>
      <c r="BM2111" s="8"/>
      <c r="BN2111" s="8"/>
      <c r="BO2111" s="8"/>
      <c r="BP2111" s="8"/>
      <c r="BQ2111" s="8"/>
      <c r="BR2111" s="8"/>
      <c r="BS2111" s="8"/>
    </row>
    <row r="2112" customFormat="false" ht="15" hidden="false" customHeight="false" outlineLevel="0" collapsed="false">
      <c r="A2112" s="7" t="s">
        <v>13366</v>
      </c>
      <c r="B2112" s="7" t="s">
        <v>13367</v>
      </c>
      <c r="C2112" s="7" t="s">
        <v>13368</v>
      </c>
      <c r="D2112" s="7" t="s">
        <v>4180</v>
      </c>
      <c r="E2112" s="7" t="s">
        <v>101</v>
      </c>
      <c r="F2112" s="7" t="s">
        <v>101</v>
      </c>
      <c r="G2112" s="7"/>
      <c r="H2112" s="7" t="s">
        <v>102</v>
      </c>
      <c r="I2112" s="7" t="s">
        <v>132</v>
      </c>
      <c r="J2112" s="7" t="s">
        <v>475</v>
      </c>
      <c r="K2112" s="7" t="s">
        <v>476</v>
      </c>
      <c r="L2112" s="7" t="s">
        <v>106</v>
      </c>
      <c r="M2112" s="7"/>
      <c r="N2112" s="7" t="s">
        <v>13369</v>
      </c>
      <c r="O2112" s="7" t="s">
        <v>13369</v>
      </c>
      <c r="P2112" s="7" t="s">
        <v>135</v>
      </c>
      <c r="Q2112" s="7"/>
      <c r="R2112" s="7" t="s">
        <v>109</v>
      </c>
      <c r="S2112" s="7" t="s">
        <v>110</v>
      </c>
      <c r="T2112" s="7" t="n">
        <v>0.292</v>
      </c>
      <c r="U2112" s="7" t="n">
        <v>0</v>
      </c>
      <c r="V2112" s="7"/>
      <c r="W2112" s="7"/>
      <c r="X2112" s="7"/>
      <c r="Y2112" s="7"/>
      <c r="Z2112" s="7"/>
      <c r="AA2112" s="7"/>
      <c r="AB2112" s="7"/>
      <c r="AC2112" s="7" t="n">
        <v>0</v>
      </c>
      <c r="AD2112" s="7" t="s">
        <v>388</v>
      </c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 t="s">
        <v>127</v>
      </c>
      <c r="BF2112" s="8"/>
      <c r="BG2112" s="8"/>
      <c r="BH2112" s="8"/>
      <c r="BI2112" s="8"/>
      <c r="BJ2112" s="8"/>
      <c r="BK2112" s="8"/>
      <c r="BL2112" s="8"/>
      <c r="BM2112" s="8"/>
      <c r="BN2112" s="8"/>
      <c r="BO2112" s="8"/>
      <c r="BP2112" s="8"/>
      <c r="BQ2112" s="8"/>
      <c r="BR2112" s="8"/>
      <c r="BS2112" s="8"/>
    </row>
    <row r="2113" customFormat="false" ht="15" hidden="false" customHeight="false" outlineLevel="0" collapsed="false">
      <c r="A2113" s="7" t="s">
        <v>13370</v>
      </c>
      <c r="B2113" s="7" t="s">
        <v>13371</v>
      </c>
      <c r="C2113" s="7" t="s">
        <v>13372</v>
      </c>
      <c r="D2113" s="7" t="s">
        <v>4180</v>
      </c>
      <c r="E2113" s="7" t="s">
        <v>101</v>
      </c>
      <c r="F2113" s="7" t="s">
        <v>101</v>
      </c>
      <c r="G2113" s="7"/>
      <c r="H2113" s="7" t="s">
        <v>102</v>
      </c>
      <c r="I2113" s="7" t="s">
        <v>103</v>
      </c>
      <c r="J2113" s="7" t="s">
        <v>475</v>
      </c>
      <c r="K2113" s="7" t="s">
        <v>476</v>
      </c>
      <c r="L2113" s="7" t="s">
        <v>106</v>
      </c>
      <c r="M2113" s="7"/>
      <c r="N2113" s="7" t="s">
        <v>13373</v>
      </c>
      <c r="O2113" s="7" t="s">
        <v>13373</v>
      </c>
      <c r="P2113" s="7" t="s">
        <v>135</v>
      </c>
      <c r="Q2113" s="7"/>
      <c r="R2113" s="7" t="s">
        <v>109</v>
      </c>
      <c r="S2113" s="7" t="s">
        <v>110</v>
      </c>
      <c r="T2113" s="7" t="n">
        <v>0.336</v>
      </c>
      <c r="U2113" s="7" t="n">
        <v>0</v>
      </c>
      <c r="V2113" s="7"/>
      <c r="W2113" s="7"/>
      <c r="X2113" s="7"/>
      <c r="Y2113" s="7"/>
      <c r="Z2113" s="7"/>
      <c r="AA2113" s="7"/>
      <c r="AB2113" s="7"/>
      <c r="AC2113" s="7" t="n">
        <v>0</v>
      </c>
      <c r="AD2113" s="7" t="s">
        <v>388</v>
      </c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 t="s">
        <v>127</v>
      </c>
      <c r="BF2113" s="8"/>
      <c r="BG2113" s="8"/>
      <c r="BH2113" s="8"/>
      <c r="BI2113" s="8"/>
      <c r="BJ2113" s="8"/>
      <c r="BK2113" s="8"/>
      <c r="BL2113" s="8"/>
      <c r="BM2113" s="8"/>
      <c r="BN2113" s="8"/>
      <c r="BO2113" s="8"/>
      <c r="BP2113" s="8"/>
      <c r="BQ2113" s="8"/>
      <c r="BR2113" s="8"/>
      <c r="BS2113" s="8"/>
    </row>
    <row r="2114" customFormat="false" ht="15" hidden="false" customHeight="false" outlineLevel="0" collapsed="false">
      <c r="A2114" s="7" t="s">
        <v>13374</v>
      </c>
      <c r="B2114" s="7" t="s">
        <v>13375</v>
      </c>
      <c r="C2114" s="7" t="s">
        <v>13376</v>
      </c>
      <c r="D2114" s="7" t="s">
        <v>13333</v>
      </c>
      <c r="E2114" s="7" t="s">
        <v>101</v>
      </c>
      <c r="F2114" s="7" t="s">
        <v>101</v>
      </c>
      <c r="G2114" s="7"/>
      <c r="H2114" s="7" t="s">
        <v>102</v>
      </c>
      <c r="I2114" s="7" t="s">
        <v>158</v>
      </c>
      <c r="J2114" s="7" t="s">
        <v>475</v>
      </c>
      <c r="K2114" s="7" t="s">
        <v>476</v>
      </c>
      <c r="L2114" s="7" t="s">
        <v>106</v>
      </c>
      <c r="M2114" s="7"/>
      <c r="N2114" s="7" t="s">
        <v>1342</v>
      </c>
      <c r="O2114" s="7" t="s">
        <v>1342</v>
      </c>
      <c r="P2114" s="7" t="s">
        <v>135</v>
      </c>
      <c r="Q2114" s="7"/>
      <c r="R2114" s="7" t="s">
        <v>109</v>
      </c>
      <c r="S2114" s="7" t="s">
        <v>110</v>
      </c>
      <c r="T2114" s="7" t="n">
        <v>0.357</v>
      </c>
      <c r="U2114" s="7" t="n">
        <v>0</v>
      </c>
      <c r="V2114" s="7"/>
      <c r="W2114" s="7"/>
      <c r="X2114" s="7"/>
      <c r="Y2114" s="7"/>
      <c r="Z2114" s="7"/>
      <c r="AA2114" s="7"/>
      <c r="AB2114" s="7"/>
      <c r="AC2114" s="7" t="n">
        <v>0</v>
      </c>
      <c r="AD2114" s="7" t="s">
        <v>388</v>
      </c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 t="s">
        <v>1343</v>
      </c>
      <c r="BE2114" s="7" t="s">
        <v>127</v>
      </c>
      <c r="BF2114" s="8"/>
      <c r="BG2114" s="8"/>
      <c r="BH2114" s="8"/>
      <c r="BI2114" s="8"/>
      <c r="BJ2114" s="8"/>
      <c r="BK2114" s="8"/>
      <c r="BL2114" s="8"/>
      <c r="BM2114" s="8"/>
      <c r="BN2114" s="8"/>
      <c r="BO2114" s="8"/>
      <c r="BP2114" s="8"/>
      <c r="BQ2114" s="8"/>
      <c r="BR2114" s="8"/>
      <c r="BS2114" s="8"/>
    </row>
    <row r="2115" customFormat="false" ht="15" hidden="false" customHeight="false" outlineLevel="0" collapsed="false">
      <c r="A2115" s="7" t="s">
        <v>13377</v>
      </c>
      <c r="B2115" s="7" t="s">
        <v>13378</v>
      </c>
      <c r="C2115" s="7" t="s">
        <v>13379</v>
      </c>
      <c r="D2115" s="7" t="s">
        <v>1921</v>
      </c>
      <c r="E2115" s="7" t="s">
        <v>101</v>
      </c>
      <c r="F2115" s="7" t="s">
        <v>82</v>
      </c>
      <c r="G2115" s="7"/>
      <c r="H2115" s="7" t="s">
        <v>102</v>
      </c>
      <c r="I2115" s="7" t="s">
        <v>158</v>
      </c>
      <c r="J2115" s="7" t="s">
        <v>475</v>
      </c>
      <c r="K2115" s="7" t="s">
        <v>476</v>
      </c>
      <c r="L2115" s="7" t="s">
        <v>106</v>
      </c>
      <c r="M2115" s="7"/>
      <c r="N2115" s="7" t="s">
        <v>13380</v>
      </c>
      <c r="O2115" s="7" t="s">
        <v>13380</v>
      </c>
      <c r="P2115" s="7" t="s">
        <v>84</v>
      </c>
      <c r="Q2115" s="7"/>
      <c r="R2115" s="7" t="s">
        <v>109</v>
      </c>
      <c r="S2115" s="7" t="s">
        <v>110</v>
      </c>
      <c r="T2115" s="7" t="n">
        <v>0.662</v>
      </c>
      <c r="U2115" s="7" t="n">
        <v>3</v>
      </c>
      <c r="V2115" s="7" t="s">
        <v>2472</v>
      </c>
      <c r="W2115" s="7" t="s">
        <v>11788</v>
      </c>
      <c r="X2115" s="7"/>
      <c r="Y2115" s="7" t="s">
        <v>13381</v>
      </c>
      <c r="Z2115" s="7"/>
      <c r="AA2115" s="7"/>
      <c r="AB2115" s="7"/>
      <c r="AC2115" s="7" t="n">
        <v>0</v>
      </c>
      <c r="AD2115" s="7" t="s">
        <v>388</v>
      </c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7"/>
      <c r="BC2115" s="7"/>
      <c r="BD2115" s="7" t="s">
        <v>1923</v>
      </c>
      <c r="BE2115" s="7" t="s">
        <v>127</v>
      </c>
      <c r="BF2115" s="8"/>
      <c r="BG2115" s="8"/>
      <c r="BH2115" s="8"/>
      <c r="BI2115" s="8"/>
      <c r="BJ2115" s="8"/>
      <c r="BK2115" s="8"/>
      <c r="BL2115" s="8"/>
      <c r="BM2115" s="8"/>
      <c r="BN2115" s="8"/>
      <c r="BO2115" s="8"/>
      <c r="BP2115" s="8"/>
      <c r="BQ2115" s="8"/>
      <c r="BR2115" s="8"/>
      <c r="BS2115" s="8"/>
    </row>
    <row r="2116" customFormat="false" ht="15" hidden="false" customHeight="false" outlineLevel="0" collapsed="false">
      <c r="A2116" s="7" t="s">
        <v>13382</v>
      </c>
      <c r="B2116" s="7" t="s">
        <v>13383</v>
      </c>
      <c r="C2116" s="7" t="s">
        <v>13384</v>
      </c>
      <c r="D2116" s="7" t="s">
        <v>1374</v>
      </c>
      <c r="E2116" s="7" t="s">
        <v>101</v>
      </c>
      <c r="F2116" s="7" t="s">
        <v>82</v>
      </c>
      <c r="G2116" s="7"/>
      <c r="H2116" s="7" t="s">
        <v>102</v>
      </c>
      <c r="I2116" s="7" t="s">
        <v>1104</v>
      </c>
      <c r="J2116" s="7" t="s">
        <v>475</v>
      </c>
      <c r="K2116" s="7" t="s">
        <v>476</v>
      </c>
      <c r="L2116" s="7" t="s">
        <v>106</v>
      </c>
      <c r="M2116" s="7"/>
      <c r="N2116" s="7" t="s">
        <v>13385</v>
      </c>
      <c r="O2116" s="7" t="s">
        <v>13385</v>
      </c>
      <c r="P2116" s="7" t="s">
        <v>109</v>
      </c>
      <c r="Q2116" s="7"/>
      <c r="R2116" s="7" t="s">
        <v>109</v>
      </c>
      <c r="S2116" s="7" t="s">
        <v>110</v>
      </c>
      <c r="T2116" s="7" t="n">
        <v>0.367</v>
      </c>
      <c r="U2116" s="7" t="n">
        <v>1</v>
      </c>
      <c r="V2116" s="7" t="s">
        <v>1156</v>
      </c>
      <c r="W2116" s="7" t="s">
        <v>3441</v>
      </c>
      <c r="X2116" s="7"/>
      <c r="Y2116" s="7" t="s">
        <v>3442</v>
      </c>
      <c r="Z2116" s="7"/>
      <c r="AA2116" s="7"/>
      <c r="AB2116" s="7"/>
      <c r="AC2116" s="7" t="n">
        <v>0</v>
      </c>
      <c r="AD2116" s="7" t="s">
        <v>388</v>
      </c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  <c r="BB2116" s="7"/>
      <c r="BC2116" s="7"/>
      <c r="BD2116" s="7" t="s">
        <v>3443</v>
      </c>
      <c r="BE2116" s="7" t="s">
        <v>127</v>
      </c>
      <c r="BF2116" s="8"/>
      <c r="BG2116" s="8"/>
      <c r="BH2116" s="8"/>
      <c r="BI2116" s="8"/>
      <c r="BJ2116" s="8"/>
      <c r="BK2116" s="8"/>
      <c r="BL2116" s="8"/>
      <c r="BM2116" s="8"/>
      <c r="BN2116" s="8"/>
      <c r="BO2116" s="8"/>
      <c r="BP2116" s="8"/>
      <c r="BQ2116" s="8"/>
      <c r="BR2116" s="8"/>
      <c r="BS2116" s="8"/>
    </row>
    <row r="2117" customFormat="false" ht="15" hidden="false" customHeight="false" outlineLevel="0" collapsed="false">
      <c r="A2117" s="7" t="s">
        <v>13386</v>
      </c>
      <c r="B2117" s="7" t="s">
        <v>13387</v>
      </c>
      <c r="C2117" s="7" t="s">
        <v>13388</v>
      </c>
      <c r="D2117" s="7" t="s">
        <v>1712</v>
      </c>
      <c r="E2117" s="7" t="s">
        <v>101</v>
      </c>
      <c r="F2117" s="7" t="s">
        <v>101</v>
      </c>
      <c r="G2117" s="7"/>
      <c r="H2117" s="7" t="s">
        <v>102</v>
      </c>
      <c r="I2117" s="7" t="s">
        <v>132</v>
      </c>
      <c r="J2117" s="7" t="s">
        <v>475</v>
      </c>
      <c r="K2117" s="7" t="s">
        <v>476</v>
      </c>
      <c r="L2117" s="7" t="s">
        <v>106</v>
      </c>
      <c r="M2117" s="7"/>
      <c r="N2117" s="7" t="s">
        <v>13389</v>
      </c>
      <c r="O2117" s="7" t="s">
        <v>13389</v>
      </c>
      <c r="P2117" s="7" t="s">
        <v>135</v>
      </c>
      <c r="Q2117" s="7"/>
      <c r="R2117" s="7" t="s">
        <v>109</v>
      </c>
      <c r="S2117" s="7" t="s">
        <v>110</v>
      </c>
      <c r="T2117" s="7" t="n">
        <v>0.238</v>
      </c>
      <c r="U2117" s="7" t="n">
        <v>0</v>
      </c>
      <c r="V2117" s="7"/>
      <c r="W2117" s="7"/>
      <c r="X2117" s="7"/>
      <c r="Y2117" s="7"/>
      <c r="Z2117" s="7"/>
      <c r="AA2117" s="7"/>
      <c r="AB2117" s="7"/>
      <c r="AC2117" s="7" t="n">
        <v>0</v>
      </c>
      <c r="AD2117" s="7" t="s">
        <v>388</v>
      </c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7"/>
      <c r="BC2117" s="7"/>
      <c r="BD2117" s="7"/>
      <c r="BE2117" s="7" t="s">
        <v>127</v>
      </c>
      <c r="BF2117" s="8"/>
      <c r="BG2117" s="8"/>
      <c r="BH2117" s="8"/>
      <c r="BI2117" s="8"/>
      <c r="BJ2117" s="8"/>
      <c r="BK2117" s="8"/>
      <c r="BL2117" s="8"/>
      <c r="BM2117" s="8"/>
      <c r="BN2117" s="8"/>
      <c r="BO2117" s="8"/>
      <c r="BP2117" s="8"/>
      <c r="BQ2117" s="8"/>
      <c r="BR2117" s="8"/>
      <c r="BS2117" s="8"/>
    </row>
    <row r="2118" customFormat="false" ht="15" hidden="false" customHeight="false" outlineLevel="0" collapsed="false">
      <c r="A2118" s="7" t="s">
        <v>13390</v>
      </c>
      <c r="B2118" s="7" t="s">
        <v>13391</v>
      </c>
      <c r="C2118" s="7" t="s">
        <v>13392</v>
      </c>
      <c r="D2118" s="7" t="s">
        <v>1725</v>
      </c>
      <c r="E2118" s="7" t="s">
        <v>101</v>
      </c>
      <c r="F2118" s="7" t="s">
        <v>101</v>
      </c>
      <c r="G2118" s="7"/>
      <c r="H2118" s="7" t="s">
        <v>102</v>
      </c>
      <c r="I2118" s="7" t="s">
        <v>300</v>
      </c>
      <c r="J2118" s="7" t="s">
        <v>475</v>
      </c>
      <c r="K2118" s="7" t="s">
        <v>569</v>
      </c>
      <c r="L2118" s="7" t="s">
        <v>106</v>
      </c>
      <c r="M2118" s="7"/>
      <c r="N2118" s="7" t="s">
        <v>1727</v>
      </c>
      <c r="O2118" s="7" t="s">
        <v>1727</v>
      </c>
      <c r="P2118" s="7" t="s">
        <v>135</v>
      </c>
      <c r="Q2118" s="7"/>
      <c r="R2118" s="7" t="s">
        <v>109</v>
      </c>
      <c r="S2118" s="7" t="s">
        <v>110</v>
      </c>
      <c r="T2118" s="7" t="n">
        <v>0.53</v>
      </c>
      <c r="U2118" s="7" t="n">
        <v>0</v>
      </c>
      <c r="V2118" s="7"/>
      <c r="W2118" s="7"/>
      <c r="X2118" s="7"/>
      <c r="Y2118" s="7"/>
      <c r="Z2118" s="7"/>
      <c r="AA2118" s="7" t="s">
        <v>572</v>
      </c>
      <c r="AB2118" s="7" t="s">
        <v>573</v>
      </c>
      <c r="AC2118" s="7" t="n">
        <v>0</v>
      </c>
      <c r="AD2118" s="7" t="s">
        <v>388</v>
      </c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  <c r="BB2118" s="7"/>
      <c r="BC2118" s="7"/>
      <c r="BD2118" s="7" t="s">
        <v>13393</v>
      </c>
      <c r="BE2118" s="7" t="s">
        <v>1088</v>
      </c>
      <c r="BF2118" s="8"/>
      <c r="BG2118" s="8"/>
      <c r="BH2118" s="8"/>
      <c r="BI2118" s="8"/>
      <c r="BJ2118" s="8"/>
      <c r="BK2118" s="8"/>
      <c r="BL2118" s="8"/>
      <c r="BM2118" s="8"/>
      <c r="BN2118" s="8"/>
      <c r="BO2118" s="8"/>
      <c r="BP2118" s="8"/>
      <c r="BQ2118" s="8"/>
      <c r="BR2118" s="8"/>
      <c r="BS2118" s="8"/>
    </row>
    <row r="2119" customFormat="false" ht="15" hidden="false" customHeight="false" outlineLevel="0" collapsed="false">
      <c r="A2119" s="7" t="s">
        <v>13394</v>
      </c>
      <c r="B2119" s="7" t="s">
        <v>13395</v>
      </c>
      <c r="C2119" s="7" t="s">
        <v>13396</v>
      </c>
      <c r="D2119" s="7" t="s">
        <v>1725</v>
      </c>
      <c r="E2119" s="7" t="s">
        <v>101</v>
      </c>
      <c r="F2119" s="7" t="s">
        <v>101</v>
      </c>
      <c r="G2119" s="7"/>
      <c r="H2119" s="7" t="s">
        <v>102</v>
      </c>
      <c r="I2119" s="7" t="s">
        <v>300</v>
      </c>
      <c r="J2119" s="7" t="s">
        <v>475</v>
      </c>
      <c r="K2119" s="7" t="s">
        <v>1094</v>
      </c>
      <c r="L2119" s="7" t="s">
        <v>106</v>
      </c>
      <c r="M2119" s="7"/>
      <c r="N2119" s="7" t="s">
        <v>1727</v>
      </c>
      <c r="O2119" s="7" t="s">
        <v>1727</v>
      </c>
      <c r="P2119" s="7" t="s">
        <v>135</v>
      </c>
      <c r="Q2119" s="7"/>
      <c r="R2119" s="7" t="s">
        <v>109</v>
      </c>
      <c r="S2119" s="7" t="s">
        <v>110</v>
      </c>
      <c r="T2119" s="7" t="n">
        <v>0.414</v>
      </c>
      <c r="U2119" s="7" t="n">
        <v>0</v>
      </c>
      <c r="V2119" s="7"/>
      <c r="W2119" s="7"/>
      <c r="X2119" s="7"/>
      <c r="Y2119" s="7"/>
      <c r="Z2119" s="7"/>
      <c r="AA2119" s="7" t="s">
        <v>572</v>
      </c>
      <c r="AB2119" s="7" t="s">
        <v>573</v>
      </c>
      <c r="AC2119" s="7" t="n">
        <v>0</v>
      </c>
      <c r="AD2119" s="7" t="s">
        <v>388</v>
      </c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7"/>
      <c r="BC2119" s="7"/>
      <c r="BD2119" s="7" t="s">
        <v>13393</v>
      </c>
      <c r="BE2119" s="7" t="s">
        <v>1088</v>
      </c>
      <c r="BF2119" s="8"/>
      <c r="BG2119" s="8"/>
      <c r="BH2119" s="8"/>
      <c r="BI2119" s="8"/>
      <c r="BJ2119" s="8"/>
      <c r="BK2119" s="8"/>
      <c r="BL2119" s="8"/>
      <c r="BM2119" s="8"/>
      <c r="BN2119" s="8"/>
      <c r="BO2119" s="8"/>
      <c r="BP2119" s="8"/>
      <c r="BQ2119" s="8"/>
      <c r="BR2119" s="8"/>
      <c r="BS2119" s="8"/>
    </row>
    <row r="2120" customFormat="false" ht="15" hidden="false" customHeight="false" outlineLevel="0" collapsed="false">
      <c r="A2120" s="7" t="s">
        <v>13397</v>
      </c>
      <c r="B2120" s="7" t="s">
        <v>13398</v>
      </c>
      <c r="C2120" s="7" t="s">
        <v>13399</v>
      </c>
      <c r="D2120" s="7" t="s">
        <v>1725</v>
      </c>
      <c r="E2120" s="7" t="s">
        <v>101</v>
      </c>
      <c r="F2120" s="7" t="s">
        <v>101</v>
      </c>
      <c r="G2120" s="7"/>
      <c r="H2120" s="7" t="s">
        <v>102</v>
      </c>
      <c r="I2120" s="7" t="s">
        <v>103</v>
      </c>
      <c r="J2120" s="7" t="s">
        <v>475</v>
      </c>
      <c r="K2120" s="7" t="s">
        <v>1094</v>
      </c>
      <c r="L2120" s="7" t="s">
        <v>106</v>
      </c>
      <c r="M2120" s="7"/>
      <c r="N2120" s="7" t="s">
        <v>1727</v>
      </c>
      <c r="O2120" s="7" t="s">
        <v>1727</v>
      </c>
      <c r="P2120" s="7" t="s">
        <v>135</v>
      </c>
      <c r="Q2120" s="7"/>
      <c r="R2120" s="7" t="s">
        <v>109</v>
      </c>
      <c r="S2120" s="7" t="s">
        <v>110</v>
      </c>
      <c r="T2120" s="7" t="n">
        <v>0.319</v>
      </c>
      <c r="U2120" s="7" t="n">
        <v>0</v>
      </c>
      <c r="V2120" s="7"/>
      <c r="W2120" s="7"/>
      <c r="X2120" s="7"/>
      <c r="Y2120" s="7"/>
      <c r="Z2120" s="7"/>
      <c r="AA2120" s="7" t="s">
        <v>572</v>
      </c>
      <c r="AB2120" s="7" t="s">
        <v>573</v>
      </c>
      <c r="AC2120" s="7" t="n">
        <v>0</v>
      </c>
      <c r="AD2120" s="7" t="s">
        <v>388</v>
      </c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  <c r="BB2120" s="7"/>
      <c r="BC2120" s="7"/>
      <c r="BD2120" s="7" t="s">
        <v>13393</v>
      </c>
      <c r="BE2120" s="7" t="s">
        <v>1088</v>
      </c>
      <c r="BF2120" s="8"/>
      <c r="BG2120" s="8"/>
      <c r="BH2120" s="8"/>
      <c r="BI2120" s="8"/>
      <c r="BJ2120" s="8"/>
      <c r="BK2120" s="8"/>
      <c r="BL2120" s="8"/>
      <c r="BM2120" s="8"/>
      <c r="BN2120" s="8"/>
      <c r="BO2120" s="8"/>
      <c r="BP2120" s="8"/>
      <c r="BQ2120" s="8"/>
      <c r="BR2120" s="8"/>
      <c r="BS2120" s="8"/>
    </row>
    <row r="2121" customFormat="false" ht="15" hidden="false" customHeight="false" outlineLevel="0" collapsed="false">
      <c r="A2121" s="7" t="s">
        <v>13400</v>
      </c>
      <c r="B2121" s="7" t="s">
        <v>13401</v>
      </c>
      <c r="C2121" s="7" t="s">
        <v>13402</v>
      </c>
      <c r="D2121" s="7" t="s">
        <v>1725</v>
      </c>
      <c r="E2121" s="7" t="s">
        <v>101</v>
      </c>
      <c r="F2121" s="7" t="s">
        <v>101</v>
      </c>
      <c r="G2121" s="7"/>
      <c r="H2121" s="7" t="s">
        <v>102</v>
      </c>
      <c r="I2121" s="7" t="s">
        <v>300</v>
      </c>
      <c r="J2121" s="7" t="s">
        <v>475</v>
      </c>
      <c r="K2121" s="7" t="s">
        <v>1094</v>
      </c>
      <c r="L2121" s="7" t="s">
        <v>106</v>
      </c>
      <c r="M2121" s="7"/>
      <c r="N2121" s="7" t="s">
        <v>1727</v>
      </c>
      <c r="O2121" s="7" t="s">
        <v>1727</v>
      </c>
      <c r="P2121" s="7" t="s">
        <v>135</v>
      </c>
      <c r="Q2121" s="7"/>
      <c r="R2121" s="7" t="s">
        <v>109</v>
      </c>
      <c r="S2121" s="7" t="s">
        <v>110</v>
      </c>
      <c r="T2121" s="7" t="n">
        <v>0.382</v>
      </c>
      <c r="U2121" s="7" t="n">
        <v>0</v>
      </c>
      <c r="V2121" s="7"/>
      <c r="W2121" s="7"/>
      <c r="X2121" s="7"/>
      <c r="Y2121" s="7"/>
      <c r="Z2121" s="7"/>
      <c r="AA2121" s="7" t="s">
        <v>572</v>
      </c>
      <c r="AB2121" s="7" t="s">
        <v>573</v>
      </c>
      <c r="AC2121" s="7" t="n">
        <v>0</v>
      </c>
      <c r="AD2121" s="7" t="s">
        <v>388</v>
      </c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7"/>
      <c r="BC2121" s="7"/>
      <c r="BD2121" s="7" t="s">
        <v>13393</v>
      </c>
      <c r="BE2121" s="7" t="s">
        <v>1088</v>
      </c>
      <c r="BF2121" s="8"/>
      <c r="BG2121" s="8"/>
      <c r="BH2121" s="8"/>
      <c r="BI2121" s="8"/>
      <c r="BJ2121" s="8"/>
      <c r="BK2121" s="8"/>
      <c r="BL2121" s="8"/>
      <c r="BM2121" s="8"/>
      <c r="BN2121" s="8"/>
      <c r="BO2121" s="8"/>
      <c r="BP2121" s="8"/>
      <c r="BQ2121" s="8"/>
      <c r="BR2121" s="8"/>
      <c r="BS2121" s="8"/>
    </row>
    <row r="2122" customFormat="false" ht="15" hidden="false" customHeight="false" outlineLevel="0" collapsed="false">
      <c r="A2122" s="7" t="s">
        <v>13403</v>
      </c>
      <c r="B2122" s="7" t="s">
        <v>13404</v>
      </c>
      <c r="C2122" s="7" t="s">
        <v>13405</v>
      </c>
      <c r="D2122" s="7" t="s">
        <v>100</v>
      </c>
      <c r="E2122" s="7" t="s">
        <v>101</v>
      </c>
      <c r="F2122" s="7" t="s">
        <v>101</v>
      </c>
      <c r="G2122" s="7"/>
      <c r="H2122" s="7" t="s">
        <v>102</v>
      </c>
      <c r="I2122" s="7" t="s">
        <v>103</v>
      </c>
      <c r="J2122" s="7" t="s">
        <v>475</v>
      </c>
      <c r="K2122" s="7" t="s">
        <v>476</v>
      </c>
      <c r="L2122" s="7" t="s">
        <v>106</v>
      </c>
      <c r="M2122" s="7"/>
      <c r="N2122" s="7" t="s">
        <v>13406</v>
      </c>
      <c r="O2122" s="7"/>
      <c r="P2122" s="7" t="s">
        <v>135</v>
      </c>
      <c r="Q2122" s="7"/>
      <c r="R2122" s="7" t="s">
        <v>135</v>
      </c>
      <c r="S2122" s="7" t="s">
        <v>136</v>
      </c>
      <c r="T2122" s="7" t="n">
        <v>0.226</v>
      </c>
      <c r="U2122" s="7" t="n">
        <v>0</v>
      </c>
      <c r="V2122" s="7"/>
      <c r="W2122" s="7"/>
      <c r="X2122" s="7"/>
      <c r="Y2122" s="7"/>
      <c r="Z2122" s="7"/>
      <c r="AA2122" s="7"/>
      <c r="AB2122" s="7"/>
      <c r="AC2122" s="7" t="n">
        <v>0</v>
      </c>
      <c r="AD2122" s="7" t="s">
        <v>388</v>
      </c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  <c r="BB2122" s="7"/>
      <c r="BC2122" s="7"/>
      <c r="BD2122" s="7"/>
      <c r="BE2122" s="7" t="s">
        <v>127</v>
      </c>
      <c r="BF2122" s="8"/>
      <c r="BG2122" s="8"/>
      <c r="BH2122" s="8"/>
      <c r="BI2122" s="8"/>
      <c r="BJ2122" s="8"/>
      <c r="BK2122" s="8"/>
      <c r="BL2122" s="8"/>
      <c r="BM2122" s="8"/>
      <c r="BN2122" s="8"/>
      <c r="BO2122" s="8"/>
      <c r="BP2122" s="8"/>
      <c r="BQ2122" s="8"/>
      <c r="BR2122" s="8"/>
      <c r="BS2122" s="8"/>
    </row>
    <row r="2123" customFormat="false" ht="15" hidden="false" customHeight="false" outlineLevel="0" collapsed="false">
      <c r="A2123" s="7" t="s">
        <v>13407</v>
      </c>
      <c r="B2123" s="7" t="s">
        <v>13408</v>
      </c>
      <c r="C2123" s="7" t="s">
        <v>13409</v>
      </c>
      <c r="D2123" s="7" t="s">
        <v>1725</v>
      </c>
      <c r="E2123" s="7" t="s">
        <v>101</v>
      </c>
      <c r="F2123" s="7" t="s">
        <v>101</v>
      </c>
      <c r="G2123" s="7"/>
      <c r="H2123" s="7" t="s">
        <v>102</v>
      </c>
      <c r="I2123" s="7" t="s">
        <v>103</v>
      </c>
      <c r="J2123" s="7" t="s">
        <v>475</v>
      </c>
      <c r="K2123" s="7" t="s">
        <v>569</v>
      </c>
      <c r="L2123" s="7" t="s">
        <v>106</v>
      </c>
      <c r="M2123" s="7"/>
      <c r="N2123" s="7" t="s">
        <v>1727</v>
      </c>
      <c r="O2123" s="7" t="s">
        <v>1727</v>
      </c>
      <c r="P2123" s="7" t="s">
        <v>135</v>
      </c>
      <c r="Q2123" s="7"/>
      <c r="R2123" s="7" t="s">
        <v>109</v>
      </c>
      <c r="S2123" s="7" t="s">
        <v>110</v>
      </c>
      <c r="T2123" s="7" t="n">
        <v>0.639</v>
      </c>
      <c r="U2123" s="7" t="n">
        <v>0</v>
      </c>
      <c r="V2123" s="7"/>
      <c r="W2123" s="7"/>
      <c r="X2123" s="7"/>
      <c r="Y2123" s="7"/>
      <c r="Z2123" s="7"/>
      <c r="AA2123" s="7" t="s">
        <v>572</v>
      </c>
      <c r="AB2123" s="7" t="s">
        <v>573</v>
      </c>
      <c r="AC2123" s="7" t="n">
        <v>0</v>
      </c>
      <c r="AD2123" s="7" t="s">
        <v>388</v>
      </c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7"/>
      <c r="BD2123" s="7" t="s">
        <v>1388</v>
      </c>
      <c r="BE2123" s="7" t="s">
        <v>1088</v>
      </c>
      <c r="BF2123" s="8"/>
      <c r="BG2123" s="8"/>
      <c r="BH2123" s="8"/>
      <c r="BI2123" s="8"/>
      <c r="BJ2123" s="8"/>
      <c r="BK2123" s="8"/>
      <c r="BL2123" s="8"/>
      <c r="BM2123" s="8"/>
      <c r="BN2123" s="8"/>
      <c r="BO2123" s="8"/>
      <c r="BP2123" s="8"/>
      <c r="BQ2123" s="8"/>
      <c r="BR2123" s="8"/>
      <c r="BS2123" s="8"/>
    </row>
    <row r="2124" customFormat="false" ht="15" hidden="false" customHeight="false" outlineLevel="0" collapsed="false">
      <c r="A2124" s="7" t="s">
        <v>13410</v>
      </c>
      <c r="B2124" s="7" t="s">
        <v>13411</v>
      </c>
      <c r="C2124" s="7" t="s">
        <v>13412</v>
      </c>
      <c r="D2124" s="7" t="s">
        <v>13413</v>
      </c>
      <c r="E2124" s="7" t="s">
        <v>101</v>
      </c>
      <c r="F2124" s="7" t="s">
        <v>82</v>
      </c>
      <c r="G2124" s="7"/>
      <c r="H2124" s="7" t="s">
        <v>102</v>
      </c>
      <c r="I2124" s="7" t="s">
        <v>132</v>
      </c>
      <c r="J2124" s="7" t="s">
        <v>475</v>
      </c>
      <c r="K2124" s="7" t="s">
        <v>476</v>
      </c>
      <c r="L2124" s="7" t="s">
        <v>106</v>
      </c>
      <c r="M2124" s="7"/>
      <c r="N2124" s="7" t="s">
        <v>13414</v>
      </c>
      <c r="O2124" s="7" t="s">
        <v>13414</v>
      </c>
      <c r="P2124" s="7" t="s">
        <v>135</v>
      </c>
      <c r="Q2124" s="7"/>
      <c r="R2124" s="7" t="s">
        <v>109</v>
      </c>
      <c r="S2124" s="7" t="s">
        <v>110</v>
      </c>
      <c r="T2124" s="7" t="n">
        <v>0.361</v>
      </c>
      <c r="U2124" s="7" t="n">
        <v>0</v>
      </c>
      <c r="V2124" s="7"/>
      <c r="W2124" s="7"/>
      <c r="X2124" s="7"/>
      <c r="Y2124" s="7"/>
      <c r="Z2124" s="7"/>
      <c r="AA2124" s="7"/>
      <c r="AB2124" s="7"/>
      <c r="AC2124" s="7" t="n">
        <v>0</v>
      </c>
      <c r="AD2124" s="7" t="s">
        <v>388</v>
      </c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7"/>
      <c r="BC2124" s="7"/>
      <c r="BD2124" s="7" t="s">
        <v>1606</v>
      </c>
      <c r="BE2124" s="7" t="s">
        <v>127</v>
      </c>
      <c r="BF2124" s="8"/>
      <c r="BG2124" s="8"/>
      <c r="BH2124" s="8"/>
      <c r="BI2124" s="8"/>
      <c r="BJ2124" s="8"/>
      <c r="BK2124" s="8"/>
      <c r="BL2124" s="8"/>
      <c r="BM2124" s="8"/>
      <c r="BN2124" s="8"/>
      <c r="BO2124" s="8"/>
      <c r="BP2124" s="8"/>
      <c r="BQ2124" s="8"/>
      <c r="BR2124" s="8"/>
      <c r="BS2124" s="8"/>
    </row>
    <row r="2125" customFormat="false" ht="15" hidden="false" customHeight="false" outlineLevel="0" collapsed="false">
      <c r="A2125" s="7" t="s">
        <v>13415</v>
      </c>
      <c r="B2125" s="7" t="s">
        <v>13416</v>
      </c>
      <c r="C2125" s="7" t="s">
        <v>13417</v>
      </c>
      <c r="D2125" s="7" t="s">
        <v>12933</v>
      </c>
      <c r="E2125" s="7" t="s">
        <v>101</v>
      </c>
      <c r="F2125" s="7" t="s">
        <v>82</v>
      </c>
      <c r="G2125" s="7" t="s">
        <v>83</v>
      </c>
      <c r="H2125" s="7" t="s">
        <v>102</v>
      </c>
      <c r="I2125" s="7" t="s">
        <v>234</v>
      </c>
      <c r="J2125" s="7" t="s">
        <v>475</v>
      </c>
      <c r="K2125" s="7" t="s">
        <v>476</v>
      </c>
      <c r="L2125" s="7" t="s">
        <v>106</v>
      </c>
      <c r="M2125" s="7"/>
      <c r="N2125" s="7" t="s">
        <v>13418</v>
      </c>
      <c r="O2125" s="7" t="s">
        <v>13418</v>
      </c>
      <c r="P2125" s="7" t="s">
        <v>135</v>
      </c>
      <c r="Q2125" s="7"/>
      <c r="R2125" s="7" t="s">
        <v>109</v>
      </c>
      <c r="S2125" s="7" t="s">
        <v>110</v>
      </c>
      <c r="T2125" s="7" t="n">
        <v>0.325</v>
      </c>
      <c r="U2125" s="7" t="n">
        <v>0</v>
      </c>
      <c r="V2125" s="7"/>
      <c r="W2125" s="7"/>
      <c r="X2125" s="7"/>
      <c r="Y2125" s="7"/>
      <c r="Z2125" s="7"/>
      <c r="AA2125" s="7"/>
      <c r="AB2125" s="7"/>
      <c r="AC2125" s="7" t="n">
        <v>0</v>
      </c>
      <c r="AD2125" s="7" t="s">
        <v>388</v>
      </c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  <c r="BB2125" s="7"/>
      <c r="BC2125" s="7"/>
      <c r="BD2125" s="7" t="s">
        <v>1606</v>
      </c>
      <c r="BE2125" s="7" t="s">
        <v>127</v>
      </c>
      <c r="BF2125" s="8"/>
      <c r="BG2125" s="8"/>
      <c r="BH2125" s="8"/>
      <c r="BI2125" s="8"/>
      <c r="BJ2125" s="8"/>
      <c r="BK2125" s="8"/>
      <c r="BL2125" s="8"/>
      <c r="BM2125" s="8"/>
      <c r="BN2125" s="8"/>
      <c r="BO2125" s="8"/>
      <c r="BP2125" s="8"/>
      <c r="BQ2125" s="8"/>
      <c r="BR2125" s="8"/>
      <c r="BS2125" s="8"/>
    </row>
    <row r="2126" customFormat="false" ht="15" hidden="false" customHeight="false" outlineLevel="0" collapsed="false">
      <c r="A2126" s="7" t="s">
        <v>13419</v>
      </c>
      <c r="B2126" s="7" t="s">
        <v>13420</v>
      </c>
      <c r="C2126" s="7" t="s">
        <v>13421</v>
      </c>
      <c r="D2126" s="7" t="s">
        <v>13422</v>
      </c>
      <c r="E2126" s="7" t="s">
        <v>101</v>
      </c>
      <c r="F2126" s="7" t="s">
        <v>82</v>
      </c>
      <c r="G2126" s="7" t="s">
        <v>83</v>
      </c>
      <c r="H2126" s="7" t="s">
        <v>102</v>
      </c>
      <c r="I2126" s="7" t="s">
        <v>132</v>
      </c>
      <c r="J2126" s="7" t="s">
        <v>475</v>
      </c>
      <c r="K2126" s="7" t="s">
        <v>476</v>
      </c>
      <c r="L2126" s="7" t="s">
        <v>106</v>
      </c>
      <c r="M2126" s="7"/>
      <c r="N2126" s="7" t="s">
        <v>13423</v>
      </c>
      <c r="O2126" s="7" t="s">
        <v>13423</v>
      </c>
      <c r="P2126" s="7" t="s">
        <v>135</v>
      </c>
      <c r="Q2126" s="7"/>
      <c r="R2126" s="7" t="s">
        <v>109</v>
      </c>
      <c r="S2126" s="7" t="s">
        <v>110</v>
      </c>
      <c r="T2126" s="7" t="n">
        <v>0.582</v>
      </c>
      <c r="U2126" s="7" t="n">
        <v>0</v>
      </c>
      <c r="V2126" s="7"/>
      <c r="W2126" s="7"/>
      <c r="X2126" s="7"/>
      <c r="Y2126" s="7"/>
      <c r="Z2126" s="7"/>
      <c r="AA2126" s="7"/>
      <c r="AB2126" s="7"/>
      <c r="AC2126" s="7" t="n">
        <v>0</v>
      </c>
      <c r="AD2126" s="7" t="s">
        <v>388</v>
      </c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7"/>
      <c r="BC2126" s="7"/>
      <c r="BD2126" s="7" t="s">
        <v>1606</v>
      </c>
      <c r="BE2126" s="7" t="s">
        <v>127</v>
      </c>
      <c r="BF2126" s="8"/>
      <c r="BG2126" s="8"/>
      <c r="BH2126" s="8"/>
      <c r="BI2126" s="8"/>
      <c r="BJ2126" s="8"/>
      <c r="BK2126" s="8"/>
      <c r="BL2126" s="8"/>
      <c r="BM2126" s="8"/>
      <c r="BN2126" s="8"/>
      <c r="BO2126" s="8"/>
      <c r="BP2126" s="8"/>
      <c r="BQ2126" s="8"/>
      <c r="BR2126" s="8"/>
      <c r="BS2126" s="8"/>
    </row>
    <row r="2127" customFormat="false" ht="15" hidden="false" customHeight="false" outlineLevel="0" collapsed="false">
      <c r="A2127" s="7" t="s">
        <v>13424</v>
      </c>
      <c r="B2127" s="7" t="s">
        <v>13425</v>
      </c>
      <c r="C2127" s="7" t="s">
        <v>13426</v>
      </c>
      <c r="D2127" s="7" t="s">
        <v>1707</v>
      </c>
      <c r="E2127" s="7" t="s">
        <v>101</v>
      </c>
      <c r="F2127" s="7" t="s">
        <v>101</v>
      </c>
      <c r="G2127" s="7"/>
      <c r="H2127" s="7" t="s">
        <v>102</v>
      </c>
      <c r="I2127" s="7" t="s">
        <v>1104</v>
      </c>
      <c r="J2127" s="7" t="s">
        <v>475</v>
      </c>
      <c r="K2127" s="7" t="s">
        <v>476</v>
      </c>
      <c r="L2127" s="7" t="s">
        <v>106</v>
      </c>
      <c r="M2127" s="7"/>
      <c r="N2127" s="7" t="s">
        <v>13427</v>
      </c>
      <c r="O2127" s="7"/>
      <c r="P2127" s="7" t="s">
        <v>135</v>
      </c>
      <c r="Q2127" s="7"/>
      <c r="R2127" s="7" t="s">
        <v>135</v>
      </c>
      <c r="S2127" s="7" t="s">
        <v>136</v>
      </c>
      <c r="T2127" s="7" t="n">
        <v>0.354</v>
      </c>
      <c r="U2127" s="7" t="n">
        <v>0</v>
      </c>
      <c r="V2127" s="7"/>
      <c r="W2127" s="7"/>
      <c r="X2127" s="7"/>
      <c r="Y2127" s="7"/>
      <c r="Z2127" s="7"/>
      <c r="AA2127" s="7"/>
      <c r="AB2127" s="7"/>
      <c r="AC2127" s="7" t="n">
        <v>0</v>
      </c>
      <c r="AD2127" s="7" t="s">
        <v>388</v>
      </c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  <c r="BB2127" s="7"/>
      <c r="BC2127" s="7"/>
      <c r="BD2127" s="7"/>
      <c r="BE2127" s="7" t="s">
        <v>127</v>
      </c>
      <c r="BF2127" s="8"/>
      <c r="BG2127" s="8"/>
      <c r="BH2127" s="8"/>
      <c r="BI2127" s="8"/>
      <c r="BJ2127" s="8"/>
      <c r="BK2127" s="8"/>
      <c r="BL2127" s="8"/>
      <c r="BM2127" s="8"/>
      <c r="BN2127" s="8"/>
      <c r="BO2127" s="8"/>
      <c r="BP2127" s="8"/>
      <c r="BQ2127" s="8"/>
      <c r="BR2127" s="8"/>
      <c r="BS2127" s="8"/>
    </row>
    <row r="2128" customFormat="false" ht="15" hidden="false" customHeight="false" outlineLevel="0" collapsed="false">
      <c r="A2128" s="7" t="s">
        <v>13428</v>
      </c>
      <c r="B2128" s="7" t="s">
        <v>13429</v>
      </c>
      <c r="C2128" s="7" t="s">
        <v>13430</v>
      </c>
      <c r="D2128" s="7" t="s">
        <v>1620</v>
      </c>
      <c r="E2128" s="7" t="s">
        <v>101</v>
      </c>
      <c r="F2128" s="7" t="s">
        <v>82</v>
      </c>
      <c r="G2128" s="7"/>
      <c r="H2128" s="7" t="s">
        <v>102</v>
      </c>
      <c r="I2128" s="7" t="s">
        <v>374</v>
      </c>
      <c r="J2128" s="7" t="s">
        <v>475</v>
      </c>
      <c r="K2128" s="7" t="s">
        <v>476</v>
      </c>
      <c r="L2128" s="7" t="s">
        <v>106</v>
      </c>
      <c r="M2128" s="7"/>
      <c r="N2128" s="7" t="s">
        <v>13431</v>
      </c>
      <c r="O2128" s="7" t="s">
        <v>13431</v>
      </c>
      <c r="P2128" s="7" t="s">
        <v>135</v>
      </c>
      <c r="Q2128" s="7"/>
      <c r="R2128" s="7" t="s">
        <v>109</v>
      </c>
      <c r="S2128" s="7" t="s">
        <v>110</v>
      </c>
      <c r="T2128" s="7" t="n">
        <v>0.345</v>
      </c>
      <c r="U2128" s="7" t="n">
        <v>0</v>
      </c>
      <c r="V2128" s="7"/>
      <c r="W2128" s="7"/>
      <c r="X2128" s="7"/>
      <c r="Y2128" s="7"/>
      <c r="Z2128" s="7"/>
      <c r="AA2128" s="7"/>
      <c r="AB2128" s="7"/>
      <c r="AC2128" s="7" t="n">
        <v>0</v>
      </c>
      <c r="AD2128" s="7" t="s">
        <v>388</v>
      </c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  <c r="BB2128" s="7"/>
      <c r="BC2128" s="7"/>
      <c r="BD2128" s="7" t="s">
        <v>1606</v>
      </c>
      <c r="BE2128" s="7" t="s">
        <v>127</v>
      </c>
      <c r="BF2128" s="8"/>
      <c r="BG2128" s="8"/>
      <c r="BH2128" s="8"/>
      <c r="BI2128" s="8"/>
      <c r="BJ2128" s="8"/>
      <c r="BK2128" s="8"/>
      <c r="BL2128" s="8"/>
      <c r="BM2128" s="8"/>
      <c r="BN2128" s="8"/>
      <c r="BO2128" s="8"/>
      <c r="BP2128" s="8"/>
      <c r="BQ2128" s="8"/>
      <c r="BR2128" s="8"/>
      <c r="BS2128" s="8"/>
    </row>
    <row r="2129" customFormat="false" ht="15" hidden="false" customHeight="false" outlineLevel="0" collapsed="false">
      <c r="A2129" s="7" t="s">
        <v>13432</v>
      </c>
      <c r="B2129" s="7" t="s">
        <v>13433</v>
      </c>
      <c r="C2129" s="7" t="s">
        <v>13434</v>
      </c>
      <c r="D2129" s="7" t="s">
        <v>1244</v>
      </c>
      <c r="E2129" s="7" t="s">
        <v>101</v>
      </c>
      <c r="F2129" s="7" t="s">
        <v>101</v>
      </c>
      <c r="G2129" s="7"/>
      <c r="H2129" s="7" t="s">
        <v>102</v>
      </c>
      <c r="I2129" s="7" t="s">
        <v>132</v>
      </c>
      <c r="J2129" s="7" t="s">
        <v>475</v>
      </c>
      <c r="K2129" s="7" t="s">
        <v>476</v>
      </c>
      <c r="L2129" s="7" t="s">
        <v>106</v>
      </c>
      <c r="M2129" s="7"/>
      <c r="N2129" s="7" t="s">
        <v>13435</v>
      </c>
      <c r="O2129" s="7"/>
      <c r="P2129" s="7" t="s">
        <v>135</v>
      </c>
      <c r="Q2129" s="7"/>
      <c r="R2129" s="7" t="s">
        <v>135</v>
      </c>
      <c r="S2129" s="7" t="s">
        <v>136</v>
      </c>
      <c r="T2129" s="7" t="n">
        <v>0.195</v>
      </c>
      <c r="U2129" s="7" t="n">
        <v>0</v>
      </c>
      <c r="V2129" s="7"/>
      <c r="W2129" s="7"/>
      <c r="X2129" s="7"/>
      <c r="Y2129" s="7"/>
      <c r="Z2129" s="7"/>
      <c r="AA2129" s="7"/>
      <c r="AB2129" s="7"/>
      <c r="AC2129" s="7" t="n">
        <v>0</v>
      </c>
      <c r="AD2129" s="7" t="s">
        <v>388</v>
      </c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  <c r="BB2129" s="7"/>
      <c r="BC2129" s="7"/>
      <c r="BD2129" s="7" t="s">
        <v>1246</v>
      </c>
      <c r="BE2129" s="7" t="s">
        <v>127</v>
      </c>
      <c r="BF2129" s="8"/>
      <c r="BG2129" s="8"/>
      <c r="BH2129" s="8"/>
      <c r="BI2129" s="8"/>
      <c r="BJ2129" s="8"/>
      <c r="BK2129" s="8"/>
      <c r="BL2129" s="8"/>
      <c r="BM2129" s="8"/>
      <c r="BN2129" s="8"/>
      <c r="BO2129" s="8"/>
      <c r="BP2129" s="8"/>
      <c r="BQ2129" s="8"/>
      <c r="BR2129" s="8"/>
      <c r="BS2129" s="8"/>
    </row>
    <row r="2130" customFormat="false" ht="15" hidden="false" customHeight="false" outlineLevel="0" collapsed="false">
      <c r="A2130" s="7" t="s">
        <v>13436</v>
      </c>
      <c r="B2130" s="7" t="s">
        <v>13437</v>
      </c>
      <c r="C2130" s="7" t="s">
        <v>13438</v>
      </c>
      <c r="D2130" s="7" t="s">
        <v>13439</v>
      </c>
      <c r="E2130" s="7" t="s">
        <v>101</v>
      </c>
      <c r="F2130" s="7" t="s">
        <v>101</v>
      </c>
      <c r="G2130" s="7"/>
      <c r="H2130" s="7" t="s">
        <v>102</v>
      </c>
      <c r="I2130" s="7" t="s">
        <v>300</v>
      </c>
      <c r="J2130" s="7" t="s">
        <v>475</v>
      </c>
      <c r="K2130" s="7" t="s">
        <v>1147</v>
      </c>
      <c r="L2130" s="7" t="s">
        <v>106</v>
      </c>
      <c r="M2130" s="7"/>
      <c r="N2130" s="7" t="s">
        <v>13440</v>
      </c>
      <c r="O2130" s="7" t="s">
        <v>13440</v>
      </c>
      <c r="P2130" s="7" t="s">
        <v>135</v>
      </c>
      <c r="Q2130" s="7"/>
      <c r="R2130" s="7" t="s">
        <v>109</v>
      </c>
      <c r="S2130" s="7" t="s">
        <v>110</v>
      </c>
      <c r="T2130" s="7" t="n">
        <v>0.463</v>
      </c>
      <c r="U2130" s="7" t="n">
        <v>0</v>
      </c>
      <c r="V2130" s="7"/>
      <c r="W2130" s="7"/>
      <c r="X2130" s="7"/>
      <c r="Y2130" s="7"/>
      <c r="Z2130" s="7"/>
      <c r="AA2130" s="7" t="s">
        <v>572</v>
      </c>
      <c r="AB2130" s="7" t="s">
        <v>573</v>
      </c>
      <c r="AC2130" s="7" t="n">
        <v>0</v>
      </c>
      <c r="AD2130" s="7" t="s">
        <v>388</v>
      </c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  <c r="BB2130" s="7"/>
      <c r="BC2130" s="7"/>
      <c r="BD2130" s="7" t="s">
        <v>13393</v>
      </c>
      <c r="BE2130" s="7" t="s">
        <v>575</v>
      </c>
      <c r="BF2130" s="8"/>
      <c r="BG2130" s="8"/>
      <c r="BH2130" s="8"/>
      <c r="BI2130" s="8"/>
      <c r="BJ2130" s="8"/>
      <c r="BK2130" s="8"/>
      <c r="BL2130" s="8"/>
      <c r="BM2130" s="8"/>
      <c r="BN2130" s="8"/>
      <c r="BO2130" s="8"/>
      <c r="BP2130" s="8"/>
      <c r="BQ2130" s="8"/>
      <c r="BR2130" s="8"/>
      <c r="BS2130" s="8"/>
    </row>
    <row r="2131" customFormat="false" ht="15" hidden="false" customHeight="false" outlineLevel="0" collapsed="false">
      <c r="A2131" s="7" t="s">
        <v>13441</v>
      </c>
      <c r="B2131" s="7" t="s">
        <v>13442</v>
      </c>
      <c r="C2131" s="7" t="s">
        <v>13443</v>
      </c>
      <c r="D2131" s="7" t="s">
        <v>13439</v>
      </c>
      <c r="E2131" s="7" t="s">
        <v>101</v>
      </c>
      <c r="F2131" s="7" t="s">
        <v>101</v>
      </c>
      <c r="G2131" s="7"/>
      <c r="H2131" s="7" t="s">
        <v>102</v>
      </c>
      <c r="I2131" s="7" t="s">
        <v>300</v>
      </c>
      <c r="J2131" s="7" t="s">
        <v>475</v>
      </c>
      <c r="K2131" s="7" t="s">
        <v>1147</v>
      </c>
      <c r="L2131" s="7" t="s">
        <v>106</v>
      </c>
      <c r="M2131" s="7"/>
      <c r="N2131" s="7" t="s">
        <v>13440</v>
      </c>
      <c r="O2131" s="7" t="s">
        <v>13440</v>
      </c>
      <c r="P2131" s="7" t="s">
        <v>135</v>
      </c>
      <c r="Q2131" s="7"/>
      <c r="R2131" s="7" t="s">
        <v>109</v>
      </c>
      <c r="S2131" s="7" t="s">
        <v>110</v>
      </c>
      <c r="T2131" s="7" t="n">
        <v>0.391</v>
      </c>
      <c r="U2131" s="7" t="n">
        <v>0</v>
      </c>
      <c r="V2131" s="7"/>
      <c r="W2131" s="7"/>
      <c r="X2131" s="7"/>
      <c r="Y2131" s="7"/>
      <c r="Z2131" s="7"/>
      <c r="AA2131" s="7" t="s">
        <v>572</v>
      </c>
      <c r="AB2131" s="7" t="s">
        <v>573</v>
      </c>
      <c r="AC2131" s="7" t="n">
        <v>0</v>
      </c>
      <c r="AD2131" s="7" t="s">
        <v>388</v>
      </c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  <c r="BB2131" s="7"/>
      <c r="BC2131" s="7"/>
      <c r="BD2131" s="7" t="s">
        <v>13393</v>
      </c>
      <c r="BE2131" s="7" t="s">
        <v>575</v>
      </c>
      <c r="BF2131" s="8"/>
      <c r="BG2131" s="8"/>
      <c r="BH2131" s="8"/>
      <c r="BI2131" s="8"/>
      <c r="BJ2131" s="8"/>
      <c r="BK2131" s="8"/>
      <c r="BL2131" s="8"/>
      <c r="BM2131" s="8"/>
      <c r="BN2131" s="8"/>
      <c r="BO2131" s="8"/>
      <c r="BP2131" s="8"/>
      <c r="BQ2131" s="8"/>
      <c r="BR2131" s="8"/>
      <c r="BS2131" s="8"/>
    </row>
    <row r="2132" customFormat="false" ht="15" hidden="false" customHeight="false" outlineLevel="0" collapsed="false">
      <c r="A2132" s="7" t="s">
        <v>13444</v>
      </c>
      <c r="B2132" s="7" t="s">
        <v>13445</v>
      </c>
      <c r="C2132" s="7" t="s">
        <v>13446</v>
      </c>
      <c r="D2132" s="7" t="s">
        <v>13439</v>
      </c>
      <c r="E2132" s="7" t="s">
        <v>101</v>
      </c>
      <c r="F2132" s="7" t="s">
        <v>101</v>
      </c>
      <c r="G2132" s="7"/>
      <c r="H2132" s="7" t="s">
        <v>102</v>
      </c>
      <c r="I2132" s="7" t="s">
        <v>234</v>
      </c>
      <c r="J2132" s="7" t="s">
        <v>475</v>
      </c>
      <c r="K2132" s="7" t="s">
        <v>1147</v>
      </c>
      <c r="L2132" s="7" t="s">
        <v>13447</v>
      </c>
      <c r="M2132" s="7"/>
      <c r="N2132" s="7" t="s">
        <v>13440</v>
      </c>
      <c r="O2132" s="7" t="s">
        <v>13440</v>
      </c>
      <c r="P2132" s="7" t="s">
        <v>135</v>
      </c>
      <c r="Q2132" s="7"/>
      <c r="R2132" s="7" t="s">
        <v>109</v>
      </c>
      <c r="S2132" s="7" t="s">
        <v>110</v>
      </c>
      <c r="T2132" s="7" t="n">
        <v>0.61</v>
      </c>
      <c r="U2132" s="7" t="n">
        <v>0</v>
      </c>
      <c r="V2132" s="7"/>
      <c r="W2132" s="7"/>
      <c r="X2132" s="7"/>
      <c r="Y2132" s="7"/>
      <c r="Z2132" s="7"/>
      <c r="AA2132" s="7" t="s">
        <v>572</v>
      </c>
      <c r="AB2132" s="7" t="s">
        <v>573</v>
      </c>
      <c r="AC2132" s="7" t="n">
        <v>0</v>
      </c>
      <c r="AD2132" s="7" t="s">
        <v>388</v>
      </c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7"/>
      <c r="BC2132" s="7"/>
      <c r="BD2132" s="7" t="s">
        <v>13393</v>
      </c>
      <c r="BE2132" s="7" t="s">
        <v>575</v>
      </c>
      <c r="BF2132" s="8"/>
      <c r="BG2132" s="8"/>
      <c r="BH2132" s="8"/>
      <c r="BI2132" s="8"/>
      <c r="BJ2132" s="8"/>
      <c r="BK2132" s="8"/>
      <c r="BL2132" s="8"/>
      <c r="BM2132" s="8"/>
      <c r="BN2132" s="8"/>
      <c r="BO2132" s="8"/>
      <c r="BP2132" s="8"/>
      <c r="BQ2132" s="8"/>
      <c r="BR2132" s="8"/>
      <c r="BS2132" s="8"/>
    </row>
    <row r="2133" customFormat="false" ht="15" hidden="false" customHeight="false" outlineLevel="0" collapsed="false">
      <c r="A2133" s="7" t="s">
        <v>13448</v>
      </c>
      <c r="B2133" s="7" t="s">
        <v>13449</v>
      </c>
      <c r="C2133" s="7" t="s">
        <v>13450</v>
      </c>
      <c r="D2133" s="7" t="s">
        <v>13439</v>
      </c>
      <c r="E2133" s="7" t="s">
        <v>101</v>
      </c>
      <c r="F2133" s="7" t="s">
        <v>101</v>
      </c>
      <c r="G2133" s="7"/>
      <c r="H2133" s="7" t="s">
        <v>102</v>
      </c>
      <c r="I2133" s="7" t="s">
        <v>300</v>
      </c>
      <c r="J2133" s="7" t="s">
        <v>475</v>
      </c>
      <c r="K2133" s="7" t="s">
        <v>1147</v>
      </c>
      <c r="L2133" s="7" t="s">
        <v>106</v>
      </c>
      <c r="M2133" s="7"/>
      <c r="N2133" s="7" t="s">
        <v>13440</v>
      </c>
      <c r="O2133" s="7" t="s">
        <v>13440</v>
      </c>
      <c r="P2133" s="7" t="s">
        <v>135</v>
      </c>
      <c r="Q2133" s="7"/>
      <c r="R2133" s="7" t="s">
        <v>109</v>
      </c>
      <c r="S2133" s="7" t="s">
        <v>110</v>
      </c>
      <c r="T2133" s="7" t="n">
        <v>0.308</v>
      </c>
      <c r="U2133" s="7" t="n">
        <v>0</v>
      </c>
      <c r="V2133" s="7"/>
      <c r="W2133" s="7"/>
      <c r="X2133" s="7"/>
      <c r="Y2133" s="7"/>
      <c r="Z2133" s="7"/>
      <c r="AA2133" s="7" t="s">
        <v>572</v>
      </c>
      <c r="AB2133" s="7" t="s">
        <v>573</v>
      </c>
      <c r="AC2133" s="7" t="n">
        <v>0</v>
      </c>
      <c r="AD2133" s="7" t="s">
        <v>388</v>
      </c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  <c r="BB2133" s="7"/>
      <c r="BC2133" s="7"/>
      <c r="BD2133" s="7" t="s">
        <v>13393</v>
      </c>
      <c r="BE2133" s="7" t="s">
        <v>575</v>
      </c>
      <c r="BF2133" s="8"/>
      <c r="BG2133" s="8"/>
      <c r="BH2133" s="8"/>
      <c r="BI2133" s="8"/>
      <c r="BJ2133" s="8"/>
      <c r="BK2133" s="8"/>
      <c r="BL2133" s="8"/>
      <c r="BM2133" s="8"/>
      <c r="BN2133" s="8"/>
      <c r="BO2133" s="8"/>
      <c r="BP2133" s="8"/>
      <c r="BQ2133" s="8"/>
      <c r="BR2133" s="8"/>
      <c r="BS2133" s="8"/>
    </row>
    <row r="2134" customFormat="false" ht="15" hidden="false" customHeight="false" outlineLevel="0" collapsed="false">
      <c r="A2134" s="7" t="s">
        <v>13451</v>
      </c>
      <c r="B2134" s="7" t="s">
        <v>13452</v>
      </c>
      <c r="C2134" s="7" t="s">
        <v>13453</v>
      </c>
      <c r="D2134" s="7" t="s">
        <v>1773</v>
      </c>
      <c r="E2134" s="7" t="s">
        <v>101</v>
      </c>
      <c r="F2134" s="7" t="s">
        <v>101</v>
      </c>
      <c r="G2134" s="7"/>
      <c r="H2134" s="7" t="s">
        <v>102</v>
      </c>
      <c r="I2134" s="7" t="s">
        <v>1140</v>
      </c>
      <c r="J2134" s="7" t="s">
        <v>475</v>
      </c>
      <c r="K2134" s="7" t="s">
        <v>1147</v>
      </c>
      <c r="L2134" s="7" t="s">
        <v>106</v>
      </c>
      <c r="M2134" s="7"/>
      <c r="N2134" s="7" t="s">
        <v>1355</v>
      </c>
      <c r="O2134" s="7" t="s">
        <v>1355</v>
      </c>
      <c r="P2134" s="7" t="s">
        <v>135</v>
      </c>
      <c r="Q2134" s="7"/>
      <c r="R2134" s="7" t="s">
        <v>109</v>
      </c>
      <c r="S2134" s="7" t="s">
        <v>110</v>
      </c>
      <c r="T2134" s="7" t="n">
        <v>0.317</v>
      </c>
      <c r="U2134" s="7" t="n">
        <v>0</v>
      </c>
      <c r="V2134" s="7"/>
      <c r="W2134" s="7"/>
      <c r="X2134" s="7"/>
      <c r="Y2134" s="7"/>
      <c r="Z2134" s="7"/>
      <c r="AA2134" s="7" t="s">
        <v>572</v>
      </c>
      <c r="AB2134" s="7" t="s">
        <v>573</v>
      </c>
      <c r="AC2134" s="7" t="n">
        <v>0</v>
      </c>
      <c r="AD2134" s="7" t="s">
        <v>388</v>
      </c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7"/>
      <c r="BC2134" s="7"/>
      <c r="BD2134" s="7" t="s">
        <v>1356</v>
      </c>
      <c r="BE2134" s="7" t="s">
        <v>1088</v>
      </c>
      <c r="BF2134" s="8"/>
      <c r="BG2134" s="8"/>
      <c r="BH2134" s="8"/>
      <c r="BI2134" s="8"/>
      <c r="BJ2134" s="8"/>
      <c r="BK2134" s="8"/>
      <c r="BL2134" s="8"/>
      <c r="BM2134" s="8"/>
      <c r="BN2134" s="8"/>
      <c r="BO2134" s="8"/>
      <c r="BP2134" s="8"/>
      <c r="BQ2134" s="8"/>
      <c r="BR2134" s="8"/>
      <c r="BS2134" s="8"/>
    </row>
    <row r="2135" customFormat="false" ht="15" hidden="false" customHeight="false" outlineLevel="0" collapsed="false">
      <c r="A2135" s="7" t="s">
        <v>13454</v>
      </c>
      <c r="B2135" s="7" t="s">
        <v>13455</v>
      </c>
      <c r="C2135" s="7" t="s">
        <v>13456</v>
      </c>
      <c r="D2135" s="7" t="s">
        <v>13439</v>
      </c>
      <c r="E2135" s="7" t="s">
        <v>101</v>
      </c>
      <c r="F2135" s="7" t="s">
        <v>101</v>
      </c>
      <c r="G2135" s="7"/>
      <c r="H2135" s="7" t="s">
        <v>102</v>
      </c>
      <c r="I2135" s="7" t="s">
        <v>300</v>
      </c>
      <c r="J2135" s="7" t="s">
        <v>475</v>
      </c>
      <c r="K2135" s="7" t="s">
        <v>1147</v>
      </c>
      <c r="L2135" s="7" t="s">
        <v>106</v>
      </c>
      <c r="M2135" s="7"/>
      <c r="N2135" s="7" t="s">
        <v>13440</v>
      </c>
      <c r="O2135" s="7" t="s">
        <v>13440</v>
      </c>
      <c r="P2135" s="7" t="s">
        <v>135</v>
      </c>
      <c r="Q2135" s="7"/>
      <c r="R2135" s="7" t="s">
        <v>109</v>
      </c>
      <c r="S2135" s="7" t="s">
        <v>110</v>
      </c>
      <c r="T2135" s="7" t="n">
        <v>0.374</v>
      </c>
      <c r="U2135" s="7" t="n">
        <v>0</v>
      </c>
      <c r="V2135" s="7"/>
      <c r="W2135" s="7"/>
      <c r="X2135" s="7"/>
      <c r="Y2135" s="7"/>
      <c r="Z2135" s="7"/>
      <c r="AA2135" s="7" t="s">
        <v>572</v>
      </c>
      <c r="AB2135" s="7" t="s">
        <v>573</v>
      </c>
      <c r="AC2135" s="7" t="n">
        <v>0</v>
      </c>
      <c r="AD2135" s="7" t="s">
        <v>388</v>
      </c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  <c r="BB2135" s="7"/>
      <c r="BC2135" s="7"/>
      <c r="BD2135" s="7" t="s">
        <v>13393</v>
      </c>
      <c r="BE2135" s="7" t="s">
        <v>575</v>
      </c>
      <c r="BF2135" s="8"/>
      <c r="BG2135" s="8"/>
      <c r="BH2135" s="8"/>
      <c r="BI2135" s="8"/>
      <c r="BJ2135" s="8"/>
      <c r="BK2135" s="8"/>
      <c r="BL2135" s="8"/>
      <c r="BM2135" s="8"/>
      <c r="BN2135" s="8"/>
      <c r="BO2135" s="8"/>
      <c r="BP2135" s="8"/>
      <c r="BQ2135" s="8"/>
      <c r="BR2135" s="8"/>
      <c r="BS2135" s="8"/>
    </row>
    <row r="2136" customFormat="false" ht="15" hidden="false" customHeight="false" outlineLevel="0" collapsed="false">
      <c r="A2136" s="7" t="s">
        <v>13457</v>
      </c>
      <c r="B2136" s="7" t="s">
        <v>13458</v>
      </c>
      <c r="C2136" s="7" t="s">
        <v>13459</v>
      </c>
      <c r="D2136" s="7" t="s">
        <v>100</v>
      </c>
      <c r="E2136" s="7" t="s">
        <v>101</v>
      </c>
      <c r="F2136" s="7" t="s">
        <v>101</v>
      </c>
      <c r="G2136" s="7"/>
      <c r="H2136" s="7" t="s">
        <v>102</v>
      </c>
      <c r="I2136" s="7" t="s">
        <v>158</v>
      </c>
      <c r="J2136" s="7" t="s">
        <v>475</v>
      </c>
      <c r="K2136" s="7" t="s">
        <v>476</v>
      </c>
      <c r="L2136" s="7" t="s">
        <v>106</v>
      </c>
      <c r="M2136" s="7"/>
      <c r="N2136" s="7" t="s">
        <v>13460</v>
      </c>
      <c r="O2136" s="7"/>
      <c r="P2136" s="7" t="s">
        <v>135</v>
      </c>
      <c r="Q2136" s="7"/>
      <c r="R2136" s="7" t="s">
        <v>135</v>
      </c>
      <c r="S2136" s="7" t="s">
        <v>136</v>
      </c>
      <c r="T2136" s="7" t="n">
        <v>0.802</v>
      </c>
      <c r="U2136" s="7" t="n">
        <v>0</v>
      </c>
      <c r="V2136" s="7"/>
      <c r="W2136" s="7"/>
      <c r="X2136" s="7"/>
      <c r="Y2136" s="7"/>
      <c r="Z2136" s="7"/>
      <c r="AA2136" s="7"/>
      <c r="AB2136" s="7"/>
      <c r="AC2136" s="7" t="n">
        <v>0</v>
      </c>
      <c r="AD2136" s="7" t="s">
        <v>388</v>
      </c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/>
      <c r="BA2136" s="7"/>
      <c r="BB2136" s="7"/>
      <c r="BC2136" s="7"/>
      <c r="BD2136" s="7"/>
      <c r="BE2136" s="7" t="s">
        <v>127</v>
      </c>
      <c r="BF2136" s="8"/>
      <c r="BG2136" s="8"/>
      <c r="BH2136" s="8"/>
      <c r="BI2136" s="8"/>
      <c r="BJ2136" s="8"/>
      <c r="BK2136" s="8"/>
      <c r="BL2136" s="8"/>
      <c r="BM2136" s="8"/>
      <c r="BN2136" s="8"/>
      <c r="BO2136" s="8"/>
      <c r="BP2136" s="8"/>
      <c r="BQ2136" s="8"/>
      <c r="BR2136" s="8"/>
      <c r="BS2136" s="8"/>
    </row>
    <row r="2137" customFormat="false" ht="15" hidden="false" customHeight="false" outlineLevel="0" collapsed="false">
      <c r="A2137" s="7" t="s">
        <v>13461</v>
      </c>
      <c r="B2137" s="7" t="s">
        <v>13462</v>
      </c>
      <c r="C2137" s="9" t="s">
        <v>13463</v>
      </c>
      <c r="D2137" s="7" t="s">
        <v>206</v>
      </c>
      <c r="E2137" s="7" t="s">
        <v>101</v>
      </c>
      <c r="F2137" s="7" t="s">
        <v>82</v>
      </c>
      <c r="G2137" s="7" t="s">
        <v>83</v>
      </c>
      <c r="H2137" s="7" t="s">
        <v>102</v>
      </c>
      <c r="I2137" s="7" t="s">
        <v>208</v>
      </c>
      <c r="J2137" s="7" t="s">
        <v>475</v>
      </c>
      <c r="K2137" s="7" t="s">
        <v>476</v>
      </c>
      <c r="L2137" s="7" t="s">
        <v>106</v>
      </c>
      <c r="M2137" s="7"/>
      <c r="N2137" s="7" t="s">
        <v>13464</v>
      </c>
      <c r="O2137" s="7" t="s">
        <v>13464</v>
      </c>
      <c r="P2137" s="7" t="s">
        <v>135</v>
      </c>
      <c r="Q2137" s="7"/>
      <c r="R2137" s="7" t="s">
        <v>109</v>
      </c>
      <c r="S2137" s="7" t="s">
        <v>110</v>
      </c>
      <c r="T2137" s="7" t="n">
        <v>0.211</v>
      </c>
      <c r="U2137" s="7" t="n">
        <v>0</v>
      </c>
      <c r="V2137" s="7"/>
      <c r="W2137" s="7"/>
      <c r="X2137" s="7"/>
      <c r="Y2137" s="7"/>
      <c r="Z2137" s="7"/>
      <c r="AA2137" s="7"/>
      <c r="AB2137" s="7"/>
      <c r="AC2137" s="7" t="n">
        <v>0</v>
      </c>
      <c r="AD2137" s="7" t="s">
        <v>388</v>
      </c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  <c r="AZ2137" s="7"/>
      <c r="BA2137" s="7"/>
      <c r="BB2137" s="7"/>
      <c r="BC2137" s="7"/>
      <c r="BD2137" s="7" t="s">
        <v>1606</v>
      </c>
      <c r="BE2137" s="7" t="s">
        <v>127</v>
      </c>
      <c r="BF2137" s="8"/>
      <c r="BG2137" s="8"/>
      <c r="BH2137" s="8"/>
      <c r="BI2137" s="8"/>
      <c r="BJ2137" s="8"/>
      <c r="BK2137" s="8"/>
      <c r="BL2137" s="8"/>
      <c r="BM2137" s="8"/>
      <c r="BN2137" s="8"/>
      <c r="BO2137" s="8"/>
      <c r="BP2137" s="8"/>
      <c r="BQ2137" s="8"/>
      <c r="BR2137" s="8"/>
      <c r="BS2137" s="8"/>
    </row>
    <row r="2138" customFormat="false" ht="15" hidden="false" customHeight="false" outlineLevel="0" collapsed="false">
      <c r="A2138" s="7" t="s">
        <v>13465</v>
      </c>
      <c r="B2138" s="7" t="s">
        <v>13466</v>
      </c>
      <c r="C2138" s="7" t="s">
        <v>849</v>
      </c>
      <c r="D2138" s="7" t="s">
        <v>13333</v>
      </c>
      <c r="E2138" s="7" t="s">
        <v>101</v>
      </c>
      <c r="F2138" s="7" t="s">
        <v>101</v>
      </c>
      <c r="G2138" s="7"/>
      <c r="H2138" s="7" t="s">
        <v>102</v>
      </c>
      <c r="I2138" s="7" t="s">
        <v>158</v>
      </c>
      <c r="J2138" s="7" t="s">
        <v>475</v>
      </c>
      <c r="K2138" s="7" t="s">
        <v>476</v>
      </c>
      <c r="L2138" s="7" t="s">
        <v>106</v>
      </c>
      <c r="M2138" s="7"/>
      <c r="N2138" s="7" t="s">
        <v>13467</v>
      </c>
      <c r="O2138" s="7" t="s">
        <v>13467</v>
      </c>
      <c r="P2138" s="7" t="s">
        <v>135</v>
      </c>
      <c r="Q2138" s="7"/>
      <c r="R2138" s="7" t="s">
        <v>109</v>
      </c>
      <c r="S2138" s="7" t="s">
        <v>110</v>
      </c>
      <c r="T2138" s="7" t="n">
        <v>0.357</v>
      </c>
      <c r="U2138" s="7" t="n">
        <v>0</v>
      </c>
      <c r="V2138" s="7"/>
      <c r="W2138" s="7"/>
      <c r="X2138" s="7"/>
      <c r="Y2138" s="7"/>
      <c r="Z2138" s="7"/>
      <c r="AA2138" s="7"/>
      <c r="AB2138" s="7"/>
      <c r="AC2138" s="7" t="n">
        <v>0</v>
      </c>
      <c r="AD2138" s="7" t="s">
        <v>388</v>
      </c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  <c r="BB2138" s="7"/>
      <c r="BC2138" s="7"/>
      <c r="BD2138" s="7" t="s">
        <v>1343</v>
      </c>
      <c r="BE2138" s="7" t="s">
        <v>127</v>
      </c>
      <c r="BF2138" s="8"/>
      <c r="BG2138" s="8"/>
      <c r="BH2138" s="8"/>
      <c r="BI2138" s="8"/>
      <c r="BJ2138" s="8"/>
      <c r="BK2138" s="8"/>
      <c r="BL2138" s="8"/>
      <c r="BM2138" s="8"/>
      <c r="BN2138" s="8"/>
      <c r="BO2138" s="8"/>
      <c r="BP2138" s="8"/>
      <c r="BQ2138" s="8"/>
      <c r="BR2138" s="8"/>
      <c r="BS2138" s="8"/>
    </row>
    <row r="2139" customFormat="false" ht="15" hidden="false" customHeight="false" outlineLevel="0" collapsed="false">
      <c r="A2139" s="7" t="s">
        <v>13468</v>
      </c>
      <c r="B2139" s="7" t="s">
        <v>13469</v>
      </c>
      <c r="C2139" s="7" t="s">
        <v>13470</v>
      </c>
      <c r="D2139" s="7" t="s">
        <v>1620</v>
      </c>
      <c r="E2139" s="7" t="s">
        <v>101</v>
      </c>
      <c r="F2139" s="7" t="s">
        <v>82</v>
      </c>
      <c r="G2139" s="7"/>
      <c r="H2139" s="7" t="s">
        <v>102</v>
      </c>
      <c r="I2139" s="7" t="s">
        <v>374</v>
      </c>
      <c r="J2139" s="7" t="s">
        <v>475</v>
      </c>
      <c r="K2139" s="7" t="s">
        <v>476</v>
      </c>
      <c r="L2139" s="7" t="s">
        <v>106</v>
      </c>
      <c r="M2139" s="7"/>
      <c r="N2139" s="7" t="s">
        <v>13471</v>
      </c>
      <c r="O2139" s="7" t="s">
        <v>13471</v>
      </c>
      <c r="P2139" s="7" t="s">
        <v>135</v>
      </c>
      <c r="Q2139" s="7"/>
      <c r="R2139" s="7" t="s">
        <v>109</v>
      </c>
      <c r="S2139" s="7" t="s">
        <v>110</v>
      </c>
      <c r="T2139" s="7" t="n">
        <v>0.401</v>
      </c>
      <c r="U2139" s="7" t="n">
        <v>0</v>
      </c>
      <c r="V2139" s="7"/>
      <c r="W2139" s="7"/>
      <c r="X2139" s="7"/>
      <c r="Y2139" s="7"/>
      <c r="Z2139" s="7"/>
      <c r="AA2139" s="7"/>
      <c r="AB2139" s="7"/>
      <c r="AC2139" s="7" t="n">
        <v>0</v>
      </c>
      <c r="AD2139" s="7" t="s">
        <v>388</v>
      </c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/>
      <c r="BA2139" s="7"/>
      <c r="BB2139" s="7"/>
      <c r="BC2139" s="7"/>
      <c r="BD2139" s="7" t="s">
        <v>1606</v>
      </c>
      <c r="BE2139" s="7" t="s">
        <v>127</v>
      </c>
      <c r="BF2139" s="8"/>
      <c r="BG2139" s="8"/>
      <c r="BH2139" s="8"/>
      <c r="BI2139" s="8"/>
      <c r="BJ2139" s="8"/>
      <c r="BK2139" s="8"/>
      <c r="BL2139" s="8"/>
      <c r="BM2139" s="8"/>
      <c r="BN2139" s="8"/>
      <c r="BO2139" s="8"/>
      <c r="BP2139" s="8"/>
      <c r="BQ2139" s="8"/>
      <c r="BR2139" s="8"/>
      <c r="BS2139" s="8"/>
    </row>
    <row r="2140" customFormat="false" ht="15" hidden="false" customHeight="false" outlineLevel="0" collapsed="false">
      <c r="A2140" s="7" t="s">
        <v>13472</v>
      </c>
      <c r="B2140" s="7" t="s">
        <v>13473</v>
      </c>
      <c r="C2140" s="7" t="s">
        <v>13474</v>
      </c>
      <c r="D2140" s="7" t="s">
        <v>1645</v>
      </c>
      <c r="E2140" s="7" t="s">
        <v>101</v>
      </c>
      <c r="F2140" s="7" t="s">
        <v>101</v>
      </c>
      <c r="G2140" s="7"/>
      <c r="H2140" s="7" t="s">
        <v>102</v>
      </c>
      <c r="I2140" s="7" t="s">
        <v>132</v>
      </c>
      <c r="J2140" s="7" t="s">
        <v>475</v>
      </c>
      <c r="K2140" s="7" t="s">
        <v>1147</v>
      </c>
      <c r="L2140" s="7" t="s">
        <v>106</v>
      </c>
      <c r="M2140" s="7"/>
      <c r="N2140" s="7" t="s">
        <v>1761</v>
      </c>
      <c r="O2140" s="7"/>
      <c r="P2140" s="7" t="s">
        <v>135</v>
      </c>
      <c r="Q2140" s="7"/>
      <c r="R2140" s="7" t="s">
        <v>135</v>
      </c>
      <c r="S2140" s="7" t="s">
        <v>136</v>
      </c>
      <c r="T2140" s="7" t="n">
        <v>0.246</v>
      </c>
      <c r="U2140" s="7" t="n">
        <v>0</v>
      </c>
      <c r="V2140" s="7"/>
      <c r="W2140" s="7"/>
      <c r="X2140" s="7"/>
      <c r="Y2140" s="7"/>
      <c r="Z2140" s="7"/>
      <c r="AA2140" s="7" t="s">
        <v>572</v>
      </c>
      <c r="AB2140" s="7" t="s">
        <v>573</v>
      </c>
      <c r="AC2140" s="7" t="n">
        <v>0</v>
      </c>
      <c r="AD2140" s="7" t="s">
        <v>388</v>
      </c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  <c r="BB2140" s="7"/>
      <c r="BC2140" s="7"/>
      <c r="BD2140" s="7"/>
      <c r="BE2140" s="7" t="s">
        <v>1088</v>
      </c>
      <c r="BF2140" s="8"/>
      <c r="BG2140" s="8"/>
      <c r="BH2140" s="8"/>
      <c r="BI2140" s="8"/>
      <c r="BJ2140" s="8"/>
      <c r="BK2140" s="8"/>
      <c r="BL2140" s="8"/>
      <c r="BM2140" s="8"/>
      <c r="BN2140" s="8"/>
      <c r="BO2140" s="8"/>
      <c r="BP2140" s="8"/>
      <c r="BQ2140" s="8"/>
      <c r="BR2140" s="8"/>
      <c r="BS2140" s="8"/>
    </row>
    <row r="2141" customFormat="false" ht="15" hidden="false" customHeight="false" outlineLevel="0" collapsed="false">
      <c r="A2141" s="7" t="s">
        <v>13475</v>
      </c>
      <c r="B2141" s="7" t="s">
        <v>13476</v>
      </c>
      <c r="C2141" s="7" t="s">
        <v>13477</v>
      </c>
      <c r="D2141" s="7" t="s">
        <v>1921</v>
      </c>
      <c r="E2141" s="7" t="s">
        <v>101</v>
      </c>
      <c r="F2141" s="7" t="s">
        <v>82</v>
      </c>
      <c r="G2141" s="7"/>
      <c r="H2141" s="7" t="s">
        <v>102</v>
      </c>
      <c r="I2141" s="7" t="s">
        <v>158</v>
      </c>
      <c r="J2141" s="7" t="s">
        <v>475</v>
      </c>
      <c r="K2141" s="7" t="s">
        <v>476</v>
      </c>
      <c r="L2141" s="7" t="s">
        <v>106</v>
      </c>
      <c r="M2141" s="7"/>
      <c r="N2141" s="7" t="s">
        <v>13478</v>
      </c>
      <c r="O2141" s="7" t="s">
        <v>13478</v>
      </c>
      <c r="P2141" s="7" t="s">
        <v>135</v>
      </c>
      <c r="Q2141" s="7"/>
      <c r="R2141" s="7" t="s">
        <v>109</v>
      </c>
      <c r="S2141" s="7" t="s">
        <v>110</v>
      </c>
      <c r="T2141" s="7" t="n">
        <v>0.299</v>
      </c>
      <c r="U2141" s="7" t="n">
        <v>0</v>
      </c>
      <c r="V2141" s="7"/>
      <c r="W2141" s="7"/>
      <c r="X2141" s="7"/>
      <c r="Y2141" s="7"/>
      <c r="Z2141" s="7"/>
      <c r="AA2141" s="7"/>
      <c r="AB2141" s="7"/>
      <c r="AC2141" s="7" t="n">
        <v>0</v>
      </c>
      <c r="AD2141" s="7" t="s">
        <v>388</v>
      </c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7"/>
      <c r="BC2141" s="7"/>
      <c r="BD2141" s="7" t="s">
        <v>220</v>
      </c>
      <c r="BE2141" s="7" t="s">
        <v>127</v>
      </c>
      <c r="BF2141" s="8"/>
      <c r="BG2141" s="8"/>
      <c r="BH2141" s="8"/>
      <c r="BI2141" s="8"/>
      <c r="BJ2141" s="8"/>
      <c r="BK2141" s="8"/>
      <c r="BL2141" s="8"/>
      <c r="BM2141" s="8"/>
      <c r="BN2141" s="8"/>
      <c r="BO2141" s="8"/>
      <c r="BP2141" s="8"/>
      <c r="BQ2141" s="8"/>
      <c r="BR2141" s="8"/>
      <c r="BS2141" s="8"/>
    </row>
    <row r="2142" customFormat="false" ht="15" hidden="false" customHeight="false" outlineLevel="0" collapsed="false">
      <c r="A2142" s="7" t="s">
        <v>13479</v>
      </c>
      <c r="B2142" s="7" t="s">
        <v>13480</v>
      </c>
      <c r="C2142" s="7" t="s">
        <v>13481</v>
      </c>
      <c r="D2142" s="7" t="s">
        <v>1645</v>
      </c>
      <c r="E2142" s="7" t="s">
        <v>101</v>
      </c>
      <c r="F2142" s="7" t="s">
        <v>101</v>
      </c>
      <c r="G2142" s="7"/>
      <c r="H2142" s="7" t="s">
        <v>102</v>
      </c>
      <c r="I2142" s="7" t="s">
        <v>374</v>
      </c>
      <c r="J2142" s="7" t="s">
        <v>475</v>
      </c>
      <c r="K2142" s="7" t="s">
        <v>569</v>
      </c>
      <c r="L2142" s="7" t="s">
        <v>106</v>
      </c>
      <c r="M2142" s="7"/>
      <c r="N2142" s="7" t="s">
        <v>1617</v>
      </c>
      <c r="O2142" s="7" t="s">
        <v>1617</v>
      </c>
      <c r="P2142" s="7" t="s">
        <v>135</v>
      </c>
      <c r="Q2142" s="7"/>
      <c r="R2142" s="7" t="s">
        <v>109</v>
      </c>
      <c r="S2142" s="7" t="s">
        <v>110</v>
      </c>
      <c r="T2142" s="7" t="n">
        <v>0.48</v>
      </c>
      <c r="U2142" s="7" t="n">
        <v>0</v>
      </c>
      <c r="V2142" s="7"/>
      <c r="W2142" s="7"/>
      <c r="X2142" s="7"/>
      <c r="Y2142" s="7"/>
      <c r="Z2142" s="7"/>
      <c r="AA2142" s="7" t="s">
        <v>572</v>
      </c>
      <c r="AB2142" s="7" t="s">
        <v>573</v>
      </c>
      <c r="AC2142" s="7" t="n">
        <v>0</v>
      </c>
      <c r="AD2142" s="7" t="s">
        <v>388</v>
      </c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7"/>
      <c r="BB2142" s="7"/>
      <c r="BC2142" s="7"/>
      <c r="BD2142" s="7"/>
      <c r="BE2142" s="7" t="s">
        <v>127</v>
      </c>
      <c r="BF2142" s="8"/>
      <c r="BG2142" s="8"/>
      <c r="BH2142" s="8"/>
      <c r="BI2142" s="8"/>
      <c r="BJ2142" s="8"/>
      <c r="BK2142" s="8"/>
      <c r="BL2142" s="8"/>
      <c r="BM2142" s="8"/>
      <c r="BN2142" s="8"/>
      <c r="BO2142" s="8"/>
      <c r="BP2142" s="8"/>
      <c r="BQ2142" s="8"/>
      <c r="BR2142" s="8"/>
      <c r="BS2142" s="8"/>
    </row>
    <row r="2143" customFormat="false" ht="15" hidden="false" customHeight="false" outlineLevel="0" collapsed="false">
      <c r="A2143" s="7" t="s">
        <v>13482</v>
      </c>
      <c r="B2143" s="7" t="s">
        <v>13483</v>
      </c>
      <c r="C2143" s="7" t="s">
        <v>13484</v>
      </c>
      <c r="D2143" s="7" t="s">
        <v>1645</v>
      </c>
      <c r="E2143" s="7" t="s">
        <v>101</v>
      </c>
      <c r="F2143" s="7" t="s">
        <v>101</v>
      </c>
      <c r="G2143" s="7"/>
      <c r="H2143" s="7" t="s">
        <v>102</v>
      </c>
      <c r="I2143" s="7" t="s">
        <v>103</v>
      </c>
      <c r="J2143" s="7" t="s">
        <v>475</v>
      </c>
      <c r="K2143" s="7" t="s">
        <v>569</v>
      </c>
      <c r="L2143" s="7" t="s">
        <v>106</v>
      </c>
      <c r="M2143" s="7"/>
      <c r="N2143" s="7" t="s">
        <v>1617</v>
      </c>
      <c r="O2143" s="7" t="s">
        <v>1617</v>
      </c>
      <c r="P2143" s="7" t="s">
        <v>135</v>
      </c>
      <c r="Q2143" s="7"/>
      <c r="R2143" s="7" t="s">
        <v>109</v>
      </c>
      <c r="S2143" s="7" t="s">
        <v>110</v>
      </c>
      <c r="T2143" s="7" t="n">
        <v>0.451</v>
      </c>
      <c r="U2143" s="7" t="n">
        <v>0</v>
      </c>
      <c r="V2143" s="7"/>
      <c r="W2143" s="7"/>
      <c r="X2143" s="7"/>
      <c r="Y2143" s="7"/>
      <c r="Z2143" s="7"/>
      <c r="AA2143" s="7" t="s">
        <v>572</v>
      </c>
      <c r="AB2143" s="7" t="s">
        <v>573</v>
      </c>
      <c r="AC2143" s="7" t="n">
        <v>0</v>
      </c>
      <c r="AD2143" s="7" t="s">
        <v>388</v>
      </c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7"/>
      <c r="BD2143" s="7"/>
      <c r="BE2143" s="7" t="s">
        <v>127</v>
      </c>
      <c r="BF2143" s="8"/>
      <c r="BG2143" s="8"/>
      <c r="BH2143" s="8"/>
      <c r="BI2143" s="8"/>
      <c r="BJ2143" s="8"/>
      <c r="BK2143" s="8"/>
      <c r="BL2143" s="8"/>
      <c r="BM2143" s="8"/>
      <c r="BN2143" s="8"/>
      <c r="BO2143" s="8"/>
      <c r="BP2143" s="8"/>
      <c r="BQ2143" s="8"/>
      <c r="BR2143" s="8"/>
      <c r="BS2143" s="8"/>
    </row>
    <row r="2144" customFormat="false" ht="15" hidden="false" customHeight="false" outlineLevel="0" collapsed="false">
      <c r="A2144" s="7" t="s">
        <v>13485</v>
      </c>
      <c r="B2144" s="7" t="s">
        <v>13486</v>
      </c>
      <c r="C2144" s="7" t="s">
        <v>13487</v>
      </c>
      <c r="D2144" s="7" t="s">
        <v>1650</v>
      </c>
      <c r="E2144" s="7" t="s">
        <v>101</v>
      </c>
      <c r="F2144" s="7" t="s">
        <v>101</v>
      </c>
      <c r="G2144" s="7"/>
      <c r="H2144" s="7" t="s">
        <v>102</v>
      </c>
      <c r="I2144" s="7" t="s">
        <v>374</v>
      </c>
      <c r="J2144" s="7" t="s">
        <v>475</v>
      </c>
      <c r="K2144" s="7" t="s">
        <v>1147</v>
      </c>
      <c r="L2144" s="7" t="s">
        <v>106</v>
      </c>
      <c r="M2144" s="7"/>
      <c r="N2144" s="7" t="s">
        <v>1652</v>
      </c>
      <c r="O2144" s="7" t="s">
        <v>1652</v>
      </c>
      <c r="P2144" s="7" t="s">
        <v>135</v>
      </c>
      <c r="Q2144" s="7"/>
      <c r="R2144" s="7" t="s">
        <v>109</v>
      </c>
      <c r="S2144" s="7" t="s">
        <v>110</v>
      </c>
      <c r="T2144" s="7" t="n">
        <v>0.412</v>
      </c>
      <c r="U2144" s="7" t="n">
        <v>0</v>
      </c>
      <c r="V2144" s="7"/>
      <c r="W2144" s="7"/>
      <c r="X2144" s="7"/>
      <c r="Y2144" s="7"/>
      <c r="Z2144" s="7"/>
      <c r="AA2144" s="7" t="s">
        <v>572</v>
      </c>
      <c r="AB2144" s="7" t="s">
        <v>573</v>
      </c>
      <c r="AC2144" s="7" t="n">
        <v>0</v>
      </c>
      <c r="AD2144" s="7" t="s">
        <v>388</v>
      </c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 t="s">
        <v>1088</v>
      </c>
      <c r="BF2144" s="8"/>
      <c r="BG2144" s="8"/>
      <c r="BH2144" s="8"/>
      <c r="BI2144" s="8"/>
      <c r="BJ2144" s="8"/>
      <c r="BK2144" s="8"/>
      <c r="BL2144" s="8"/>
      <c r="BM2144" s="8"/>
      <c r="BN2144" s="8"/>
      <c r="BO2144" s="8"/>
      <c r="BP2144" s="8"/>
      <c r="BQ2144" s="8"/>
      <c r="BR2144" s="8"/>
      <c r="BS2144" s="8"/>
    </row>
    <row r="2145" customFormat="false" ht="15" hidden="false" customHeight="false" outlineLevel="0" collapsed="false">
      <c r="A2145" s="7" t="s">
        <v>13488</v>
      </c>
      <c r="B2145" s="7" t="s">
        <v>13489</v>
      </c>
      <c r="C2145" s="7" t="s">
        <v>13490</v>
      </c>
      <c r="D2145" s="7" t="s">
        <v>13413</v>
      </c>
      <c r="E2145" s="7" t="s">
        <v>101</v>
      </c>
      <c r="F2145" s="7" t="s">
        <v>82</v>
      </c>
      <c r="G2145" s="7"/>
      <c r="H2145" s="7" t="s">
        <v>102</v>
      </c>
      <c r="I2145" s="7" t="s">
        <v>132</v>
      </c>
      <c r="J2145" s="7" t="s">
        <v>475</v>
      </c>
      <c r="K2145" s="7" t="s">
        <v>476</v>
      </c>
      <c r="L2145" s="7" t="s">
        <v>106</v>
      </c>
      <c r="M2145" s="7"/>
      <c r="N2145" s="7" t="s">
        <v>13491</v>
      </c>
      <c r="O2145" s="7" t="s">
        <v>13491</v>
      </c>
      <c r="P2145" s="7" t="s">
        <v>135</v>
      </c>
      <c r="Q2145" s="7"/>
      <c r="R2145" s="7" t="s">
        <v>109</v>
      </c>
      <c r="S2145" s="7" t="s">
        <v>110</v>
      </c>
      <c r="T2145" s="7" t="n">
        <v>0.566</v>
      </c>
      <c r="U2145" s="7" t="n">
        <v>0</v>
      </c>
      <c r="V2145" s="7"/>
      <c r="W2145" s="7"/>
      <c r="X2145" s="7"/>
      <c r="Y2145" s="7"/>
      <c r="Z2145" s="7"/>
      <c r="AA2145" s="7"/>
      <c r="AB2145" s="7"/>
      <c r="AC2145" s="7" t="n">
        <v>0</v>
      </c>
      <c r="AD2145" s="7" t="s">
        <v>388</v>
      </c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  <c r="BB2145" s="7"/>
      <c r="BC2145" s="7"/>
      <c r="BD2145" s="7" t="s">
        <v>1606</v>
      </c>
      <c r="BE2145" s="7" t="s">
        <v>127</v>
      </c>
      <c r="BF2145" s="8"/>
      <c r="BG2145" s="8"/>
      <c r="BH2145" s="8"/>
      <c r="BI2145" s="8"/>
      <c r="BJ2145" s="8"/>
      <c r="BK2145" s="8"/>
      <c r="BL2145" s="8"/>
      <c r="BM2145" s="8"/>
      <c r="BN2145" s="8"/>
      <c r="BO2145" s="8"/>
      <c r="BP2145" s="8"/>
      <c r="BQ2145" s="8"/>
      <c r="BR2145" s="8"/>
      <c r="BS2145" s="8"/>
    </row>
    <row r="2146" customFormat="false" ht="15" hidden="false" customHeight="false" outlineLevel="0" collapsed="false">
      <c r="A2146" s="7" t="s">
        <v>13492</v>
      </c>
      <c r="B2146" s="7" t="s">
        <v>13493</v>
      </c>
      <c r="C2146" s="7" t="s">
        <v>13494</v>
      </c>
      <c r="D2146" s="7" t="s">
        <v>1725</v>
      </c>
      <c r="E2146" s="7" t="s">
        <v>101</v>
      </c>
      <c r="F2146" s="7" t="s">
        <v>101</v>
      </c>
      <c r="G2146" s="7"/>
      <c r="H2146" s="7" t="s">
        <v>102</v>
      </c>
      <c r="I2146" s="7" t="s">
        <v>132</v>
      </c>
      <c r="J2146" s="7" t="s">
        <v>475</v>
      </c>
      <c r="K2146" s="7" t="s">
        <v>1147</v>
      </c>
      <c r="L2146" s="7" t="s">
        <v>5133</v>
      </c>
      <c r="M2146" s="7"/>
      <c r="N2146" s="7" t="s">
        <v>1727</v>
      </c>
      <c r="O2146" s="7" t="s">
        <v>1727</v>
      </c>
      <c r="P2146" s="7" t="s">
        <v>135</v>
      </c>
      <c r="Q2146" s="7"/>
      <c r="R2146" s="7" t="s">
        <v>109</v>
      </c>
      <c r="S2146" s="7" t="s">
        <v>110</v>
      </c>
      <c r="T2146" s="7" t="n">
        <v>0.324</v>
      </c>
      <c r="U2146" s="7" t="n">
        <v>0</v>
      </c>
      <c r="V2146" s="7"/>
      <c r="W2146" s="7"/>
      <c r="X2146" s="7"/>
      <c r="Y2146" s="7"/>
      <c r="Z2146" s="7"/>
      <c r="AA2146" s="7" t="s">
        <v>572</v>
      </c>
      <c r="AB2146" s="7" t="s">
        <v>573</v>
      </c>
      <c r="AC2146" s="7" t="n">
        <v>0</v>
      </c>
      <c r="AD2146" s="7" t="s">
        <v>388</v>
      </c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/>
      <c r="BA2146" s="7"/>
      <c r="BB2146" s="7"/>
      <c r="BC2146" s="7"/>
      <c r="BD2146" s="7"/>
      <c r="BE2146" s="7" t="s">
        <v>1088</v>
      </c>
      <c r="BF2146" s="8"/>
      <c r="BG2146" s="8"/>
      <c r="BH2146" s="8"/>
      <c r="BI2146" s="8"/>
      <c r="BJ2146" s="8"/>
      <c r="BK2146" s="8"/>
      <c r="BL2146" s="8"/>
      <c r="BM2146" s="8"/>
      <c r="BN2146" s="8"/>
      <c r="BO2146" s="8"/>
      <c r="BP2146" s="8"/>
      <c r="BQ2146" s="8"/>
      <c r="BR2146" s="8"/>
      <c r="BS2146" s="8"/>
    </row>
    <row r="2147" customFormat="false" ht="15" hidden="false" customHeight="false" outlineLevel="0" collapsed="false">
      <c r="A2147" s="7" t="s">
        <v>13495</v>
      </c>
      <c r="B2147" s="7" t="s">
        <v>13496</v>
      </c>
      <c r="C2147" s="7" t="s">
        <v>13497</v>
      </c>
      <c r="D2147" s="7" t="s">
        <v>1725</v>
      </c>
      <c r="E2147" s="7" t="s">
        <v>101</v>
      </c>
      <c r="F2147" s="7" t="s">
        <v>101</v>
      </c>
      <c r="G2147" s="7"/>
      <c r="H2147" s="7" t="s">
        <v>102</v>
      </c>
      <c r="I2147" s="7" t="s">
        <v>132</v>
      </c>
      <c r="J2147" s="7" t="s">
        <v>475</v>
      </c>
      <c r="K2147" s="7" t="s">
        <v>569</v>
      </c>
      <c r="L2147" s="7" t="s">
        <v>106</v>
      </c>
      <c r="M2147" s="7"/>
      <c r="N2147" s="7" t="s">
        <v>1727</v>
      </c>
      <c r="O2147" s="7" t="s">
        <v>1727</v>
      </c>
      <c r="P2147" s="7" t="s">
        <v>135</v>
      </c>
      <c r="Q2147" s="7"/>
      <c r="R2147" s="7" t="s">
        <v>109</v>
      </c>
      <c r="S2147" s="7" t="s">
        <v>110</v>
      </c>
      <c r="T2147" s="7" t="n">
        <v>0.304</v>
      </c>
      <c r="U2147" s="7" t="n">
        <v>0</v>
      </c>
      <c r="V2147" s="7"/>
      <c r="W2147" s="7"/>
      <c r="X2147" s="7"/>
      <c r="Y2147" s="7"/>
      <c r="Z2147" s="7"/>
      <c r="AA2147" s="7" t="s">
        <v>572</v>
      </c>
      <c r="AB2147" s="7" t="s">
        <v>573</v>
      </c>
      <c r="AC2147" s="7" t="n">
        <v>0</v>
      </c>
      <c r="AD2147" s="7" t="s">
        <v>388</v>
      </c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7"/>
      <c r="BC2147" s="7"/>
      <c r="BD2147" s="7"/>
      <c r="BE2147" s="7" t="s">
        <v>1088</v>
      </c>
      <c r="BF2147" s="8"/>
      <c r="BG2147" s="8"/>
      <c r="BH2147" s="8"/>
      <c r="BI2147" s="8"/>
      <c r="BJ2147" s="8"/>
      <c r="BK2147" s="8"/>
      <c r="BL2147" s="8"/>
      <c r="BM2147" s="8"/>
      <c r="BN2147" s="8"/>
      <c r="BO2147" s="8"/>
      <c r="BP2147" s="8"/>
      <c r="BQ2147" s="8"/>
      <c r="BR2147" s="8"/>
      <c r="BS2147" s="8"/>
    </row>
    <row r="2148" customFormat="false" ht="15" hidden="false" customHeight="false" outlineLevel="0" collapsed="false">
      <c r="A2148" s="7" t="s">
        <v>13498</v>
      </c>
      <c r="B2148" s="7" t="s">
        <v>13499</v>
      </c>
      <c r="C2148" s="7" t="s">
        <v>13500</v>
      </c>
      <c r="D2148" s="7" t="s">
        <v>1666</v>
      </c>
      <c r="E2148" s="7" t="s">
        <v>101</v>
      </c>
      <c r="F2148" s="7" t="s">
        <v>101</v>
      </c>
      <c r="G2148" s="7"/>
      <c r="H2148" s="7" t="s">
        <v>207</v>
      </c>
      <c r="I2148" s="7" t="s">
        <v>132</v>
      </c>
      <c r="J2148" s="7" t="s">
        <v>475</v>
      </c>
      <c r="K2148" s="7" t="s">
        <v>476</v>
      </c>
      <c r="L2148" s="7" t="s">
        <v>106</v>
      </c>
      <c r="M2148" s="7"/>
      <c r="N2148" s="7" t="s">
        <v>13501</v>
      </c>
      <c r="O2148" s="7"/>
      <c r="P2148" s="7" t="s">
        <v>135</v>
      </c>
      <c r="Q2148" s="7"/>
      <c r="R2148" s="7" t="s">
        <v>135</v>
      </c>
      <c r="S2148" s="7" t="s">
        <v>136</v>
      </c>
      <c r="T2148" s="7" t="n">
        <v>0.296</v>
      </c>
      <c r="U2148" s="7" t="n">
        <v>0</v>
      </c>
      <c r="V2148" s="7"/>
      <c r="W2148" s="7"/>
      <c r="X2148" s="7"/>
      <c r="Y2148" s="7"/>
      <c r="Z2148" s="7"/>
      <c r="AA2148" s="7"/>
      <c r="AB2148" s="7"/>
      <c r="AC2148" s="7" t="n">
        <v>0</v>
      </c>
      <c r="AD2148" s="7" t="s">
        <v>388</v>
      </c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  <c r="BB2148" s="7"/>
      <c r="BC2148" s="7"/>
      <c r="BD2148" s="7"/>
      <c r="BE2148" s="7" t="s">
        <v>127</v>
      </c>
      <c r="BF2148" s="8"/>
      <c r="BG2148" s="8"/>
      <c r="BH2148" s="8"/>
      <c r="BI2148" s="8"/>
      <c r="BJ2148" s="8"/>
      <c r="BK2148" s="8"/>
      <c r="BL2148" s="8"/>
      <c r="BM2148" s="8"/>
      <c r="BN2148" s="8"/>
      <c r="BO2148" s="8"/>
      <c r="BP2148" s="8"/>
      <c r="BQ2148" s="8"/>
      <c r="BR2148" s="8"/>
      <c r="BS2148" s="8"/>
    </row>
    <row r="2149" customFormat="false" ht="15" hidden="false" customHeight="false" outlineLevel="0" collapsed="false">
      <c r="A2149" s="7" t="s">
        <v>13502</v>
      </c>
      <c r="B2149" s="7" t="s">
        <v>13503</v>
      </c>
      <c r="C2149" s="7" t="s">
        <v>13504</v>
      </c>
      <c r="D2149" s="7" t="s">
        <v>392</v>
      </c>
      <c r="E2149" s="7" t="s">
        <v>101</v>
      </c>
      <c r="F2149" s="7" t="s">
        <v>101</v>
      </c>
      <c r="G2149" s="7"/>
      <c r="H2149" s="7" t="s">
        <v>207</v>
      </c>
      <c r="I2149" s="7" t="s">
        <v>132</v>
      </c>
      <c r="J2149" s="7" t="s">
        <v>475</v>
      </c>
      <c r="K2149" s="7" t="s">
        <v>476</v>
      </c>
      <c r="L2149" s="7" t="s">
        <v>106</v>
      </c>
      <c r="M2149" s="7"/>
      <c r="N2149" s="7" t="s">
        <v>13505</v>
      </c>
      <c r="O2149" s="7"/>
      <c r="P2149" s="7" t="s">
        <v>135</v>
      </c>
      <c r="Q2149" s="7"/>
      <c r="R2149" s="7" t="s">
        <v>135</v>
      </c>
      <c r="S2149" s="7" t="s">
        <v>136</v>
      </c>
      <c r="T2149" s="7" t="n">
        <v>0.378</v>
      </c>
      <c r="U2149" s="7" t="n">
        <v>0</v>
      </c>
      <c r="V2149" s="7"/>
      <c r="W2149" s="7"/>
      <c r="X2149" s="7"/>
      <c r="Y2149" s="7"/>
      <c r="Z2149" s="7"/>
      <c r="AA2149" s="7"/>
      <c r="AB2149" s="7"/>
      <c r="AC2149" s="7" t="n">
        <v>0</v>
      </c>
      <c r="AD2149" s="7" t="s">
        <v>388</v>
      </c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  <c r="AZ2149" s="7"/>
      <c r="BA2149" s="7"/>
      <c r="BB2149" s="7"/>
      <c r="BC2149" s="7"/>
      <c r="BD2149" s="7"/>
      <c r="BE2149" s="7" t="s">
        <v>127</v>
      </c>
      <c r="BF2149" s="8"/>
      <c r="BG2149" s="8"/>
      <c r="BH2149" s="8"/>
      <c r="BI2149" s="8"/>
      <c r="BJ2149" s="8"/>
      <c r="BK2149" s="8"/>
      <c r="BL2149" s="8"/>
      <c r="BM2149" s="8"/>
      <c r="BN2149" s="8"/>
      <c r="BO2149" s="8"/>
      <c r="BP2149" s="8"/>
      <c r="BQ2149" s="8"/>
      <c r="BR2149" s="8"/>
      <c r="BS2149" s="8"/>
    </row>
    <row r="2150" customFormat="false" ht="15" hidden="false" customHeight="false" outlineLevel="0" collapsed="false">
      <c r="A2150" s="7" t="s">
        <v>13506</v>
      </c>
      <c r="B2150" s="7" t="s">
        <v>13507</v>
      </c>
      <c r="C2150" s="7" t="s">
        <v>13508</v>
      </c>
      <c r="D2150" s="7" t="s">
        <v>13509</v>
      </c>
      <c r="E2150" s="7"/>
      <c r="F2150" s="7" t="s">
        <v>82</v>
      </c>
      <c r="G2150" s="7"/>
      <c r="H2150" s="7" t="s">
        <v>102</v>
      </c>
      <c r="I2150" s="7" t="s">
        <v>300</v>
      </c>
      <c r="J2150" s="7" t="s">
        <v>475</v>
      </c>
      <c r="K2150" s="7" t="s">
        <v>1147</v>
      </c>
      <c r="L2150" s="7" t="s">
        <v>106</v>
      </c>
      <c r="M2150" s="7"/>
      <c r="N2150" s="7" t="s">
        <v>12872</v>
      </c>
      <c r="O2150" s="7"/>
      <c r="P2150" s="7" t="s">
        <v>135</v>
      </c>
      <c r="Q2150" s="7"/>
      <c r="R2150" s="7"/>
      <c r="S2150" s="7"/>
      <c r="T2150" s="7"/>
      <c r="U2150" s="7" t="n">
        <v>0</v>
      </c>
      <c r="V2150" s="7"/>
      <c r="W2150" s="7"/>
      <c r="X2150" s="7"/>
      <c r="Y2150" s="7"/>
      <c r="Z2150" s="7"/>
      <c r="AA2150" s="7" t="s">
        <v>572</v>
      </c>
      <c r="AB2150" s="7" t="s">
        <v>573</v>
      </c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7"/>
      <c r="BA2150" s="7"/>
      <c r="BB2150" s="7"/>
      <c r="BC2150" s="7"/>
      <c r="BD2150" s="7" t="s">
        <v>1142</v>
      </c>
      <c r="BE2150" s="7" t="s">
        <v>1088</v>
      </c>
      <c r="BF2150" s="8"/>
      <c r="BG2150" s="8"/>
      <c r="BH2150" s="8"/>
      <c r="BI2150" s="8"/>
      <c r="BJ2150" s="8"/>
      <c r="BK2150" s="8"/>
      <c r="BL2150" s="8"/>
      <c r="BM2150" s="8"/>
      <c r="BN2150" s="8"/>
      <c r="BO2150" s="8"/>
      <c r="BP2150" s="8"/>
      <c r="BQ2150" s="8"/>
      <c r="BR2150" s="8"/>
      <c r="BS2150" s="8"/>
    </row>
    <row r="2151" customFormat="false" ht="15" hidden="false" customHeight="false" outlineLevel="0" collapsed="false">
      <c r="A2151" s="7" t="s">
        <v>13510</v>
      </c>
      <c r="B2151" s="7" t="s">
        <v>13511</v>
      </c>
      <c r="C2151" s="7" t="s">
        <v>13512</v>
      </c>
      <c r="D2151" s="7" t="s">
        <v>1092</v>
      </c>
      <c r="E2151" s="7"/>
      <c r="F2151" s="7" t="s">
        <v>101</v>
      </c>
      <c r="G2151" s="7"/>
      <c r="H2151" s="7" t="s">
        <v>102</v>
      </c>
      <c r="I2151" s="7" t="s">
        <v>234</v>
      </c>
      <c r="J2151" s="7" t="s">
        <v>475</v>
      </c>
      <c r="K2151" s="7" t="s">
        <v>1147</v>
      </c>
      <c r="L2151" s="7" t="s">
        <v>1447</v>
      </c>
      <c r="M2151" s="7"/>
      <c r="N2151" s="7" t="s">
        <v>1095</v>
      </c>
      <c r="O2151" s="7" t="s">
        <v>1095</v>
      </c>
      <c r="P2151" s="7" t="s">
        <v>135</v>
      </c>
      <c r="Q2151" s="7"/>
      <c r="R2151" s="7" t="s">
        <v>109</v>
      </c>
      <c r="S2151" s="7" t="s">
        <v>110</v>
      </c>
      <c r="T2151" s="7" t="n">
        <v>0.265</v>
      </c>
      <c r="U2151" s="7" t="n">
        <v>0</v>
      </c>
      <c r="V2151" s="7"/>
      <c r="W2151" s="7"/>
      <c r="X2151" s="7"/>
      <c r="Y2151" s="7"/>
      <c r="Z2151" s="7"/>
      <c r="AA2151" s="7" t="s">
        <v>572</v>
      </c>
      <c r="AB2151" s="7" t="s">
        <v>573</v>
      </c>
      <c r="AC2151" s="7" t="n">
        <v>0</v>
      </c>
      <c r="AD2151" s="7" t="s">
        <v>388</v>
      </c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7"/>
      <c r="BC2151" s="7"/>
      <c r="BD2151" s="7" t="s">
        <v>1792</v>
      </c>
      <c r="BE2151" s="7" t="s">
        <v>575</v>
      </c>
      <c r="BF2151" s="8"/>
      <c r="BG2151" s="8"/>
      <c r="BH2151" s="8"/>
      <c r="BI2151" s="8"/>
      <c r="BJ2151" s="8"/>
      <c r="BK2151" s="8"/>
      <c r="BL2151" s="8"/>
      <c r="BM2151" s="8"/>
      <c r="BN2151" s="8"/>
      <c r="BO2151" s="8"/>
      <c r="BP2151" s="8"/>
      <c r="BQ2151" s="8"/>
      <c r="BR2151" s="8"/>
      <c r="BS2151" s="8"/>
    </row>
    <row r="2152" customFormat="false" ht="15" hidden="false" customHeight="false" outlineLevel="0" collapsed="false">
      <c r="A2152" s="7" t="s">
        <v>13513</v>
      </c>
      <c r="B2152" s="7" t="s">
        <v>13514</v>
      </c>
      <c r="C2152" s="7" t="s">
        <v>13515</v>
      </c>
      <c r="D2152" s="7" t="s">
        <v>1092</v>
      </c>
      <c r="E2152" s="7"/>
      <c r="F2152" s="7" t="s">
        <v>101</v>
      </c>
      <c r="G2152" s="7"/>
      <c r="H2152" s="7" t="s">
        <v>102</v>
      </c>
      <c r="I2152" s="7" t="s">
        <v>208</v>
      </c>
      <c r="J2152" s="7" t="s">
        <v>475</v>
      </c>
      <c r="K2152" s="7" t="s">
        <v>1094</v>
      </c>
      <c r="L2152" s="7" t="s">
        <v>1785</v>
      </c>
      <c r="M2152" s="7"/>
      <c r="N2152" s="7" t="s">
        <v>1095</v>
      </c>
      <c r="O2152" s="7" t="s">
        <v>1095</v>
      </c>
      <c r="P2152" s="7" t="s">
        <v>135</v>
      </c>
      <c r="Q2152" s="7"/>
      <c r="R2152" s="7" t="s">
        <v>109</v>
      </c>
      <c r="S2152" s="7" t="s">
        <v>110</v>
      </c>
      <c r="T2152" s="7" t="n">
        <v>0.275</v>
      </c>
      <c r="U2152" s="7" t="n">
        <v>0</v>
      </c>
      <c r="V2152" s="7"/>
      <c r="W2152" s="7"/>
      <c r="X2152" s="7"/>
      <c r="Y2152" s="7"/>
      <c r="Z2152" s="7"/>
      <c r="AA2152" s="7" t="s">
        <v>572</v>
      </c>
      <c r="AB2152" s="7" t="s">
        <v>573</v>
      </c>
      <c r="AC2152" s="7" t="n">
        <v>0</v>
      </c>
      <c r="AD2152" s="7" t="s">
        <v>388</v>
      </c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  <c r="BB2152" s="7"/>
      <c r="BC2152" s="7"/>
      <c r="BD2152" s="7" t="s">
        <v>1792</v>
      </c>
      <c r="BE2152" s="7" t="s">
        <v>575</v>
      </c>
      <c r="BF2152" s="8"/>
      <c r="BG2152" s="8"/>
      <c r="BH2152" s="8"/>
      <c r="BI2152" s="8"/>
      <c r="BJ2152" s="8"/>
      <c r="BK2152" s="8"/>
      <c r="BL2152" s="8"/>
      <c r="BM2152" s="8"/>
      <c r="BN2152" s="8"/>
      <c r="BO2152" s="8"/>
      <c r="BP2152" s="8"/>
      <c r="BQ2152" s="8"/>
      <c r="BR2152" s="8"/>
      <c r="BS2152" s="8"/>
    </row>
    <row r="2153" customFormat="false" ht="15" hidden="false" customHeight="false" outlineLevel="0" collapsed="false">
      <c r="A2153" s="7" t="s">
        <v>13516</v>
      </c>
      <c r="B2153" s="7" t="s">
        <v>13517</v>
      </c>
      <c r="C2153" s="7" t="s">
        <v>13518</v>
      </c>
      <c r="D2153" s="7" t="s">
        <v>1092</v>
      </c>
      <c r="E2153" s="7"/>
      <c r="F2153" s="7" t="s">
        <v>101</v>
      </c>
      <c r="G2153" s="7"/>
      <c r="H2153" s="7" t="s">
        <v>102</v>
      </c>
      <c r="I2153" s="7" t="s">
        <v>234</v>
      </c>
      <c r="J2153" s="7" t="s">
        <v>475</v>
      </c>
      <c r="K2153" s="7" t="s">
        <v>1147</v>
      </c>
      <c r="L2153" s="7" t="s">
        <v>106</v>
      </c>
      <c r="M2153" s="7"/>
      <c r="N2153" s="7" t="s">
        <v>1095</v>
      </c>
      <c r="O2153" s="7" t="s">
        <v>1095</v>
      </c>
      <c r="P2153" s="7" t="s">
        <v>135</v>
      </c>
      <c r="Q2153" s="7"/>
      <c r="R2153" s="7" t="s">
        <v>109</v>
      </c>
      <c r="S2153" s="7" t="s">
        <v>110</v>
      </c>
      <c r="T2153" s="7" t="n">
        <v>0.334</v>
      </c>
      <c r="U2153" s="7" t="n">
        <v>0</v>
      </c>
      <c r="V2153" s="7"/>
      <c r="W2153" s="7"/>
      <c r="X2153" s="7"/>
      <c r="Y2153" s="7"/>
      <c r="Z2153" s="7"/>
      <c r="AA2153" s="7" t="s">
        <v>572</v>
      </c>
      <c r="AB2153" s="7" t="s">
        <v>573</v>
      </c>
      <c r="AC2153" s="7" t="n">
        <v>0</v>
      </c>
      <c r="AD2153" s="7" t="s">
        <v>388</v>
      </c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7"/>
      <c r="BC2153" s="7"/>
      <c r="BD2153" s="7" t="s">
        <v>1792</v>
      </c>
      <c r="BE2153" s="7" t="s">
        <v>575</v>
      </c>
      <c r="BF2153" s="8"/>
      <c r="BG2153" s="8"/>
      <c r="BH2153" s="8"/>
      <c r="BI2153" s="8"/>
      <c r="BJ2153" s="8"/>
      <c r="BK2153" s="8"/>
      <c r="BL2153" s="8"/>
      <c r="BM2153" s="8"/>
      <c r="BN2153" s="8"/>
      <c r="BO2153" s="8"/>
      <c r="BP2153" s="8"/>
      <c r="BQ2153" s="8"/>
      <c r="BR2153" s="8"/>
      <c r="BS2153" s="8"/>
    </row>
    <row r="2154" customFormat="false" ht="15" hidden="false" customHeight="false" outlineLevel="0" collapsed="false">
      <c r="A2154" s="7" t="s">
        <v>13519</v>
      </c>
      <c r="B2154" s="7" t="s">
        <v>13520</v>
      </c>
      <c r="C2154" s="7" t="s">
        <v>13521</v>
      </c>
      <c r="D2154" s="7" t="s">
        <v>671</v>
      </c>
      <c r="E2154" s="7" t="s">
        <v>101</v>
      </c>
      <c r="F2154" s="7" t="s">
        <v>101</v>
      </c>
      <c r="G2154" s="7"/>
      <c r="H2154" s="7" t="s">
        <v>207</v>
      </c>
      <c r="I2154" s="7" t="s">
        <v>132</v>
      </c>
      <c r="J2154" s="7" t="s">
        <v>475</v>
      </c>
      <c r="K2154" s="7" t="s">
        <v>476</v>
      </c>
      <c r="L2154" s="7" t="s">
        <v>106</v>
      </c>
      <c r="M2154" s="7"/>
      <c r="N2154" s="7" t="s">
        <v>13522</v>
      </c>
      <c r="O2154" s="7"/>
      <c r="P2154" s="7" t="s">
        <v>135</v>
      </c>
      <c r="Q2154" s="7"/>
      <c r="R2154" s="7"/>
      <c r="S2154" s="7"/>
      <c r="T2154" s="7"/>
      <c r="U2154" s="7" t="n">
        <v>0</v>
      </c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7"/>
      <c r="BA2154" s="7"/>
      <c r="BB2154" s="7"/>
      <c r="BC2154" s="7"/>
      <c r="BD2154" s="7"/>
      <c r="BE2154" s="7" t="s">
        <v>127</v>
      </c>
      <c r="BF2154" s="8"/>
      <c r="BG2154" s="8"/>
      <c r="BH2154" s="8"/>
      <c r="BI2154" s="8"/>
      <c r="BJ2154" s="8"/>
      <c r="BK2154" s="8"/>
      <c r="BL2154" s="8"/>
      <c r="BM2154" s="8"/>
      <c r="BN2154" s="8"/>
      <c r="BO2154" s="8"/>
      <c r="BP2154" s="8"/>
      <c r="BQ2154" s="8"/>
      <c r="BR2154" s="8"/>
      <c r="BS2154" s="8"/>
    </row>
    <row r="2155" customFormat="false" ht="15" hidden="false" customHeight="false" outlineLevel="0" collapsed="false">
      <c r="A2155" s="7" t="s">
        <v>13523</v>
      </c>
      <c r="B2155" s="7" t="s">
        <v>13524</v>
      </c>
      <c r="C2155" s="7" t="s">
        <v>13525</v>
      </c>
      <c r="D2155" s="7" t="s">
        <v>1397</v>
      </c>
      <c r="E2155" s="7" t="s">
        <v>737</v>
      </c>
      <c r="F2155" s="7" t="s">
        <v>737</v>
      </c>
      <c r="G2155" s="7"/>
      <c r="H2155" s="7" t="s">
        <v>207</v>
      </c>
      <c r="I2155" s="7" t="s">
        <v>132</v>
      </c>
      <c r="J2155" s="7" t="s">
        <v>475</v>
      </c>
      <c r="K2155" s="7" t="s">
        <v>476</v>
      </c>
      <c r="L2155" s="7" t="s">
        <v>106</v>
      </c>
      <c r="M2155" s="7"/>
      <c r="N2155" s="7" t="s">
        <v>13526</v>
      </c>
      <c r="O2155" s="7"/>
      <c r="P2155" s="7" t="s">
        <v>135</v>
      </c>
      <c r="Q2155" s="7"/>
      <c r="R2155" s="7" t="s">
        <v>135</v>
      </c>
      <c r="S2155" s="7" t="s">
        <v>136</v>
      </c>
      <c r="T2155" s="7" t="n">
        <v>0.367</v>
      </c>
      <c r="U2155" s="7" t="n">
        <v>0</v>
      </c>
      <c r="V2155" s="7"/>
      <c r="W2155" s="7"/>
      <c r="X2155" s="7"/>
      <c r="Y2155" s="7"/>
      <c r="Z2155" s="7"/>
      <c r="AA2155" s="7"/>
      <c r="AB2155" s="7"/>
      <c r="AC2155" s="7" t="n">
        <v>0</v>
      </c>
      <c r="AD2155" s="7" t="s">
        <v>388</v>
      </c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  <c r="AZ2155" s="7"/>
      <c r="BA2155" s="7"/>
      <c r="BB2155" s="7"/>
      <c r="BC2155" s="7"/>
      <c r="BD2155" s="7" t="s">
        <v>1400</v>
      </c>
      <c r="BE2155" s="7" t="s">
        <v>127</v>
      </c>
      <c r="BF2155" s="8"/>
      <c r="BG2155" s="8"/>
      <c r="BH2155" s="8"/>
      <c r="BI2155" s="8"/>
      <c r="BJ2155" s="8"/>
      <c r="BK2155" s="8"/>
      <c r="BL2155" s="8"/>
      <c r="BM2155" s="8"/>
      <c r="BN2155" s="8"/>
      <c r="BO2155" s="8"/>
      <c r="BP2155" s="8"/>
      <c r="BQ2155" s="8"/>
      <c r="BR2155" s="8"/>
      <c r="BS2155" s="8"/>
    </row>
    <row r="2156" customFormat="false" ht="15" hidden="false" customHeight="false" outlineLevel="0" collapsed="false">
      <c r="A2156" s="7" t="s">
        <v>13527</v>
      </c>
      <c r="B2156" s="7" t="s">
        <v>13528</v>
      </c>
      <c r="C2156" s="7" t="s">
        <v>13529</v>
      </c>
      <c r="D2156" s="7" t="s">
        <v>13530</v>
      </c>
      <c r="E2156" s="7" t="s">
        <v>101</v>
      </c>
      <c r="F2156" s="7" t="s">
        <v>101</v>
      </c>
      <c r="G2156" s="7"/>
      <c r="H2156" s="7" t="s">
        <v>207</v>
      </c>
      <c r="I2156" s="7" t="s">
        <v>1104</v>
      </c>
      <c r="J2156" s="7" t="s">
        <v>475</v>
      </c>
      <c r="K2156" s="7" t="s">
        <v>476</v>
      </c>
      <c r="L2156" s="7" t="s">
        <v>106</v>
      </c>
      <c r="M2156" s="7"/>
      <c r="N2156" s="7" t="s">
        <v>13531</v>
      </c>
      <c r="O2156" s="7"/>
      <c r="P2156" s="7" t="s">
        <v>135</v>
      </c>
      <c r="Q2156" s="7"/>
      <c r="R2156" s="7" t="s">
        <v>135</v>
      </c>
      <c r="S2156" s="7" t="s">
        <v>136</v>
      </c>
      <c r="T2156" s="7" t="n">
        <v>0.532</v>
      </c>
      <c r="U2156" s="7" t="n">
        <v>0</v>
      </c>
      <c r="V2156" s="7"/>
      <c r="W2156" s="7"/>
      <c r="X2156" s="7"/>
      <c r="Y2156" s="7"/>
      <c r="Z2156" s="7"/>
      <c r="AA2156" s="7"/>
      <c r="AB2156" s="7"/>
      <c r="AC2156" s="7" t="n">
        <v>0</v>
      </c>
      <c r="AD2156" s="7" t="s">
        <v>388</v>
      </c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  <c r="BB2156" s="7"/>
      <c r="BC2156" s="7"/>
      <c r="BD2156" s="7"/>
      <c r="BE2156" s="7" t="s">
        <v>127</v>
      </c>
      <c r="BF2156" s="8"/>
      <c r="BG2156" s="8"/>
      <c r="BH2156" s="8"/>
      <c r="BI2156" s="8"/>
      <c r="BJ2156" s="8"/>
      <c r="BK2156" s="8"/>
      <c r="BL2156" s="8"/>
      <c r="BM2156" s="8"/>
      <c r="BN2156" s="8"/>
      <c r="BO2156" s="8"/>
      <c r="BP2156" s="8"/>
      <c r="BQ2156" s="8"/>
      <c r="BR2156" s="8"/>
      <c r="BS2156" s="8"/>
    </row>
    <row r="2157" customFormat="false" ht="15" hidden="false" customHeight="false" outlineLevel="0" collapsed="false">
      <c r="A2157" s="7" t="s">
        <v>13532</v>
      </c>
      <c r="B2157" s="7" t="s">
        <v>13533</v>
      </c>
      <c r="C2157" s="7" t="s">
        <v>13534</v>
      </c>
      <c r="D2157" s="7" t="s">
        <v>579</v>
      </c>
      <c r="E2157" s="7" t="s">
        <v>101</v>
      </c>
      <c r="F2157" s="7" t="s">
        <v>101</v>
      </c>
      <c r="G2157" s="7"/>
      <c r="H2157" s="7" t="s">
        <v>207</v>
      </c>
      <c r="I2157" s="7" t="s">
        <v>132</v>
      </c>
      <c r="J2157" s="7" t="s">
        <v>475</v>
      </c>
      <c r="K2157" s="7" t="s">
        <v>476</v>
      </c>
      <c r="L2157" s="7" t="s">
        <v>106</v>
      </c>
      <c r="M2157" s="7"/>
      <c r="N2157" s="7" t="s">
        <v>13535</v>
      </c>
      <c r="O2157" s="7"/>
      <c r="P2157" s="7" t="s">
        <v>135</v>
      </c>
      <c r="Q2157" s="7"/>
      <c r="R2157" s="7" t="s">
        <v>135</v>
      </c>
      <c r="S2157" s="7" t="s">
        <v>136</v>
      </c>
      <c r="T2157" s="7" t="n">
        <v>0.171</v>
      </c>
      <c r="U2157" s="7" t="n">
        <v>0</v>
      </c>
      <c r="V2157" s="7"/>
      <c r="W2157" s="7"/>
      <c r="X2157" s="7"/>
      <c r="Y2157" s="7"/>
      <c r="Z2157" s="7"/>
      <c r="AA2157" s="7"/>
      <c r="AB2157" s="7"/>
      <c r="AC2157" s="7" t="n">
        <v>0</v>
      </c>
      <c r="AD2157" s="7" t="s">
        <v>388</v>
      </c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  <c r="AZ2157" s="7"/>
      <c r="BA2157" s="7"/>
      <c r="BB2157" s="7"/>
      <c r="BC2157" s="7"/>
      <c r="BD2157" s="7"/>
      <c r="BE2157" s="7" t="s">
        <v>127</v>
      </c>
      <c r="BF2157" s="8"/>
      <c r="BG2157" s="8"/>
      <c r="BH2157" s="8"/>
      <c r="BI2157" s="8"/>
      <c r="BJ2157" s="8"/>
      <c r="BK2157" s="8"/>
      <c r="BL2157" s="8"/>
      <c r="BM2157" s="8"/>
      <c r="BN2157" s="8"/>
      <c r="BO2157" s="8"/>
      <c r="BP2157" s="8"/>
      <c r="BQ2157" s="8"/>
      <c r="BR2157" s="8"/>
      <c r="BS2157" s="8"/>
    </row>
    <row r="2158" customFormat="false" ht="15" hidden="false" customHeight="false" outlineLevel="0" collapsed="false">
      <c r="A2158" s="7" t="s">
        <v>13536</v>
      </c>
      <c r="B2158" s="7" t="s">
        <v>13537</v>
      </c>
      <c r="C2158" s="7" t="s">
        <v>13538</v>
      </c>
      <c r="D2158" s="7" t="s">
        <v>579</v>
      </c>
      <c r="E2158" s="7" t="s">
        <v>101</v>
      </c>
      <c r="F2158" s="7" t="s">
        <v>101</v>
      </c>
      <c r="G2158" s="7"/>
      <c r="H2158" s="7" t="s">
        <v>207</v>
      </c>
      <c r="I2158" s="7" t="s">
        <v>158</v>
      </c>
      <c r="J2158" s="7" t="s">
        <v>475</v>
      </c>
      <c r="K2158" s="7" t="s">
        <v>476</v>
      </c>
      <c r="L2158" s="7" t="s">
        <v>106</v>
      </c>
      <c r="M2158" s="7"/>
      <c r="N2158" s="7" t="s">
        <v>13539</v>
      </c>
      <c r="O2158" s="7"/>
      <c r="P2158" s="7" t="s">
        <v>135</v>
      </c>
      <c r="Q2158" s="7"/>
      <c r="R2158" s="7" t="s">
        <v>135</v>
      </c>
      <c r="S2158" s="7" t="s">
        <v>136</v>
      </c>
      <c r="T2158" s="7" t="n">
        <v>0.287</v>
      </c>
      <c r="U2158" s="7" t="n">
        <v>0</v>
      </c>
      <c r="V2158" s="7"/>
      <c r="W2158" s="7"/>
      <c r="X2158" s="7"/>
      <c r="Y2158" s="7"/>
      <c r="Z2158" s="7"/>
      <c r="AA2158" s="7"/>
      <c r="AB2158" s="7"/>
      <c r="AC2158" s="7" t="n">
        <v>0</v>
      </c>
      <c r="AD2158" s="7" t="s">
        <v>388</v>
      </c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7"/>
      <c r="BA2158" s="7"/>
      <c r="BB2158" s="7"/>
      <c r="BC2158" s="7"/>
      <c r="BD2158" s="7" t="s">
        <v>4516</v>
      </c>
      <c r="BE2158" s="7" t="s">
        <v>127</v>
      </c>
      <c r="BF2158" s="8"/>
      <c r="BG2158" s="8"/>
      <c r="BH2158" s="8"/>
      <c r="BI2158" s="8"/>
      <c r="BJ2158" s="8"/>
      <c r="BK2158" s="8"/>
      <c r="BL2158" s="8"/>
      <c r="BM2158" s="8"/>
      <c r="BN2158" s="8"/>
      <c r="BO2158" s="8"/>
      <c r="BP2158" s="8"/>
      <c r="BQ2158" s="8"/>
      <c r="BR2158" s="8"/>
      <c r="BS2158" s="8"/>
    </row>
    <row r="2159" customFormat="false" ht="15" hidden="false" customHeight="false" outlineLevel="0" collapsed="false">
      <c r="A2159" s="7" t="s">
        <v>13540</v>
      </c>
      <c r="B2159" s="7" t="s">
        <v>13541</v>
      </c>
      <c r="C2159" s="7" t="s">
        <v>13542</v>
      </c>
      <c r="D2159" s="7" t="s">
        <v>1773</v>
      </c>
      <c r="E2159" s="7"/>
      <c r="F2159" s="7" t="s">
        <v>101</v>
      </c>
      <c r="G2159" s="7"/>
      <c r="H2159" s="7" t="s">
        <v>102</v>
      </c>
      <c r="I2159" s="7" t="s">
        <v>1140</v>
      </c>
      <c r="J2159" s="7" t="s">
        <v>475</v>
      </c>
      <c r="K2159" s="7" t="s">
        <v>1147</v>
      </c>
      <c r="L2159" s="7" t="s">
        <v>106</v>
      </c>
      <c r="M2159" s="7"/>
      <c r="N2159" s="7" t="s">
        <v>1355</v>
      </c>
      <c r="O2159" s="7" t="s">
        <v>1355</v>
      </c>
      <c r="P2159" s="7" t="s">
        <v>135</v>
      </c>
      <c r="Q2159" s="7"/>
      <c r="R2159" s="7" t="s">
        <v>109</v>
      </c>
      <c r="S2159" s="7" t="s">
        <v>110</v>
      </c>
      <c r="T2159" s="7" t="n">
        <v>0.397</v>
      </c>
      <c r="U2159" s="7" t="n">
        <v>0</v>
      </c>
      <c r="V2159" s="7"/>
      <c r="W2159" s="7"/>
      <c r="X2159" s="7"/>
      <c r="Y2159" s="7"/>
      <c r="Z2159" s="7"/>
      <c r="AA2159" s="7" t="s">
        <v>572</v>
      </c>
      <c r="AB2159" s="7" t="s">
        <v>573</v>
      </c>
      <c r="AC2159" s="7" t="n">
        <v>0</v>
      </c>
      <c r="AD2159" s="7" t="s">
        <v>388</v>
      </c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  <c r="BB2159" s="7"/>
      <c r="BC2159" s="7"/>
      <c r="BD2159" s="7" t="s">
        <v>1356</v>
      </c>
      <c r="BE2159" s="7" t="s">
        <v>1088</v>
      </c>
      <c r="BF2159" s="8"/>
      <c r="BG2159" s="8"/>
      <c r="BH2159" s="8"/>
      <c r="BI2159" s="8"/>
      <c r="BJ2159" s="8"/>
      <c r="BK2159" s="8"/>
      <c r="BL2159" s="8"/>
      <c r="BM2159" s="8"/>
      <c r="BN2159" s="8"/>
      <c r="BO2159" s="8"/>
      <c r="BP2159" s="8"/>
      <c r="BQ2159" s="8"/>
      <c r="BR2159" s="8"/>
      <c r="BS2159" s="8"/>
    </row>
    <row r="2160" customFormat="false" ht="15" hidden="false" customHeight="false" outlineLevel="0" collapsed="false">
      <c r="A2160" s="7" t="s">
        <v>13543</v>
      </c>
      <c r="B2160" s="7" t="s">
        <v>13544</v>
      </c>
      <c r="C2160" s="7" t="s">
        <v>13545</v>
      </c>
      <c r="D2160" s="7" t="s">
        <v>1092</v>
      </c>
      <c r="E2160" s="7"/>
      <c r="F2160" s="7" t="s">
        <v>101</v>
      </c>
      <c r="G2160" s="7"/>
      <c r="H2160" s="7" t="s">
        <v>102</v>
      </c>
      <c r="I2160" s="7" t="s">
        <v>158</v>
      </c>
      <c r="J2160" s="7" t="s">
        <v>475</v>
      </c>
      <c r="K2160" s="7" t="s">
        <v>1147</v>
      </c>
      <c r="L2160" s="7" t="s">
        <v>106</v>
      </c>
      <c r="M2160" s="7"/>
      <c r="N2160" s="7" t="s">
        <v>1095</v>
      </c>
      <c r="O2160" s="7" t="s">
        <v>1095</v>
      </c>
      <c r="P2160" s="7" t="s">
        <v>135</v>
      </c>
      <c r="Q2160" s="7"/>
      <c r="R2160" s="7" t="s">
        <v>109</v>
      </c>
      <c r="S2160" s="7" t="s">
        <v>110</v>
      </c>
      <c r="T2160" s="7" t="n">
        <v>0.535</v>
      </c>
      <c r="U2160" s="7" t="n">
        <v>0</v>
      </c>
      <c r="V2160" s="7"/>
      <c r="W2160" s="7"/>
      <c r="X2160" s="7"/>
      <c r="Y2160" s="7"/>
      <c r="Z2160" s="7"/>
      <c r="AA2160" s="7" t="s">
        <v>572</v>
      </c>
      <c r="AB2160" s="7" t="s">
        <v>573</v>
      </c>
      <c r="AC2160" s="7" t="n">
        <v>0</v>
      </c>
      <c r="AD2160" s="7" t="s">
        <v>388</v>
      </c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7"/>
      <c r="BA2160" s="7"/>
      <c r="BB2160" s="7"/>
      <c r="BC2160" s="7"/>
      <c r="BD2160" s="7"/>
      <c r="BE2160" s="7" t="s">
        <v>575</v>
      </c>
      <c r="BF2160" s="8"/>
      <c r="BG2160" s="8"/>
      <c r="BH2160" s="8"/>
      <c r="BI2160" s="8"/>
      <c r="BJ2160" s="8"/>
      <c r="BK2160" s="8"/>
      <c r="BL2160" s="8"/>
      <c r="BM2160" s="8"/>
      <c r="BN2160" s="8"/>
      <c r="BO2160" s="8"/>
      <c r="BP2160" s="8"/>
      <c r="BQ2160" s="8"/>
      <c r="BR2160" s="8"/>
      <c r="BS2160" s="8"/>
    </row>
    <row r="2161" customFormat="false" ht="15" hidden="false" customHeight="false" outlineLevel="0" collapsed="false">
      <c r="A2161" s="7" t="s">
        <v>13546</v>
      </c>
      <c r="B2161" s="7" t="s">
        <v>13547</v>
      </c>
      <c r="C2161" s="9" t="s">
        <v>13548</v>
      </c>
      <c r="D2161" s="7" t="s">
        <v>686</v>
      </c>
      <c r="E2161" s="7" t="s">
        <v>101</v>
      </c>
      <c r="F2161" s="7" t="s">
        <v>101</v>
      </c>
      <c r="G2161" s="7"/>
      <c r="H2161" s="7" t="s">
        <v>207</v>
      </c>
      <c r="I2161" s="7" t="s">
        <v>132</v>
      </c>
      <c r="J2161" s="7" t="s">
        <v>475</v>
      </c>
      <c r="K2161" s="7" t="s">
        <v>476</v>
      </c>
      <c r="L2161" s="7" t="s">
        <v>106</v>
      </c>
      <c r="M2161" s="7"/>
      <c r="N2161" s="7" t="s">
        <v>13549</v>
      </c>
      <c r="O2161" s="7"/>
      <c r="P2161" s="7" t="s">
        <v>135</v>
      </c>
      <c r="Q2161" s="7"/>
      <c r="R2161" s="7"/>
      <c r="S2161" s="7"/>
      <c r="T2161" s="7"/>
      <c r="U2161" s="7" t="n">
        <v>0</v>
      </c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  <c r="BB2161" s="7"/>
      <c r="BC2161" s="7"/>
      <c r="BD2161" s="7"/>
      <c r="BE2161" s="7" t="s">
        <v>127</v>
      </c>
      <c r="BF2161" s="8"/>
      <c r="BG2161" s="8"/>
      <c r="BH2161" s="8"/>
      <c r="BI2161" s="8"/>
      <c r="BJ2161" s="8"/>
      <c r="BK2161" s="8"/>
      <c r="BL2161" s="8"/>
      <c r="BM2161" s="8"/>
      <c r="BN2161" s="8"/>
      <c r="BO2161" s="8"/>
      <c r="BP2161" s="8"/>
      <c r="BQ2161" s="8"/>
      <c r="BR2161" s="8"/>
      <c r="BS2161" s="8"/>
    </row>
    <row r="2162" customFormat="false" ht="15" hidden="false" customHeight="false" outlineLevel="0" collapsed="false">
      <c r="A2162" s="7" t="s">
        <v>13550</v>
      </c>
      <c r="B2162" s="7" t="s">
        <v>13551</v>
      </c>
      <c r="C2162" s="7" t="s">
        <v>13552</v>
      </c>
      <c r="D2162" s="7" t="s">
        <v>13553</v>
      </c>
      <c r="E2162" s="7" t="s">
        <v>1966</v>
      </c>
      <c r="F2162" s="7" t="s">
        <v>1966</v>
      </c>
      <c r="G2162" s="7"/>
      <c r="H2162" s="7" t="s">
        <v>207</v>
      </c>
      <c r="I2162" s="7" t="s">
        <v>300</v>
      </c>
      <c r="J2162" s="7" t="s">
        <v>475</v>
      </c>
      <c r="K2162" s="7" t="s">
        <v>569</v>
      </c>
      <c r="L2162" s="7" t="s">
        <v>106</v>
      </c>
      <c r="M2162" s="7"/>
      <c r="N2162" s="7" t="s">
        <v>13554</v>
      </c>
      <c r="O2162" s="7"/>
      <c r="P2162" s="7" t="s">
        <v>135</v>
      </c>
      <c r="Q2162" s="7"/>
      <c r="R2162" s="7"/>
      <c r="S2162" s="7"/>
      <c r="T2162" s="7"/>
      <c r="U2162" s="7" t="n">
        <v>1</v>
      </c>
      <c r="V2162" s="7" t="s">
        <v>90</v>
      </c>
      <c r="W2162" s="7"/>
      <c r="X2162" s="7" t="s">
        <v>657</v>
      </c>
      <c r="Y2162" s="7" t="s">
        <v>13554</v>
      </c>
      <c r="Z2162" s="7"/>
      <c r="AA2162" s="7" t="s">
        <v>572</v>
      </c>
      <c r="AB2162" s="7" t="s">
        <v>573</v>
      </c>
      <c r="AC2162" s="7"/>
      <c r="AD2162" s="7"/>
      <c r="AE2162" s="7" t="s">
        <v>189</v>
      </c>
      <c r="AF2162" s="7" t="s">
        <v>13555</v>
      </c>
      <c r="AG2162" s="7" t="s">
        <v>189</v>
      </c>
      <c r="AH2162" s="7" t="s">
        <v>657</v>
      </c>
      <c r="AI2162" s="7"/>
      <c r="AJ2162" s="7"/>
      <c r="AK2162" s="7"/>
      <c r="AL2162" s="7"/>
      <c r="AM2162" s="7" t="s">
        <v>189</v>
      </c>
      <c r="AN2162" s="7" t="s">
        <v>13556</v>
      </c>
      <c r="AO2162" s="7" t="s">
        <v>189</v>
      </c>
      <c r="AP2162" s="7" t="s">
        <v>7669</v>
      </c>
      <c r="AQ2162" s="7" t="s">
        <v>189</v>
      </c>
      <c r="AR2162" s="7" t="s">
        <v>1966</v>
      </c>
      <c r="AS2162" s="7"/>
      <c r="AT2162" s="7"/>
      <c r="AU2162" s="7"/>
      <c r="AV2162" s="7"/>
      <c r="AW2162" s="7" t="s">
        <v>189</v>
      </c>
      <c r="AX2162" s="7" t="s">
        <v>13554</v>
      </c>
      <c r="AY2162" s="7"/>
      <c r="AZ2162" s="7"/>
      <c r="BA2162" s="7"/>
      <c r="BB2162" s="7"/>
      <c r="BC2162" s="7"/>
      <c r="BD2162" s="7"/>
      <c r="BE2162" s="7" t="s">
        <v>1088</v>
      </c>
      <c r="BF2162" s="8"/>
      <c r="BG2162" s="8"/>
      <c r="BH2162" s="8"/>
      <c r="BI2162" s="8"/>
      <c r="BJ2162" s="8"/>
      <c r="BK2162" s="8"/>
      <c r="BL2162" s="8"/>
      <c r="BM2162" s="8"/>
      <c r="BN2162" s="8"/>
      <c r="BO2162" s="8"/>
      <c r="BP2162" s="8"/>
      <c r="BQ2162" s="8"/>
      <c r="BR2162" s="8"/>
      <c r="BS2162" s="8"/>
    </row>
    <row r="2163" customFormat="false" ht="15" hidden="false" customHeight="false" outlineLevel="0" collapsed="false">
      <c r="A2163" s="7" t="s">
        <v>13557</v>
      </c>
      <c r="B2163" s="7" t="s">
        <v>13558</v>
      </c>
      <c r="C2163" s="7" t="s">
        <v>13559</v>
      </c>
      <c r="D2163" s="7" t="s">
        <v>13530</v>
      </c>
      <c r="E2163" s="7" t="s">
        <v>101</v>
      </c>
      <c r="F2163" s="7" t="s">
        <v>101</v>
      </c>
      <c r="G2163" s="7"/>
      <c r="H2163" s="7" t="s">
        <v>207</v>
      </c>
      <c r="I2163" s="7" t="s">
        <v>1104</v>
      </c>
      <c r="J2163" s="7" t="s">
        <v>475</v>
      </c>
      <c r="K2163" s="7" t="s">
        <v>476</v>
      </c>
      <c r="L2163" s="7" t="s">
        <v>106</v>
      </c>
      <c r="M2163" s="7"/>
      <c r="N2163" s="7" t="s">
        <v>13560</v>
      </c>
      <c r="O2163" s="7"/>
      <c r="P2163" s="7" t="s">
        <v>135</v>
      </c>
      <c r="Q2163" s="7"/>
      <c r="R2163" s="7"/>
      <c r="S2163" s="7"/>
      <c r="T2163" s="7"/>
      <c r="U2163" s="7" t="n">
        <v>0</v>
      </c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  <c r="AZ2163" s="7"/>
      <c r="BA2163" s="7"/>
      <c r="BB2163" s="7"/>
      <c r="BC2163" s="7"/>
      <c r="BD2163" s="7"/>
      <c r="BE2163" s="7" t="s">
        <v>127</v>
      </c>
      <c r="BF2163" s="8"/>
      <c r="BG2163" s="8"/>
      <c r="BH2163" s="8"/>
      <c r="BI2163" s="8"/>
      <c r="BJ2163" s="8"/>
      <c r="BK2163" s="8"/>
      <c r="BL2163" s="8"/>
      <c r="BM2163" s="8"/>
      <c r="BN2163" s="8"/>
      <c r="BO2163" s="8"/>
      <c r="BP2163" s="8"/>
      <c r="BQ2163" s="8"/>
      <c r="BR2163" s="8"/>
      <c r="BS2163" s="8"/>
    </row>
    <row r="2164" customFormat="false" ht="15" hidden="false" customHeight="false" outlineLevel="0" collapsed="false">
      <c r="A2164" s="7" t="s">
        <v>13561</v>
      </c>
      <c r="B2164" s="7" t="s">
        <v>13562</v>
      </c>
      <c r="C2164" s="7" t="s">
        <v>13563</v>
      </c>
      <c r="D2164" s="7" t="s">
        <v>1725</v>
      </c>
      <c r="E2164" s="7"/>
      <c r="F2164" s="7" t="s">
        <v>101</v>
      </c>
      <c r="G2164" s="7"/>
      <c r="H2164" s="7" t="s">
        <v>102</v>
      </c>
      <c r="I2164" s="7" t="s">
        <v>300</v>
      </c>
      <c r="J2164" s="7" t="s">
        <v>475</v>
      </c>
      <c r="K2164" s="7" t="s">
        <v>1147</v>
      </c>
      <c r="L2164" s="7" t="s">
        <v>106</v>
      </c>
      <c r="M2164" s="7"/>
      <c r="N2164" s="7" t="s">
        <v>1727</v>
      </c>
      <c r="O2164" s="7" t="s">
        <v>1727</v>
      </c>
      <c r="P2164" s="7" t="s">
        <v>135</v>
      </c>
      <c r="Q2164" s="7"/>
      <c r="R2164" s="7" t="s">
        <v>109</v>
      </c>
      <c r="S2164" s="7" t="s">
        <v>110</v>
      </c>
      <c r="T2164" s="7" t="n">
        <v>0.66</v>
      </c>
      <c r="U2164" s="7" t="n">
        <v>0</v>
      </c>
      <c r="V2164" s="7"/>
      <c r="W2164" s="7"/>
      <c r="X2164" s="7"/>
      <c r="Y2164" s="7"/>
      <c r="Z2164" s="7"/>
      <c r="AA2164" s="7" t="s">
        <v>572</v>
      </c>
      <c r="AB2164" s="7" t="s">
        <v>573</v>
      </c>
      <c r="AC2164" s="7" t="n">
        <v>0</v>
      </c>
      <c r="AD2164" s="7" t="s">
        <v>388</v>
      </c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  <c r="AZ2164" s="7"/>
      <c r="BA2164" s="7"/>
      <c r="BB2164" s="7"/>
      <c r="BC2164" s="7"/>
      <c r="BD2164" s="7" t="s">
        <v>1388</v>
      </c>
      <c r="BE2164" s="7" t="s">
        <v>1088</v>
      </c>
      <c r="BF2164" s="8"/>
      <c r="BG2164" s="8"/>
      <c r="BH2164" s="8"/>
      <c r="BI2164" s="8"/>
      <c r="BJ2164" s="8"/>
      <c r="BK2164" s="8"/>
      <c r="BL2164" s="8"/>
      <c r="BM2164" s="8"/>
      <c r="BN2164" s="8"/>
      <c r="BO2164" s="8"/>
      <c r="BP2164" s="8"/>
      <c r="BQ2164" s="8"/>
      <c r="BR2164" s="8"/>
      <c r="BS2164" s="8"/>
    </row>
    <row r="2165" customFormat="false" ht="15" hidden="false" customHeight="false" outlineLevel="0" collapsed="false">
      <c r="A2165" s="7" t="s">
        <v>13564</v>
      </c>
      <c r="B2165" s="7" t="s">
        <v>13565</v>
      </c>
      <c r="C2165" s="7" t="s">
        <v>13566</v>
      </c>
      <c r="D2165" s="7" t="s">
        <v>1725</v>
      </c>
      <c r="E2165" s="7"/>
      <c r="F2165" s="7" t="s">
        <v>101</v>
      </c>
      <c r="G2165" s="7"/>
      <c r="H2165" s="7" t="s">
        <v>102</v>
      </c>
      <c r="I2165" s="7" t="s">
        <v>103</v>
      </c>
      <c r="J2165" s="7" t="s">
        <v>475</v>
      </c>
      <c r="K2165" s="7" t="s">
        <v>1147</v>
      </c>
      <c r="L2165" s="7" t="s">
        <v>106</v>
      </c>
      <c r="M2165" s="7"/>
      <c r="N2165" s="7" t="s">
        <v>1727</v>
      </c>
      <c r="O2165" s="7" t="s">
        <v>1727</v>
      </c>
      <c r="P2165" s="7" t="s">
        <v>135</v>
      </c>
      <c r="Q2165" s="7"/>
      <c r="R2165" s="7" t="s">
        <v>109</v>
      </c>
      <c r="S2165" s="7" t="s">
        <v>110</v>
      </c>
      <c r="T2165" s="7" t="n">
        <v>0.395</v>
      </c>
      <c r="U2165" s="7" t="n">
        <v>0</v>
      </c>
      <c r="V2165" s="7"/>
      <c r="W2165" s="7"/>
      <c r="X2165" s="7"/>
      <c r="Y2165" s="7"/>
      <c r="Z2165" s="7"/>
      <c r="AA2165" s="7" t="s">
        <v>572</v>
      </c>
      <c r="AB2165" s="7" t="s">
        <v>573</v>
      </c>
      <c r="AC2165" s="7" t="n">
        <v>0</v>
      </c>
      <c r="AD2165" s="7" t="s">
        <v>388</v>
      </c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7"/>
      <c r="BC2165" s="7"/>
      <c r="BD2165" s="7" t="s">
        <v>1388</v>
      </c>
      <c r="BE2165" s="7" t="s">
        <v>1088</v>
      </c>
      <c r="BF2165" s="8"/>
      <c r="BG2165" s="8"/>
      <c r="BH2165" s="8"/>
      <c r="BI2165" s="8"/>
      <c r="BJ2165" s="8"/>
      <c r="BK2165" s="8"/>
      <c r="BL2165" s="8"/>
      <c r="BM2165" s="8"/>
      <c r="BN2165" s="8"/>
      <c r="BO2165" s="8"/>
      <c r="BP2165" s="8"/>
      <c r="BQ2165" s="8"/>
      <c r="BR2165" s="8"/>
      <c r="BS2165" s="8"/>
    </row>
    <row r="2166" customFormat="false" ht="15" hidden="false" customHeight="false" outlineLevel="0" collapsed="false">
      <c r="A2166" s="7" t="s">
        <v>13567</v>
      </c>
      <c r="B2166" s="7" t="s">
        <v>13568</v>
      </c>
      <c r="C2166" s="7" t="s">
        <v>13569</v>
      </c>
      <c r="D2166" s="7" t="s">
        <v>1645</v>
      </c>
      <c r="E2166" s="7"/>
      <c r="F2166" s="7" t="s">
        <v>101</v>
      </c>
      <c r="G2166" s="7"/>
      <c r="H2166" s="7" t="s">
        <v>102</v>
      </c>
      <c r="I2166" s="7" t="s">
        <v>1140</v>
      </c>
      <c r="J2166" s="7" t="s">
        <v>475</v>
      </c>
      <c r="K2166" s="7" t="s">
        <v>1147</v>
      </c>
      <c r="L2166" s="7" t="s">
        <v>106</v>
      </c>
      <c r="M2166" s="7"/>
      <c r="N2166" s="7"/>
      <c r="O2166" s="7"/>
      <c r="P2166" s="7" t="s">
        <v>135</v>
      </c>
      <c r="Q2166" s="7"/>
      <c r="R2166" s="7"/>
      <c r="S2166" s="7"/>
      <c r="T2166" s="7"/>
      <c r="U2166" s="7" t="n">
        <v>0</v>
      </c>
      <c r="V2166" s="7"/>
      <c r="W2166" s="7"/>
      <c r="X2166" s="7"/>
      <c r="Y2166" s="7"/>
      <c r="Z2166" s="7"/>
      <c r="AA2166" s="7" t="s">
        <v>572</v>
      </c>
      <c r="AB2166" s="7" t="s">
        <v>573</v>
      </c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  <c r="AZ2166" s="7"/>
      <c r="BA2166" s="7"/>
      <c r="BB2166" s="7"/>
      <c r="BC2166" s="7"/>
      <c r="BD2166" s="7"/>
      <c r="BE2166" s="7" t="s">
        <v>127</v>
      </c>
      <c r="BF2166" s="8"/>
      <c r="BG2166" s="8"/>
      <c r="BH2166" s="8"/>
      <c r="BI2166" s="8"/>
      <c r="BJ2166" s="8"/>
      <c r="BK2166" s="8"/>
      <c r="BL2166" s="8"/>
      <c r="BM2166" s="8"/>
      <c r="BN2166" s="8"/>
      <c r="BO2166" s="8"/>
      <c r="BP2166" s="8"/>
      <c r="BQ2166" s="8"/>
      <c r="BR2166" s="8"/>
      <c r="BS2166" s="8"/>
    </row>
    <row r="2167" customFormat="false" ht="15" hidden="false" customHeight="false" outlineLevel="0" collapsed="false">
      <c r="A2167" s="7" t="s">
        <v>13570</v>
      </c>
      <c r="B2167" s="7" t="s">
        <v>13571</v>
      </c>
      <c r="C2167" s="7" t="s">
        <v>13572</v>
      </c>
      <c r="D2167" s="7" t="s">
        <v>1645</v>
      </c>
      <c r="E2167" s="7"/>
      <c r="F2167" s="7" t="s">
        <v>101</v>
      </c>
      <c r="G2167" s="7"/>
      <c r="H2167" s="7" t="s">
        <v>102</v>
      </c>
      <c r="I2167" s="7" t="s">
        <v>1140</v>
      </c>
      <c r="J2167" s="7" t="s">
        <v>475</v>
      </c>
      <c r="K2167" s="7" t="s">
        <v>1147</v>
      </c>
      <c r="L2167" s="7" t="s">
        <v>106</v>
      </c>
      <c r="M2167" s="7"/>
      <c r="N2167" s="7"/>
      <c r="O2167" s="7"/>
      <c r="P2167" s="7" t="s">
        <v>135</v>
      </c>
      <c r="Q2167" s="7"/>
      <c r="R2167" s="7"/>
      <c r="S2167" s="7"/>
      <c r="T2167" s="7"/>
      <c r="U2167" s="7" t="n">
        <v>0</v>
      </c>
      <c r="V2167" s="7"/>
      <c r="W2167" s="7"/>
      <c r="X2167" s="7"/>
      <c r="Y2167" s="7"/>
      <c r="Z2167" s="7"/>
      <c r="AA2167" s="7" t="s">
        <v>572</v>
      </c>
      <c r="AB2167" s="7" t="s">
        <v>573</v>
      </c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7"/>
      <c r="BC2167" s="7"/>
      <c r="BD2167" s="7"/>
      <c r="BE2167" s="7" t="s">
        <v>127</v>
      </c>
      <c r="BF2167" s="8"/>
      <c r="BG2167" s="8"/>
      <c r="BH2167" s="8"/>
      <c r="BI2167" s="8"/>
      <c r="BJ2167" s="8"/>
      <c r="BK2167" s="8"/>
      <c r="BL2167" s="8"/>
      <c r="BM2167" s="8"/>
      <c r="BN2167" s="8"/>
      <c r="BO2167" s="8"/>
      <c r="BP2167" s="8"/>
      <c r="BQ2167" s="8"/>
      <c r="BR2167" s="8"/>
      <c r="BS2167" s="8"/>
    </row>
    <row r="2168" customFormat="false" ht="15" hidden="false" customHeight="false" outlineLevel="0" collapsed="false">
      <c r="A2168" s="7" t="s">
        <v>13573</v>
      </c>
      <c r="B2168" s="7" t="s">
        <v>13574</v>
      </c>
      <c r="C2168" s="7" t="s">
        <v>13575</v>
      </c>
      <c r="D2168" s="7" t="s">
        <v>579</v>
      </c>
      <c r="E2168" s="7" t="s">
        <v>101</v>
      </c>
      <c r="F2168" s="7" t="s">
        <v>101</v>
      </c>
      <c r="G2168" s="7"/>
      <c r="H2168" s="7" t="s">
        <v>207</v>
      </c>
      <c r="I2168" s="7" t="s">
        <v>158</v>
      </c>
      <c r="J2168" s="7" t="s">
        <v>475</v>
      </c>
      <c r="K2168" s="7" t="s">
        <v>476</v>
      </c>
      <c r="L2168" s="7" t="s">
        <v>106</v>
      </c>
      <c r="M2168" s="7"/>
      <c r="N2168" s="7" t="s">
        <v>13576</v>
      </c>
      <c r="O2168" s="7" t="s">
        <v>13576</v>
      </c>
      <c r="P2168" s="7" t="s">
        <v>135</v>
      </c>
      <c r="Q2168" s="7"/>
      <c r="R2168" s="7" t="s">
        <v>109</v>
      </c>
      <c r="S2168" s="7" t="s">
        <v>110</v>
      </c>
      <c r="T2168" s="7" t="n">
        <v>0.406</v>
      </c>
      <c r="U2168" s="7" t="n">
        <v>0</v>
      </c>
      <c r="V2168" s="7"/>
      <c r="W2168" s="7"/>
      <c r="X2168" s="7"/>
      <c r="Y2168" s="7"/>
      <c r="Z2168" s="7"/>
      <c r="AA2168" s="7"/>
      <c r="AB2168" s="7"/>
      <c r="AC2168" s="7" t="n">
        <v>0</v>
      </c>
      <c r="AD2168" s="7" t="s">
        <v>388</v>
      </c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7"/>
      <c r="BA2168" s="7"/>
      <c r="BB2168" s="7"/>
      <c r="BC2168" s="7"/>
      <c r="BD2168" s="7" t="s">
        <v>13026</v>
      </c>
      <c r="BE2168" s="7" t="s">
        <v>127</v>
      </c>
      <c r="BF2168" s="8"/>
      <c r="BG2168" s="8"/>
      <c r="BH2168" s="8"/>
      <c r="BI2168" s="8"/>
      <c r="BJ2168" s="8"/>
      <c r="BK2168" s="8"/>
      <c r="BL2168" s="8"/>
      <c r="BM2168" s="8"/>
      <c r="BN2168" s="8"/>
      <c r="BO2168" s="8"/>
      <c r="BP2168" s="8"/>
      <c r="BQ2168" s="8"/>
      <c r="BR2168" s="8"/>
      <c r="BS2168" s="8"/>
    </row>
    <row r="2169" customFormat="false" ht="15" hidden="false" customHeight="false" outlineLevel="0" collapsed="false">
      <c r="A2169" s="7" t="s">
        <v>13577</v>
      </c>
      <c r="B2169" s="7" t="s">
        <v>13578</v>
      </c>
      <c r="C2169" s="7" t="s">
        <v>13579</v>
      </c>
      <c r="D2169" s="7" t="s">
        <v>1725</v>
      </c>
      <c r="E2169" s="7"/>
      <c r="F2169" s="7" t="s">
        <v>101</v>
      </c>
      <c r="G2169" s="7"/>
      <c r="H2169" s="7" t="s">
        <v>102</v>
      </c>
      <c r="I2169" s="7" t="s">
        <v>103</v>
      </c>
      <c r="J2169" s="7" t="s">
        <v>475</v>
      </c>
      <c r="K2169" s="7" t="s">
        <v>569</v>
      </c>
      <c r="L2169" s="7" t="s">
        <v>106</v>
      </c>
      <c r="M2169" s="7"/>
      <c r="N2169" s="7" t="s">
        <v>1727</v>
      </c>
      <c r="O2169" s="7" t="s">
        <v>1727</v>
      </c>
      <c r="P2169" s="7" t="s">
        <v>135</v>
      </c>
      <c r="Q2169" s="7"/>
      <c r="R2169" s="7" t="s">
        <v>109</v>
      </c>
      <c r="S2169" s="7" t="s">
        <v>110</v>
      </c>
      <c r="T2169" s="7" t="n">
        <v>0.398</v>
      </c>
      <c r="U2169" s="7" t="n">
        <v>0</v>
      </c>
      <c r="V2169" s="7"/>
      <c r="W2169" s="7"/>
      <c r="X2169" s="7"/>
      <c r="Y2169" s="7"/>
      <c r="Z2169" s="7"/>
      <c r="AA2169" s="7" t="s">
        <v>572</v>
      </c>
      <c r="AB2169" s="7" t="s">
        <v>573</v>
      </c>
      <c r="AC2169" s="7" t="n">
        <v>0</v>
      </c>
      <c r="AD2169" s="7" t="s">
        <v>388</v>
      </c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  <c r="AZ2169" s="7"/>
      <c r="BA2169" s="7"/>
      <c r="BB2169" s="7"/>
      <c r="BC2169" s="7"/>
      <c r="BD2169" s="7" t="s">
        <v>1388</v>
      </c>
      <c r="BE2169" s="7" t="s">
        <v>1088</v>
      </c>
      <c r="BF2169" s="8"/>
      <c r="BG2169" s="8"/>
      <c r="BH2169" s="8"/>
      <c r="BI2169" s="8"/>
      <c r="BJ2169" s="8"/>
      <c r="BK2169" s="8"/>
      <c r="BL2169" s="8"/>
      <c r="BM2169" s="8"/>
      <c r="BN2169" s="8"/>
      <c r="BO2169" s="8"/>
      <c r="BP2169" s="8"/>
      <c r="BQ2169" s="8"/>
      <c r="BR2169" s="8"/>
      <c r="BS2169" s="8"/>
    </row>
    <row r="2170" customFormat="false" ht="15" hidden="false" customHeight="false" outlineLevel="0" collapsed="false">
      <c r="A2170" s="7" t="s">
        <v>13580</v>
      </c>
      <c r="B2170" s="7" t="s">
        <v>13581</v>
      </c>
      <c r="C2170" s="7" t="s">
        <v>13582</v>
      </c>
      <c r="D2170" s="7" t="s">
        <v>1645</v>
      </c>
      <c r="E2170" s="7"/>
      <c r="F2170" s="7" t="s">
        <v>82</v>
      </c>
      <c r="G2170" s="7"/>
      <c r="H2170" s="7" t="s">
        <v>102</v>
      </c>
      <c r="I2170" s="7" t="s">
        <v>374</v>
      </c>
      <c r="J2170" s="7" t="s">
        <v>475</v>
      </c>
      <c r="K2170" s="7" t="s">
        <v>1147</v>
      </c>
      <c r="L2170" s="7" t="s">
        <v>106</v>
      </c>
      <c r="M2170" s="7"/>
      <c r="N2170" s="7" t="s">
        <v>1796</v>
      </c>
      <c r="O2170" s="7" t="s">
        <v>1796</v>
      </c>
      <c r="P2170" s="7" t="s">
        <v>135</v>
      </c>
      <c r="Q2170" s="7"/>
      <c r="R2170" s="7" t="s">
        <v>109</v>
      </c>
      <c r="S2170" s="7" t="s">
        <v>110</v>
      </c>
      <c r="T2170" s="7" t="n">
        <v>0.48</v>
      </c>
      <c r="U2170" s="7" t="n">
        <v>0</v>
      </c>
      <c r="V2170" s="7"/>
      <c r="W2170" s="7"/>
      <c r="X2170" s="7"/>
      <c r="Y2170" s="7"/>
      <c r="Z2170" s="7"/>
      <c r="AA2170" s="7" t="s">
        <v>572</v>
      </c>
      <c r="AB2170" s="7" t="s">
        <v>573</v>
      </c>
      <c r="AC2170" s="7" t="n">
        <v>0</v>
      </c>
      <c r="AD2170" s="7" t="s">
        <v>388</v>
      </c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7"/>
      <c r="BA2170" s="7"/>
      <c r="BB2170" s="7"/>
      <c r="BC2170" s="7"/>
      <c r="BD2170" s="7" t="s">
        <v>1142</v>
      </c>
      <c r="BE2170" s="7" t="s">
        <v>575</v>
      </c>
      <c r="BF2170" s="8"/>
      <c r="BG2170" s="8"/>
      <c r="BH2170" s="8"/>
      <c r="BI2170" s="8"/>
      <c r="BJ2170" s="8"/>
      <c r="BK2170" s="8"/>
      <c r="BL2170" s="8"/>
      <c r="BM2170" s="8"/>
      <c r="BN2170" s="8"/>
      <c r="BO2170" s="8"/>
      <c r="BP2170" s="8"/>
      <c r="BQ2170" s="8"/>
      <c r="BR2170" s="8"/>
      <c r="BS2170" s="8"/>
    </row>
    <row r="2171" customFormat="false" ht="15" hidden="false" customHeight="false" outlineLevel="0" collapsed="false">
      <c r="A2171" s="7" t="s">
        <v>13583</v>
      </c>
      <c r="B2171" s="7" t="s">
        <v>13584</v>
      </c>
      <c r="C2171" s="7" t="s">
        <v>13585</v>
      </c>
      <c r="D2171" s="7" t="s">
        <v>1645</v>
      </c>
      <c r="E2171" s="7"/>
      <c r="F2171" s="7" t="s">
        <v>101</v>
      </c>
      <c r="G2171" s="7"/>
      <c r="H2171" s="7" t="s">
        <v>102</v>
      </c>
      <c r="I2171" s="7" t="s">
        <v>234</v>
      </c>
      <c r="J2171" s="7" t="s">
        <v>475</v>
      </c>
      <c r="K2171" s="7" t="s">
        <v>1147</v>
      </c>
      <c r="L2171" s="7" t="s">
        <v>235</v>
      </c>
      <c r="M2171" s="7"/>
      <c r="N2171" s="7"/>
      <c r="O2171" s="7"/>
      <c r="P2171" s="7" t="s">
        <v>135</v>
      </c>
      <c r="Q2171" s="7"/>
      <c r="R2171" s="7"/>
      <c r="S2171" s="7"/>
      <c r="T2171" s="7"/>
      <c r="U2171" s="7" t="n">
        <v>0</v>
      </c>
      <c r="V2171" s="7"/>
      <c r="W2171" s="7"/>
      <c r="X2171" s="7"/>
      <c r="Y2171" s="7"/>
      <c r="Z2171" s="7"/>
      <c r="AA2171" s="7" t="s">
        <v>572</v>
      </c>
      <c r="AB2171" s="7" t="s">
        <v>573</v>
      </c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  <c r="AZ2171" s="7"/>
      <c r="BA2171" s="7"/>
      <c r="BB2171" s="7"/>
      <c r="BC2171" s="7"/>
      <c r="BD2171" s="7"/>
      <c r="BE2171" s="7" t="s">
        <v>127</v>
      </c>
      <c r="BF2171" s="8"/>
      <c r="BG2171" s="8"/>
      <c r="BH2171" s="8"/>
      <c r="BI2171" s="8"/>
      <c r="BJ2171" s="8"/>
      <c r="BK2171" s="8"/>
      <c r="BL2171" s="8"/>
      <c r="BM2171" s="8"/>
      <c r="BN2171" s="8"/>
      <c r="BO2171" s="8"/>
      <c r="BP2171" s="8"/>
      <c r="BQ2171" s="8"/>
      <c r="BR2171" s="8"/>
      <c r="BS2171" s="8"/>
    </row>
    <row r="2172" customFormat="false" ht="15" hidden="false" customHeight="false" outlineLevel="0" collapsed="false">
      <c r="A2172" s="7" t="s">
        <v>13586</v>
      </c>
      <c r="B2172" s="7" t="s">
        <v>13587</v>
      </c>
      <c r="C2172" s="7" t="s">
        <v>13588</v>
      </c>
      <c r="D2172" s="7" t="s">
        <v>1645</v>
      </c>
      <c r="E2172" s="7"/>
      <c r="F2172" s="7" t="s">
        <v>101</v>
      </c>
      <c r="G2172" s="7"/>
      <c r="H2172" s="7" t="s">
        <v>102</v>
      </c>
      <c r="I2172" s="7" t="s">
        <v>300</v>
      </c>
      <c r="J2172" s="7" t="s">
        <v>475</v>
      </c>
      <c r="K2172" s="7" t="s">
        <v>1147</v>
      </c>
      <c r="L2172" s="7" t="s">
        <v>106</v>
      </c>
      <c r="M2172" s="7"/>
      <c r="N2172" s="7"/>
      <c r="O2172" s="7"/>
      <c r="P2172" s="7" t="s">
        <v>135</v>
      </c>
      <c r="Q2172" s="7"/>
      <c r="R2172" s="7"/>
      <c r="S2172" s="7"/>
      <c r="T2172" s="7"/>
      <c r="U2172" s="7" t="n">
        <v>0</v>
      </c>
      <c r="V2172" s="7"/>
      <c r="W2172" s="7"/>
      <c r="X2172" s="7"/>
      <c r="Y2172" s="7"/>
      <c r="Z2172" s="7"/>
      <c r="AA2172" s="7" t="s">
        <v>572</v>
      </c>
      <c r="AB2172" s="7" t="s">
        <v>573</v>
      </c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7"/>
      <c r="BA2172" s="7"/>
      <c r="BB2172" s="7"/>
      <c r="BC2172" s="7"/>
      <c r="BD2172" s="7" t="s">
        <v>13393</v>
      </c>
      <c r="BE2172" s="7" t="s">
        <v>127</v>
      </c>
      <c r="BF2172" s="8"/>
      <c r="BG2172" s="8"/>
      <c r="BH2172" s="8"/>
      <c r="BI2172" s="8"/>
      <c r="BJ2172" s="8"/>
      <c r="BK2172" s="8"/>
      <c r="BL2172" s="8"/>
      <c r="BM2172" s="8"/>
      <c r="BN2172" s="8"/>
      <c r="BO2172" s="8"/>
      <c r="BP2172" s="8"/>
      <c r="BQ2172" s="8"/>
      <c r="BR2172" s="8"/>
      <c r="BS2172" s="8"/>
    </row>
    <row r="2173" customFormat="false" ht="15" hidden="false" customHeight="false" outlineLevel="0" collapsed="false">
      <c r="A2173" s="7" t="s">
        <v>13589</v>
      </c>
      <c r="B2173" s="7" t="s">
        <v>13590</v>
      </c>
      <c r="C2173" s="7" t="s">
        <v>13591</v>
      </c>
      <c r="D2173" s="7" t="s">
        <v>1645</v>
      </c>
      <c r="E2173" s="7"/>
      <c r="F2173" s="7" t="s">
        <v>82</v>
      </c>
      <c r="G2173" s="7"/>
      <c r="H2173" s="7" t="s">
        <v>102</v>
      </c>
      <c r="I2173" s="7" t="s">
        <v>158</v>
      </c>
      <c r="J2173" s="7" t="s">
        <v>475</v>
      </c>
      <c r="K2173" s="7" t="s">
        <v>1147</v>
      </c>
      <c r="L2173" s="7" t="s">
        <v>13592</v>
      </c>
      <c r="M2173" s="7"/>
      <c r="N2173" s="7" t="s">
        <v>1796</v>
      </c>
      <c r="O2173" s="7" t="s">
        <v>1796</v>
      </c>
      <c r="P2173" s="7" t="s">
        <v>135</v>
      </c>
      <c r="Q2173" s="7"/>
      <c r="R2173" s="7" t="s">
        <v>109</v>
      </c>
      <c r="S2173" s="7" t="s">
        <v>110</v>
      </c>
      <c r="T2173" s="7" t="n">
        <v>0.414</v>
      </c>
      <c r="U2173" s="7" t="n">
        <v>0</v>
      </c>
      <c r="V2173" s="7"/>
      <c r="W2173" s="7"/>
      <c r="X2173" s="7"/>
      <c r="Y2173" s="7"/>
      <c r="Z2173" s="7"/>
      <c r="AA2173" s="7" t="s">
        <v>572</v>
      </c>
      <c r="AB2173" s="7" t="s">
        <v>573</v>
      </c>
      <c r="AC2173" s="7" t="n">
        <v>0</v>
      </c>
      <c r="AD2173" s="7" t="s">
        <v>388</v>
      </c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  <c r="AZ2173" s="7"/>
      <c r="BA2173" s="7"/>
      <c r="BB2173" s="7"/>
      <c r="BC2173" s="7"/>
      <c r="BD2173" s="7" t="s">
        <v>1142</v>
      </c>
      <c r="BE2173" s="7" t="s">
        <v>575</v>
      </c>
      <c r="BF2173" s="8"/>
      <c r="BG2173" s="8"/>
      <c r="BH2173" s="8"/>
      <c r="BI2173" s="8"/>
      <c r="BJ2173" s="8"/>
      <c r="BK2173" s="8"/>
      <c r="BL2173" s="8"/>
      <c r="BM2173" s="8"/>
      <c r="BN2173" s="8"/>
      <c r="BO2173" s="8"/>
      <c r="BP2173" s="8"/>
      <c r="BQ2173" s="8"/>
      <c r="BR2173" s="8"/>
      <c r="BS2173" s="8"/>
    </row>
    <row r="2174" customFormat="false" ht="15" hidden="false" customHeight="false" outlineLevel="0" collapsed="false">
      <c r="A2174" s="7" t="s">
        <v>13593</v>
      </c>
      <c r="B2174" s="7" t="s">
        <v>13594</v>
      </c>
      <c r="C2174" s="7" t="s">
        <v>13595</v>
      </c>
      <c r="D2174" s="7" t="s">
        <v>1092</v>
      </c>
      <c r="E2174" s="7"/>
      <c r="F2174" s="7" t="s">
        <v>101</v>
      </c>
      <c r="G2174" s="7"/>
      <c r="H2174" s="7" t="s">
        <v>102</v>
      </c>
      <c r="I2174" s="7" t="s">
        <v>234</v>
      </c>
      <c r="J2174" s="7" t="s">
        <v>475</v>
      </c>
      <c r="K2174" s="7" t="s">
        <v>1147</v>
      </c>
      <c r="L2174" s="7" t="s">
        <v>106</v>
      </c>
      <c r="M2174" s="7"/>
      <c r="N2174" s="7" t="s">
        <v>1095</v>
      </c>
      <c r="O2174" s="7" t="s">
        <v>1095</v>
      </c>
      <c r="P2174" s="7" t="s">
        <v>135</v>
      </c>
      <c r="Q2174" s="7"/>
      <c r="R2174" s="7" t="s">
        <v>109</v>
      </c>
      <c r="S2174" s="7" t="s">
        <v>110</v>
      </c>
      <c r="T2174" s="7" t="n">
        <v>0.315</v>
      </c>
      <c r="U2174" s="7" t="n">
        <v>0</v>
      </c>
      <c r="V2174" s="7"/>
      <c r="W2174" s="7"/>
      <c r="X2174" s="7"/>
      <c r="Y2174" s="7"/>
      <c r="Z2174" s="7"/>
      <c r="AA2174" s="7" t="s">
        <v>572</v>
      </c>
      <c r="AB2174" s="7" t="s">
        <v>573</v>
      </c>
      <c r="AC2174" s="7" t="n">
        <v>0</v>
      </c>
      <c r="AD2174" s="7" t="s">
        <v>388</v>
      </c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7"/>
      <c r="BA2174" s="7"/>
      <c r="BB2174" s="7"/>
      <c r="BC2174" s="7"/>
      <c r="BD2174" s="7" t="s">
        <v>1295</v>
      </c>
      <c r="BE2174" s="7" t="s">
        <v>575</v>
      </c>
      <c r="BF2174" s="8"/>
      <c r="BG2174" s="8"/>
      <c r="BH2174" s="8"/>
      <c r="BI2174" s="8"/>
      <c r="BJ2174" s="8"/>
      <c r="BK2174" s="8"/>
      <c r="BL2174" s="8"/>
      <c r="BM2174" s="8"/>
      <c r="BN2174" s="8"/>
      <c r="BO2174" s="8"/>
      <c r="BP2174" s="8"/>
      <c r="BQ2174" s="8"/>
      <c r="BR2174" s="8"/>
      <c r="BS2174" s="8"/>
    </row>
    <row r="2175" customFormat="false" ht="15" hidden="false" customHeight="false" outlineLevel="0" collapsed="false">
      <c r="A2175" s="7" t="s">
        <v>13596</v>
      </c>
      <c r="B2175" s="7" t="s">
        <v>13597</v>
      </c>
      <c r="C2175" s="7" t="s">
        <v>13598</v>
      </c>
      <c r="D2175" s="7" t="s">
        <v>1092</v>
      </c>
      <c r="E2175" s="7"/>
      <c r="F2175" s="7" t="s">
        <v>101</v>
      </c>
      <c r="G2175" s="7"/>
      <c r="H2175" s="7" t="s">
        <v>102</v>
      </c>
      <c r="I2175" s="7" t="s">
        <v>234</v>
      </c>
      <c r="J2175" s="7" t="s">
        <v>475</v>
      </c>
      <c r="K2175" s="7" t="s">
        <v>1147</v>
      </c>
      <c r="L2175" s="7" t="s">
        <v>106</v>
      </c>
      <c r="M2175" s="7"/>
      <c r="N2175" s="7" t="s">
        <v>1095</v>
      </c>
      <c r="O2175" s="7" t="s">
        <v>1095</v>
      </c>
      <c r="P2175" s="7" t="s">
        <v>135</v>
      </c>
      <c r="Q2175" s="7"/>
      <c r="R2175" s="7" t="s">
        <v>109</v>
      </c>
      <c r="S2175" s="7" t="s">
        <v>110</v>
      </c>
      <c r="T2175" s="7" t="n">
        <v>0.547</v>
      </c>
      <c r="U2175" s="7" t="n">
        <v>0</v>
      </c>
      <c r="V2175" s="7"/>
      <c r="W2175" s="7"/>
      <c r="X2175" s="7"/>
      <c r="Y2175" s="7"/>
      <c r="Z2175" s="7"/>
      <c r="AA2175" s="7" t="s">
        <v>572</v>
      </c>
      <c r="AB2175" s="7" t="s">
        <v>573</v>
      </c>
      <c r="AC2175" s="7" t="n">
        <v>0</v>
      </c>
      <c r="AD2175" s="7" t="s">
        <v>388</v>
      </c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7"/>
      <c r="BA2175" s="7"/>
      <c r="BB2175" s="7"/>
      <c r="BC2175" s="7"/>
      <c r="BD2175" s="7" t="s">
        <v>1310</v>
      </c>
      <c r="BE2175" s="7" t="s">
        <v>575</v>
      </c>
      <c r="BF2175" s="8"/>
      <c r="BG2175" s="8"/>
      <c r="BH2175" s="8"/>
      <c r="BI2175" s="8"/>
      <c r="BJ2175" s="8"/>
      <c r="BK2175" s="8"/>
      <c r="BL2175" s="8"/>
      <c r="BM2175" s="8"/>
      <c r="BN2175" s="8"/>
      <c r="BO2175" s="8"/>
      <c r="BP2175" s="8"/>
      <c r="BQ2175" s="8"/>
      <c r="BR2175" s="8"/>
      <c r="BS2175" s="8"/>
    </row>
    <row r="2176" customFormat="false" ht="15" hidden="false" customHeight="false" outlineLevel="0" collapsed="false">
      <c r="A2176" s="7" t="s">
        <v>13599</v>
      </c>
      <c r="B2176" s="7" t="s">
        <v>13600</v>
      </c>
      <c r="C2176" s="7" t="s">
        <v>13601</v>
      </c>
      <c r="D2176" s="7" t="s">
        <v>1092</v>
      </c>
      <c r="E2176" s="7"/>
      <c r="F2176" s="7" t="s">
        <v>101</v>
      </c>
      <c r="G2176" s="7"/>
      <c r="H2176" s="7" t="s">
        <v>102</v>
      </c>
      <c r="I2176" s="7" t="s">
        <v>234</v>
      </c>
      <c r="J2176" s="7" t="s">
        <v>475</v>
      </c>
      <c r="K2176" s="7" t="s">
        <v>1147</v>
      </c>
      <c r="L2176" s="7" t="s">
        <v>106</v>
      </c>
      <c r="M2176" s="7"/>
      <c r="N2176" s="7" t="s">
        <v>1095</v>
      </c>
      <c r="O2176" s="7" t="s">
        <v>1095</v>
      </c>
      <c r="P2176" s="7" t="s">
        <v>135</v>
      </c>
      <c r="Q2176" s="7"/>
      <c r="R2176" s="7" t="s">
        <v>109</v>
      </c>
      <c r="S2176" s="7" t="s">
        <v>110</v>
      </c>
      <c r="T2176" s="7" t="n">
        <v>0.339</v>
      </c>
      <c r="U2176" s="7" t="n">
        <v>0</v>
      </c>
      <c r="V2176" s="7"/>
      <c r="W2176" s="7"/>
      <c r="X2176" s="7"/>
      <c r="Y2176" s="7"/>
      <c r="Z2176" s="7"/>
      <c r="AA2176" s="7" t="s">
        <v>572</v>
      </c>
      <c r="AB2176" s="7" t="s">
        <v>573</v>
      </c>
      <c r="AC2176" s="7" t="n">
        <v>0</v>
      </c>
      <c r="AD2176" s="7" t="s">
        <v>388</v>
      </c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7"/>
      <c r="BA2176" s="7"/>
      <c r="BB2176" s="7"/>
      <c r="BC2176" s="7"/>
      <c r="BD2176" s="7" t="s">
        <v>1310</v>
      </c>
      <c r="BE2176" s="7" t="s">
        <v>575</v>
      </c>
      <c r="BF2176" s="8"/>
      <c r="BG2176" s="8"/>
      <c r="BH2176" s="8"/>
      <c r="BI2176" s="8"/>
      <c r="BJ2176" s="8"/>
      <c r="BK2176" s="8"/>
      <c r="BL2176" s="8"/>
      <c r="BM2176" s="8"/>
      <c r="BN2176" s="8"/>
      <c r="BO2176" s="8"/>
      <c r="BP2176" s="8"/>
      <c r="BQ2176" s="8"/>
      <c r="BR2176" s="8"/>
      <c r="BS2176" s="8"/>
    </row>
    <row r="2177" customFormat="false" ht="15" hidden="false" customHeight="false" outlineLevel="0" collapsed="false">
      <c r="A2177" s="7" t="s">
        <v>13602</v>
      </c>
      <c r="B2177" s="7" t="s">
        <v>13603</v>
      </c>
      <c r="C2177" s="7" t="s">
        <v>13604</v>
      </c>
      <c r="D2177" s="7" t="s">
        <v>1645</v>
      </c>
      <c r="E2177" s="7"/>
      <c r="F2177" s="7" t="s">
        <v>101</v>
      </c>
      <c r="G2177" s="7"/>
      <c r="H2177" s="7" t="s">
        <v>102</v>
      </c>
      <c r="I2177" s="7" t="s">
        <v>208</v>
      </c>
      <c r="J2177" s="7" t="s">
        <v>475</v>
      </c>
      <c r="K2177" s="7" t="s">
        <v>1147</v>
      </c>
      <c r="L2177" s="7" t="s">
        <v>1785</v>
      </c>
      <c r="M2177" s="7"/>
      <c r="N2177" s="7"/>
      <c r="O2177" s="7"/>
      <c r="P2177" s="7" t="s">
        <v>135</v>
      </c>
      <c r="Q2177" s="7"/>
      <c r="R2177" s="7"/>
      <c r="S2177" s="7"/>
      <c r="T2177" s="7"/>
      <c r="U2177" s="7" t="n">
        <v>0</v>
      </c>
      <c r="V2177" s="7"/>
      <c r="W2177" s="7"/>
      <c r="X2177" s="7"/>
      <c r="Y2177" s="7"/>
      <c r="Z2177" s="7"/>
      <c r="AA2177" s="7" t="s">
        <v>572</v>
      </c>
      <c r="AB2177" s="7" t="s">
        <v>573</v>
      </c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  <c r="BB2177" s="7"/>
      <c r="BC2177" s="7"/>
      <c r="BD2177" s="7"/>
      <c r="BE2177" s="7" t="s">
        <v>127</v>
      </c>
      <c r="BF2177" s="8"/>
      <c r="BG2177" s="8"/>
      <c r="BH2177" s="8"/>
      <c r="BI2177" s="8"/>
      <c r="BJ2177" s="8"/>
      <c r="BK2177" s="8"/>
      <c r="BL2177" s="8"/>
      <c r="BM2177" s="8"/>
      <c r="BN2177" s="8"/>
      <c r="BO2177" s="8"/>
      <c r="BP2177" s="8"/>
      <c r="BQ2177" s="8"/>
      <c r="BR2177" s="8"/>
      <c r="BS2177" s="8"/>
    </row>
    <row r="2178" customFormat="false" ht="15" hidden="false" customHeight="false" outlineLevel="0" collapsed="false">
      <c r="A2178" s="7" t="s">
        <v>13605</v>
      </c>
      <c r="B2178" s="7" t="s">
        <v>13606</v>
      </c>
      <c r="C2178" s="7" t="s">
        <v>13607</v>
      </c>
      <c r="D2178" s="7" t="s">
        <v>1645</v>
      </c>
      <c r="E2178" s="7"/>
      <c r="F2178" s="7" t="s">
        <v>101</v>
      </c>
      <c r="G2178" s="7"/>
      <c r="H2178" s="7" t="s">
        <v>102</v>
      </c>
      <c r="I2178" s="7" t="s">
        <v>374</v>
      </c>
      <c r="J2178" s="7" t="s">
        <v>475</v>
      </c>
      <c r="K2178" s="7" t="s">
        <v>1147</v>
      </c>
      <c r="L2178" s="7" t="s">
        <v>106</v>
      </c>
      <c r="M2178" s="7"/>
      <c r="N2178" s="7"/>
      <c r="O2178" s="7"/>
      <c r="P2178" s="7" t="s">
        <v>135</v>
      </c>
      <c r="Q2178" s="7"/>
      <c r="R2178" s="7"/>
      <c r="S2178" s="7"/>
      <c r="T2178" s="7"/>
      <c r="U2178" s="7" t="n">
        <v>0</v>
      </c>
      <c r="V2178" s="7"/>
      <c r="W2178" s="7"/>
      <c r="X2178" s="7"/>
      <c r="Y2178" s="7"/>
      <c r="Z2178" s="7"/>
      <c r="AA2178" s="7" t="s">
        <v>572</v>
      </c>
      <c r="AB2178" s="7" t="s">
        <v>573</v>
      </c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7"/>
      <c r="BA2178" s="7"/>
      <c r="BB2178" s="7"/>
      <c r="BC2178" s="7"/>
      <c r="BD2178" s="7"/>
      <c r="BE2178" s="7" t="s">
        <v>127</v>
      </c>
      <c r="BF2178" s="8"/>
      <c r="BG2178" s="8"/>
      <c r="BH2178" s="8"/>
      <c r="BI2178" s="8"/>
      <c r="BJ2178" s="8"/>
      <c r="BK2178" s="8"/>
      <c r="BL2178" s="8"/>
      <c r="BM2178" s="8"/>
      <c r="BN2178" s="8"/>
      <c r="BO2178" s="8"/>
      <c r="BP2178" s="8"/>
      <c r="BQ2178" s="8"/>
      <c r="BR2178" s="8"/>
      <c r="BS2178" s="8"/>
    </row>
    <row r="2179" customFormat="false" ht="15" hidden="false" customHeight="false" outlineLevel="0" collapsed="false">
      <c r="A2179" s="7" t="s">
        <v>13608</v>
      </c>
      <c r="B2179" s="7" t="s">
        <v>13609</v>
      </c>
      <c r="C2179" s="7" t="s">
        <v>13610</v>
      </c>
      <c r="D2179" s="7" t="s">
        <v>1092</v>
      </c>
      <c r="E2179" s="7"/>
      <c r="F2179" s="7" t="s">
        <v>101</v>
      </c>
      <c r="G2179" s="7"/>
      <c r="H2179" s="7" t="s">
        <v>102</v>
      </c>
      <c r="I2179" s="7" t="s">
        <v>234</v>
      </c>
      <c r="J2179" s="7" t="s">
        <v>475</v>
      </c>
      <c r="K2179" s="7" t="s">
        <v>1147</v>
      </c>
      <c r="L2179" s="7" t="s">
        <v>106</v>
      </c>
      <c r="M2179" s="7"/>
      <c r="N2179" s="7" t="s">
        <v>1095</v>
      </c>
      <c r="O2179" s="7"/>
      <c r="P2179" s="7" t="s">
        <v>135</v>
      </c>
      <c r="Q2179" s="7"/>
      <c r="R2179" s="7"/>
      <c r="S2179" s="7"/>
      <c r="T2179" s="7"/>
      <c r="U2179" s="7" t="n">
        <v>0</v>
      </c>
      <c r="V2179" s="7"/>
      <c r="W2179" s="7"/>
      <c r="X2179" s="7"/>
      <c r="Y2179" s="7"/>
      <c r="Z2179" s="7"/>
      <c r="AA2179" s="7" t="s">
        <v>572</v>
      </c>
      <c r="AB2179" s="7" t="s">
        <v>573</v>
      </c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  <c r="AZ2179" s="7"/>
      <c r="BA2179" s="7"/>
      <c r="BB2179" s="7"/>
      <c r="BC2179" s="7"/>
      <c r="BD2179" s="7" t="s">
        <v>13393</v>
      </c>
      <c r="BE2179" s="7" t="s">
        <v>575</v>
      </c>
      <c r="BF2179" s="8"/>
      <c r="BG2179" s="8"/>
      <c r="BH2179" s="8"/>
      <c r="BI2179" s="8"/>
      <c r="BJ2179" s="8"/>
      <c r="BK2179" s="8"/>
      <c r="BL2179" s="8"/>
      <c r="BM2179" s="8"/>
      <c r="BN2179" s="8"/>
      <c r="BO2179" s="8"/>
      <c r="BP2179" s="8"/>
      <c r="BQ2179" s="8"/>
      <c r="BR2179" s="8"/>
      <c r="BS2179" s="8"/>
    </row>
    <row r="2180" customFormat="false" ht="15" hidden="false" customHeight="false" outlineLevel="0" collapsed="false">
      <c r="A2180" s="7" t="s">
        <v>13611</v>
      </c>
      <c r="B2180" s="7" t="s">
        <v>13612</v>
      </c>
      <c r="C2180" s="7" t="s">
        <v>13613</v>
      </c>
      <c r="D2180" s="7" t="s">
        <v>1645</v>
      </c>
      <c r="E2180" s="7"/>
      <c r="F2180" s="7" t="s">
        <v>101</v>
      </c>
      <c r="G2180" s="7"/>
      <c r="H2180" s="7" t="s">
        <v>102</v>
      </c>
      <c r="I2180" s="7" t="s">
        <v>374</v>
      </c>
      <c r="J2180" s="7" t="s">
        <v>475</v>
      </c>
      <c r="K2180" s="7" t="s">
        <v>1147</v>
      </c>
      <c r="L2180" s="7" t="s">
        <v>106</v>
      </c>
      <c r="M2180" s="7"/>
      <c r="N2180" s="7"/>
      <c r="O2180" s="7"/>
      <c r="P2180" s="7" t="s">
        <v>135</v>
      </c>
      <c r="Q2180" s="7"/>
      <c r="R2180" s="7"/>
      <c r="S2180" s="7"/>
      <c r="T2180" s="7"/>
      <c r="U2180" s="7" t="n">
        <v>0</v>
      </c>
      <c r="V2180" s="7"/>
      <c r="W2180" s="7"/>
      <c r="X2180" s="7"/>
      <c r="Y2180" s="7"/>
      <c r="Z2180" s="7"/>
      <c r="AA2180" s="7" t="s">
        <v>572</v>
      </c>
      <c r="AB2180" s="7" t="s">
        <v>573</v>
      </c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  <c r="BB2180" s="7"/>
      <c r="BC2180" s="7"/>
      <c r="BD2180" s="7"/>
      <c r="BE2180" s="7" t="s">
        <v>127</v>
      </c>
      <c r="BF2180" s="8"/>
      <c r="BG2180" s="8"/>
      <c r="BH2180" s="8"/>
      <c r="BI2180" s="8"/>
      <c r="BJ2180" s="8"/>
      <c r="BK2180" s="8"/>
      <c r="BL2180" s="8"/>
      <c r="BM2180" s="8"/>
      <c r="BN2180" s="8"/>
      <c r="BO2180" s="8"/>
      <c r="BP2180" s="8"/>
      <c r="BQ2180" s="8"/>
      <c r="BR2180" s="8"/>
      <c r="BS2180" s="8"/>
    </row>
    <row r="2181" customFormat="false" ht="15" hidden="false" customHeight="false" outlineLevel="0" collapsed="false">
      <c r="A2181" s="7" t="s">
        <v>13614</v>
      </c>
      <c r="B2181" s="7" t="s">
        <v>13615</v>
      </c>
      <c r="C2181" s="7" t="s">
        <v>13616</v>
      </c>
      <c r="D2181" s="7" t="s">
        <v>1645</v>
      </c>
      <c r="E2181" s="7"/>
      <c r="F2181" s="7" t="s">
        <v>101</v>
      </c>
      <c r="G2181" s="7"/>
      <c r="H2181" s="7" t="s">
        <v>102</v>
      </c>
      <c r="I2181" s="7" t="s">
        <v>208</v>
      </c>
      <c r="J2181" s="7" t="s">
        <v>475</v>
      </c>
      <c r="K2181" s="7" t="s">
        <v>1147</v>
      </c>
      <c r="L2181" s="7" t="s">
        <v>106</v>
      </c>
      <c r="M2181" s="7"/>
      <c r="N2181" s="7"/>
      <c r="O2181" s="7"/>
      <c r="P2181" s="7" t="s">
        <v>135</v>
      </c>
      <c r="Q2181" s="7"/>
      <c r="R2181" s="7"/>
      <c r="S2181" s="7"/>
      <c r="T2181" s="7"/>
      <c r="U2181" s="7" t="n">
        <v>0</v>
      </c>
      <c r="V2181" s="7"/>
      <c r="W2181" s="7"/>
      <c r="X2181" s="7"/>
      <c r="Y2181" s="7"/>
      <c r="Z2181" s="7"/>
      <c r="AA2181" s="7" t="s">
        <v>572</v>
      </c>
      <c r="AB2181" s="7" t="s">
        <v>573</v>
      </c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  <c r="AZ2181" s="7"/>
      <c r="BA2181" s="7"/>
      <c r="BB2181" s="7"/>
      <c r="BC2181" s="7"/>
      <c r="BD2181" s="7"/>
      <c r="BE2181" s="7" t="s">
        <v>127</v>
      </c>
      <c r="BF2181" s="8"/>
      <c r="BG2181" s="8"/>
      <c r="BH2181" s="8"/>
      <c r="BI2181" s="8"/>
      <c r="BJ2181" s="8"/>
      <c r="BK2181" s="8"/>
      <c r="BL2181" s="8"/>
      <c r="BM2181" s="8"/>
      <c r="BN2181" s="8"/>
      <c r="BO2181" s="8"/>
      <c r="BP2181" s="8"/>
      <c r="BQ2181" s="8"/>
      <c r="BR2181" s="8"/>
      <c r="BS2181" s="8"/>
    </row>
    <row r="2182" customFormat="false" ht="15" hidden="false" customHeight="false" outlineLevel="0" collapsed="false">
      <c r="A2182" s="7" t="s">
        <v>13617</v>
      </c>
      <c r="B2182" s="7" t="s">
        <v>13618</v>
      </c>
      <c r="C2182" s="7" t="s">
        <v>13619</v>
      </c>
      <c r="D2182" s="7" t="s">
        <v>1645</v>
      </c>
      <c r="E2182" s="7"/>
      <c r="F2182" s="7" t="s">
        <v>101</v>
      </c>
      <c r="G2182" s="7"/>
      <c r="H2182" s="7" t="s">
        <v>102</v>
      </c>
      <c r="I2182" s="7" t="s">
        <v>374</v>
      </c>
      <c r="J2182" s="7" t="s">
        <v>475</v>
      </c>
      <c r="K2182" s="7" t="s">
        <v>1147</v>
      </c>
      <c r="L2182" s="7" t="s">
        <v>106</v>
      </c>
      <c r="M2182" s="7"/>
      <c r="N2182" s="7"/>
      <c r="O2182" s="7"/>
      <c r="P2182" s="7" t="s">
        <v>135</v>
      </c>
      <c r="Q2182" s="7"/>
      <c r="R2182" s="7"/>
      <c r="S2182" s="7"/>
      <c r="T2182" s="7"/>
      <c r="U2182" s="7" t="n">
        <v>0</v>
      </c>
      <c r="V2182" s="7"/>
      <c r="W2182" s="7"/>
      <c r="X2182" s="7"/>
      <c r="Y2182" s="7"/>
      <c r="Z2182" s="7"/>
      <c r="AA2182" s="7" t="s">
        <v>572</v>
      </c>
      <c r="AB2182" s="7" t="s">
        <v>573</v>
      </c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7"/>
      <c r="BA2182" s="7"/>
      <c r="BB2182" s="7"/>
      <c r="BC2182" s="7"/>
      <c r="BD2182" s="7"/>
      <c r="BE2182" s="7" t="s">
        <v>127</v>
      </c>
      <c r="BF2182" s="8"/>
      <c r="BG2182" s="8"/>
      <c r="BH2182" s="8"/>
      <c r="BI2182" s="8"/>
      <c r="BJ2182" s="8"/>
      <c r="BK2182" s="8"/>
      <c r="BL2182" s="8"/>
      <c r="BM2182" s="8"/>
      <c r="BN2182" s="8"/>
      <c r="BO2182" s="8"/>
      <c r="BP2182" s="8"/>
      <c r="BQ2182" s="8"/>
      <c r="BR2182" s="8"/>
      <c r="BS2182" s="8"/>
    </row>
    <row r="2183" customFormat="false" ht="15" hidden="false" customHeight="false" outlineLevel="0" collapsed="false">
      <c r="A2183" s="7" t="s">
        <v>13620</v>
      </c>
      <c r="B2183" s="7" t="s">
        <v>13621</v>
      </c>
      <c r="C2183" s="7" t="s">
        <v>13622</v>
      </c>
      <c r="D2183" s="7" t="s">
        <v>13623</v>
      </c>
      <c r="E2183" s="7" t="s">
        <v>101</v>
      </c>
      <c r="F2183" s="7" t="s">
        <v>82</v>
      </c>
      <c r="G2183" s="7"/>
      <c r="H2183" s="7" t="s">
        <v>207</v>
      </c>
      <c r="I2183" s="7" t="s">
        <v>1104</v>
      </c>
      <c r="J2183" s="7" t="s">
        <v>475</v>
      </c>
      <c r="K2183" s="7" t="s">
        <v>476</v>
      </c>
      <c r="L2183" s="7" t="s">
        <v>106</v>
      </c>
      <c r="M2183" s="7"/>
      <c r="N2183" s="7" t="s">
        <v>13624</v>
      </c>
      <c r="O2183" s="7"/>
      <c r="P2183" s="7" t="s">
        <v>135</v>
      </c>
      <c r="Q2183" s="7"/>
      <c r="R2183" s="7"/>
      <c r="S2183" s="7"/>
      <c r="T2183" s="7"/>
      <c r="U2183" s="7" t="n">
        <v>0</v>
      </c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  <c r="BB2183" s="7"/>
      <c r="BC2183" s="7"/>
      <c r="BD2183" s="7" t="s">
        <v>1606</v>
      </c>
      <c r="BE2183" s="7" t="s">
        <v>127</v>
      </c>
      <c r="BF2183" s="8"/>
      <c r="BG2183" s="8"/>
      <c r="BH2183" s="8"/>
      <c r="BI2183" s="8"/>
      <c r="BJ2183" s="8"/>
      <c r="BK2183" s="8"/>
      <c r="BL2183" s="8"/>
      <c r="BM2183" s="8"/>
      <c r="BN2183" s="8"/>
      <c r="BO2183" s="8"/>
      <c r="BP2183" s="8"/>
      <c r="BQ2183" s="8"/>
      <c r="BR2183" s="8"/>
      <c r="BS2183" s="8"/>
    </row>
    <row r="2184" customFormat="false" ht="15" hidden="false" customHeight="false" outlineLevel="0" collapsed="false">
      <c r="A2184" s="7" t="s">
        <v>13625</v>
      </c>
      <c r="B2184" s="7" t="s">
        <v>13626</v>
      </c>
      <c r="C2184" s="7" t="s">
        <v>13627</v>
      </c>
      <c r="D2184" s="7" t="s">
        <v>579</v>
      </c>
      <c r="E2184" s="7" t="s">
        <v>101</v>
      </c>
      <c r="F2184" s="7" t="s">
        <v>82</v>
      </c>
      <c r="G2184" s="7"/>
      <c r="H2184" s="7" t="s">
        <v>207</v>
      </c>
      <c r="I2184" s="7" t="s">
        <v>103</v>
      </c>
      <c r="J2184" s="7" t="s">
        <v>475</v>
      </c>
      <c r="K2184" s="7" t="s">
        <v>476</v>
      </c>
      <c r="L2184" s="7" t="s">
        <v>106</v>
      </c>
      <c r="M2184" s="7"/>
      <c r="N2184" s="7" t="s">
        <v>13628</v>
      </c>
      <c r="O2184" s="7"/>
      <c r="P2184" s="7" t="s">
        <v>135</v>
      </c>
      <c r="Q2184" s="7"/>
      <c r="R2184" s="7" t="s">
        <v>135</v>
      </c>
      <c r="S2184" s="7" t="s">
        <v>136</v>
      </c>
      <c r="T2184" s="7" t="n">
        <v>0.392</v>
      </c>
      <c r="U2184" s="7" t="n">
        <v>0</v>
      </c>
      <c r="V2184" s="7"/>
      <c r="W2184" s="7"/>
      <c r="X2184" s="7"/>
      <c r="Y2184" s="7"/>
      <c r="Z2184" s="7"/>
      <c r="AA2184" s="7"/>
      <c r="AB2184" s="7"/>
      <c r="AC2184" s="7" t="n">
        <v>0</v>
      </c>
      <c r="AD2184" s="7" t="s">
        <v>388</v>
      </c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7"/>
      <c r="BA2184" s="7"/>
      <c r="BB2184" s="7"/>
      <c r="BC2184" s="7"/>
      <c r="BD2184" s="7" t="s">
        <v>220</v>
      </c>
      <c r="BE2184" s="7" t="s">
        <v>127</v>
      </c>
      <c r="BF2184" s="8"/>
      <c r="BG2184" s="8"/>
      <c r="BH2184" s="8"/>
      <c r="BI2184" s="8"/>
      <c r="BJ2184" s="8"/>
      <c r="BK2184" s="8"/>
      <c r="BL2184" s="8"/>
      <c r="BM2184" s="8"/>
      <c r="BN2184" s="8"/>
      <c r="BO2184" s="8"/>
      <c r="BP2184" s="8"/>
      <c r="BQ2184" s="8"/>
      <c r="BR2184" s="8"/>
      <c r="BS2184" s="8"/>
    </row>
    <row r="2185" customFormat="false" ht="15" hidden="false" customHeight="false" outlineLevel="0" collapsed="false">
      <c r="A2185" s="7" t="s">
        <v>13629</v>
      </c>
      <c r="B2185" s="7" t="s">
        <v>13630</v>
      </c>
      <c r="C2185" s="7" t="s">
        <v>13631</v>
      </c>
      <c r="D2185" s="7" t="s">
        <v>2214</v>
      </c>
      <c r="E2185" s="7" t="s">
        <v>82</v>
      </c>
      <c r="F2185" s="7" t="s">
        <v>82</v>
      </c>
      <c r="G2185" s="7"/>
      <c r="H2185" s="7" t="s">
        <v>207</v>
      </c>
      <c r="I2185" s="7" t="s">
        <v>158</v>
      </c>
      <c r="J2185" s="7" t="s">
        <v>1172</v>
      </c>
      <c r="K2185" s="7" t="s">
        <v>476</v>
      </c>
      <c r="L2185" s="7" t="s">
        <v>106</v>
      </c>
      <c r="M2185" s="7"/>
      <c r="N2185" s="7" t="s">
        <v>13632</v>
      </c>
      <c r="O2185" s="7" t="s">
        <v>13632</v>
      </c>
      <c r="P2185" s="7" t="s">
        <v>109</v>
      </c>
      <c r="Q2185" s="7"/>
      <c r="R2185" s="7" t="s">
        <v>109</v>
      </c>
      <c r="S2185" s="7" t="s">
        <v>110</v>
      </c>
      <c r="T2185" s="7" t="n">
        <v>0.66</v>
      </c>
      <c r="U2185" s="7" t="n">
        <v>1</v>
      </c>
      <c r="V2185" s="7" t="s">
        <v>1156</v>
      </c>
      <c r="W2185" s="7" t="s">
        <v>1173</v>
      </c>
      <c r="X2185" s="7" t="s">
        <v>1174</v>
      </c>
      <c r="Y2185" s="7" t="s">
        <v>1175</v>
      </c>
      <c r="Z2185" s="7"/>
      <c r="AA2185" s="7"/>
      <c r="AB2185" s="7"/>
      <c r="AC2185" s="7" t="n">
        <v>0</v>
      </c>
      <c r="AD2185" s="7" t="s">
        <v>388</v>
      </c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  <c r="AZ2185" s="7"/>
      <c r="BA2185" s="7"/>
      <c r="BB2185" s="7"/>
      <c r="BC2185" s="7"/>
      <c r="BD2185" s="7" t="s">
        <v>1186</v>
      </c>
      <c r="BE2185" s="7" t="s">
        <v>127</v>
      </c>
      <c r="BF2185" s="8"/>
      <c r="BG2185" s="8"/>
      <c r="BH2185" s="8"/>
      <c r="BI2185" s="8"/>
      <c r="BJ2185" s="8"/>
      <c r="BK2185" s="8"/>
      <c r="BL2185" s="8"/>
      <c r="BM2185" s="8"/>
      <c r="BN2185" s="8"/>
      <c r="BO2185" s="8"/>
      <c r="BP2185" s="8"/>
      <c r="BQ2185" s="8"/>
      <c r="BR2185" s="8"/>
      <c r="BS2185" s="8"/>
    </row>
    <row r="2186" customFormat="false" ht="15" hidden="false" customHeight="false" outlineLevel="0" collapsed="false">
      <c r="A2186" s="7" t="s">
        <v>13633</v>
      </c>
      <c r="B2186" s="7" t="s">
        <v>13634</v>
      </c>
      <c r="C2186" s="7" t="s">
        <v>13635</v>
      </c>
      <c r="D2186" s="7" t="s">
        <v>2214</v>
      </c>
      <c r="E2186" s="7" t="s">
        <v>82</v>
      </c>
      <c r="F2186" s="7" t="s">
        <v>82</v>
      </c>
      <c r="G2186" s="7"/>
      <c r="H2186" s="7" t="s">
        <v>207</v>
      </c>
      <c r="I2186" s="7" t="s">
        <v>158</v>
      </c>
      <c r="J2186" s="7" t="s">
        <v>1172</v>
      </c>
      <c r="K2186" s="7" t="s">
        <v>476</v>
      </c>
      <c r="L2186" s="7" t="s">
        <v>106</v>
      </c>
      <c r="M2186" s="7"/>
      <c r="N2186" s="7" t="s">
        <v>13636</v>
      </c>
      <c r="O2186" s="7" t="s">
        <v>13636</v>
      </c>
      <c r="P2186" s="7" t="s">
        <v>109</v>
      </c>
      <c r="Q2186" s="7"/>
      <c r="R2186" s="7" t="s">
        <v>109</v>
      </c>
      <c r="S2186" s="7" t="s">
        <v>110</v>
      </c>
      <c r="T2186" s="7" t="n">
        <v>0.758</v>
      </c>
      <c r="U2186" s="7" t="n">
        <v>1</v>
      </c>
      <c r="V2186" s="7" t="s">
        <v>1156</v>
      </c>
      <c r="W2186" s="7" t="s">
        <v>1173</v>
      </c>
      <c r="X2186" s="7" t="s">
        <v>1174</v>
      </c>
      <c r="Y2186" s="7" t="s">
        <v>1175</v>
      </c>
      <c r="Z2186" s="7"/>
      <c r="AA2186" s="7"/>
      <c r="AB2186" s="7"/>
      <c r="AC2186" s="7" t="n">
        <v>0</v>
      </c>
      <c r="AD2186" s="7" t="s">
        <v>388</v>
      </c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7"/>
      <c r="BC2186" s="7"/>
      <c r="BD2186" s="7" t="s">
        <v>1186</v>
      </c>
      <c r="BE2186" s="7" t="s">
        <v>127</v>
      </c>
      <c r="BF2186" s="8"/>
      <c r="BG2186" s="8"/>
      <c r="BH2186" s="8"/>
      <c r="BI2186" s="8"/>
      <c r="BJ2186" s="8"/>
      <c r="BK2186" s="8"/>
      <c r="BL2186" s="8"/>
      <c r="BM2186" s="8"/>
      <c r="BN2186" s="8"/>
      <c r="BO2186" s="8"/>
      <c r="BP2186" s="8"/>
      <c r="BQ2186" s="8"/>
      <c r="BR2186" s="8"/>
      <c r="BS2186" s="8"/>
    </row>
    <row r="2187" customFormat="false" ht="15" hidden="false" customHeight="false" outlineLevel="0" collapsed="false">
      <c r="A2187" s="7" t="s">
        <v>13637</v>
      </c>
      <c r="B2187" s="7" t="s">
        <v>13638</v>
      </c>
      <c r="C2187" s="7" t="s">
        <v>13639</v>
      </c>
      <c r="D2187" s="7" t="s">
        <v>1921</v>
      </c>
      <c r="E2187" s="7" t="s">
        <v>101</v>
      </c>
      <c r="F2187" s="7" t="s">
        <v>82</v>
      </c>
      <c r="G2187" s="7"/>
      <c r="H2187" s="7" t="s">
        <v>102</v>
      </c>
      <c r="I2187" s="7" t="s">
        <v>158</v>
      </c>
      <c r="J2187" s="7" t="s">
        <v>1172</v>
      </c>
      <c r="K2187" s="7" t="s">
        <v>476</v>
      </c>
      <c r="L2187" s="7" t="s">
        <v>106</v>
      </c>
      <c r="M2187" s="7"/>
      <c r="N2187" s="7" t="s">
        <v>13640</v>
      </c>
      <c r="O2187" s="7" t="s">
        <v>13640</v>
      </c>
      <c r="P2187" s="7" t="s">
        <v>84</v>
      </c>
      <c r="Q2187" s="7"/>
      <c r="R2187" s="7" t="s">
        <v>109</v>
      </c>
      <c r="S2187" s="7" t="s">
        <v>110</v>
      </c>
      <c r="T2187" s="7" t="n">
        <v>0.563</v>
      </c>
      <c r="U2187" s="7" t="n">
        <v>2</v>
      </c>
      <c r="V2187" s="7" t="s">
        <v>1112</v>
      </c>
      <c r="W2187" s="7" t="s">
        <v>1193</v>
      </c>
      <c r="X2187" s="7" t="s">
        <v>1194</v>
      </c>
      <c r="Y2187" s="7" t="s">
        <v>1195</v>
      </c>
      <c r="Z2187" s="7"/>
      <c r="AA2187" s="7"/>
      <c r="AB2187" s="7"/>
      <c r="AC2187" s="7" t="n">
        <v>0</v>
      </c>
      <c r="AD2187" s="7" t="s">
        <v>388</v>
      </c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  <c r="AZ2187" s="7"/>
      <c r="BA2187" s="7"/>
      <c r="BB2187" s="7"/>
      <c r="BC2187" s="7"/>
      <c r="BD2187" s="7" t="s">
        <v>1186</v>
      </c>
      <c r="BE2187" s="7" t="s">
        <v>127</v>
      </c>
      <c r="BF2187" s="8"/>
      <c r="BG2187" s="8"/>
      <c r="BH2187" s="8"/>
      <c r="BI2187" s="8"/>
      <c r="BJ2187" s="8"/>
      <c r="BK2187" s="8"/>
      <c r="BL2187" s="8"/>
      <c r="BM2187" s="8"/>
      <c r="BN2187" s="8"/>
      <c r="BO2187" s="8"/>
      <c r="BP2187" s="8"/>
      <c r="BQ2187" s="8"/>
      <c r="BR2187" s="8"/>
      <c r="BS2187" s="8"/>
    </row>
    <row r="2188" customFormat="false" ht="15" hidden="false" customHeight="false" outlineLevel="0" collapsed="false">
      <c r="A2188" s="7" t="s">
        <v>13641</v>
      </c>
      <c r="B2188" s="7" t="s">
        <v>13642</v>
      </c>
      <c r="C2188" s="7" t="s">
        <v>13643</v>
      </c>
      <c r="D2188" s="7" t="s">
        <v>13644</v>
      </c>
      <c r="E2188" s="7" t="s">
        <v>737</v>
      </c>
      <c r="F2188" s="7" t="s">
        <v>737</v>
      </c>
      <c r="G2188" s="7"/>
      <c r="H2188" s="7" t="s">
        <v>207</v>
      </c>
      <c r="I2188" s="7" t="s">
        <v>158</v>
      </c>
      <c r="J2188" s="7" t="s">
        <v>475</v>
      </c>
      <c r="K2188" s="7" t="s">
        <v>476</v>
      </c>
      <c r="L2188" s="7" t="s">
        <v>353</v>
      </c>
      <c r="M2188" s="7"/>
      <c r="N2188" s="7" t="s">
        <v>13645</v>
      </c>
      <c r="O2188" s="7" t="s">
        <v>13645</v>
      </c>
      <c r="P2188" s="7" t="s">
        <v>135</v>
      </c>
      <c r="Q2188" s="7"/>
      <c r="R2188" s="7" t="s">
        <v>109</v>
      </c>
      <c r="S2188" s="7" t="s">
        <v>110</v>
      </c>
      <c r="T2188" s="7" t="n">
        <v>0.205</v>
      </c>
      <c r="U2188" s="7" t="n">
        <v>0</v>
      </c>
      <c r="V2188" s="7"/>
      <c r="W2188" s="7"/>
      <c r="X2188" s="7"/>
      <c r="Y2188" s="7"/>
      <c r="Z2188" s="7" t="s">
        <v>13646</v>
      </c>
      <c r="AA2188" s="7"/>
      <c r="AB2188" s="7"/>
      <c r="AC2188" s="7" t="n">
        <v>0</v>
      </c>
      <c r="AD2188" s="7" t="s">
        <v>388</v>
      </c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7"/>
      <c r="BA2188" s="7"/>
      <c r="BB2188" s="7"/>
      <c r="BC2188" s="7"/>
      <c r="BD2188" s="7" t="s">
        <v>2797</v>
      </c>
      <c r="BE2188" s="7" t="s">
        <v>609</v>
      </c>
      <c r="BF2188" s="8"/>
      <c r="BG2188" s="8"/>
      <c r="BH2188" s="8"/>
      <c r="BI2188" s="8"/>
      <c r="BJ2188" s="8"/>
      <c r="BK2188" s="8"/>
      <c r="BL2188" s="8"/>
      <c r="BM2188" s="8"/>
      <c r="BN2188" s="8"/>
      <c r="BO2188" s="8"/>
      <c r="BP2188" s="8"/>
      <c r="BQ2188" s="8"/>
      <c r="BR2188" s="8"/>
      <c r="BS2188" s="8"/>
    </row>
    <row r="2189" customFormat="false" ht="15" hidden="false" customHeight="false" outlineLevel="0" collapsed="false">
      <c r="A2189" s="7" t="s">
        <v>13647</v>
      </c>
      <c r="B2189" s="7" t="s">
        <v>13648</v>
      </c>
      <c r="C2189" s="7" t="s">
        <v>13649</v>
      </c>
      <c r="D2189" s="7" t="s">
        <v>13650</v>
      </c>
      <c r="E2189" s="7" t="s">
        <v>410</v>
      </c>
      <c r="F2189" s="7" t="s">
        <v>410</v>
      </c>
      <c r="G2189" s="7"/>
      <c r="H2189" s="7" t="s">
        <v>207</v>
      </c>
      <c r="I2189" s="7" t="s">
        <v>158</v>
      </c>
      <c r="J2189" s="7" t="s">
        <v>475</v>
      </c>
      <c r="K2189" s="7" t="s">
        <v>476</v>
      </c>
      <c r="L2189" s="7" t="s">
        <v>353</v>
      </c>
      <c r="M2189" s="7"/>
      <c r="N2189" s="7" t="s">
        <v>13651</v>
      </c>
      <c r="O2189" s="7"/>
      <c r="P2189" s="7" t="s">
        <v>135</v>
      </c>
      <c r="Q2189" s="7"/>
      <c r="R2189" s="7"/>
      <c r="S2189" s="7"/>
      <c r="T2189" s="7" t="n">
        <v>0.31</v>
      </c>
      <c r="U2189" s="7" t="n">
        <v>0</v>
      </c>
      <c r="V2189" s="7"/>
      <c r="W2189" s="7"/>
      <c r="X2189" s="7"/>
      <c r="Y2189" s="7"/>
      <c r="Z2189" s="7" t="s">
        <v>13652</v>
      </c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  <c r="AZ2189" s="7"/>
      <c r="BA2189" s="7"/>
      <c r="BB2189" s="7"/>
      <c r="BC2189" s="7"/>
      <c r="BD2189" s="7" t="s">
        <v>440</v>
      </c>
      <c r="BE2189" s="7" t="s">
        <v>609</v>
      </c>
      <c r="BF2189" s="8"/>
      <c r="BG2189" s="8"/>
      <c r="BH2189" s="8"/>
      <c r="BI2189" s="8"/>
      <c r="BJ2189" s="8"/>
      <c r="BK2189" s="8"/>
      <c r="BL2189" s="8"/>
      <c r="BM2189" s="8"/>
      <c r="BN2189" s="8"/>
      <c r="BO2189" s="8"/>
      <c r="BP2189" s="8"/>
      <c r="BQ2189" s="8"/>
      <c r="BR2189" s="8"/>
      <c r="BS2189" s="8"/>
    </row>
    <row r="2190" customFormat="false" ht="15" hidden="false" customHeight="false" outlineLevel="0" collapsed="false">
      <c r="A2190" s="7" t="s">
        <v>13653</v>
      </c>
      <c r="B2190" s="7" t="s">
        <v>13654</v>
      </c>
      <c r="C2190" s="7" t="s">
        <v>13655</v>
      </c>
      <c r="D2190" s="7" t="s">
        <v>13656</v>
      </c>
      <c r="E2190" s="7" t="s">
        <v>410</v>
      </c>
      <c r="F2190" s="7" t="s">
        <v>410</v>
      </c>
      <c r="G2190" s="7"/>
      <c r="H2190" s="7" t="s">
        <v>207</v>
      </c>
      <c r="I2190" s="7" t="s">
        <v>132</v>
      </c>
      <c r="J2190" s="7" t="s">
        <v>475</v>
      </c>
      <c r="K2190" s="7" t="s">
        <v>476</v>
      </c>
      <c r="L2190" s="7" t="s">
        <v>106</v>
      </c>
      <c r="M2190" s="7"/>
      <c r="N2190" s="7" t="s">
        <v>13657</v>
      </c>
      <c r="O2190" s="7" t="s">
        <v>13657</v>
      </c>
      <c r="P2190" s="7" t="s">
        <v>135</v>
      </c>
      <c r="Q2190" s="7"/>
      <c r="R2190" s="7" t="s">
        <v>109</v>
      </c>
      <c r="S2190" s="7" t="s">
        <v>110</v>
      </c>
      <c r="T2190" s="7" t="n">
        <v>0.324</v>
      </c>
      <c r="U2190" s="7" t="n">
        <v>0</v>
      </c>
      <c r="V2190" s="7"/>
      <c r="W2190" s="7"/>
      <c r="X2190" s="7"/>
      <c r="Y2190" s="7"/>
      <c r="Z2190" s="7" t="s">
        <v>3682</v>
      </c>
      <c r="AA2190" s="7"/>
      <c r="AB2190" s="7"/>
      <c r="AC2190" s="7" t="n">
        <v>0</v>
      </c>
      <c r="AD2190" s="7" t="s">
        <v>388</v>
      </c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  <c r="AZ2190" s="7"/>
      <c r="BA2190" s="7"/>
      <c r="BB2190" s="7"/>
      <c r="BC2190" s="7"/>
      <c r="BD2190" s="7" t="s">
        <v>440</v>
      </c>
      <c r="BE2190" s="7" t="s">
        <v>609</v>
      </c>
      <c r="BF2190" s="8"/>
      <c r="BG2190" s="8"/>
      <c r="BH2190" s="8"/>
      <c r="BI2190" s="8"/>
      <c r="BJ2190" s="8"/>
      <c r="BK2190" s="8"/>
      <c r="BL2190" s="8"/>
      <c r="BM2190" s="8"/>
      <c r="BN2190" s="8"/>
      <c r="BO2190" s="8"/>
      <c r="BP2190" s="8"/>
      <c r="BQ2190" s="8"/>
      <c r="BR2190" s="8"/>
      <c r="BS2190" s="8"/>
    </row>
    <row r="2191" customFormat="false" ht="15" hidden="false" customHeight="false" outlineLevel="0" collapsed="false">
      <c r="A2191" s="7" t="s">
        <v>13658</v>
      </c>
      <c r="B2191" s="7" t="s">
        <v>13659</v>
      </c>
      <c r="C2191" s="7" t="s">
        <v>13660</v>
      </c>
      <c r="D2191" s="7" t="s">
        <v>13661</v>
      </c>
      <c r="E2191" s="7" t="s">
        <v>444</v>
      </c>
      <c r="F2191" s="7" t="s">
        <v>444</v>
      </c>
      <c r="G2191" s="7"/>
      <c r="H2191" s="7"/>
      <c r="I2191" s="7" t="s">
        <v>158</v>
      </c>
      <c r="J2191" s="7" t="s">
        <v>104</v>
      </c>
      <c r="K2191" s="7" t="s">
        <v>105</v>
      </c>
      <c r="L2191" s="7" t="s">
        <v>106</v>
      </c>
      <c r="M2191" s="7"/>
      <c r="N2191" s="7" t="s">
        <v>13662</v>
      </c>
      <c r="O2191" s="7" t="s">
        <v>13662</v>
      </c>
      <c r="P2191" s="7"/>
      <c r="Q2191" s="7"/>
      <c r="R2191" s="7" t="s">
        <v>109</v>
      </c>
      <c r="S2191" s="7" t="s">
        <v>110</v>
      </c>
      <c r="T2191" s="7" t="n">
        <v>0.682</v>
      </c>
      <c r="U2191" s="7" t="n">
        <v>1</v>
      </c>
      <c r="V2191" s="7" t="s">
        <v>90</v>
      </c>
      <c r="W2191" s="7"/>
      <c r="X2191" s="7" t="s">
        <v>520</v>
      </c>
      <c r="Y2191" s="7" t="s">
        <v>13662</v>
      </c>
      <c r="Z2191" s="7"/>
      <c r="AA2191" s="7"/>
      <c r="AB2191" s="7"/>
      <c r="AC2191" s="7" t="n">
        <v>5</v>
      </c>
      <c r="AD2191" s="7" t="s">
        <v>743</v>
      </c>
      <c r="AE2191" s="7" t="s">
        <v>448</v>
      </c>
      <c r="AF2191" s="7" t="s">
        <v>13663</v>
      </c>
      <c r="AG2191" s="7" t="s">
        <v>448</v>
      </c>
      <c r="AH2191" s="7" t="s">
        <v>520</v>
      </c>
      <c r="AI2191" s="7"/>
      <c r="AJ2191" s="7"/>
      <c r="AK2191" s="7"/>
      <c r="AL2191" s="7"/>
      <c r="AM2191" s="7"/>
      <c r="AN2191" s="7"/>
      <c r="AO2191" s="7" t="s">
        <v>448</v>
      </c>
      <c r="AP2191" s="7" t="s">
        <v>13661</v>
      </c>
      <c r="AQ2191" s="7" t="s">
        <v>448</v>
      </c>
      <c r="AR2191" s="7" t="s">
        <v>444</v>
      </c>
      <c r="AS2191" s="7"/>
      <c r="AT2191" s="7"/>
      <c r="AU2191" s="7"/>
      <c r="AV2191" s="7"/>
      <c r="AW2191" s="7" t="s">
        <v>448</v>
      </c>
      <c r="AX2191" s="7" t="s">
        <v>13662</v>
      </c>
      <c r="AY2191" s="7"/>
      <c r="AZ2191" s="7"/>
      <c r="BA2191" s="7"/>
      <c r="BB2191" s="7"/>
      <c r="BC2191" s="7"/>
      <c r="BD2191" s="7"/>
      <c r="BE2191" s="7" t="s">
        <v>127</v>
      </c>
      <c r="BF2191" s="8"/>
      <c r="BG2191" s="8"/>
      <c r="BH2191" s="8"/>
      <c r="BI2191" s="8"/>
      <c r="BJ2191" s="8"/>
      <c r="BK2191" s="8"/>
      <c r="BL2191" s="8"/>
      <c r="BM2191" s="8"/>
      <c r="BN2191" s="8"/>
      <c r="BO2191" s="8"/>
      <c r="BP2191" s="8"/>
      <c r="BQ2191" s="8"/>
      <c r="BR2191" s="8"/>
      <c r="BS2191" s="8"/>
    </row>
    <row r="2192" customFormat="false" ht="15" hidden="false" customHeight="false" outlineLevel="0" collapsed="false">
      <c r="A2192" s="7" t="s">
        <v>13664</v>
      </c>
      <c r="B2192" s="7" t="s">
        <v>13665</v>
      </c>
      <c r="C2192" s="7" t="s">
        <v>13666</v>
      </c>
      <c r="D2192" s="7" t="s">
        <v>13667</v>
      </c>
      <c r="E2192" s="7" t="s">
        <v>398</v>
      </c>
      <c r="F2192" s="7" t="s">
        <v>398</v>
      </c>
      <c r="G2192" s="7"/>
      <c r="H2192" s="7"/>
      <c r="I2192" s="7" t="s">
        <v>158</v>
      </c>
      <c r="J2192" s="7" t="s">
        <v>104</v>
      </c>
      <c r="K2192" s="7" t="s">
        <v>105</v>
      </c>
      <c r="L2192" s="7" t="s">
        <v>106</v>
      </c>
      <c r="M2192" s="7"/>
      <c r="N2192" s="7" t="s">
        <v>13668</v>
      </c>
      <c r="O2192" s="7" t="s">
        <v>13668</v>
      </c>
      <c r="P2192" s="7"/>
      <c r="Q2192" s="7"/>
      <c r="R2192" s="7" t="s">
        <v>109</v>
      </c>
      <c r="S2192" s="7" t="s">
        <v>110</v>
      </c>
      <c r="T2192" s="7" t="n">
        <v>0.725</v>
      </c>
      <c r="U2192" s="7" t="n">
        <v>1</v>
      </c>
      <c r="V2192" s="7" t="s">
        <v>90</v>
      </c>
      <c r="W2192" s="7"/>
      <c r="X2192" s="7" t="s">
        <v>263</v>
      </c>
      <c r="Y2192" s="7" t="s">
        <v>13668</v>
      </c>
      <c r="Z2192" s="7"/>
      <c r="AA2192" s="7"/>
      <c r="AB2192" s="7"/>
      <c r="AC2192" s="7" t="n">
        <v>5</v>
      </c>
      <c r="AD2192" s="7" t="s">
        <v>743</v>
      </c>
      <c r="AE2192" s="7" t="s">
        <v>448</v>
      </c>
      <c r="AF2192" s="7" t="s">
        <v>13669</v>
      </c>
      <c r="AG2192" s="7" t="s">
        <v>448</v>
      </c>
      <c r="AH2192" s="7" t="s">
        <v>263</v>
      </c>
      <c r="AI2192" s="7"/>
      <c r="AJ2192" s="7"/>
      <c r="AK2192" s="7"/>
      <c r="AL2192" s="7"/>
      <c r="AM2192" s="7"/>
      <c r="AN2192" s="7"/>
      <c r="AO2192" s="7" t="s">
        <v>448</v>
      </c>
      <c r="AP2192" s="7" t="s">
        <v>13667</v>
      </c>
      <c r="AQ2192" s="7" t="s">
        <v>448</v>
      </c>
      <c r="AR2192" s="7" t="s">
        <v>398</v>
      </c>
      <c r="AS2192" s="7"/>
      <c r="AT2192" s="7"/>
      <c r="AU2192" s="7"/>
      <c r="AV2192" s="7"/>
      <c r="AW2192" s="7" t="s">
        <v>448</v>
      </c>
      <c r="AX2192" s="7" t="s">
        <v>13668</v>
      </c>
      <c r="AY2192" s="7"/>
      <c r="AZ2192" s="7"/>
      <c r="BA2192" s="7"/>
      <c r="BB2192" s="7"/>
      <c r="BC2192" s="7"/>
      <c r="BD2192" s="7"/>
      <c r="BE2192" s="7" t="s">
        <v>127</v>
      </c>
      <c r="BF2192" s="8"/>
      <c r="BG2192" s="8"/>
      <c r="BH2192" s="8"/>
      <c r="BI2192" s="8"/>
      <c r="BJ2192" s="8"/>
      <c r="BK2192" s="8"/>
      <c r="BL2192" s="8"/>
      <c r="BM2192" s="8"/>
      <c r="BN2192" s="8"/>
      <c r="BO2192" s="8"/>
      <c r="BP2192" s="8"/>
      <c r="BQ2192" s="8"/>
      <c r="BR2192" s="8"/>
      <c r="BS2192" s="8"/>
    </row>
    <row r="2193" customFormat="false" ht="15" hidden="false" customHeight="false" outlineLevel="0" collapsed="false">
      <c r="A2193" s="7" t="s">
        <v>13670</v>
      </c>
      <c r="B2193" s="7" t="s">
        <v>13671</v>
      </c>
      <c r="C2193" s="7" t="s">
        <v>13672</v>
      </c>
      <c r="D2193" s="7" t="s">
        <v>13673</v>
      </c>
      <c r="E2193" s="7" t="s">
        <v>3575</v>
      </c>
      <c r="F2193" s="7" t="s">
        <v>3575</v>
      </c>
      <c r="G2193" s="7"/>
      <c r="H2193" s="7"/>
      <c r="I2193" s="7" t="s">
        <v>158</v>
      </c>
      <c r="J2193" s="7" t="s">
        <v>104</v>
      </c>
      <c r="K2193" s="7" t="s">
        <v>105</v>
      </c>
      <c r="L2193" s="7" t="s">
        <v>106</v>
      </c>
      <c r="M2193" s="7"/>
      <c r="N2193" s="7" t="s">
        <v>13674</v>
      </c>
      <c r="O2193" s="7" t="s">
        <v>13674</v>
      </c>
      <c r="P2193" s="7"/>
      <c r="Q2193" s="7"/>
      <c r="R2193" s="7" t="s">
        <v>109</v>
      </c>
      <c r="S2193" s="7" t="s">
        <v>110</v>
      </c>
      <c r="T2193" s="7" t="n">
        <v>0.422</v>
      </c>
      <c r="U2193" s="7" t="n">
        <v>1</v>
      </c>
      <c r="V2193" s="7" t="s">
        <v>90</v>
      </c>
      <c r="W2193" s="7"/>
      <c r="X2193" s="7" t="s">
        <v>9590</v>
      </c>
      <c r="Y2193" s="7" t="s">
        <v>13674</v>
      </c>
      <c r="Z2193" s="7"/>
      <c r="AA2193" s="7"/>
      <c r="AB2193" s="7"/>
      <c r="AC2193" s="7" t="n">
        <v>5</v>
      </c>
      <c r="AD2193" s="7" t="s">
        <v>743</v>
      </c>
      <c r="AE2193" s="7" t="s">
        <v>189</v>
      </c>
      <c r="AF2193" s="7" t="s">
        <v>13672</v>
      </c>
      <c r="AG2193" s="7" t="s">
        <v>189</v>
      </c>
      <c r="AH2193" s="7" t="s">
        <v>9590</v>
      </c>
      <c r="AI2193" s="7"/>
      <c r="AJ2193" s="7"/>
      <c r="AK2193" s="7"/>
      <c r="AL2193" s="7"/>
      <c r="AM2193" s="7"/>
      <c r="AN2193" s="7"/>
      <c r="AO2193" s="7" t="s">
        <v>189</v>
      </c>
      <c r="AP2193" s="7" t="s">
        <v>13673</v>
      </c>
      <c r="AQ2193" s="7" t="s">
        <v>189</v>
      </c>
      <c r="AR2193" s="7" t="s">
        <v>3575</v>
      </c>
      <c r="AS2193" s="7"/>
      <c r="AT2193" s="7"/>
      <c r="AU2193" s="7"/>
      <c r="AV2193" s="7"/>
      <c r="AW2193" s="7" t="s">
        <v>189</v>
      </c>
      <c r="AX2193" s="7" t="s">
        <v>13674</v>
      </c>
      <c r="AY2193" s="7"/>
      <c r="AZ2193" s="7"/>
      <c r="BA2193" s="7"/>
      <c r="BB2193" s="7"/>
      <c r="BC2193" s="7"/>
      <c r="BD2193" s="7"/>
      <c r="BE2193" s="7" t="s">
        <v>127</v>
      </c>
      <c r="BF2193" s="8"/>
      <c r="BG2193" s="8"/>
      <c r="BH2193" s="8"/>
      <c r="BI2193" s="8"/>
      <c r="BJ2193" s="8"/>
      <c r="BK2193" s="8"/>
      <c r="BL2193" s="8"/>
      <c r="BM2193" s="8"/>
      <c r="BN2193" s="8"/>
      <c r="BO2193" s="8"/>
      <c r="BP2193" s="8"/>
      <c r="BQ2193" s="8"/>
      <c r="BR2193" s="8"/>
      <c r="BS2193" s="8"/>
    </row>
    <row r="2194" customFormat="false" ht="15" hidden="false" customHeight="false" outlineLevel="0" collapsed="false">
      <c r="A2194" s="7" t="s">
        <v>13675</v>
      </c>
      <c r="B2194" s="7" t="s">
        <v>13676</v>
      </c>
      <c r="C2194" s="7" t="s">
        <v>13677</v>
      </c>
      <c r="D2194" s="7" t="s">
        <v>13673</v>
      </c>
      <c r="E2194" s="7" t="s">
        <v>3575</v>
      </c>
      <c r="F2194" s="7" t="s">
        <v>3575</v>
      </c>
      <c r="G2194" s="7"/>
      <c r="H2194" s="7"/>
      <c r="I2194" s="7" t="s">
        <v>158</v>
      </c>
      <c r="J2194" s="7" t="s">
        <v>104</v>
      </c>
      <c r="K2194" s="7" t="s">
        <v>105</v>
      </c>
      <c r="L2194" s="7" t="s">
        <v>106</v>
      </c>
      <c r="M2194" s="7"/>
      <c r="N2194" s="7" t="s">
        <v>13678</v>
      </c>
      <c r="O2194" s="7" t="s">
        <v>13678</v>
      </c>
      <c r="P2194" s="7"/>
      <c r="Q2194" s="7"/>
      <c r="R2194" s="7" t="s">
        <v>109</v>
      </c>
      <c r="S2194" s="7" t="s">
        <v>110</v>
      </c>
      <c r="T2194" s="7" t="n">
        <v>0.605</v>
      </c>
      <c r="U2194" s="7" t="n">
        <v>1</v>
      </c>
      <c r="V2194" s="7" t="s">
        <v>90</v>
      </c>
      <c r="W2194" s="7"/>
      <c r="X2194" s="7" t="s">
        <v>9590</v>
      </c>
      <c r="Y2194" s="7" t="s">
        <v>13678</v>
      </c>
      <c r="Z2194" s="7"/>
      <c r="AA2194" s="7"/>
      <c r="AB2194" s="7"/>
      <c r="AC2194" s="7" t="n">
        <v>5</v>
      </c>
      <c r="AD2194" s="7" t="s">
        <v>743</v>
      </c>
      <c r="AE2194" s="7" t="s">
        <v>189</v>
      </c>
      <c r="AF2194" s="7" t="s">
        <v>13677</v>
      </c>
      <c r="AG2194" s="7" t="s">
        <v>189</v>
      </c>
      <c r="AH2194" s="7" t="s">
        <v>9590</v>
      </c>
      <c r="AI2194" s="7"/>
      <c r="AJ2194" s="7"/>
      <c r="AK2194" s="7"/>
      <c r="AL2194" s="7"/>
      <c r="AM2194" s="7"/>
      <c r="AN2194" s="7"/>
      <c r="AO2194" s="7" t="s">
        <v>189</v>
      </c>
      <c r="AP2194" s="7" t="s">
        <v>13673</v>
      </c>
      <c r="AQ2194" s="7" t="s">
        <v>189</v>
      </c>
      <c r="AR2194" s="7" t="s">
        <v>3575</v>
      </c>
      <c r="AS2194" s="7"/>
      <c r="AT2194" s="7"/>
      <c r="AU2194" s="7"/>
      <c r="AV2194" s="7"/>
      <c r="AW2194" s="7" t="s">
        <v>189</v>
      </c>
      <c r="AX2194" s="7" t="s">
        <v>13678</v>
      </c>
      <c r="AY2194" s="7"/>
      <c r="AZ2194" s="7"/>
      <c r="BA2194" s="7"/>
      <c r="BB2194" s="7"/>
      <c r="BC2194" s="7"/>
      <c r="BD2194" s="7"/>
      <c r="BE2194" s="7" t="s">
        <v>127</v>
      </c>
      <c r="BF2194" s="8"/>
      <c r="BG2194" s="8"/>
      <c r="BH2194" s="8"/>
      <c r="BI2194" s="8"/>
      <c r="BJ2194" s="8"/>
      <c r="BK2194" s="8"/>
      <c r="BL2194" s="8"/>
      <c r="BM2194" s="8"/>
      <c r="BN2194" s="8"/>
      <c r="BO2194" s="8"/>
      <c r="BP2194" s="8"/>
      <c r="BQ2194" s="8"/>
      <c r="BR2194" s="8"/>
      <c r="BS2194" s="8"/>
    </row>
    <row r="2195" customFormat="false" ht="15" hidden="false" customHeight="false" outlineLevel="0" collapsed="false">
      <c r="A2195" s="7" t="s">
        <v>13679</v>
      </c>
      <c r="B2195" s="7" t="s">
        <v>13680</v>
      </c>
      <c r="C2195" s="7" t="s">
        <v>13681</v>
      </c>
      <c r="D2195" s="7" t="s">
        <v>9066</v>
      </c>
      <c r="E2195" s="7" t="s">
        <v>410</v>
      </c>
      <c r="F2195" s="7" t="s">
        <v>410</v>
      </c>
      <c r="G2195" s="7"/>
      <c r="H2195" s="7"/>
      <c r="I2195" s="7" t="s">
        <v>132</v>
      </c>
      <c r="J2195" s="7" t="s">
        <v>104</v>
      </c>
      <c r="K2195" s="7" t="s">
        <v>105</v>
      </c>
      <c r="L2195" s="7" t="s">
        <v>106</v>
      </c>
      <c r="M2195" s="7"/>
      <c r="N2195" s="7" t="s">
        <v>13682</v>
      </c>
      <c r="O2195" s="7" t="s">
        <v>13682</v>
      </c>
      <c r="P2195" s="7"/>
      <c r="Q2195" s="7"/>
      <c r="R2195" s="7" t="s">
        <v>109</v>
      </c>
      <c r="S2195" s="7" t="s">
        <v>110</v>
      </c>
      <c r="T2195" s="7" t="n">
        <v>0.356</v>
      </c>
      <c r="U2195" s="7" t="n">
        <v>1</v>
      </c>
      <c r="V2195" s="7" t="s">
        <v>90</v>
      </c>
      <c r="W2195" s="7"/>
      <c r="X2195" s="7" t="s">
        <v>5477</v>
      </c>
      <c r="Y2195" s="7" t="s">
        <v>13682</v>
      </c>
      <c r="Z2195" s="7"/>
      <c r="AA2195" s="7"/>
      <c r="AB2195" s="7"/>
      <c r="AC2195" s="7" t="n">
        <v>5</v>
      </c>
      <c r="AD2195" s="7" t="s">
        <v>743</v>
      </c>
      <c r="AE2195" s="7" t="s">
        <v>189</v>
      </c>
      <c r="AF2195" s="7" t="s">
        <v>13681</v>
      </c>
      <c r="AG2195" s="7" t="s">
        <v>189</v>
      </c>
      <c r="AH2195" s="7" t="s">
        <v>5477</v>
      </c>
      <c r="AI2195" s="7"/>
      <c r="AJ2195" s="7"/>
      <c r="AK2195" s="7"/>
      <c r="AL2195" s="7"/>
      <c r="AM2195" s="7"/>
      <c r="AN2195" s="7"/>
      <c r="AO2195" s="7" t="s">
        <v>189</v>
      </c>
      <c r="AP2195" s="7" t="s">
        <v>9066</v>
      </c>
      <c r="AQ2195" s="7" t="s">
        <v>189</v>
      </c>
      <c r="AR2195" s="7" t="s">
        <v>410</v>
      </c>
      <c r="AS2195" s="7"/>
      <c r="AT2195" s="7"/>
      <c r="AU2195" s="7"/>
      <c r="AV2195" s="7"/>
      <c r="AW2195" s="7" t="s">
        <v>189</v>
      </c>
      <c r="AX2195" s="7" t="s">
        <v>13682</v>
      </c>
      <c r="AY2195" s="7"/>
      <c r="AZ2195" s="7"/>
      <c r="BA2195" s="7"/>
      <c r="BB2195" s="7"/>
      <c r="BC2195" s="7"/>
      <c r="BD2195" s="7"/>
      <c r="BE2195" s="7" t="s">
        <v>127</v>
      </c>
      <c r="BF2195" s="8"/>
      <c r="BG2195" s="8"/>
      <c r="BH2195" s="8"/>
      <c r="BI2195" s="8"/>
      <c r="BJ2195" s="8"/>
      <c r="BK2195" s="8"/>
      <c r="BL2195" s="8"/>
      <c r="BM2195" s="8"/>
      <c r="BN2195" s="8"/>
      <c r="BO2195" s="8"/>
      <c r="BP2195" s="8"/>
      <c r="BQ2195" s="8"/>
      <c r="BR2195" s="8"/>
      <c r="BS2195" s="8"/>
    </row>
    <row r="2196" customFormat="false" ht="15" hidden="false" customHeight="false" outlineLevel="0" collapsed="false">
      <c r="A2196" s="7" t="s">
        <v>13683</v>
      </c>
      <c r="B2196" s="7" t="s">
        <v>13684</v>
      </c>
      <c r="C2196" s="7" t="s">
        <v>13685</v>
      </c>
      <c r="D2196" s="7" t="s">
        <v>6749</v>
      </c>
      <c r="E2196" s="7" t="s">
        <v>888</v>
      </c>
      <c r="F2196" s="7" t="s">
        <v>888</v>
      </c>
      <c r="G2196" s="7"/>
      <c r="H2196" s="7"/>
      <c r="I2196" s="7" t="s">
        <v>132</v>
      </c>
      <c r="J2196" s="7" t="s">
        <v>104</v>
      </c>
      <c r="K2196" s="7" t="s">
        <v>105</v>
      </c>
      <c r="L2196" s="7" t="s">
        <v>106</v>
      </c>
      <c r="M2196" s="7"/>
      <c r="N2196" s="7" t="s">
        <v>13686</v>
      </c>
      <c r="O2196" s="7" t="s">
        <v>13686</v>
      </c>
      <c r="P2196" s="7"/>
      <c r="Q2196" s="7"/>
      <c r="R2196" s="7" t="s">
        <v>109</v>
      </c>
      <c r="S2196" s="7" t="s">
        <v>110</v>
      </c>
      <c r="T2196" s="7" t="n">
        <v>0.438</v>
      </c>
      <c r="U2196" s="7" t="n">
        <v>1</v>
      </c>
      <c r="V2196" s="7" t="s">
        <v>90</v>
      </c>
      <c r="W2196" s="7"/>
      <c r="X2196" s="7" t="s">
        <v>10680</v>
      </c>
      <c r="Y2196" s="7" t="s">
        <v>13686</v>
      </c>
      <c r="Z2196" s="7"/>
      <c r="AA2196" s="7"/>
      <c r="AB2196" s="7"/>
      <c r="AC2196" s="7" t="n">
        <v>5</v>
      </c>
      <c r="AD2196" s="7" t="s">
        <v>743</v>
      </c>
      <c r="AE2196" s="7" t="s">
        <v>189</v>
      </c>
      <c r="AF2196" s="7" t="s">
        <v>13685</v>
      </c>
      <c r="AG2196" s="7" t="s">
        <v>189</v>
      </c>
      <c r="AH2196" s="7" t="s">
        <v>10680</v>
      </c>
      <c r="AI2196" s="7"/>
      <c r="AJ2196" s="7"/>
      <c r="AK2196" s="7"/>
      <c r="AL2196" s="7"/>
      <c r="AM2196" s="7"/>
      <c r="AN2196" s="7"/>
      <c r="AO2196" s="7" t="s">
        <v>189</v>
      </c>
      <c r="AP2196" s="7" t="s">
        <v>6749</v>
      </c>
      <c r="AQ2196" s="7" t="s">
        <v>189</v>
      </c>
      <c r="AR2196" s="7" t="s">
        <v>888</v>
      </c>
      <c r="AS2196" s="7"/>
      <c r="AT2196" s="7"/>
      <c r="AU2196" s="7"/>
      <c r="AV2196" s="7"/>
      <c r="AW2196" s="7" t="s">
        <v>189</v>
      </c>
      <c r="AX2196" s="7" t="s">
        <v>13686</v>
      </c>
      <c r="AY2196" s="7"/>
      <c r="AZ2196" s="7"/>
      <c r="BA2196" s="7"/>
      <c r="BB2196" s="7"/>
      <c r="BC2196" s="7"/>
      <c r="BD2196" s="7"/>
      <c r="BE2196" s="7" t="s">
        <v>127</v>
      </c>
      <c r="BF2196" s="8"/>
      <c r="BG2196" s="8"/>
      <c r="BH2196" s="8"/>
      <c r="BI2196" s="8"/>
      <c r="BJ2196" s="8"/>
      <c r="BK2196" s="8"/>
      <c r="BL2196" s="8"/>
      <c r="BM2196" s="8"/>
      <c r="BN2196" s="8"/>
      <c r="BO2196" s="8"/>
      <c r="BP2196" s="8"/>
      <c r="BQ2196" s="8"/>
      <c r="BR2196" s="8"/>
      <c r="BS2196" s="8"/>
    </row>
    <row r="2197" customFormat="false" ht="15" hidden="false" customHeight="false" outlineLevel="0" collapsed="false">
      <c r="A2197" s="7" t="s">
        <v>13687</v>
      </c>
      <c r="B2197" s="7" t="s">
        <v>13688</v>
      </c>
      <c r="C2197" s="7" t="s">
        <v>13689</v>
      </c>
      <c r="D2197" s="7" t="s">
        <v>13690</v>
      </c>
      <c r="E2197" s="7" t="s">
        <v>444</v>
      </c>
      <c r="F2197" s="7" t="s">
        <v>444</v>
      </c>
      <c r="G2197" s="7"/>
      <c r="H2197" s="7"/>
      <c r="I2197" s="7" t="s">
        <v>132</v>
      </c>
      <c r="J2197" s="7" t="s">
        <v>104</v>
      </c>
      <c r="K2197" s="7" t="s">
        <v>105</v>
      </c>
      <c r="L2197" s="7" t="s">
        <v>106</v>
      </c>
      <c r="M2197" s="7"/>
      <c r="N2197" s="7" t="s">
        <v>13691</v>
      </c>
      <c r="O2197" s="7" t="s">
        <v>13691</v>
      </c>
      <c r="P2197" s="7"/>
      <c r="Q2197" s="7"/>
      <c r="R2197" s="7" t="s">
        <v>109</v>
      </c>
      <c r="S2197" s="7" t="s">
        <v>110</v>
      </c>
      <c r="T2197" s="7" t="n">
        <v>0.437</v>
      </c>
      <c r="U2197" s="7" t="n">
        <v>1</v>
      </c>
      <c r="V2197" s="7" t="s">
        <v>90</v>
      </c>
      <c r="W2197" s="7"/>
      <c r="X2197" s="7" t="s">
        <v>6939</v>
      </c>
      <c r="Y2197" s="7" t="s">
        <v>13691</v>
      </c>
      <c r="Z2197" s="7"/>
      <c r="AA2197" s="7"/>
      <c r="AB2197" s="7"/>
      <c r="AC2197" s="7" t="n">
        <v>5</v>
      </c>
      <c r="AD2197" s="7" t="s">
        <v>743</v>
      </c>
      <c r="AE2197" s="7" t="s">
        <v>189</v>
      </c>
      <c r="AF2197" s="7" t="s">
        <v>13689</v>
      </c>
      <c r="AG2197" s="7" t="s">
        <v>189</v>
      </c>
      <c r="AH2197" s="7" t="s">
        <v>6939</v>
      </c>
      <c r="AI2197" s="7"/>
      <c r="AJ2197" s="7"/>
      <c r="AK2197" s="7"/>
      <c r="AL2197" s="7"/>
      <c r="AM2197" s="7"/>
      <c r="AN2197" s="7"/>
      <c r="AO2197" s="7" t="s">
        <v>189</v>
      </c>
      <c r="AP2197" s="7" t="s">
        <v>13690</v>
      </c>
      <c r="AQ2197" s="7" t="s">
        <v>189</v>
      </c>
      <c r="AR2197" s="7" t="s">
        <v>444</v>
      </c>
      <c r="AS2197" s="7"/>
      <c r="AT2197" s="7"/>
      <c r="AU2197" s="7"/>
      <c r="AV2197" s="7"/>
      <c r="AW2197" s="7" t="s">
        <v>189</v>
      </c>
      <c r="AX2197" s="7" t="s">
        <v>13691</v>
      </c>
      <c r="AY2197" s="7"/>
      <c r="AZ2197" s="7"/>
      <c r="BA2197" s="7"/>
      <c r="BB2197" s="7"/>
      <c r="BC2197" s="7"/>
      <c r="BD2197" s="7"/>
      <c r="BE2197" s="7" t="s">
        <v>127</v>
      </c>
      <c r="BF2197" s="8"/>
      <c r="BG2197" s="8"/>
      <c r="BH2197" s="8"/>
      <c r="BI2197" s="8"/>
      <c r="BJ2197" s="8"/>
      <c r="BK2197" s="8"/>
      <c r="BL2197" s="8"/>
      <c r="BM2197" s="8"/>
      <c r="BN2197" s="8"/>
      <c r="BO2197" s="8"/>
      <c r="BP2197" s="8"/>
      <c r="BQ2197" s="8"/>
      <c r="BR2197" s="8"/>
      <c r="BS2197" s="8"/>
    </row>
    <row r="2198" customFormat="false" ht="15" hidden="false" customHeight="false" outlineLevel="0" collapsed="false">
      <c r="A2198" s="7" t="s">
        <v>13692</v>
      </c>
      <c r="B2198" s="7" t="s">
        <v>13693</v>
      </c>
      <c r="C2198" s="7" t="s">
        <v>13694</v>
      </c>
      <c r="D2198" s="7" t="s">
        <v>9790</v>
      </c>
      <c r="E2198" s="7" t="s">
        <v>444</v>
      </c>
      <c r="F2198" s="7" t="s">
        <v>444</v>
      </c>
      <c r="G2198" s="7"/>
      <c r="H2198" s="7"/>
      <c r="I2198" s="7" t="s">
        <v>132</v>
      </c>
      <c r="J2198" s="7" t="s">
        <v>104</v>
      </c>
      <c r="K2198" s="7" t="s">
        <v>105</v>
      </c>
      <c r="L2198" s="7" t="s">
        <v>106</v>
      </c>
      <c r="M2198" s="7"/>
      <c r="N2198" s="7" t="s">
        <v>13695</v>
      </c>
      <c r="O2198" s="7" t="s">
        <v>13695</v>
      </c>
      <c r="P2198" s="7"/>
      <c r="Q2198" s="7"/>
      <c r="R2198" s="7" t="s">
        <v>109</v>
      </c>
      <c r="S2198" s="7" t="s">
        <v>110</v>
      </c>
      <c r="T2198" s="7" t="n">
        <v>0.422</v>
      </c>
      <c r="U2198" s="7" t="n">
        <v>1</v>
      </c>
      <c r="V2198" s="7" t="s">
        <v>90</v>
      </c>
      <c r="W2198" s="7"/>
      <c r="X2198" s="7" t="s">
        <v>496</v>
      </c>
      <c r="Y2198" s="7" t="s">
        <v>13695</v>
      </c>
      <c r="Z2198" s="7"/>
      <c r="AA2198" s="7"/>
      <c r="AB2198" s="7"/>
      <c r="AC2198" s="7" t="n">
        <v>5</v>
      </c>
      <c r="AD2198" s="7" t="s">
        <v>743</v>
      </c>
      <c r="AE2198" s="7" t="s">
        <v>189</v>
      </c>
      <c r="AF2198" s="7" t="s">
        <v>13694</v>
      </c>
      <c r="AG2198" s="7" t="s">
        <v>189</v>
      </c>
      <c r="AH2198" s="7" t="s">
        <v>496</v>
      </c>
      <c r="AI2198" s="7"/>
      <c r="AJ2198" s="7"/>
      <c r="AK2198" s="7"/>
      <c r="AL2198" s="7"/>
      <c r="AM2198" s="7"/>
      <c r="AN2198" s="7"/>
      <c r="AO2198" s="7" t="s">
        <v>189</v>
      </c>
      <c r="AP2198" s="7" t="s">
        <v>9790</v>
      </c>
      <c r="AQ2198" s="7" t="s">
        <v>189</v>
      </c>
      <c r="AR2198" s="7" t="s">
        <v>444</v>
      </c>
      <c r="AS2198" s="7"/>
      <c r="AT2198" s="7"/>
      <c r="AU2198" s="7"/>
      <c r="AV2198" s="7"/>
      <c r="AW2198" s="7" t="s">
        <v>189</v>
      </c>
      <c r="AX2198" s="7" t="s">
        <v>13695</v>
      </c>
      <c r="AY2198" s="7"/>
      <c r="AZ2198" s="7"/>
      <c r="BA2198" s="7"/>
      <c r="BB2198" s="7"/>
      <c r="BC2198" s="7"/>
      <c r="BD2198" s="7"/>
      <c r="BE2198" s="7" t="s">
        <v>127</v>
      </c>
      <c r="BF2198" s="8"/>
      <c r="BG2198" s="8"/>
      <c r="BH2198" s="8"/>
      <c r="BI2198" s="8"/>
      <c r="BJ2198" s="8"/>
      <c r="BK2198" s="8"/>
      <c r="BL2198" s="8"/>
      <c r="BM2198" s="8"/>
      <c r="BN2198" s="8"/>
      <c r="BO2198" s="8"/>
      <c r="BP2198" s="8"/>
      <c r="BQ2198" s="8"/>
      <c r="BR2198" s="8"/>
      <c r="BS2198" s="8"/>
    </row>
    <row r="2199" customFormat="false" ht="15" hidden="false" customHeight="false" outlineLevel="0" collapsed="false">
      <c r="A2199" s="7" t="s">
        <v>13696</v>
      </c>
      <c r="B2199" s="7" t="s">
        <v>13697</v>
      </c>
      <c r="C2199" s="7" t="s">
        <v>13698</v>
      </c>
      <c r="D2199" s="7" t="s">
        <v>13699</v>
      </c>
      <c r="E2199" s="7" t="s">
        <v>507</v>
      </c>
      <c r="F2199" s="7" t="s">
        <v>507</v>
      </c>
      <c r="G2199" s="7"/>
      <c r="H2199" s="7"/>
      <c r="I2199" s="7" t="s">
        <v>132</v>
      </c>
      <c r="J2199" s="7" t="s">
        <v>104</v>
      </c>
      <c r="K2199" s="7" t="s">
        <v>105</v>
      </c>
      <c r="L2199" s="7" t="s">
        <v>106</v>
      </c>
      <c r="M2199" s="7"/>
      <c r="N2199" s="7" t="s">
        <v>13700</v>
      </c>
      <c r="O2199" s="7" t="s">
        <v>13700</v>
      </c>
      <c r="P2199" s="7"/>
      <c r="Q2199" s="7"/>
      <c r="R2199" s="7" t="s">
        <v>109</v>
      </c>
      <c r="S2199" s="7" t="s">
        <v>110</v>
      </c>
      <c r="T2199" s="7" t="n">
        <v>0.317</v>
      </c>
      <c r="U2199" s="7" t="n">
        <v>1</v>
      </c>
      <c r="V2199" s="7" t="s">
        <v>90</v>
      </c>
      <c r="W2199" s="7"/>
      <c r="X2199" s="7" t="s">
        <v>496</v>
      </c>
      <c r="Y2199" s="7" t="s">
        <v>13700</v>
      </c>
      <c r="Z2199" s="7"/>
      <c r="AA2199" s="7"/>
      <c r="AB2199" s="7"/>
      <c r="AC2199" s="7" t="n">
        <v>5</v>
      </c>
      <c r="AD2199" s="7" t="s">
        <v>743</v>
      </c>
      <c r="AE2199" s="7" t="s">
        <v>189</v>
      </c>
      <c r="AF2199" s="7" t="s">
        <v>13698</v>
      </c>
      <c r="AG2199" s="7" t="s">
        <v>189</v>
      </c>
      <c r="AH2199" s="7" t="s">
        <v>496</v>
      </c>
      <c r="AI2199" s="7"/>
      <c r="AJ2199" s="7"/>
      <c r="AK2199" s="7"/>
      <c r="AL2199" s="7"/>
      <c r="AM2199" s="7"/>
      <c r="AN2199" s="7"/>
      <c r="AO2199" s="7" t="s">
        <v>189</v>
      </c>
      <c r="AP2199" s="7" t="s">
        <v>13699</v>
      </c>
      <c r="AQ2199" s="7" t="s">
        <v>189</v>
      </c>
      <c r="AR2199" s="7" t="s">
        <v>507</v>
      </c>
      <c r="AS2199" s="7"/>
      <c r="AT2199" s="7"/>
      <c r="AU2199" s="7"/>
      <c r="AV2199" s="7"/>
      <c r="AW2199" s="7" t="s">
        <v>189</v>
      </c>
      <c r="AX2199" s="7" t="s">
        <v>13700</v>
      </c>
      <c r="AY2199" s="7"/>
      <c r="AZ2199" s="7"/>
      <c r="BA2199" s="7"/>
      <c r="BB2199" s="7"/>
      <c r="BC2199" s="7"/>
      <c r="BD2199" s="7"/>
      <c r="BE2199" s="7" t="s">
        <v>127</v>
      </c>
      <c r="BF2199" s="8"/>
      <c r="BG2199" s="8"/>
      <c r="BH2199" s="8"/>
      <c r="BI2199" s="8"/>
      <c r="BJ2199" s="8"/>
      <c r="BK2199" s="8"/>
      <c r="BL2199" s="8"/>
      <c r="BM2199" s="8"/>
      <c r="BN2199" s="8"/>
      <c r="BO2199" s="8"/>
      <c r="BP2199" s="8"/>
      <c r="BQ2199" s="8"/>
      <c r="BR2199" s="8"/>
      <c r="BS2199" s="8"/>
    </row>
    <row r="2200" customFormat="false" ht="15" hidden="false" customHeight="false" outlineLevel="0" collapsed="false">
      <c r="A2200" s="7" t="s">
        <v>13701</v>
      </c>
      <c r="B2200" s="7" t="s">
        <v>13702</v>
      </c>
      <c r="C2200" s="7" t="s">
        <v>13703</v>
      </c>
      <c r="D2200" s="7" t="s">
        <v>3016</v>
      </c>
      <c r="E2200" s="7" t="s">
        <v>431</v>
      </c>
      <c r="F2200" s="7" t="s">
        <v>431</v>
      </c>
      <c r="G2200" s="7"/>
      <c r="H2200" s="7"/>
      <c r="I2200" s="7" t="s">
        <v>158</v>
      </c>
      <c r="J2200" s="7" t="s">
        <v>104</v>
      </c>
      <c r="K2200" s="7" t="s">
        <v>105</v>
      </c>
      <c r="L2200" s="7" t="s">
        <v>106</v>
      </c>
      <c r="M2200" s="7"/>
      <c r="N2200" s="7" t="s">
        <v>13704</v>
      </c>
      <c r="O2200" s="7" t="s">
        <v>13704</v>
      </c>
      <c r="P2200" s="7"/>
      <c r="Q2200" s="7"/>
      <c r="R2200" s="7" t="s">
        <v>109</v>
      </c>
      <c r="S2200" s="7" t="s">
        <v>110</v>
      </c>
      <c r="T2200" s="7" t="n">
        <v>0.555</v>
      </c>
      <c r="U2200" s="7" t="n">
        <v>1</v>
      </c>
      <c r="V2200" s="7" t="s">
        <v>90</v>
      </c>
      <c r="W2200" s="7"/>
      <c r="X2200" s="7" t="s">
        <v>11064</v>
      </c>
      <c r="Y2200" s="7" t="s">
        <v>13704</v>
      </c>
      <c r="Z2200" s="7"/>
      <c r="AA2200" s="7"/>
      <c r="AB2200" s="7"/>
      <c r="AC2200" s="7" t="n">
        <v>5</v>
      </c>
      <c r="AD2200" s="7" t="s">
        <v>743</v>
      </c>
      <c r="AE2200" s="7" t="s">
        <v>189</v>
      </c>
      <c r="AF2200" s="7" t="s">
        <v>13703</v>
      </c>
      <c r="AG2200" s="7" t="s">
        <v>189</v>
      </c>
      <c r="AH2200" s="7" t="s">
        <v>11064</v>
      </c>
      <c r="AI2200" s="7"/>
      <c r="AJ2200" s="7"/>
      <c r="AK2200" s="7"/>
      <c r="AL2200" s="7"/>
      <c r="AM2200" s="7"/>
      <c r="AN2200" s="7"/>
      <c r="AO2200" s="7" t="s">
        <v>189</v>
      </c>
      <c r="AP2200" s="7" t="s">
        <v>3016</v>
      </c>
      <c r="AQ2200" s="7" t="s">
        <v>189</v>
      </c>
      <c r="AR2200" s="7" t="s">
        <v>431</v>
      </c>
      <c r="AS2200" s="7"/>
      <c r="AT2200" s="7"/>
      <c r="AU2200" s="7"/>
      <c r="AV2200" s="7"/>
      <c r="AW2200" s="7" t="s">
        <v>189</v>
      </c>
      <c r="AX2200" s="7" t="s">
        <v>13704</v>
      </c>
      <c r="AY2200" s="7"/>
      <c r="AZ2200" s="7"/>
      <c r="BA2200" s="7"/>
      <c r="BB2200" s="7"/>
      <c r="BC2200" s="7"/>
      <c r="BD2200" s="7"/>
      <c r="BE2200" s="7" t="s">
        <v>127</v>
      </c>
      <c r="BF2200" s="8"/>
      <c r="BG2200" s="8"/>
      <c r="BH2200" s="8"/>
      <c r="BI2200" s="8"/>
      <c r="BJ2200" s="8"/>
      <c r="BK2200" s="8"/>
      <c r="BL2200" s="8"/>
      <c r="BM2200" s="8"/>
      <c r="BN2200" s="8"/>
      <c r="BO2200" s="8"/>
      <c r="BP2200" s="8"/>
      <c r="BQ2200" s="8"/>
      <c r="BR2200" s="8"/>
      <c r="BS2200" s="8"/>
    </row>
    <row r="2201" customFormat="false" ht="15" hidden="false" customHeight="false" outlineLevel="0" collapsed="false">
      <c r="A2201" s="7" t="s">
        <v>13705</v>
      </c>
      <c r="B2201" s="7" t="s">
        <v>13706</v>
      </c>
      <c r="C2201" s="7" t="s">
        <v>13707</v>
      </c>
      <c r="D2201" s="7" t="s">
        <v>13708</v>
      </c>
      <c r="E2201" s="7" t="s">
        <v>444</v>
      </c>
      <c r="F2201" s="7" t="s">
        <v>444</v>
      </c>
      <c r="G2201" s="7"/>
      <c r="H2201" s="7"/>
      <c r="I2201" s="7" t="s">
        <v>374</v>
      </c>
      <c r="J2201" s="7" t="s">
        <v>104</v>
      </c>
      <c r="K2201" s="7" t="s">
        <v>105</v>
      </c>
      <c r="L2201" s="7" t="s">
        <v>106</v>
      </c>
      <c r="M2201" s="7"/>
      <c r="N2201" s="7" t="s">
        <v>13709</v>
      </c>
      <c r="O2201" s="7" t="s">
        <v>13709</v>
      </c>
      <c r="P2201" s="7"/>
      <c r="Q2201" s="7"/>
      <c r="R2201" s="7" t="s">
        <v>109</v>
      </c>
      <c r="S2201" s="7" t="s">
        <v>110</v>
      </c>
      <c r="T2201" s="7" t="n">
        <v>0.307</v>
      </c>
      <c r="U2201" s="7" t="n">
        <v>1</v>
      </c>
      <c r="V2201" s="7" t="s">
        <v>90</v>
      </c>
      <c r="W2201" s="7"/>
      <c r="X2201" s="7" t="s">
        <v>876</v>
      </c>
      <c r="Y2201" s="7" t="s">
        <v>13709</v>
      </c>
      <c r="Z2201" s="7"/>
      <c r="AA2201" s="7"/>
      <c r="AB2201" s="7"/>
      <c r="AC2201" s="7" t="n">
        <v>5</v>
      </c>
      <c r="AD2201" s="7" t="s">
        <v>743</v>
      </c>
      <c r="AE2201" s="7" t="s">
        <v>189</v>
      </c>
      <c r="AF2201" s="7" t="s">
        <v>13707</v>
      </c>
      <c r="AG2201" s="7" t="s">
        <v>189</v>
      </c>
      <c r="AH2201" s="7" t="s">
        <v>876</v>
      </c>
      <c r="AI2201" s="7"/>
      <c r="AJ2201" s="7"/>
      <c r="AK2201" s="7"/>
      <c r="AL2201" s="7"/>
      <c r="AM2201" s="7"/>
      <c r="AN2201" s="7"/>
      <c r="AO2201" s="7" t="s">
        <v>189</v>
      </c>
      <c r="AP2201" s="7" t="s">
        <v>13708</v>
      </c>
      <c r="AQ2201" s="7" t="s">
        <v>189</v>
      </c>
      <c r="AR2201" s="7" t="s">
        <v>444</v>
      </c>
      <c r="AS2201" s="7"/>
      <c r="AT2201" s="7"/>
      <c r="AU2201" s="7"/>
      <c r="AV2201" s="7"/>
      <c r="AW2201" s="7" t="s">
        <v>189</v>
      </c>
      <c r="AX2201" s="7" t="s">
        <v>13709</v>
      </c>
      <c r="AY2201" s="7"/>
      <c r="AZ2201" s="7"/>
      <c r="BA2201" s="7"/>
      <c r="BB2201" s="7"/>
      <c r="BC2201" s="7"/>
      <c r="BD2201" s="7"/>
      <c r="BE2201" s="7" t="s">
        <v>127</v>
      </c>
      <c r="BF2201" s="8"/>
      <c r="BG2201" s="8"/>
      <c r="BH2201" s="8"/>
      <c r="BI2201" s="8"/>
      <c r="BJ2201" s="8"/>
      <c r="BK2201" s="8"/>
      <c r="BL2201" s="8"/>
      <c r="BM2201" s="8"/>
      <c r="BN2201" s="8"/>
      <c r="BO2201" s="8"/>
      <c r="BP2201" s="8"/>
      <c r="BQ2201" s="8"/>
      <c r="BR2201" s="8"/>
      <c r="BS2201" s="8"/>
    </row>
    <row r="2202" customFormat="false" ht="15" hidden="false" customHeight="false" outlineLevel="0" collapsed="false">
      <c r="A2202" s="7" t="s">
        <v>13710</v>
      </c>
      <c r="B2202" s="7" t="s">
        <v>13711</v>
      </c>
      <c r="C2202" s="7" t="s">
        <v>13712</v>
      </c>
      <c r="D2202" s="7" t="s">
        <v>11369</v>
      </c>
      <c r="E2202" s="7" t="s">
        <v>1966</v>
      </c>
      <c r="F2202" s="7" t="s">
        <v>1966</v>
      </c>
      <c r="G2202" s="7"/>
      <c r="H2202" s="7"/>
      <c r="I2202" s="7" t="s">
        <v>132</v>
      </c>
      <c r="J2202" s="7" t="s">
        <v>104</v>
      </c>
      <c r="K2202" s="7" t="s">
        <v>105</v>
      </c>
      <c r="L2202" s="7" t="s">
        <v>106</v>
      </c>
      <c r="M2202" s="7"/>
      <c r="N2202" s="7" t="s">
        <v>13713</v>
      </c>
      <c r="O2202" s="7" t="s">
        <v>13713</v>
      </c>
      <c r="P2202" s="7"/>
      <c r="Q2202" s="7"/>
      <c r="R2202" s="7" t="s">
        <v>109</v>
      </c>
      <c r="S2202" s="7" t="s">
        <v>110</v>
      </c>
      <c r="T2202" s="7" t="n">
        <v>0.352</v>
      </c>
      <c r="U2202" s="7" t="n">
        <v>1</v>
      </c>
      <c r="V2202" s="7" t="s">
        <v>90</v>
      </c>
      <c r="W2202" s="7"/>
      <c r="X2202" s="7" t="s">
        <v>4612</v>
      </c>
      <c r="Y2202" s="7" t="s">
        <v>13713</v>
      </c>
      <c r="Z2202" s="7"/>
      <c r="AA2202" s="7"/>
      <c r="AB2202" s="7"/>
      <c r="AC2202" s="7" t="n">
        <v>5</v>
      </c>
      <c r="AD2202" s="7" t="s">
        <v>743</v>
      </c>
      <c r="AE2202" s="7" t="s">
        <v>189</v>
      </c>
      <c r="AF2202" s="7" t="s">
        <v>13712</v>
      </c>
      <c r="AG2202" s="7" t="s">
        <v>189</v>
      </c>
      <c r="AH2202" s="7" t="s">
        <v>4612</v>
      </c>
      <c r="AI2202" s="7"/>
      <c r="AJ2202" s="7"/>
      <c r="AK2202" s="7"/>
      <c r="AL2202" s="7"/>
      <c r="AM2202" s="7"/>
      <c r="AN2202" s="7"/>
      <c r="AO2202" s="7" t="s">
        <v>189</v>
      </c>
      <c r="AP2202" s="7" t="s">
        <v>11369</v>
      </c>
      <c r="AQ2202" s="7" t="s">
        <v>189</v>
      </c>
      <c r="AR2202" s="7" t="s">
        <v>1966</v>
      </c>
      <c r="AS2202" s="7"/>
      <c r="AT2202" s="7"/>
      <c r="AU2202" s="7"/>
      <c r="AV2202" s="7"/>
      <c r="AW2202" s="7" t="s">
        <v>189</v>
      </c>
      <c r="AX2202" s="7" t="s">
        <v>13713</v>
      </c>
      <c r="AY2202" s="7"/>
      <c r="AZ2202" s="7"/>
      <c r="BA2202" s="7"/>
      <c r="BB2202" s="7"/>
      <c r="BC2202" s="7"/>
      <c r="BD2202" s="7"/>
      <c r="BE2202" s="7" t="s">
        <v>127</v>
      </c>
      <c r="BF2202" s="8"/>
      <c r="BG2202" s="8"/>
      <c r="BH2202" s="8"/>
      <c r="BI2202" s="8"/>
      <c r="BJ2202" s="8"/>
      <c r="BK2202" s="8"/>
      <c r="BL2202" s="8"/>
      <c r="BM2202" s="8"/>
      <c r="BN2202" s="8"/>
      <c r="BO2202" s="8"/>
      <c r="BP2202" s="8"/>
      <c r="BQ2202" s="8"/>
      <c r="BR2202" s="8"/>
      <c r="BS2202" s="8"/>
    </row>
    <row r="2203" customFormat="false" ht="15" hidden="false" customHeight="false" outlineLevel="0" collapsed="false">
      <c r="A2203" s="7" t="s">
        <v>13714</v>
      </c>
      <c r="B2203" s="7" t="s">
        <v>13715</v>
      </c>
      <c r="C2203" s="7" t="s">
        <v>13716</v>
      </c>
      <c r="D2203" s="7" t="s">
        <v>9401</v>
      </c>
      <c r="E2203" s="7" t="s">
        <v>82</v>
      </c>
      <c r="F2203" s="7" t="s">
        <v>82</v>
      </c>
      <c r="G2203" s="7" t="s">
        <v>2237</v>
      </c>
      <c r="H2203" s="7"/>
      <c r="I2203" s="7" t="s">
        <v>374</v>
      </c>
      <c r="J2203" s="7" t="s">
        <v>104</v>
      </c>
      <c r="K2203" s="7" t="s">
        <v>105</v>
      </c>
      <c r="L2203" s="7" t="s">
        <v>106</v>
      </c>
      <c r="M2203" s="7"/>
      <c r="N2203" s="7" t="s">
        <v>9403</v>
      </c>
      <c r="O2203" s="7" t="s">
        <v>9403</v>
      </c>
      <c r="P2203" s="7"/>
      <c r="Q2203" s="7"/>
      <c r="R2203" s="7" t="s">
        <v>109</v>
      </c>
      <c r="S2203" s="7" t="s">
        <v>110</v>
      </c>
      <c r="T2203" s="7" t="n">
        <v>0.428</v>
      </c>
      <c r="U2203" s="7" t="n">
        <v>1</v>
      </c>
      <c r="V2203" s="7" t="s">
        <v>90</v>
      </c>
      <c r="W2203" s="7"/>
      <c r="X2203" s="7" t="s">
        <v>356</v>
      </c>
      <c r="Y2203" s="7" t="s">
        <v>9403</v>
      </c>
      <c r="Z2203" s="7"/>
      <c r="AA2203" s="7"/>
      <c r="AB2203" s="7"/>
      <c r="AC2203" s="7" t="n">
        <v>5</v>
      </c>
      <c r="AD2203" s="7" t="s">
        <v>743</v>
      </c>
      <c r="AE2203" s="7" t="s">
        <v>189</v>
      </c>
      <c r="AF2203" s="7" t="s">
        <v>13716</v>
      </c>
      <c r="AG2203" s="7" t="s">
        <v>189</v>
      </c>
      <c r="AH2203" s="7" t="s">
        <v>356</v>
      </c>
      <c r="AI2203" s="7"/>
      <c r="AJ2203" s="7"/>
      <c r="AK2203" s="7"/>
      <c r="AL2203" s="7"/>
      <c r="AM2203" s="7"/>
      <c r="AN2203" s="7"/>
      <c r="AO2203" s="7" t="s">
        <v>189</v>
      </c>
      <c r="AP2203" s="7" t="s">
        <v>9401</v>
      </c>
      <c r="AQ2203" s="7" t="s">
        <v>189</v>
      </c>
      <c r="AR2203" s="7" t="s">
        <v>82</v>
      </c>
      <c r="AS2203" s="7"/>
      <c r="AT2203" s="7"/>
      <c r="AU2203" s="7"/>
      <c r="AV2203" s="7"/>
      <c r="AW2203" s="7" t="s">
        <v>189</v>
      </c>
      <c r="AX2203" s="7" t="s">
        <v>9403</v>
      </c>
      <c r="AY2203" s="7"/>
      <c r="AZ2203" s="7"/>
      <c r="BA2203" s="7"/>
      <c r="BB2203" s="7"/>
      <c r="BC2203" s="7"/>
      <c r="BD2203" s="7"/>
      <c r="BE2203" s="7" t="s">
        <v>127</v>
      </c>
      <c r="BF2203" s="8"/>
      <c r="BG2203" s="8"/>
      <c r="BH2203" s="8"/>
      <c r="BI2203" s="8"/>
      <c r="BJ2203" s="8"/>
      <c r="BK2203" s="8"/>
      <c r="BL2203" s="8"/>
      <c r="BM2203" s="8"/>
      <c r="BN2203" s="8"/>
      <c r="BO2203" s="8"/>
      <c r="BP2203" s="8"/>
      <c r="BQ2203" s="8"/>
      <c r="BR2203" s="8"/>
      <c r="BS2203" s="8"/>
    </row>
    <row r="2204" customFormat="false" ht="15" hidden="false" customHeight="false" outlineLevel="0" collapsed="false">
      <c r="A2204" s="7" t="s">
        <v>13717</v>
      </c>
      <c r="B2204" s="7" t="s">
        <v>13718</v>
      </c>
      <c r="C2204" s="7" t="s">
        <v>13719</v>
      </c>
      <c r="D2204" s="7" t="s">
        <v>13720</v>
      </c>
      <c r="E2204" s="7" t="s">
        <v>431</v>
      </c>
      <c r="F2204" s="7" t="s">
        <v>431</v>
      </c>
      <c r="G2204" s="7"/>
      <c r="H2204" s="7"/>
      <c r="I2204" s="7" t="s">
        <v>132</v>
      </c>
      <c r="J2204" s="7" t="s">
        <v>104</v>
      </c>
      <c r="K2204" s="7" t="s">
        <v>105</v>
      </c>
      <c r="L2204" s="7" t="s">
        <v>106</v>
      </c>
      <c r="M2204" s="7"/>
      <c r="N2204" s="7" t="s">
        <v>13721</v>
      </c>
      <c r="O2204" s="7" t="s">
        <v>13721</v>
      </c>
      <c r="P2204" s="7"/>
      <c r="Q2204" s="7"/>
      <c r="R2204" s="7" t="s">
        <v>109</v>
      </c>
      <c r="S2204" s="7" t="s">
        <v>110</v>
      </c>
      <c r="T2204" s="7" t="n">
        <v>0.325</v>
      </c>
      <c r="U2204" s="7" t="n">
        <v>1</v>
      </c>
      <c r="V2204" s="7" t="s">
        <v>90</v>
      </c>
      <c r="W2204" s="7"/>
      <c r="X2204" s="7" t="s">
        <v>163</v>
      </c>
      <c r="Y2204" s="7" t="s">
        <v>13721</v>
      </c>
      <c r="Z2204" s="7"/>
      <c r="AA2204" s="7"/>
      <c r="AB2204" s="7"/>
      <c r="AC2204" s="7" t="n">
        <v>5</v>
      </c>
      <c r="AD2204" s="7" t="s">
        <v>743</v>
      </c>
      <c r="AE2204" s="7" t="s">
        <v>189</v>
      </c>
      <c r="AF2204" s="7" t="s">
        <v>13719</v>
      </c>
      <c r="AG2204" s="7" t="s">
        <v>189</v>
      </c>
      <c r="AH2204" s="7" t="s">
        <v>163</v>
      </c>
      <c r="AI2204" s="7"/>
      <c r="AJ2204" s="7"/>
      <c r="AK2204" s="7"/>
      <c r="AL2204" s="7"/>
      <c r="AM2204" s="7"/>
      <c r="AN2204" s="7"/>
      <c r="AO2204" s="7" t="s">
        <v>189</v>
      </c>
      <c r="AP2204" s="7" t="s">
        <v>13720</v>
      </c>
      <c r="AQ2204" s="7" t="s">
        <v>189</v>
      </c>
      <c r="AR2204" s="7" t="s">
        <v>431</v>
      </c>
      <c r="AS2204" s="7"/>
      <c r="AT2204" s="7"/>
      <c r="AU2204" s="7"/>
      <c r="AV2204" s="7"/>
      <c r="AW2204" s="7" t="s">
        <v>189</v>
      </c>
      <c r="AX2204" s="7" t="s">
        <v>13721</v>
      </c>
      <c r="AY2204" s="7"/>
      <c r="AZ2204" s="7"/>
      <c r="BA2204" s="7"/>
      <c r="BB2204" s="7"/>
      <c r="BC2204" s="7"/>
      <c r="BD2204" s="7"/>
      <c r="BE2204" s="7" t="s">
        <v>127</v>
      </c>
      <c r="BF2204" s="8"/>
      <c r="BG2204" s="8"/>
      <c r="BH2204" s="8"/>
      <c r="BI2204" s="8"/>
      <c r="BJ2204" s="8"/>
      <c r="BK2204" s="8"/>
      <c r="BL2204" s="8"/>
      <c r="BM2204" s="8"/>
      <c r="BN2204" s="8"/>
      <c r="BO2204" s="8"/>
      <c r="BP2204" s="8"/>
      <c r="BQ2204" s="8"/>
      <c r="BR2204" s="8"/>
      <c r="BS2204" s="8"/>
    </row>
    <row r="2205" customFormat="false" ht="15" hidden="false" customHeight="false" outlineLevel="0" collapsed="false">
      <c r="A2205" s="7" t="s">
        <v>13722</v>
      </c>
      <c r="B2205" s="7" t="s">
        <v>13723</v>
      </c>
      <c r="C2205" s="7" t="s">
        <v>13724</v>
      </c>
      <c r="D2205" s="7" t="s">
        <v>1162</v>
      </c>
      <c r="E2205" s="7" t="s">
        <v>82</v>
      </c>
      <c r="F2205" s="7" t="s">
        <v>82</v>
      </c>
      <c r="G2205" s="7" t="s">
        <v>83</v>
      </c>
      <c r="H2205" s="7"/>
      <c r="I2205" s="7" t="s">
        <v>158</v>
      </c>
      <c r="J2205" s="7" t="s">
        <v>104</v>
      </c>
      <c r="K2205" s="7" t="s">
        <v>105</v>
      </c>
      <c r="L2205" s="7" t="s">
        <v>106</v>
      </c>
      <c r="M2205" s="7"/>
      <c r="N2205" s="7" t="s">
        <v>9507</v>
      </c>
      <c r="O2205" s="7" t="s">
        <v>9507</v>
      </c>
      <c r="P2205" s="7"/>
      <c r="Q2205" s="7"/>
      <c r="R2205" s="7" t="s">
        <v>109</v>
      </c>
      <c r="S2205" s="7" t="s">
        <v>110</v>
      </c>
      <c r="T2205" s="7" t="n">
        <v>0.819</v>
      </c>
      <c r="U2205" s="7" t="n">
        <v>1</v>
      </c>
      <c r="V2205" s="7"/>
      <c r="W2205" s="7"/>
      <c r="X2205" s="7"/>
      <c r="Y2205" s="7" t="s">
        <v>9507</v>
      </c>
      <c r="Z2205" s="7"/>
      <c r="AA2205" s="7"/>
      <c r="AB2205" s="7"/>
      <c r="AC2205" s="7" t="n">
        <v>4</v>
      </c>
      <c r="AD2205" s="7" t="s">
        <v>1376</v>
      </c>
      <c r="AE2205" s="7" t="s">
        <v>189</v>
      </c>
      <c r="AF2205" s="7" t="s">
        <v>13724</v>
      </c>
      <c r="AG2205" s="7"/>
      <c r="AH2205" s="7"/>
      <c r="AI2205" s="7"/>
      <c r="AJ2205" s="7"/>
      <c r="AK2205" s="7"/>
      <c r="AL2205" s="7"/>
      <c r="AM2205" s="7"/>
      <c r="AN2205" s="7"/>
      <c r="AO2205" s="7" t="s">
        <v>189</v>
      </c>
      <c r="AP2205" s="7" t="s">
        <v>1162</v>
      </c>
      <c r="AQ2205" s="7" t="s">
        <v>189</v>
      </c>
      <c r="AR2205" s="7" t="s">
        <v>82</v>
      </c>
      <c r="AS2205" s="7"/>
      <c r="AT2205" s="7"/>
      <c r="AU2205" s="7"/>
      <c r="AV2205" s="7"/>
      <c r="AW2205" s="7" t="s">
        <v>189</v>
      </c>
      <c r="AX2205" s="7" t="s">
        <v>9507</v>
      </c>
      <c r="AY2205" s="7"/>
      <c r="AZ2205" s="7"/>
      <c r="BA2205" s="7"/>
      <c r="BB2205" s="7"/>
      <c r="BC2205" s="7"/>
      <c r="BD2205" s="7"/>
      <c r="BE2205" s="7" t="s">
        <v>127</v>
      </c>
      <c r="BF2205" s="8"/>
      <c r="BG2205" s="8"/>
      <c r="BH2205" s="8"/>
      <c r="BI2205" s="8"/>
      <c r="BJ2205" s="8"/>
      <c r="BK2205" s="8"/>
      <c r="BL2205" s="8"/>
      <c r="BM2205" s="8"/>
      <c r="BN2205" s="8"/>
      <c r="BO2205" s="8"/>
      <c r="BP2205" s="8"/>
      <c r="BQ2205" s="8"/>
      <c r="BR2205" s="8"/>
      <c r="BS2205" s="8"/>
    </row>
    <row r="2206" customFormat="false" ht="15" hidden="false" customHeight="false" outlineLevel="0" collapsed="false">
      <c r="A2206" s="7" t="s">
        <v>13725</v>
      </c>
      <c r="B2206" s="7" t="s">
        <v>13726</v>
      </c>
      <c r="C2206" s="7" t="s">
        <v>13727</v>
      </c>
      <c r="D2206" s="7" t="s">
        <v>13728</v>
      </c>
      <c r="E2206" s="7" t="s">
        <v>819</v>
      </c>
      <c r="F2206" s="7" t="s">
        <v>819</v>
      </c>
      <c r="G2206" s="7"/>
      <c r="H2206" s="7"/>
      <c r="I2206" s="7" t="s">
        <v>158</v>
      </c>
      <c r="J2206" s="7" t="s">
        <v>104</v>
      </c>
      <c r="K2206" s="7" t="s">
        <v>105</v>
      </c>
      <c r="L2206" s="7" t="s">
        <v>106</v>
      </c>
      <c r="M2206" s="7"/>
      <c r="N2206" s="7" t="s">
        <v>13729</v>
      </c>
      <c r="O2206" s="7" t="s">
        <v>13729</v>
      </c>
      <c r="P2206" s="7"/>
      <c r="Q2206" s="7"/>
      <c r="R2206" s="7" t="s">
        <v>109</v>
      </c>
      <c r="S2206" s="7" t="s">
        <v>110</v>
      </c>
      <c r="T2206" s="7" t="n">
        <v>0.278</v>
      </c>
      <c r="U2206" s="7" t="n">
        <v>1</v>
      </c>
      <c r="V2206" s="7" t="s">
        <v>90</v>
      </c>
      <c r="W2206" s="7"/>
      <c r="X2206" s="7" t="s">
        <v>13730</v>
      </c>
      <c r="Y2206" s="7" t="s">
        <v>13729</v>
      </c>
      <c r="Z2206" s="7"/>
      <c r="AA2206" s="7"/>
      <c r="AB2206" s="7"/>
      <c r="AC2206" s="7" t="n">
        <v>5</v>
      </c>
      <c r="AD2206" s="7" t="s">
        <v>743</v>
      </c>
      <c r="AE2206" s="7" t="s">
        <v>189</v>
      </c>
      <c r="AF2206" s="7" t="s">
        <v>13727</v>
      </c>
      <c r="AG2206" s="7" t="s">
        <v>189</v>
      </c>
      <c r="AH2206" s="7" t="s">
        <v>13730</v>
      </c>
      <c r="AI2206" s="7"/>
      <c r="AJ2206" s="7"/>
      <c r="AK2206" s="7"/>
      <c r="AL2206" s="7"/>
      <c r="AM2206" s="7"/>
      <c r="AN2206" s="7"/>
      <c r="AO2206" s="7" t="s">
        <v>189</v>
      </c>
      <c r="AP2206" s="7" t="s">
        <v>13728</v>
      </c>
      <c r="AQ2206" s="7" t="s">
        <v>189</v>
      </c>
      <c r="AR2206" s="7" t="s">
        <v>819</v>
      </c>
      <c r="AS2206" s="7"/>
      <c r="AT2206" s="7"/>
      <c r="AU2206" s="7"/>
      <c r="AV2206" s="7"/>
      <c r="AW2206" s="7" t="s">
        <v>189</v>
      </c>
      <c r="AX2206" s="7" t="s">
        <v>13729</v>
      </c>
      <c r="AY2206" s="7"/>
      <c r="AZ2206" s="7"/>
      <c r="BA2206" s="7"/>
      <c r="BB2206" s="7"/>
      <c r="BC2206" s="7"/>
      <c r="BD2206" s="7"/>
      <c r="BE2206" s="7" t="s">
        <v>127</v>
      </c>
      <c r="BF2206" s="8"/>
      <c r="BG2206" s="8"/>
      <c r="BH2206" s="8"/>
      <c r="BI2206" s="8"/>
      <c r="BJ2206" s="8"/>
      <c r="BK2206" s="8"/>
      <c r="BL2206" s="8"/>
      <c r="BM2206" s="8"/>
      <c r="BN2206" s="8"/>
      <c r="BO2206" s="8"/>
      <c r="BP2206" s="8"/>
      <c r="BQ2206" s="8"/>
      <c r="BR2206" s="8"/>
      <c r="BS2206" s="8"/>
    </row>
  </sheetData>
  <autoFilter ref="A1:BS22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7" min="6" style="0" width="45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0" t="s">
        <v>18</v>
      </c>
      <c r="B1" s="10" t="s">
        <v>8</v>
      </c>
      <c r="C1" s="10" t="s">
        <v>13731</v>
      </c>
      <c r="D1" s="10" t="s">
        <v>11</v>
      </c>
      <c r="E1" s="10" t="s">
        <v>12</v>
      </c>
      <c r="F1" s="10" t="s">
        <v>13732</v>
      </c>
      <c r="G1" s="10" t="s">
        <v>13733</v>
      </c>
      <c r="H1" s="10" t="s">
        <v>13734</v>
      </c>
      <c r="I1" s="10" t="s">
        <v>13735</v>
      </c>
      <c r="J1" s="11" t="s">
        <v>13736</v>
      </c>
    </row>
    <row r="2" customFormat="false" ht="15" hidden="false" customHeight="false" outlineLevel="0" collapsed="false">
      <c r="A2" s="7" t="s">
        <v>13737</v>
      </c>
      <c r="B2" s="7" t="s">
        <v>13738</v>
      </c>
      <c r="C2" s="7" t="s">
        <v>13739</v>
      </c>
      <c r="D2" s="7" t="s">
        <v>13740</v>
      </c>
      <c r="E2" s="7" t="s">
        <v>101</v>
      </c>
      <c r="F2" s="7" t="s">
        <v>13741</v>
      </c>
      <c r="G2" s="7" t="s">
        <v>13741</v>
      </c>
      <c r="H2" s="7"/>
      <c r="I2" s="7" t="s">
        <v>13742</v>
      </c>
      <c r="J2" s="12"/>
    </row>
    <row r="3" customFormat="false" ht="15" hidden="false" customHeight="false" outlineLevel="0" collapsed="false">
      <c r="A3" s="7" t="s">
        <v>13737</v>
      </c>
      <c r="B3" s="7" t="s">
        <v>13743</v>
      </c>
      <c r="C3" s="7" t="s">
        <v>7502</v>
      </c>
      <c r="D3" s="7"/>
      <c r="E3" s="7" t="s">
        <v>101</v>
      </c>
      <c r="F3" s="7" t="s">
        <v>13744</v>
      </c>
      <c r="G3" s="7" t="s">
        <v>13744</v>
      </c>
      <c r="H3" s="7"/>
      <c r="I3" s="7" t="s">
        <v>13742</v>
      </c>
      <c r="J3" s="12"/>
    </row>
    <row r="4" customFormat="false" ht="15" hidden="false" customHeight="false" outlineLevel="0" collapsed="false">
      <c r="A4" s="7" t="s">
        <v>13737</v>
      </c>
      <c r="B4" s="7" t="s">
        <v>13745</v>
      </c>
      <c r="C4" s="7" t="s">
        <v>13746</v>
      </c>
      <c r="D4" s="7" t="s">
        <v>13747</v>
      </c>
      <c r="E4" s="7" t="s">
        <v>101</v>
      </c>
      <c r="F4" s="7" t="s">
        <v>13748</v>
      </c>
      <c r="G4" s="7"/>
      <c r="H4" s="7"/>
      <c r="I4" s="7" t="s">
        <v>13742</v>
      </c>
      <c r="J4" s="12"/>
    </row>
    <row r="5" customFormat="false" ht="15" hidden="false" customHeight="false" outlineLevel="0" collapsed="false">
      <c r="A5" s="7" t="s">
        <v>13737</v>
      </c>
      <c r="B5" s="7" t="s">
        <v>13749</v>
      </c>
      <c r="C5" s="7" t="s">
        <v>7498</v>
      </c>
      <c r="D5" s="7" t="s">
        <v>3215</v>
      </c>
      <c r="E5" s="7" t="s">
        <v>101</v>
      </c>
      <c r="F5" s="7" t="s">
        <v>13750</v>
      </c>
      <c r="G5" s="7" t="s">
        <v>13750</v>
      </c>
      <c r="H5" s="7"/>
      <c r="I5" s="7" t="s">
        <v>13742</v>
      </c>
      <c r="J5" s="12"/>
    </row>
    <row r="6" customFormat="false" ht="15" hidden="false" customHeight="false" outlineLevel="0" collapsed="false">
      <c r="A6" s="7" t="s">
        <v>13737</v>
      </c>
      <c r="B6" s="7" t="s">
        <v>13751</v>
      </c>
      <c r="C6" s="7" t="s">
        <v>13752</v>
      </c>
      <c r="D6" s="7" t="s">
        <v>1100</v>
      </c>
      <c r="E6" s="7" t="s">
        <v>101</v>
      </c>
      <c r="F6" s="7" t="s">
        <v>13753</v>
      </c>
      <c r="G6" s="7" t="s">
        <v>13753</v>
      </c>
      <c r="H6" s="7"/>
      <c r="I6" s="7" t="s">
        <v>13742</v>
      </c>
      <c r="J6" s="12"/>
    </row>
    <row r="7" customFormat="false" ht="15" hidden="false" customHeight="false" outlineLevel="0" collapsed="false">
      <c r="A7" s="7" t="s">
        <v>13737</v>
      </c>
      <c r="B7" s="7" t="s">
        <v>13754</v>
      </c>
      <c r="C7" s="7" t="s">
        <v>13755</v>
      </c>
      <c r="D7" s="7" t="s">
        <v>3345</v>
      </c>
      <c r="E7" s="7" t="s">
        <v>101</v>
      </c>
      <c r="F7" s="7" t="s">
        <v>3166</v>
      </c>
      <c r="G7" s="7" t="s">
        <v>3166</v>
      </c>
      <c r="H7" s="7"/>
      <c r="I7" s="7" t="s">
        <v>13742</v>
      </c>
      <c r="J7" s="12"/>
    </row>
    <row r="8" customFormat="false" ht="15" hidden="false" customHeight="false" outlineLevel="0" collapsed="false">
      <c r="A8" s="7" t="s">
        <v>13737</v>
      </c>
      <c r="B8" s="7" t="s">
        <v>13756</v>
      </c>
      <c r="C8" s="7" t="s">
        <v>13757</v>
      </c>
      <c r="D8" s="7" t="s">
        <v>1927</v>
      </c>
      <c r="E8" s="7" t="s">
        <v>101</v>
      </c>
      <c r="F8" s="7" t="s">
        <v>1464</v>
      </c>
      <c r="G8" s="7"/>
      <c r="H8" s="7"/>
      <c r="I8" s="7" t="s">
        <v>13758</v>
      </c>
      <c r="J8" s="12"/>
    </row>
    <row r="9" customFormat="false" ht="15" hidden="false" customHeight="false" outlineLevel="0" collapsed="false">
      <c r="A9" s="7" t="s">
        <v>13737</v>
      </c>
      <c r="B9" s="7" t="s">
        <v>13759</v>
      </c>
      <c r="C9" s="7" t="s">
        <v>13760</v>
      </c>
      <c r="D9" s="7" t="s">
        <v>8429</v>
      </c>
      <c r="E9" s="7" t="s">
        <v>410</v>
      </c>
      <c r="F9" s="7" t="s">
        <v>13761</v>
      </c>
      <c r="G9" s="7" t="s">
        <v>13761</v>
      </c>
      <c r="H9" s="7"/>
      <c r="I9" s="7" t="s">
        <v>13758</v>
      </c>
      <c r="J9" s="12"/>
    </row>
    <row r="10" customFormat="false" ht="15" hidden="false" customHeight="false" outlineLevel="0" collapsed="false">
      <c r="A10" s="7" t="s">
        <v>13737</v>
      </c>
      <c r="B10" s="7" t="s">
        <v>13762</v>
      </c>
      <c r="C10" s="7" t="s">
        <v>13763</v>
      </c>
      <c r="D10" s="7" t="s">
        <v>8429</v>
      </c>
      <c r="E10" s="7" t="s">
        <v>410</v>
      </c>
      <c r="F10" s="7" t="s">
        <v>13764</v>
      </c>
      <c r="G10" s="7" t="s">
        <v>13764</v>
      </c>
      <c r="H10" s="7"/>
      <c r="I10" s="7" t="s">
        <v>13758</v>
      </c>
      <c r="J10" s="12"/>
    </row>
    <row r="11" customFormat="false" ht="15" hidden="false" customHeight="false" outlineLevel="0" collapsed="false">
      <c r="A11" s="7" t="s">
        <v>13737</v>
      </c>
      <c r="B11" s="7" t="s">
        <v>13765</v>
      </c>
      <c r="C11" s="7" t="s">
        <v>13766</v>
      </c>
      <c r="D11" s="7" t="s">
        <v>8429</v>
      </c>
      <c r="E11" s="7" t="s">
        <v>410</v>
      </c>
      <c r="F11" s="7" t="s">
        <v>13767</v>
      </c>
      <c r="G11" s="7" t="s">
        <v>13767</v>
      </c>
      <c r="H11" s="7"/>
      <c r="I11" s="7" t="s">
        <v>13758</v>
      </c>
      <c r="J11" s="12"/>
    </row>
    <row r="12" customFormat="false" ht="15" hidden="false" customHeight="false" outlineLevel="0" collapsed="false">
      <c r="A12" s="7" t="s">
        <v>13737</v>
      </c>
      <c r="B12" s="7" t="s">
        <v>13768</v>
      </c>
      <c r="C12" s="7" t="s">
        <v>13769</v>
      </c>
      <c r="D12" s="7" t="s">
        <v>8429</v>
      </c>
      <c r="E12" s="7" t="s">
        <v>410</v>
      </c>
      <c r="F12" s="7" t="s">
        <v>8431</v>
      </c>
      <c r="G12" s="7" t="s">
        <v>8431</v>
      </c>
      <c r="H12" s="7"/>
      <c r="I12" s="7" t="s">
        <v>13758</v>
      </c>
      <c r="J12" s="12"/>
    </row>
    <row r="13" customFormat="false" ht="15" hidden="false" customHeight="false" outlineLevel="0" collapsed="false">
      <c r="A13" s="7" t="s">
        <v>13737</v>
      </c>
      <c r="B13" s="7" t="s">
        <v>13770</v>
      </c>
      <c r="C13" s="7" t="s">
        <v>8041</v>
      </c>
      <c r="D13" s="7" t="s">
        <v>7910</v>
      </c>
      <c r="E13" s="7" t="s">
        <v>819</v>
      </c>
      <c r="F13" s="7" t="s">
        <v>7911</v>
      </c>
      <c r="G13" s="7" t="s">
        <v>7911</v>
      </c>
      <c r="H13" s="7"/>
      <c r="I13" s="7" t="s">
        <v>13742</v>
      </c>
      <c r="J13" s="12"/>
    </row>
    <row r="14" customFormat="false" ht="15" hidden="false" customHeight="false" outlineLevel="0" collapsed="false">
      <c r="A14" s="7" t="s">
        <v>13737</v>
      </c>
      <c r="B14" s="7" t="s">
        <v>13771</v>
      </c>
      <c r="C14" s="7" t="s">
        <v>10343</v>
      </c>
      <c r="D14" s="7" t="s">
        <v>10345</v>
      </c>
      <c r="E14" s="7" t="s">
        <v>737</v>
      </c>
      <c r="F14" s="7" t="s">
        <v>6770</v>
      </c>
      <c r="G14" s="7" t="s">
        <v>6770</v>
      </c>
      <c r="H14" s="7"/>
      <c r="I14" s="7" t="s">
        <v>13742</v>
      </c>
      <c r="J14" s="12"/>
    </row>
    <row r="15" customFormat="false" ht="15" hidden="false" customHeight="false" outlineLevel="0" collapsed="false">
      <c r="A15" s="7" t="s">
        <v>13737</v>
      </c>
      <c r="B15" s="7" t="s">
        <v>13772</v>
      </c>
      <c r="C15" s="7" t="s">
        <v>12361</v>
      </c>
      <c r="D15" s="7" t="s">
        <v>1983</v>
      </c>
      <c r="E15" s="7" t="s">
        <v>819</v>
      </c>
      <c r="F15" s="7" t="s">
        <v>7915</v>
      </c>
      <c r="G15" s="7" t="s">
        <v>7915</v>
      </c>
      <c r="H15" s="7"/>
      <c r="I15" s="7" t="s">
        <v>13742</v>
      </c>
      <c r="J15" s="12"/>
    </row>
    <row r="16" customFormat="false" ht="15" hidden="false" customHeight="false" outlineLevel="0" collapsed="false">
      <c r="A16" s="7" t="s">
        <v>13737</v>
      </c>
      <c r="B16" s="7" t="s">
        <v>13773</v>
      </c>
      <c r="C16" s="7" t="s">
        <v>12364</v>
      </c>
      <c r="D16" s="7" t="s">
        <v>7984</v>
      </c>
      <c r="E16" s="7" t="s">
        <v>737</v>
      </c>
      <c r="F16" s="7" t="s">
        <v>7985</v>
      </c>
      <c r="G16" s="7" t="s">
        <v>7985</v>
      </c>
      <c r="H16" s="7"/>
      <c r="I16" s="7" t="s">
        <v>13742</v>
      </c>
      <c r="J16" s="12"/>
    </row>
    <row r="17" customFormat="false" ht="15" hidden="false" customHeight="false" outlineLevel="0" collapsed="false">
      <c r="A17" s="7" t="s">
        <v>13737</v>
      </c>
      <c r="B17" s="7" t="s">
        <v>13774</v>
      </c>
      <c r="C17" s="7" t="s">
        <v>10347</v>
      </c>
      <c r="D17" s="7" t="s">
        <v>10349</v>
      </c>
      <c r="E17" s="7" t="s">
        <v>516</v>
      </c>
      <c r="F17" s="7" t="s">
        <v>6966</v>
      </c>
      <c r="G17" s="7" t="s">
        <v>6966</v>
      </c>
      <c r="H17" s="7"/>
      <c r="I17" s="7" t="s">
        <v>13742</v>
      </c>
      <c r="J17" s="12"/>
    </row>
    <row r="18" customFormat="false" ht="15" hidden="false" customHeight="false" outlineLevel="0" collapsed="false">
      <c r="A18" s="7" t="s">
        <v>13737</v>
      </c>
      <c r="B18" s="7" t="s">
        <v>13775</v>
      </c>
      <c r="C18" s="7" t="s">
        <v>13776</v>
      </c>
      <c r="D18" s="7" t="s">
        <v>4363</v>
      </c>
      <c r="E18" s="7" t="s">
        <v>516</v>
      </c>
      <c r="F18" s="7" t="s">
        <v>13777</v>
      </c>
      <c r="G18" s="7" t="s">
        <v>13777</v>
      </c>
      <c r="H18" s="7"/>
      <c r="I18" s="7" t="s">
        <v>13742</v>
      </c>
      <c r="J18" s="12"/>
    </row>
    <row r="19" customFormat="false" ht="15" hidden="false" customHeight="false" outlineLevel="0" collapsed="false">
      <c r="A19" s="7" t="s">
        <v>13737</v>
      </c>
      <c r="B19" s="7" t="s">
        <v>13778</v>
      </c>
      <c r="C19" s="7" t="s">
        <v>13779</v>
      </c>
      <c r="D19" s="7" t="s">
        <v>8500</v>
      </c>
      <c r="E19" s="7" t="s">
        <v>431</v>
      </c>
      <c r="F19" s="7" t="s">
        <v>13780</v>
      </c>
      <c r="G19" s="7" t="s">
        <v>13780</v>
      </c>
      <c r="H19" s="7"/>
      <c r="I19" s="7" t="s">
        <v>13742</v>
      </c>
      <c r="J19" s="12"/>
    </row>
    <row r="20" customFormat="false" ht="15" hidden="false" customHeight="false" outlineLevel="0" collapsed="false">
      <c r="A20" s="7" t="s">
        <v>13737</v>
      </c>
      <c r="B20" s="7" t="s">
        <v>13781</v>
      </c>
      <c r="C20" s="7" t="s">
        <v>13782</v>
      </c>
      <c r="D20" s="7" t="s">
        <v>12702</v>
      </c>
      <c r="E20" s="7" t="s">
        <v>4473</v>
      </c>
      <c r="F20" s="7" t="s">
        <v>13783</v>
      </c>
      <c r="G20" s="7" t="s">
        <v>13783</v>
      </c>
      <c r="H20" s="7"/>
      <c r="I20" s="7" t="s">
        <v>13742</v>
      </c>
      <c r="J20" s="12"/>
    </row>
    <row r="21" customFormat="false" ht="15" hidden="false" customHeight="false" outlineLevel="0" collapsed="false">
      <c r="A21" s="7" t="s">
        <v>13737</v>
      </c>
      <c r="B21" s="7" t="s">
        <v>13784</v>
      </c>
      <c r="C21" s="7" t="s">
        <v>13785</v>
      </c>
      <c r="D21" s="7" t="s">
        <v>8525</v>
      </c>
      <c r="E21" s="7" t="s">
        <v>431</v>
      </c>
      <c r="F21" s="7" t="s">
        <v>13786</v>
      </c>
      <c r="G21" s="7"/>
      <c r="H21" s="7"/>
      <c r="I21" s="7" t="s">
        <v>13742</v>
      </c>
      <c r="J21" s="12"/>
    </row>
    <row r="22" customFormat="false" ht="15" hidden="false" customHeight="false" outlineLevel="0" collapsed="false">
      <c r="A22" s="7" t="s">
        <v>13737</v>
      </c>
      <c r="B22" s="7" t="s">
        <v>13787</v>
      </c>
      <c r="C22" s="7" t="s">
        <v>13788</v>
      </c>
      <c r="D22" s="7" t="s">
        <v>12419</v>
      </c>
      <c r="E22" s="7" t="s">
        <v>741</v>
      </c>
      <c r="F22" s="7" t="s">
        <v>13789</v>
      </c>
      <c r="G22" s="7" t="s">
        <v>13789</v>
      </c>
      <c r="H22" s="7"/>
      <c r="I22" s="7" t="s">
        <v>13742</v>
      </c>
      <c r="J22" s="12"/>
    </row>
    <row r="23" customFormat="false" ht="15" hidden="false" customHeight="false" outlineLevel="0" collapsed="false">
      <c r="A23" s="7" t="s">
        <v>13737</v>
      </c>
      <c r="B23" s="7" t="s">
        <v>13790</v>
      </c>
      <c r="C23" s="7" t="s">
        <v>13791</v>
      </c>
      <c r="D23" s="7" t="s">
        <v>12770</v>
      </c>
      <c r="E23" s="7" t="s">
        <v>1966</v>
      </c>
      <c r="F23" s="7" t="s">
        <v>13792</v>
      </c>
      <c r="G23" s="7" t="s">
        <v>13792</v>
      </c>
      <c r="H23" s="7"/>
      <c r="I23" s="7" t="s">
        <v>13742</v>
      </c>
      <c r="J23" s="12"/>
    </row>
    <row r="24" customFormat="false" ht="15" hidden="false" customHeight="false" outlineLevel="0" collapsed="false">
      <c r="A24" s="7" t="s">
        <v>13737</v>
      </c>
      <c r="B24" s="7" t="s">
        <v>13793</v>
      </c>
      <c r="C24" s="7" t="s">
        <v>13794</v>
      </c>
      <c r="D24" s="7" t="s">
        <v>13795</v>
      </c>
      <c r="E24" s="7" t="s">
        <v>6724</v>
      </c>
      <c r="F24" s="7" t="s">
        <v>13796</v>
      </c>
      <c r="G24" s="7" t="s">
        <v>13796</v>
      </c>
      <c r="H24" s="7"/>
      <c r="I24" s="7" t="s">
        <v>13742</v>
      </c>
      <c r="J24" s="12"/>
    </row>
    <row r="25" customFormat="false" ht="15" hidden="false" customHeight="false" outlineLevel="0" collapsed="false">
      <c r="A25" s="7" t="s">
        <v>13737</v>
      </c>
      <c r="B25" s="7" t="s">
        <v>13797</v>
      </c>
      <c r="C25" s="7" t="s">
        <v>13798</v>
      </c>
      <c r="D25" s="7" t="s">
        <v>8926</v>
      </c>
      <c r="E25" s="7" t="s">
        <v>3127</v>
      </c>
      <c r="F25" s="7" t="s">
        <v>13799</v>
      </c>
      <c r="G25" s="7" t="s">
        <v>13799</v>
      </c>
      <c r="H25" s="7"/>
      <c r="I25" s="7" t="s">
        <v>13742</v>
      </c>
      <c r="J25" s="12"/>
    </row>
    <row r="26" customFormat="false" ht="15" hidden="false" customHeight="false" outlineLevel="0" collapsed="false">
      <c r="A26" s="7" t="s">
        <v>13737</v>
      </c>
      <c r="B26" s="7" t="s">
        <v>13800</v>
      </c>
      <c r="C26" s="7" t="s">
        <v>13801</v>
      </c>
      <c r="D26" s="7" t="s">
        <v>13802</v>
      </c>
      <c r="E26" s="7" t="s">
        <v>3127</v>
      </c>
      <c r="F26" s="7" t="s">
        <v>13803</v>
      </c>
      <c r="G26" s="7" t="s">
        <v>13803</v>
      </c>
      <c r="H26" s="7"/>
      <c r="I26" s="7" t="s">
        <v>13742</v>
      </c>
      <c r="J26" s="12"/>
    </row>
    <row r="27" customFormat="false" ht="15" hidden="false" customHeight="false" outlineLevel="0" collapsed="false">
      <c r="A27" s="7" t="s">
        <v>13737</v>
      </c>
      <c r="B27" s="7" t="s">
        <v>13804</v>
      </c>
      <c r="C27" s="7" t="s">
        <v>13805</v>
      </c>
      <c r="D27" s="7" t="s">
        <v>8336</v>
      </c>
      <c r="E27" s="7" t="s">
        <v>431</v>
      </c>
      <c r="F27" s="7" t="s">
        <v>13806</v>
      </c>
      <c r="G27" s="7" t="s">
        <v>13806</v>
      </c>
      <c r="H27" s="7"/>
      <c r="I27" s="7" t="s">
        <v>13742</v>
      </c>
      <c r="J27" s="12"/>
    </row>
    <row r="28" customFormat="false" ht="15" hidden="false" customHeight="false" outlineLevel="0" collapsed="false">
      <c r="A28" s="7" t="s">
        <v>13737</v>
      </c>
      <c r="B28" s="7" t="s">
        <v>13807</v>
      </c>
      <c r="C28" s="7" t="s">
        <v>13808</v>
      </c>
      <c r="D28" s="7" t="s">
        <v>13809</v>
      </c>
      <c r="E28" s="7" t="s">
        <v>3127</v>
      </c>
      <c r="F28" s="7" t="s">
        <v>13810</v>
      </c>
      <c r="G28" s="7"/>
      <c r="H28" s="7"/>
      <c r="I28" s="7" t="s">
        <v>13742</v>
      </c>
      <c r="J28" s="12"/>
    </row>
    <row r="29" customFormat="false" ht="15" hidden="false" customHeight="false" outlineLevel="0" collapsed="false">
      <c r="A29" s="7" t="s">
        <v>13737</v>
      </c>
      <c r="B29" s="7" t="s">
        <v>13811</v>
      </c>
      <c r="C29" s="7" t="s">
        <v>13812</v>
      </c>
      <c r="D29" s="7" t="s">
        <v>8515</v>
      </c>
      <c r="E29" s="7" t="s">
        <v>444</v>
      </c>
      <c r="F29" s="7" t="s">
        <v>13813</v>
      </c>
      <c r="G29" s="7" t="s">
        <v>13813</v>
      </c>
      <c r="H29" s="7"/>
      <c r="I29" s="7" t="s">
        <v>13742</v>
      </c>
      <c r="J29" s="12"/>
    </row>
    <row r="30" customFormat="false" ht="15" hidden="false" customHeight="false" outlineLevel="0" collapsed="false">
      <c r="A30" s="7" t="s">
        <v>13737</v>
      </c>
      <c r="B30" s="7" t="s">
        <v>13814</v>
      </c>
      <c r="C30" s="7" t="s">
        <v>13815</v>
      </c>
      <c r="D30" s="7" t="s">
        <v>8424</v>
      </c>
      <c r="E30" s="7" t="s">
        <v>431</v>
      </c>
      <c r="F30" s="7" t="s">
        <v>13816</v>
      </c>
      <c r="G30" s="7" t="s">
        <v>13816</v>
      </c>
      <c r="H30" s="7"/>
      <c r="I30" s="7" t="s">
        <v>13742</v>
      </c>
      <c r="J30" s="12"/>
    </row>
    <row r="31" customFormat="false" ht="15" hidden="false" customHeight="false" outlineLevel="0" collapsed="false">
      <c r="A31" s="7" t="s">
        <v>13737</v>
      </c>
      <c r="B31" s="7" t="s">
        <v>13817</v>
      </c>
      <c r="C31" s="7" t="s">
        <v>13818</v>
      </c>
      <c r="D31" s="7" t="s">
        <v>8341</v>
      </c>
      <c r="E31" s="7" t="s">
        <v>737</v>
      </c>
      <c r="F31" s="7" t="s">
        <v>13819</v>
      </c>
      <c r="G31" s="7" t="s">
        <v>13819</v>
      </c>
      <c r="H31" s="7"/>
      <c r="I31" s="7" t="s">
        <v>13742</v>
      </c>
      <c r="J31" s="12"/>
    </row>
    <row r="32" customFormat="false" ht="15" hidden="false" customHeight="false" outlineLevel="0" collapsed="false">
      <c r="A32" s="7" t="s">
        <v>13737</v>
      </c>
      <c r="B32" s="7" t="s">
        <v>13820</v>
      </c>
      <c r="C32" s="7" t="s">
        <v>13821</v>
      </c>
      <c r="D32" s="7" t="s">
        <v>12458</v>
      </c>
      <c r="E32" s="7" t="s">
        <v>741</v>
      </c>
      <c r="F32" s="7" t="s">
        <v>13822</v>
      </c>
      <c r="G32" s="7" t="s">
        <v>13822</v>
      </c>
      <c r="H32" s="7"/>
      <c r="I32" s="7" t="s">
        <v>13742</v>
      </c>
      <c r="J32" s="12"/>
    </row>
    <row r="33" customFormat="false" ht="15" hidden="false" customHeight="false" outlineLevel="0" collapsed="false">
      <c r="A33" s="7" t="s">
        <v>13737</v>
      </c>
      <c r="B33" s="7" t="s">
        <v>13823</v>
      </c>
      <c r="C33" s="7" t="s">
        <v>13824</v>
      </c>
      <c r="D33" s="7" t="s">
        <v>13825</v>
      </c>
      <c r="E33" s="7" t="s">
        <v>3127</v>
      </c>
      <c r="F33" s="7" t="s">
        <v>13826</v>
      </c>
      <c r="G33" s="7" t="s">
        <v>13826</v>
      </c>
      <c r="H33" s="7"/>
      <c r="I33" s="7" t="s">
        <v>13742</v>
      </c>
      <c r="J33" s="12"/>
    </row>
    <row r="34" customFormat="false" ht="15" hidden="false" customHeight="false" outlineLevel="0" collapsed="false">
      <c r="A34" s="7" t="s">
        <v>13737</v>
      </c>
      <c r="B34" s="7" t="s">
        <v>13827</v>
      </c>
      <c r="C34" s="7" t="s">
        <v>13828</v>
      </c>
      <c r="D34" s="7" t="s">
        <v>13829</v>
      </c>
      <c r="E34" s="7" t="s">
        <v>1966</v>
      </c>
      <c r="F34" s="7" t="s">
        <v>13830</v>
      </c>
      <c r="G34" s="7" t="s">
        <v>13830</v>
      </c>
      <c r="H34" s="7"/>
      <c r="I34" s="7" t="s">
        <v>13742</v>
      </c>
      <c r="J34" s="12"/>
    </row>
    <row r="35" customFormat="false" ht="15" hidden="false" customHeight="false" outlineLevel="0" collapsed="false">
      <c r="A35" s="7" t="s">
        <v>13737</v>
      </c>
      <c r="B35" s="7" t="s">
        <v>13831</v>
      </c>
      <c r="C35" s="7" t="s">
        <v>13832</v>
      </c>
      <c r="D35" s="7" t="s">
        <v>671</v>
      </c>
      <c r="E35" s="7"/>
      <c r="F35" s="7" t="s">
        <v>13833</v>
      </c>
      <c r="G35" s="7" t="s">
        <v>13833</v>
      </c>
      <c r="H35" s="7"/>
      <c r="I35" s="7" t="s">
        <v>13742</v>
      </c>
      <c r="J35" s="12"/>
    </row>
    <row r="36" customFormat="false" ht="15" hidden="false" customHeight="false" outlineLevel="0" collapsed="false">
      <c r="A36" s="7" t="s">
        <v>13834</v>
      </c>
      <c r="B36" s="7" t="s">
        <v>1485</v>
      </c>
      <c r="C36" s="7" t="s">
        <v>1486</v>
      </c>
      <c r="D36" s="7" t="s">
        <v>671</v>
      </c>
      <c r="E36" s="7" t="s">
        <v>101</v>
      </c>
      <c r="F36" s="7" t="s">
        <v>1491</v>
      </c>
      <c r="G36" s="7" t="s">
        <v>1491</v>
      </c>
      <c r="H36" s="7"/>
      <c r="I36" s="7" t="s">
        <v>13835</v>
      </c>
      <c r="J36" s="12"/>
    </row>
    <row r="37" customFormat="false" ht="15" hidden="false" customHeight="false" outlineLevel="0" collapsed="false">
      <c r="A37" s="7" t="s">
        <v>13836</v>
      </c>
      <c r="B37" s="7" t="s">
        <v>1417</v>
      </c>
      <c r="C37" s="7" t="s">
        <v>1418</v>
      </c>
      <c r="D37" s="7" t="s">
        <v>1146</v>
      </c>
      <c r="E37" s="7"/>
      <c r="F37" s="7" t="s">
        <v>1148</v>
      </c>
      <c r="G37" s="7" t="s">
        <v>1148</v>
      </c>
      <c r="H37" s="7"/>
      <c r="I37" s="7" t="s">
        <v>13835</v>
      </c>
      <c r="J37" s="12"/>
    </row>
    <row r="38" customFormat="false" ht="15" hidden="false" customHeight="false" outlineLevel="0" collapsed="false">
      <c r="A38" s="7" t="s">
        <v>13836</v>
      </c>
      <c r="B38" s="7" t="s">
        <v>1426</v>
      </c>
      <c r="C38" s="7" t="s">
        <v>1427</v>
      </c>
      <c r="D38" s="7" t="s">
        <v>1146</v>
      </c>
      <c r="E38" s="7"/>
      <c r="F38" s="7" t="s">
        <v>1148</v>
      </c>
      <c r="G38" s="7" t="s">
        <v>1148</v>
      </c>
      <c r="H38" s="7"/>
      <c r="I38" s="7" t="s">
        <v>13835</v>
      </c>
      <c r="J38" s="12"/>
    </row>
    <row r="39" customFormat="false" ht="15" hidden="false" customHeight="false" outlineLevel="0" collapsed="false">
      <c r="A39" s="7" t="s">
        <v>13836</v>
      </c>
      <c r="B39" s="7" t="s">
        <v>1432</v>
      </c>
      <c r="C39" s="7" t="s">
        <v>1433</v>
      </c>
      <c r="D39" s="7" t="s">
        <v>1146</v>
      </c>
      <c r="E39" s="7"/>
      <c r="F39" s="7" t="s">
        <v>1148</v>
      </c>
      <c r="G39" s="7" t="s">
        <v>1148</v>
      </c>
      <c r="H39" s="7"/>
      <c r="I39" s="7" t="s">
        <v>13835</v>
      </c>
      <c r="J39" s="12"/>
    </row>
    <row r="40" customFormat="false" ht="15" hidden="false" customHeight="false" outlineLevel="0" collapsed="false">
      <c r="A40" s="7" t="s">
        <v>13836</v>
      </c>
      <c r="B40" s="7" t="s">
        <v>1441</v>
      </c>
      <c r="C40" s="7" t="s">
        <v>1442</v>
      </c>
      <c r="D40" s="7" t="s">
        <v>1146</v>
      </c>
      <c r="E40" s="7"/>
      <c r="F40" s="7" t="s">
        <v>1148</v>
      </c>
      <c r="G40" s="7" t="s">
        <v>1148</v>
      </c>
      <c r="H40" s="7"/>
      <c r="I40" s="7" t="s">
        <v>13835</v>
      </c>
      <c r="J40" s="12"/>
    </row>
    <row r="41" customFormat="false" ht="15" hidden="false" customHeight="false" outlineLevel="0" collapsed="false">
      <c r="A41" s="7" t="s">
        <v>13836</v>
      </c>
      <c r="B41" s="7" t="s">
        <v>1451</v>
      </c>
      <c r="C41" s="7" t="s">
        <v>1452</v>
      </c>
      <c r="D41" s="7" t="s">
        <v>1146</v>
      </c>
      <c r="E41" s="7"/>
      <c r="F41" s="7" t="s">
        <v>1148</v>
      </c>
      <c r="G41" s="7" t="s">
        <v>1148</v>
      </c>
      <c r="H41" s="7"/>
      <c r="I41" s="7" t="s">
        <v>13835</v>
      </c>
      <c r="J41" s="12"/>
    </row>
    <row r="42" customFormat="false" ht="15" hidden="false" customHeight="false" outlineLevel="0" collapsed="false">
      <c r="A42" s="7" t="s">
        <v>13836</v>
      </c>
      <c r="B42" s="7" t="s">
        <v>1782</v>
      </c>
      <c r="C42" s="7" t="s">
        <v>1783</v>
      </c>
      <c r="D42" s="7" t="s">
        <v>1092</v>
      </c>
      <c r="E42" s="7"/>
      <c r="F42" s="7" t="s">
        <v>1095</v>
      </c>
      <c r="G42" s="7" t="s">
        <v>1095</v>
      </c>
      <c r="H42" s="7"/>
      <c r="I42" s="7" t="s">
        <v>13835</v>
      </c>
      <c r="J42" s="12"/>
    </row>
    <row r="43" customFormat="false" ht="15" hidden="false" customHeight="false" outlineLevel="0" collapsed="false">
      <c r="A43" s="7" t="s">
        <v>13836</v>
      </c>
      <c r="B43" s="7" t="s">
        <v>1786</v>
      </c>
      <c r="C43" s="7" t="s">
        <v>1787</v>
      </c>
      <c r="D43" s="7" t="s">
        <v>1092</v>
      </c>
      <c r="E43" s="7"/>
      <c r="F43" s="7" t="s">
        <v>1095</v>
      </c>
      <c r="G43" s="7" t="s">
        <v>1095</v>
      </c>
      <c r="H43" s="7"/>
      <c r="I43" s="7" t="s">
        <v>13835</v>
      </c>
      <c r="J43" s="12"/>
    </row>
    <row r="44" customFormat="false" ht="15" hidden="false" customHeight="false" outlineLevel="0" collapsed="false">
      <c r="A44" s="7" t="s">
        <v>13836</v>
      </c>
      <c r="B44" s="7" t="s">
        <v>8933</v>
      </c>
      <c r="C44" s="7" t="s">
        <v>8934</v>
      </c>
      <c r="D44" s="7" t="s">
        <v>8936</v>
      </c>
      <c r="E44" s="7" t="s">
        <v>1966</v>
      </c>
      <c r="F44" s="7" t="s">
        <v>8937</v>
      </c>
      <c r="G44" s="7" t="s">
        <v>8937</v>
      </c>
      <c r="H44" s="7"/>
      <c r="I44" s="7" t="s">
        <v>13835</v>
      </c>
      <c r="J44" s="12"/>
    </row>
    <row r="45" customFormat="false" ht="15" hidden="false" customHeight="false" outlineLevel="0" collapsed="false">
      <c r="A45" s="7" t="s">
        <v>13836</v>
      </c>
      <c r="B45" s="7" t="s">
        <v>13089</v>
      </c>
      <c r="C45" s="7" t="s">
        <v>13090</v>
      </c>
      <c r="D45" s="7" t="s">
        <v>1092</v>
      </c>
      <c r="E45" s="7"/>
      <c r="F45" s="7" t="s">
        <v>1095</v>
      </c>
      <c r="G45" s="7" t="s">
        <v>1095</v>
      </c>
      <c r="H45" s="7"/>
      <c r="I45" s="7" t="s">
        <v>13835</v>
      </c>
      <c r="J45" s="12"/>
    </row>
    <row r="46" customFormat="false" ht="15" hidden="false" customHeight="false" outlineLevel="0" collapsed="false">
      <c r="A46" s="7" t="s">
        <v>13836</v>
      </c>
      <c r="B46" s="7" t="s">
        <v>13506</v>
      </c>
      <c r="C46" s="7" t="s">
        <v>13507</v>
      </c>
      <c r="D46" s="7" t="s">
        <v>13509</v>
      </c>
      <c r="E46" s="7"/>
      <c r="F46" s="7" t="s">
        <v>12872</v>
      </c>
      <c r="G46" s="7" t="s">
        <v>12872</v>
      </c>
      <c r="H46" s="7"/>
      <c r="I46" s="7" t="s">
        <v>13835</v>
      </c>
      <c r="J46" s="12"/>
    </row>
    <row r="47" customFormat="false" ht="15" hidden="false" customHeight="false" outlineLevel="0" collapsed="false">
      <c r="A47" s="7" t="s">
        <v>13836</v>
      </c>
      <c r="B47" s="7" t="s">
        <v>13608</v>
      </c>
      <c r="C47" s="7" t="s">
        <v>13609</v>
      </c>
      <c r="D47" s="7" t="s">
        <v>1092</v>
      </c>
      <c r="E47" s="7"/>
      <c r="F47" s="7" t="s">
        <v>1095</v>
      </c>
      <c r="G47" s="7" t="s">
        <v>1095</v>
      </c>
      <c r="H47" s="7"/>
      <c r="I47" s="7" t="s">
        <v>13835</v>
      </c>
      <c r="J47" s="12"/>
    </row>
    <row r="48" customFormat="false" ht="15" hidden="false" customHeight="false" outlineLevel="0" collapsed="false">
      <c r="A48" s="7" t="s">
        <v>13836</v>
      </c>
      <c r="B48" s="7" t="s">
        <v>13620</v>
      </c>
      <c r="C48" s="7" t="s">
        <v>13621</v>
      </c>
      <c r="D48" s="7" t="s">
        <v>13623</v>
      </c>
      <c r="E48" s="7" t="s">
        <v>101</v>
      </c>
      <c r="F48" s="7" t="s">
        <v>13624</v>
      </c>
      <c r="G48" s="7" t="s">
        <v>13624</v>
      </c>
      <c r="H48" s="7"/>
      <c r="I48" s="7" t="s">
        <v>13835</v>
      </c>
      <c r="J4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</cols>
  <sheetData>
    <row r="1" customFormat="false" ht="15" hidden="false" customHeight="false" outlineLevel="0" collapsed="false">
      <c r="A1" s="7" t="s">
        <v>13837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7"/>
      <c r="B2" s="7"/>
      <c r="C2" s="7"/>
      <c r="D2" s="7"/>
      <c r="E2" s="7"/>
      <c r="F2" s="7"/>
    </row>
    <row r="3" customFormat="false" ht="15" hidden="false" customHeight="false" outlineLevel="0" collapsed="false">
      <c r="A3" s="13" t="s">
        <v>13838</v>
      </c>
      <c r="B3" s="13" t="s">
        <v>84</v>
      </c>
      <c r="C3" s="13" t="s">
        <v>109</v>
      </c>
      <c r="D3" s="13" t="s">
        <v>135</v>
      </c>
      <c r="E3" s="13" t="s">
        <v>13839</v>
      </c>
      <c r="F3" s="13" t="s">
        <v>13840</v>
      </c>
    </row>
    <row r="4" customFormat="false" ht="15" hidden="false" customHeight="false" outlineLevel="0" collapsed="false">
      <c r="A4" s="7" t="s">
        <v>82</v>
      </c>
      <c r="B4" s="7" t="n">
        <f aca="false">COUNTIFS(Livros!$F$3:$F$2206,"GO",Livros!$P$3:$P$2206,"ouro")</f>
        <v>84</v>
      </c>
      <c r="C4" s="7" t="n">
        <f aca="false">COUNTIFS(Livros!$F$3:$F$2206,"GO",Livros!$P$3:$P$2206,"prata")</f>
        <v>85</v>
      </c>
      <c r="D4" s="7" t="n">
        <f aca="false">COUNTIFS(Livros!$F$3:$F$2206,"GO",Livros!$P$3:$P$2206,"bronze")</f>
        <v>225</v>
      </c>
      <c r="E4" s="7" t="n">
        <f aca="false">COUNTIFS(Livros!$F$3:$F$2206,"GO",Livros!$P$3:$P$2206,"")</f>
        <v>2</v>
      </c>
      <c r="F4" s="7" t="n">
        <f aca="false">SUM(B4:E4)</f>
        <v>396</v>
      </c>
    </row>
    <row r="5" customFormat="false" ht="15" hidden="false" customHeight="false" outlineLevel="0" collapsed="false">
      <c r="A5" s="7" t="s">
        <v>101</v>
      </c>
      <c r="B5" s="7" t="n">
        <f aca="false">COUNTIFS(Livros!$F$3:$F$2206,"BR",Livros!$P$3:$P$2206,"ouro")</f>
        <v>108</v>
      </c>
      <c r="C5" s="7" t="n">
        <f aca="false">COUNTIFS(Livros!$F$3:$F$2206,"BR",Livros!$P$3:$P$2206,"prata")</f>
        <v>125</v>
      </c>
      <c r="D5" s="7" t="n">
        <f aca="false">COUNTIFS(Livros!$F$3:$F$2206,"BR",Livros!$P$3:$P$2206,"bronze")</f>
        <v>794</v>
      </c>
      <c r="E5" s="7" t="n">
        <f aca="false">COUNTIFS(Livros!$F$3:$F$2206,"BR",Livros!$P$3:$P$2206,"")</f>
        <v>0</v>
      </c>
      <c r="F5" s="7" t="n">
        <f aca="false">SUM(B5:E5)</f>
        <v>1027</v>
      </c>
    </row>
    <row r="6" customFormat="false" ht="15" hidden="false" customHeight="false" outlineLevel="0" collapsed="false">
      <c r="A6" s="7" t="s">
        <v>156</v>
      </c>
      <c r="B6" s="7" t="n">
        <f aca="false">COUNTIFS(Livros!$F$3:$F$2206,"INT",Livros!$P$3:$P$2206,"ouro")</f>
        <v>9</v>
      </c>
      <c r="C6" s="7" t="n">
        <f aca="false">COUNTIFS(Livros!$F$3:$F$2206,"INT",Livros!$P$3:$P$2206,"prata")</f>
        <v>8</v>
      </c>
      <c r="D6" s="7" t="n">
        <f aca="false">COUNTIFS(Livros!$F$3:$F$2206,"INT",Livros!$P$3:$P$2206,"bronze")</f>
        <v>48</v>
      </c>
      <c r="E6" s="7" t="n">
        <f aca="false">COUNTIFS(Livros!$F$3:$F$2206,"INT",Livros!$P$3:$P$2206,"")</f>
        <v>0</v>
      </c>
      <c r="F6" s="7" t="n">
        <f aca="false">SUM(B6:E6)</f>
        <v>65</v>
      </c>
    </row>
    <row r="7" customFormat="false" ht="15" hidden="false" customHeight="false" outlineLevel="0" collapsed="false">
      <c r="A7" s="7" t="s">
        <v>13841</v>
      </c>
      <c r="B7" s="7" t="n">
        <f aca="false">COUNTIF(Livros!$P$3:$P$2206,"ouro")</f>
        <v>266</v>
      </c>
      <c r="C7" s="7" t="n">
        <f aca="false">COUNTIF(Livros!$P$3:$P$2206,"prata")</f>
        <v>363</v>
      </c>
      <c r="D7" s="7" t="n">
        <f aca="false">COUNTIF(Livros!$P$3:$P$2206,"bronze")</f>
        <v>1559</v>
      </c>
      <c r="E7" s="7" t="n">
        <f aca="false">COUNTBLANK(Livros!$P$3:$P$2206)</f>
        <v>16</v>
      </c>
      <c r="F7" s="7" t="n">
        <f aca="false">SUM(B7:E7)</f>
        <v>2204</v>
      </c>
    </row>
    <row r="8" customFormat="false" ht="15" hidden="false" customHeight="false" outlineLevel="0" collapsed="false">
      <c r="A8" s="7"/>
      <c r="B8" s="7"/>
      <c r="C8" s="7"/>
      <c r="D8" s="7"/>
      <c r="E8" s="7"/>
      <c r="F8" s="7"/>
    </row>
    <row r="9" customFormat="false" ht="15" hidden="false" customHeight="false" outlineLevel="0" collapsed="false">
      <c r="A9" s="7" t="s">
        <v>13842</v>
      </c>
      <c r="B9" s="7"/>
      <c r="C9" s="7"/>
      <c r="D9" s="7"/>
      <c r="E9" s="7"/>
      <c r="F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2026-10-04T14:12:21Z</dcterms:created>
  <dc:creator>openpyxl</dc:creator>
  <dc:description/>
  <dc:language>en-US</dc:language>
  <cp:lastModifiedBy/>
  <dcterms:modified xsi:type="dcterms:W3CDTF">2026-10-04T14:12:23Z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